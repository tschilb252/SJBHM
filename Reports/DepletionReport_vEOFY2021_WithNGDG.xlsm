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vande\PWRE\Basin_SanJuan - Documents\SanJuanRIP\Output_Baseline\"/>
    </mc:Choice>
  </mc:AlternateContent>
  <xr:revisionPtr revIDLastSave="0" documentId="13_ncr:1_{A4BECFA9-84C1-4BE6-AACF-5DB38FBBD428}" xr6:coauthVersionLast="47" xr6:coauthVersionMax="47" xr10:uidLastSave="{00000000-0000-0000-0000-000000000000}"/>
  <bookViews>
    <workbookView xWindow="2340" yWindow="525" windowWidth="21600" windowHeight="15075" tabRatio="911" xr2:uid="{00000000-000D-0000-FFFF-FFFF00000000}"/>
  </bookViews>
  <sheets>
    <sheet name="SJRIPSummary" sheetId="6" r:id="rId1"/>
    <sheet name="AnnualResultsViewer" sheetId="18" r:id="rId2"/>
    <sheet name="TribalTable" sheetId="8" r:id="rId3"/>
    <sheet name="SJRIPSummaryRAW" sheetId="7" r:id="rId4"/>
    <sheet name="RunScenarioInfo" sheetId="22" r:id="rId5"/>
    <sheet name="SJRIPSummary_Annuals" sheetId="10" r:id="rId6"/>
    <sheet name="AnnualAggregations" sheetId="4" r:id="rId7"/>
    <sheet name="AnnualDepletions" sheetId="2" r:id="rId8"/>
    <sheet name="AnnualDeplReqs" sheetId="11" r:id="rId9"/>
    <sheet name="AnnualDiversions" sheetId="13" r:id="rId10"/>
    <sheet name="AnnualDivReqs" sheetId="14" r:id="rId11"/>
    <sheet name="StateModDepletions_ThisScenario" sheetId="17" r:id="rId12"/>
    <sheet name="StateModDepletions_BL" sheetId="9" r:id="rId13"/>
    <sheet name="StateModDepletions_BLNoRes" sheetId="15" r:id="rId14"/>
    <sheet name="StateModDepletions_BL_2013" sheetId="24" r:id="rId15"/>
    <sheet name="StateModDepletions_BLNoRes_2013" sheetId="23" r:id="rId16"/>
    <sheet name="NGWSPBOComp" sheetId="19" state="hidden" r:id="rId17"/>
  </sheets>
  <externalReferences>
    <externalReference r:id="rId18"/>
  </externalReferences>
  <definedNames>
    <definedName name="NumRunYears" localSheetId="14">[1]ModelOutput!$B$3</definedName>
    <definedName name="NumRunYears">RunScenarioInfo!$H$2</definedName>
    <definedName name="RunScenName">RunScenarioInfo!$N$1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3" i="15" l="1"/>
  <c r="AI3" i="15"/>
  <c r="AH3" i="15"/>
  <c r="AG3" i="15"/>
  <c r="AF3" i="15"/>
  <c r="AE3" i="15"/>
  <c r="AD3" i="15"/>
  <c r="AC3" i="15"/>
  <c r="AB3" i="15"/>
  <c r="AA3" i="15"/>
  <c r="Z3" i="15"/>
  <c r="Y3" i="15"/>
  <c r="X3" i="15"/>
  <c r="W3" i="15"/>
  <c r="V3" i="15"/>
  <c r="U3" i="15"/>
  <c r="T3" i="15"/>
  <c r="S3" i="15"/>
  <c r="R3" i="15"/>
  <c r="Q3" i="15"/>
  <c r="P3" i="15"/>
  <c r="O3" i="15"/>
  <c r="N3" i="15"/>
  <c r="M3" i="15"/>
  <c r="L3" i="15"/>
  <c r="K3" i="15"/>
  <c r="J3" i="15"/>
  <c r="I3" i="15"/>
  <c r="H3" i="15"/>
  <c r="G3" i="15"/>
  <c r="F3" i="15"/>
  <c r="E3" i="15"/>
  <c r="D3" i="15"/>
  <c r="C3" i="15"/>
  <c r="B3" i="15"/>
  <c r="AJ2" i="15"/>
  <c r="AI2" i="15"/>
  <c r="AH2" i="15"/>
  <c r="AG2" i="15"/>
  <c r="AF2" i="15"/>
  <c r="AE2" i="15"/>
  <c r="AD2" i="15"/>
  <c r="AC2" i="15"/>
  <c r="AB2" i="15"/>
  <c r="AA2" i="15"/>
  <c r="Z2" i="15"/>
  <c r="Y2" i="15"/>
  <c r="X2" i="15"/>
  <c r="W2" i="15"/>
  <c r="V2" i="15"/>
  <c r="U2" i="15"/>
  <c r="T2" i="15"/>
  <c r="S2" i="15"/>
  <c r="R2" i="15"/>
  <c r="Q2" i="15"/>
  <c r="P2" i="15"/>
  <c r="O2" i="15"/>
  <c r="N2" i="15"/>
  <c r="M2" i="15"/>
  <c r="L2" i="15"/>
  <c r="K2" i="15"/>
  <c r="J2" i="15"/>
  <c r="I2" i="15"/>
  <c r="H2" i="15"/>
  <c r="G2" i="15"/>
  <c r="F2" i="15"/>
  <c r="E2" i="15"/>
  <c r="D2" i="15"/>
  <c r="C2" i="15"/>
  <c r="B2" i="15"/>
  <c r="AJ1" i="15"/>
  <c r="AI1" i="15"/>
  <c r="AH1" i="15"/>
  <c r="AG1" i="15"/>
  <c r="AF1" i="15"/>
  <c r="AE1" i="15"/>
  <c r="AD1" i="15"/>
  <c r="AC1" i="15"/>
  <c r="AB1" i="15"/>
  <c r="AA1" i="15"/>
  <c r="Z1" i="15"/>
  <c r="Y1" i="15"/>
  <c r="X1" i="15"/>
  <c r="W1" i="15"/>
  <c r="V1" i="15"/>
  <c r="U1" i="15"/>
  <c r="T1" i="15"/>
  <c r="S1" i="15"/>
  <c r="R1" i="15"/>
  <c r="Q1" i="15"/>
  <c r="P1" i="15"/>
  <c r="O1" i="15"/>
  <c r="N1" i="15"/>
  <c r="M1" i="15"/>
  <c r="L1" i="15"/>
  <c r="K1" i="15"/>
  <c r="J1" i="15"/>
  <c r="I1" i="15"/>
  <c r="H1" i="15"/>
  <c r="G1" i="15"/>
  <c r="F1" i="15"/>
  <c r="E1" i="15"/>
  <c r="D1" i="15"/>
  <c r="C1" i="15"/>
  <c r="B1" i="15"/>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D3" i="9"/>
  <c r="C3" i="9"/>
  <c r="B3" i="9"/>
  <c r="AJ2" i="9"/>
  <c r="AI2" i="9"/>
  <c r="AH2" i="9"/>
  <c r="AG2" i="9"/>
  <c r="AF2" i="9"/>
  <c r="AE2" i="9"/>
  <c r="AD2" i="9"/>
  <c r="AC2" i="9"/>
  <c r="AB2" i="9"/>
  <c r="AA2" i="9"/>
  <c r="Z2" i="9"/>
  <c r="Y2" i="9"/>
  <c r="X2" i="9"/>
  <c r="W2" i="9"/>
  <c r="V2" i="9"/>
  <c r="U2" i="9"/>
  <c r="T2" i="9"/>
  <c r="S2" i="9"/>
  <c r="R2" i="9"/>
  <c r="Q2" i="9"/>
  <c r="P2" i="9"/>
  <c r="O2" i="9"/>
  <c r="N2" i="9"/>
  <c r="M2" i="9"/>
  <c r="L2" i="9"/>
  <c r="K2" i="9"/>
  <c r="J2" i="9"/>
  <c r="I2" i="9"/>
  <c r="H2" i="9"/>
  <c r="G2" i="9"/>
  <c r="F2" i="9"/>
  <c r="E2" i="9"/>
  <c r="D2" i="9"/>
  <c r="C2" i="9"/>
  <c r="B2" i="9"/>
  <c r="AJ1" i="9"/>
  <c r="AI1" i="9"/>
  <c r="AH1" i="9"/>
  <c r="AG1" i="9"/>
  <c r="AF1" i="9"/>
  <c r="AE1" i="9"/>
  <c r="AD1" i="9"/>
  <c r="AC1" i="9"/>
  <c r="AB1" i="9"/>
  <c r="AA1" i="9"/>
  <c r="Z1" i="9"/>
  <c r="Y1" i="9"/>
  <c r="X1" i="9"/>
  <c r="W1" i="9"/>
  <c r="V1" i="9"/>
  <c r="U1" i="9"/>
  <c r="T1" i="9"/>
  <c r="S1" i="9"/>
  <c r="R1" i="9"/>
  <c r="Q1" i="9"/>
  <c r="P1" i="9"/>
  <c r="O1" i="9"/>
  <c r="N1" i="9"/>
  <c r="M1" i="9"/>
  <c r="L1" i="9"/>
  <c r="K1" i="9"/>
  <c r="J1" i="9"/>
  <c r="I1" i="9"/>
  <c r="H1" i="9"/>
  <c r="G1" i="9"/>
  <c r="F1" i="9"/>
  <c r="E1" i="9"/>
  <c r="D1" i="9"/>
  <c r="C1" i="9"/>
  <c r="B1" i="9"/>
  <c r="F22" i="8"/>
  <c r="E22" i="8"/>
  <c r="F20" i="8"/>
  <c r="E20" i="8"/>
  <c r="F10" i="8"/>
  <c r="E10" i="8"/>
  <c r="F5" i="8"/>
  <c r="E5" i="8"/>
  <c r="F50" i="8"/>
  <c r="E50" i="8"/>
  <c r="F37" i="8"/>
  <c r="E37" i="8"/>
  <c r="F25" i="8"/>
  <c r="E25" i="8"/>
  <c r="F16" i="8"/>
  <c r="E16" i="8"/>
  <c r="B11" i="18" l="1"/>
  <c r="AJ3" i="24"/>
  <c r="AI3" i="24"/>
  <c r="AH3" i="24"/>
  <c r="AG3" i="24"/>
  <c r="AF3" i="24"/>
  <c r="AE3" i="24"/>
  <c r="AD3" i="24"/>
  <c r="AC3" i="24"/>
  <c r="AB3" i="24"/>
  <c r="AA3" i="24"/>
  <c r="Z3" i="24"/>
  <c r="Y3" i="24"/>
  <c r="X3" i="24"/>
  <c r="W3" i="24"/>
  <c r="V3" i="24"/>
  <c r="U3" i="24"/>
  <c r="T3" i="24"/>
  <c r="S3" i="24"/>
  <c r="R3" i="24"/>
  <c r="Q3" i="24"/>
  <c r="P3" i="24"/>
  <c r="O3" i="24"/>
  <c r="N3" i="24"/>
  <c r="M3" i="24"/>
  <c r="L3" i="24"/>
  <c r="K3" i="24"/>
  <c r="J3" i="24"/>
  <c r="I3" i="24"/>
  <c r="H3" i="24"/>
  <c r="G3" i="24"/>
  <c r="F3" i="24"/>
  <c r="E3" i="24"/>
  <c r="D3" i="24"/>
  <c r="C3" i="24"/>
  <c r="B3" i="24"/>
  <c r="AJ2" i="24"/>
  <c r="AI2" i="24"/>
  <c r="AH2" i="24"/>
  <c r="AG2" i="24"/>
  <c r="AF2" i="24"/>
  <c r="AE2" i="24"/>
  <c r="AD2" i="24"/>
  <c r="AC2" i="24"/>
  <c r="AB2" i="24"/>
  <c r="AA2" i="24"/>
  <c r="Z2" i="24"/>
  <c r="Y2" i="24"/>
  <c r="X2" i="24"/>
  <c r="W2" i="24"/>
  <c r="V2" i="24"/>
  <c r="U2" i="24"/>
  <c r="T2" i="24"/>
  <c r="S2" i="24"/>
  <c r="R2" i="24"/>
  <c r="Q2" i="24"/>
  <c r="P2" i="24"/>
  <c r="O2" i="24"/>
  <c r="N2" i="24"/>
  <c r="M2" i="24"/>
  <c r="L2" i="24"/>
  <c r="K2" i="24"/>
  <c r="J2" i="24"/>
  <c r="I2" i="24"/>
  <c r="H2" i="24"/>
  <c r="G2" i="24"/>
  <c r="F2" i="24"/>
  <c r="E2" i="24"/>
  <c r="D2" i="24"/>
  <c r="C2" i="24"/>
  <c r="B2" i="24"/>
  <c r="AJ1" i="24"/>
  <c r="AI1" i="24"/>
  <c r="AH1" i="24"/>
  <c r="AG1" i="24"/>
  <c r="AF1" i="24"/>
  <c r="AE1" i="24"/>
  <c r="AD1" i="24"/>
  <c r="AC1" i="24"/>
  <c r="AB1" i="24"/>
  <c r="AA1" i="24"/>
  <c r="Z1" i="24"/>
  <c r="Y1" i="24"/>
  <c r="X1" i="24"/>
  <c r="W1" i="24"/>
  <c r="V1" i="24"/>
  <c r="U1" i="24"/>
  <c r="T1" i="24"/>
  <c r="S1" i="24"/>
  <c r="R1" i="24"/>
  <c r="Q1" i="24"/>
  <c r="P1" i="24"/>
  <c r="O1" i="24"/>
  <c r="N1" i="24"/>
  <c r="M1" i="24"/>
  <c r="L1" i="24"/>
  <c r="K1" i="24"/>
  <c r="J1" i="24"/>
  <c r="I1" i="24"/>
  <c r="H1" i="24"/>
  <c r="G1" i="24"/>
  <c r="F1" i="24"/>
  <c r="E1" i="24"/>
  <c r="D1" i="24"/>
  <c r="C1" i="24"/>
  <c r="B1" i="24"/>
  <c r="B12" i="18" l="1"/>
  <c r="B13" i="18" s="1"/>
  <c r="B14" i="18" s="1"/>
  <c r="B15" i="18" s="1"/>
  <c r="B16" i="18" s="1"/>
  <c r="B17" i="18" s="1"/>
  <c r="B18" i="18" s="1"/>
  <c r="B19" i="18" s="1"/>
  <c r="B20" i="18" s="1"/>
  <c r="B21" i="18" s="1"/>
  <c r="B22" i="18" s="1"/>
  <c r="B23" i="18" s="1"/>
  <c r="B24" i="18" s="1"/>
  <c r="B25" i="18" s="1"/>
  <c r="B26" i="18" s="1"/>
  <c r="B27" i="18" s="1"/>
  <c r="B28" i="18" s="1"/>
  <c r="B29" i="18" s="1"/>
  <c r="B30" i="18" s="1"/>
  <c r="B31" i="18" s="1"/>
  <c r="B32" i="18" s="1"/>
  <c r="B33" i="18" s="1"/>
  <c r="B34" i="18" s="1"/>
  <c r="B35" i="18" s="1"/>
  <c r="B36" i="18" s="1"/>
  <c r="B37" i="18" s="1"/>
  <c r="B38" i="18" s="1"/>
  <c r="B39" i="18" s="1"/>
  <c r="B40" i="18" s="1"/>
  <c r="B41" i="18" s="1"/>
  <c r="B42" i="18" s="1"/>
  <c r="B43" i="18" s="1"/>
  <c r="B44" i="18" s="1"/>
  <c r="B45" i="18" s="1"/>
  <c r="B46" i="18" s="1"/>
  <c r="B47" i="18" s="1"/>
  <c r="B48" i="18" s="1"/>
  <c r="B49" i="18" s="1"/>
  <c r="B50" i="18" s="1"/>
  <c r="B51" i="18" s="1"/>
  <c r="B52" i="18" s="1"/>
  <c r="B53" i="18" s="1"/>
  <c r="B54" i="18" s="1"/>
  <c r="B55" i="18" s="1"/>
  <c r="B56" i="18" s="1"/>
  <c r="B57" i="18" s="1"/>
  <c r="B58" i="18" s="1"/>
  <c r="B59" i="18" s="1"/>
  <c r="B60" i="18" s="1"/>
  <c r="B61" i="18" s="1"/>
  <c r="B62" i="18" s="1"/>
  <c r="B63" i="18" s="1"/>
  <c r="B64" i="18" s="1"/>
  <c r="B65" i="18" s="1"/>
  <c r="B66" i="18" s="1"/>
  <c r="B67" i="18" s="1"/>
  <c r="B68" i="18" s="1"/>
  <c r="B69" i="18" s="1"/>
  <c r="B70" i="18" s="1"/>
  <c r="B71" i="18" s="1"/>
  <c r="B72" i="18" s="1"/>
  <c r="B73" i="18" s="1"/>
  <c r="B74" i="18" s="1"/>
  <c r="B75" i="18" s="1"/>
  <c r="B76" i="18" s="1"/>
  <c r="B77" i="18" s="1"/>
  <c r="B78" i="18" s="1"/>
  <c r="B79" i="18" s="1"/>
  <c r="B80" i="18" s="1"/>
  <c r="B81" i="18" s="1"/>
  <c r="B82" i="18" s="1"/>
  <c r="B83" i="18" s="1"/>
  <c r="B84" i="18" s="1"/>
  <c r="B85" i="18" s="1"/>
  <c r="B86" i="18" s="1"/>
  <c r="B87" i="18" s="1"/>
  <c r="B88" i="18" s="1"/>
  <c r="B89" i="18" s="1"/>
  <c r="B90" i="18" s="1"/>
  <c r="B91" i="18" s="1"/>
  <c r="B92" i="18" s="1"/>
  <c r="B93" i="18" s="1"/>
  <c r="B94" i="18" s="1"/>
  <c r="B95" i="18" s="1"/>
  <c r="B96" i="18" s="1"/>
  <c r="B97" i="18" s="1"/>
  <c r="B98" i="18" s="1"/>
  <c r="B99" i="18" s="1"/>
  <c r="B100" i="18" s="1"/>
  <c r="B101" i="18" s="1"/>
  <c r="B102" i="18" s="1"/>
  <c r="AJ3" i="23"/>
  <c r="AI3" i="23"/>
  <c r="AH3" i="23"/>
  <c r="AG3" i="23"/>
  <c r="AF3" i="23"/>
  <c r="AE3" i="23"/>
  <c r="AD3" i="23"/>
  <c r="AC3" i="23"/>
  <c r="AB3" i="23"/>
  <c r="AA3" i="23"/>
  <c r="Z3" i="23"/>
  <c r="Y3" i="23"/>
  <c r="X3" i="23"/>
  <c r="W3" i="23"/>
  <c r="V3" i="23"/>
  <c r="U3" i="23"/>
  <c r="T3" i="23"/>
  <c r="S3" i="23"/>
  <c r="R3" i="23"/>
  <c r="Q3" i="23"/>
  <c r="P3" i="23"/>
  <c r="O3" i="23"/>
  <c r="N3" i="23"/>
  <c r="M3" i="23"/>
  <c r="L3" i="23"/>
  <c r="K3" i="23"/>
  <c r="J3" i="23"/>
  <c r="I3" i="23"/>
  <c r="H3" i="23"/>
  <c r="G3" i="23"/>
  <c r="F3" i="23"/>
  <c r="E3" i="23"/>
  <c r="D3" i="23"/>
  <c r="C3" i="23"/>
  <c r="B3" i="23"/>
  <c r="AJ2" i="23"/>
  <c r="AI2" i="23"/>
  <c r="AH2" i="23"/>
  <c r="AG2" i="23"/>
  <c r="AF2" i="23"/>
  <c r="AE2" i="23"/>
  <c r="AD2" i="23"/>
  <c r="AC2" i="23"/>
  <c r="AB2" i="23"/>
  <c r="AA2" i="23"/>
  <c r="Z2" i="23"/>
  <c r="Y2" i="23"/>
  <c r="X2" i="23"/>
  <c r="W2" i="23"/>
  <c r="V2" i="23"/>
  <c r="U2" i="23"/>
  <c r="T2" i="23"/>
  <c r="S2" i="23"/>
  <c r="R2" i="23"/>
  <c r="Q2" i="23"/>
  <c r="P2" i="23"/>
  <c r="O2" i="23"/>
  <c r="N2" i="23"/>
  <c r="M2" i="23"/>
  <c r="L2" i="23"/>
  <c r="K2" i="23"/>
  <c r="J2" i="23"/>
  <c r="I2" i="23"/>
  <c r="H2" i="23"/>
  <c r="G2" i="23"/>
  <c r="F2" i="23"/>
  <c r="E2" i="23"/>
  <c r="D2" i="23"/>
  <c r="C2" i="23"/>
  <c r="B2" i="23"/>
  <c r="AJ1" i="23"/>
  <c r="AI1" i="23"/>
  <c r="AH1" i="23"/>
  <c r="AG1" i="23"/>
  <c r="AF1" i="23"/>
  <c r="AE1" i="23"/>
  <c r="AD1" i="23"/>
  <c r="AC1" i="23"/>
  <c r="AB1" i="23"/>
  <c r="AA1" i="23"/>
  <c r="Z1" i="23"/>
  <c r="Y1" i="23"/>
  <c r="X1" i="23"/>
  <c r="W1" i="23"/>
  <c r="V1" i="23"/>
  <c r="U1" i="23"/>
  <c r="T1" i="23"/>
  <c r="S1" i="23"/>
  <c r="R1" i="23"/>
  <c r="Q1" i="23"/>
  <c r="P1" i="23"/>
  <c r="O1" i="23"/>
  <c r="N1" i="23"/>
  <c r="M1" i="23"/>
  <c r="L1" i="23"/>
  <c r="K1" i="23"/>
  <c r="J1" i="23"/>
  <c r="I1" i="23"/>
  <c r="H1" i="23"/>
  <c r="G1" i="23"/>
  <c r="F1" i="23"/>
  <c r="E1" i="23"/>
  <c r="D1" i="23"/>
  <c r="C1" i="23"/>
  <c r="B1" i="23"/>
  <c r="AK7" i="17"/>
  <c r="AK8" i="17" s="1"/>
  <c r="AK9" i="17" s="1"/>
  <c r="AK10" i="17" s="1"/>
  <c r="AK11" i="17" s="1"/>
  <c r="AK12" i="17" s="1"/>
  <c r="AK13" i="17" s="1"/>
  <c r="AK14" i="17" s="1"/>
  <c r="AK15" i="17" s="1"/>
  <c r="AK16" i="17" s="1"/>
  <c r="AK17" i="17" s="1"/>
  <c r="AK18" i="17" s="1"/>
  <c r="AK19" i="17" s="1"/>
  <c r="AK20" i="17" s="1"/>
  <c r="AK21" i="17" s="1"/>
  <c r="AK22" i="17" s="1"/>
  <c r="AK23" i="17" s="1"/>
  <c r="AK24" i="17" s="1"/>
  <c r="AK25" i="17" s="1"/>
  <c r="AK26" i="17" s="1"/>
  <c r="AK27" i="17" s="1"/>
  <c r="AK28" i="17" s="1"/>
  <c r="AK29" i="17" s="1"/>
  <c r="AK30" i="17" s="1"/>
  <c r="AK31" i="17" s="1"/>
  <c r="AK32" i="17" s="1"/>
  <c r="AK33" i="17" s="1"/>
  <c r="AK34" i="17" s="1"/>
  <c r="AK35" i="17" s="1"/>
  <c r="AK36" i="17" s="1"/>
  <c r="AK37" i="17" s="1"/>
  <c r="AK38" i="17" s="1"/>
  <c r="AK39" i="17" s="1"/>
  <c r="AK40" i="17" s="1"/>
  <c r="AK41" i="17" s="1"/>
  <c r="AK42" i="17" s="1"/>
  <c r="AK43" i="17" s="1"/>
  <c r="AK44" i="17" s="1"/>
  <c r="AK45" i="17" s="1"/>
  <c r="AK46" i="17" s="1"/>
  <c r="AK47" i="17" s="1"/>
  <c r="AK48" i="17" s="1"/>
  <c r="AK49" i="17" s="1"/>
  <c r="AK50" i="17" s="1"/>
  <c r="AK51" i="17" s="1"/>
  <c r="AK52" i="17" s="1"/>
  <c r="AK53" i="17" s="1"/>
  <c r="AK54" i="17" s="1"/>
  <c r="AK55" i="17" s="1"/>
  <c r="AK56" i="17" s="1"/>
  <c r="AK57" i="17" s="1"/>
  <c r="AK58" i="17" s="1"/>
  <c r="AK59" i="17" s="1"/>
  <c r="AK60" i="17" s="1"/>
  <c r="AK61" i="17" s="1"/>
  <c r="AK62" i="17" s="1"/>
  <c r="AK63" i="17" s="1"/>
  <c r="AK64" i="17" s="1"/>
  <c r="AK65" i="17" s="1"/>
  <c r="AK66" i="17" s="1"/>
  <c r="AK67" i="17" s="1"/>
  <c r="AK68" i="17" s="1"/>
  <c r="AK69" i="17" s="1"/>
  <c r="AK70" i="17" s="1"/>
  <c r="AK71" i="17" s="1"/>
  <c r="AK72" i="17" s="1"/>
  <c r="AK73" i="17" s="1"/>
  <c r="AK74" i="17" s="1"/>
  <c r="AK75" i="17" s="1"/>
  <c r="AK76" i="17" s="1"/>
  <c r="AK77" i="17" s="1"/>
  <c r="AK78" i="17" s="1"/>
  <c r="AK79" i="17" s="1"/>
  <c r="AK80" i="17" s="1"/>
  <c r="AK81" i="17" s="1"/>
  <c r="AK82" i="17" s="1"/>
  <c r="AK83" i="17" s="1"/>
  <c r="AK84" i="17" s="1"/>
  <c r="AK85" i="17" s="1"/>
  <c r="AK86" i="17" s="1"/>
  <c r="AK87" i="17" s="1"/>
  <c r="AK88" i="17" s="1"/>
  <c r="AK89" i="17" s="1"/>
  <c r="AK90" i="17" s="1"/>
  <c r="BG3" i="14"/>
  <c r="BF3" i="14"/>
  <c r="BE3" i="14"/>
  <c r="BD3" i="14"/>
  <c r="BC3" i="14"/>
  <c r="BB3" i="14"/>
  <c r="BA3" i="14"/>
  <c r="AZ3" i="14"/>
  <c r="AY3" i="14"/>
  <c r="AX3" i="14"/>
  <c r="AW3" i="14"/>
  <c r="AV3" i="14"/>
  <c r="AU3" i="14"/>
  <c r="AT3" i="14"/>
  <c r="AS3" i="14"/>
  <c r="AR3" i="14"/>
  <c r="AQ3" i="14"/>
  <c r="AP3" i="14"/>
  <c r="AO3" i="14"/>
  <c r="AN3" i="14"/>
  <c r="AM3" i="14"/>
  <c r="AL3" i="14"/>
  <c r="AK3" i="14"/>
  <c r="AJ3" i="14"/>
  <c r="AI3" i="14"/>
  <c r="AH3" i="14"/>
  <c r="AG3" i="14"/>
  <c r="AF3" i="14"/>
  <c r="AE3" i="14"/>
  <c r="AD3" i="14"/>
  <c r="AC3" i="14"/>
  <c r="AB3" i="14"/>
  <c r="AA3" i="14"/>
  <c r="Z3" i="14"/>
  <c r="Y3" i="14"/>
  <c r="X3" i="14"/>
  <c r="W3" i="14"/>
  <c r="V3" i="14"/>
  <c r="U3" i="14"/>
  <c r="T3" i="14"/>
  <c r="S3" i="14"/>
  <c r="R3" i="14"/>
  <c r="Q3" i="14"/>
  <c r="P3" i="14"/>
  <c r="O3" i="14"/>
  <c r="N3" i="14"/>
  <c r="M3" i="14"/>
  <c r="L3" i="14"/>
  <c r="K3" i="14"/>
  <c r="J3" i="14"/>
  <c r="I3" i="14"/>
  <c r="H3" i="14"/>
  <c r="G3" i="14"/>
  <c r="F3" i="14"/>
  <c r="E3" i="14"/>
  <c r="D3" i="14"/>
  <c r="C3" i="14"/>
  <c r="B3" i="14"/>
  <c r="BG2" i="14"/>
  <c r="BF2" i="14"/>
  <c r="BE2" i="14"/>
  <c r="BD2" i="14"/>
  <c r="BC2" i="14"/>
  <c r="BB2" i="14"/>
  <c r="BA2" i="14"/>
  <c r="AZ2" i="14"/>
  <c r="AY2" i="14"/>
  <c r="AX2" i="14"/>
  <c r="AW2" i="14"/>
  <c r="AV2" i="14"/>
  <c r="AU2" i="14"/>
  <c r="AT2" i="14"/>
  <c r="AS2" i="14"/>
  <c r="AR2" i="14"/>
  <c r="AQ2" i="14"/>
  <c r="AP2" i="14"/>
  <c r="AO2" i="14"/>
  <c r="AN2" i="14"/>
  <c r="AM2" i="14"/>
  <c r="AL2" i="14"/>
  <c r="AK2" i="14"/>
  <c r="AJ2" i="14"/>
  <c r="AI2" i="14"/>
  <c r="AH2" i="14"/>
  <c r="AG2" i="14"/>
  <c r="AF2" i="14"/>
  <c r="AE2" i="14"/>
  <c r="AD2" i="14"/>
  <c r="AC2" i="14"/>
  <c r="AB2" i="14"/>
  <c r="AA2" i="14"/>
  <c r="Z2" i="14"/>
  <c r="Y2" i="14"/>
  <c r="X2" i="14"/>
  <c r="W2" i="14"/>
  <c r="V2" i="14"/>
  <c r="U2" i="14"/>
  <c r="T2" i="14"/>
  <c r="S2" i="14"/>
  <c r="R2" i="14"/>
  <c r="Q2" i="14"/>
  <c r="P2" i="14"/>
  <c r="O2" i="14"/>
  <c r="N2" i="14"/>
  <c r="M2" i="14"/>
  <c r="L2" i="14"/>
  <c r="K2" i="14"/>
  <c r="J2" i="14"/>
  <c r="I2" i="14"/>
  <c r="H2" i="14"/>
  <c r="G2" i="14"/>
  <c r="F2" i="14"/>
  <c r="E2" i="14"/>
  <c r="D2" i="14"/>
  <c r="C2" i="14"/>
  <c r="B2" i="14"/>
  <c r="BG1" i="14"/>
  <c r="BF1" i="14"/>
  <c r="BE1" i="14"/>
  <c r="BD1" i="14"/>
  <c r="BC1" i="14"/>
  <c r="BB1" i="14"/>
  <c r="BA1" i="14"/>
  <c r="AZ1" i="14"/>
  <c r="AY1" i="14"/>
  <c r="AX1" i="14"/>
  <c r="AW1" i="14"/>
  <c r="AV1" i="14"/>
  <c r="AU1" i="14"/>
  <c r="AT1" i="14"/>
  <c r="AS1" i="14"/>
  <c r="AR1" i="14"/>
  <c r="AQ1" i="14"/>
  <c r="AP1" i="14"/>
  <c r="AO1" i="14"/>
  <c r="AN1" i="14"/>
  <c r="AM1" i="14"/>
  <c r="AL1" i="14"/>
  <c r="AK1" i="14"/>
  <c r="AJ1" i="14"/>
  <c r="AI1" i="14"/>
  <c r="AH1" i="14"/>
  <c r="AG1" i="14"/>
  <c r="AF1" i="14"/>
  <c r="AE1" i="14"/>
  <c r="AD1" i="14"/>
  <c r="AC1" i="14"/>
  <c r="AB1" i="14"/>
  <c r="AA1" i="14"/>
  <c r="Z1" i="14"/>
  <c r="Y1" i="14"/>
  <c r="X1" i="14"/>
  <c r="W1" i="14"/>
  <c r="V1" i="14"/>
  <c r="U1" i="14"/>
  <c r="T1" i="14"/>
  <c r="S1" i="14"/>
  <c r="R1" i="14"/>
  <c r="Q1" i="14"/>
  <c r="P1" i="14"/>
  <c r="O1" i="14"/>
  <c r="N1" i="14"/>
  <c r="M1" i="14"/>
  <c r="L1" i="14"/>
  <c r="K1" i="14"/>
  <c r="J1" i="14"/>
  <c r="I1" i="14"/>
  <c r="H1" i="14"/>
  <c r="G1" i="14"/>
  <c r="F1" i="14"/>
  <c r="E1" i="14"/>
  <c r="D1" i="14"/>
  <c r="C1" i="14"/>
  <c r="B1" i="14"/>
  <c r="AK91" i="17" l="1"/>
  <c r="G5" i="18"/>
  <c r="AK92" i="17"/>
  <c r="AL91" i="17"/>
  <c r="BG3" i="13"/>
  <c r="BF3" i="13"/>
  <c r="BE3" i="13"/>
  <c r="BD3" i="13"/>
  <c r="BC3" i="13"/>
  <c r="BB3" i="13"/>
  <c r="BA3" i="13"/>
  <c r="AZ3" i="13"/>
  <c r="AY3" i="13"/>
  <c r="AX3" i="13"/>
  <c r="AW3" i="13"/>
  <c r="AV3" i="13"/>
  <c r="AU3" i="13"/>
  <c r="AT3" i="13"/>
  <c r="AS3" i="13"/>
  <c r="AR3" i="13"/>
  <c r="AQ3" i="13"/>
  <c r="AP3" i="13"/>
  <c r="AO3" i="13"/>
  <c r="AN3" i="13"/>
  <c r="AM3" i="13"/>
  <c r="AL3" i="13"/>
  <c r="AK3" i="13"/>
  <c r="AJ3" i="13"/>
  <c r="AI3" i="13"/>
  <c r="AH3" i="13"/>
  <c r="AG3" i="13"/>
  <c r="AF3" i="13"/>
  <c r="AE3" i="13"/>
  <c r="AD3" i="13"/>
  <c r="AC3" i="13"/>
  <c r="AB3" i="13"/>
  <c r="AA3" i="13"/>
  <c r="Z3" i="13"/>
  <c r="Y3" i="13"/>
  <c r="X3" i="13"/>
  <c r="W3" i="13"/>
  <c r="V3" i="13"/>
  <c r="U3" i="13"/>
  <c r="T3" i="13"/>
  <c r="S3" i="13"/>
  <c r="R3" i="13"/>
  <c r="Q3" i="13"/>
  <c r="P3" i="13"/>
  <c r="O3" i="13"/>
  <c r="N3" i="13"/>
  <c r="M3" i="13"/>
  <c r="L3" i="13"/>
  <c r="K3" i="13"/>
  <c r="J3" i="13"/>
  <c r="I3" i="13"/>
  <c r="H3" i="13"/>
  <c r="G3" i="13"/>
  <c r="F3" i="13"/>
  <c r="E3" i="13"/>
  <c r="D3" i="13"/>
  <c r="C3" i="13"/>
  <c r="B3" i="13"/>
  <c r="BG2" i="13"/>
  <c r="BF2" i="13"/>
  <c r="BE2" i="13"/>
  <c r="BD2" i="13"/>
  <c r="BC2" i="13"/>
  <c r="BB2" i="13"/>
  <c r="BA2" i="13"/>
  <c r="AZ2" i="13"/>
  <c r="AY2" i="13"/>
  <c r="AX2" i="13"/>
  <c r="AW2" i="13"/>
  <c r="AV2" i="13"/>
  <c r="AU2" i="13"/>
  <c r="AT2" i="13"/>
  <c r="AS2" i="13"/>
  <c r="AR2" i="13"/>
  <c r="AQ2" i="13"/>
  <c r="AP2" i="13"/>
  <c r="AO2" i="13"/>
  <c r="AN2" i="13"/>
  <c r="AM2" i="13"/>
  <c r="AL2" i="13"/>
  <c r="AK2" i="13"/>
  <c r="AJ2" i="13"/>
  <c r="AI2" i="13"/>
  <c r="AH2" i="13"/>
  <c r="AG2" i="13"/>
  <c r="AF2" i="13"/>
  <c r="AE2" i="13"/>
  <c r="AD2" i="13"/>
  <c r="AC2" i="13"/>
  <c r="AB2" i="13"/>
  <c r="AA2" i="13"/>
  <c r="Z2" i="13"/>
  <c r="Y2" i="13"/>
  <c r="X2" i="13"/>
  <c r="W2" i="13"/>
  <c r="V2" i="13"/>
  <c r="U2" i="13"/>
  <c r="T2" i="13"/>
  <c r="S2" i="13"/>
  <c r="R2" i="13"/>
  <c r="Q2" i="13"/>
  <c r="P2" i="13"/>
  <c r="O2" i="13"/>
  <c r="N2" i="13"/>
  <c r="M2" i="13"/>
  <c r="L2" i="13"/>
  <c r="K2" i="13"/>
  <c r="J2" i="13"/>
  <c r="I2" i="13"/>
  <c r="H2" i="13"/>
  <c r="G2" i="13"/>
  <c r="F2" i="13"/>
  <c r="E2" i="13"/>
  <c r="D2" i="13"/>
  <c r="C2" i="13"/>
  <c r="B2" i="13"/>
  <c r="BG1" i="13"/>
  <c r="BF1" i="13"/>
  <c r="BE1" i="13"/>
  <c r="BD1" i="13"/>
  <c r="BC1" i="13"/>
  <c r="BB1" i="13"/>
  <c r="BA1" i="13"/>
  <c r="AZ1" i="13"/>
  <c r="AY1" i="13"/>
  <c r="AX1" i="13"/>
  <c r="AW1" i="13"/>
  <c r="AV1" i="13"/>
  <c r="AU1" i="13"/>
  <c r="AT1" i="13"/>
  <c r="AS1" i="13"/>
  <c r="AR1" i="13"/>
  <c r="AQ1" i="13"/>
  <c r="AP1" i="13"/>
  <c r="AO1" i="13"/>
  <c r="AN1" i="13"/>
  <c r="AM1" i="13"/>
  <c r="AL1" i="13"/>
  <c r="AK1" i="13"/>
  <c r="AJ1" i="13"/>
  <c r="AI1" i="13"/>
  <c r="AH1" i="13"/>
  <c r="AG1" i="13"/>
  <c r="AF1" i="13"/>
  <c r="AE1" i="13"/>
  <c r="AD1" i="13"/>
  <c r="AC1" i="13"/>
  <c r="AB1" i="13"/>
  <c r="AA1" i="13"/>
  <c r="Z1" i="13"/>
  <c r="Y1" i="13"/>
  <c r="X1" i="13"/>
  <c r="W1" i="13"/>
  <c r="V1" i="13"/>
  <c r="U1" i="13"/>
  <c r="T1" i="13"/>
  <c r="S1" i="13"/>
  <c r="R1" i="13"/>
  <c r="Q1" i="13"/>
  <c r="P1" i="13"/>
  <c r="O1" i="13"/>
  <c r="N1" i="13"/>
  <c r="M1" i="13"/>
  <c r="L1" i="13"/>
  <c r="K1" i="13"/>
  <c r="J1" i="13"/>
  <c r="I1" i="13"/>
  <c r="H1" i="13"/>
  <c r="G1" i="13"/>
  <c r="F1" i="13"/>
  <c r="E1" i="13"/>
  <c r="D1" i="13"/>
  <c r="C1" i="13"/>
  <c r="B1" i="13"/>
  <c r="BG3" i="11"/>
  <c r="BF3" i="11"/>
  <c r="BE3" i="11"/>
  <c r="BD3" i="11"/>
  <c r="BC3" i="11"/>
  <c r="BB3" i="11"/>
  <c r="BA3" i="11"/>
  <c r="AZ3" i="11"/>
  <c r="AY3" i="11"/>
  <c r="AX3" i="11"/>
  <c r="AW3" i="11"/>
  <c r="AV3" i="11"/>
  <c r="AU3" i="11"/>
  <c r="AT3" i="11"/>
  <c r="AS3" i="11"/>
  <c r="AR3" i="11"/>
  <c r="AQ3" i="11"/>
  <c r="AP3" i="11"/>
  <c r="AO3" i="11"/>
  <c r="AN3" i="11"/>
  <c r="AM3" i="11"/>
  <c r="AL3" i="11"/>
  <c r="AK3" i="11"/>
  <c r="AJ3" i="11"/>
  <c r="AI3" i="11"/>
  <c r="AH3" i="11"/>
  <c r="AG3" i="11"/>
  <c r="AF3" i="11"/>
  <c r="AE3" i="11"/>
  <c r="AD3" i="11"/>
  <c r="AC3" i="11"/>
  <c r="AB3" i="11"/>
  <c r="AA3" i="11"/>
  <c r="Z3" i="11"/>
  <c r="Y3" i="11"/>
  <c r="X3" i="11"/>
  <c r="W3" i="11"/>
  <c r="V3" i="11"/>
  <c r="U3" i="11"/>
  <c r="T3" i="11"/>
  <c r="S3" i="11"/>
  <c r="R3" i="11"/>
  <c r="Q3" i="11"/>
  <c r="P3" i="11"/>
  <c r="O3" i="11"/>
  <c r="N3" i="11"/>
  <c r="M3" i="11"/>
  <c r="L3" i="11"/>
  <c r="K3" i="11"/>
  <c r="J3" i="11"/>
  <c r="I3" i="11"/>
  <c r="H3" i="11"/>
  <c r="G3" i="11"/>
  <c r="F3" i="11"/>
  <c r="E3" i="11"/>
  <c r="D3" i="11"/>
  <c r="C3" i="11"/>
  <c r="B3" i="11"/>
  <c r="BG2" i="11"/>
  <c r="BF2" i="11"/>
  <c r="BE2" i="11"/>
  <c r="BD2" i="11"/>
  <c r="BC2" i="11"/>
  <c r="BB2"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D2" i="11"/>
  <c r="C2" i="11"/>
  <c r="B2" i="11"/>
  <c r="BG1" i="11"/>
  <c r="BF1" i="11"/>
  <c r="BE1" i="11"/>
  <c r="BD1" i="11"/>
  <c r="BC1" i="11"/>
  <c r="BB1" i="11"/>
  <c r="BA1" i="11"/>
  <c r="AZ1" i="11"/>
  <c r="AY1" i="11"/>
  <c r="AX1" i="11"/>
  <c r="AW1" i="11"/>
  <c r="AV1" i="11"/>
  <c r="AU1" i="11"/>
  <c r="AT1" i="11"/>
  <c r="AS1" i="11"/>
  <c r="AR1" i="11"/>
  <c r="AQ1" i="11"/>
  <c r="AP1" i="11"/>
  <c r="AO1" i="11"/>
  <c r="AN1" i="11"/>
  <c r="AM1" i="11"/>
  <c r="AL1" i="11"/>
  <c r="AK1" i="11"/>
  <c r="AJ1" i="11"/>
  <c r="AI1" i="11"/>
  <c r="AH1" i="11"/>
  <c r="AG1" i="11"/>
  <c r="AF1" i="11"/>
  <c r="AE1" i="11"/>
  <c r="AD1" i="11"/>
  <c r="AC1" i="11"/>
  <c r="AB1" i="11"/>
  <c r="AA1" i="11"/>
  <c r="Z1" i="11"/>
  <c r="Y1" i="11"/>
  <c r="X1" i="11"/>
  <c r="W1" i="11"/>
  <c r="V1" i="11"/>
  <c r="U1" i="11"/>
  <c r="T1" i="11"/>
  <c r="S1" i="11"/>
  <c r="R1" i="11"/>
  <c r="Q1" i="11"/>
  <c r="P1" i="11"/>
  <c r="O1" i="11"/>
  <c r="N1" i="11"/>
  <c r="M1" i="11"/>
  <c r="L1" i="11"/>
  <c r="K1" i="11"/>
  <c r="J1" i="11"/>
  <c r="I1" i="11"/>
  <c r="H1" i="11"/>
  <c r="G1" i="11"/>
  <c r="F1" i="11"/>
  <c r="E1" i="11"/>
  <c r="D1" i="11"/>
  <c r="C1" i="11"/>
  <c r="B1" i="11"/>
  <c r="IY6" i="10"/>
  <c r="IX6" i="10"/>
  <c r="IW6" i="10"/>
  <c r="IT6" i="10"/>
  <c r="IS6" i="10"/>
  <c r="IR6" i="10"/>
  <c r="IQ6" i="10"/>
  <c r="IP6" i="10"/>
  <c r="IN6" i="10"/>
  <c r="IJ6" i="10"/>
  <c r="IH6" i="10"/>
  <c r="IG6" i="10"/>
  <c r="IF6" i="10"/>
  <c r="IE6" i="10"/>
  <c r="ID6" i="10"/>
  <c r="IC6" i="10"/>
  <c r="IB6" i="10"/>
  <c r="IA6" i="10"/>
  <c r="HZ6" i="10"/>
  <c r="HY6" i="10"/>
  <c r="HX6" i="10"/>
  <c r="HW6" i="10"/>
  <c r="HV6" i="10"/>
  <c r="HM6" i="10"/>
  <c r="GW6" i="10"/>
  <c r="GP6" i="10"/>
  <c r="GO6" i="10"/>
  <c r="GN6" i="10"/>
  <c r="GK6" i="10"/>
  <c r="GJ6" i="10"/>
  <c r="GI6" i="10"/>
  <c r="GH6" i="10"/>
  <c r="GA6" i="10"/>
  <c r="FY6" i="10"/>
  <c r="FX6" i="10"/>
  <c r="FW6" i="10"/>
  <c r="FV6" i="10"/>
  <c r="FU6" i="10"/>
  <c r="FT6" i="10"/>
  <c r="FS6" i="10"/>
  <c r="FR6" i="10"/>
  <c r="FQ6" i="10"/>
  <c r="FP6" i="10"/>
  <c r="FO6" i="10"/>
  <c r="FN6" i="10"/>
  <c r="FM6" i="10"/>
  <c r="FD6" i="10"/>
  <c r="EN6" i="10"/>
  <c r="EG6" i="10"/>
  <c r="EF6" i="10"/>
  <c r="EE6" i="10"/>
  <c r="EB6" i="10"/>
  <c r="EA6" i="10"/>
  <c r="DZ6" i="10"/>
  <c r="DY6" i="10"/>
  <c r="DX6" i="10"/>
  <c r="DV6" i="10"/>
  <c r="DR6" i="10"/>
  <c r="DP6" i="10"/>
  <c r="DO6" i="10"/>
  <c r="DN6" i="10"/>
  <c r="DM6" i="10"/>
  <c r="DL6" i="10"/>
  <c r="DK6" i="10"/>
  <c r="DJ6" i="10"/>
  <c r="DI6" i="10"/>
  <c r="DH6" i="10"/>
  <c r="DG6" i="10"/>
  <c r="DF6" i="10"/>
  <c r="DE6" i="10"/>
  <c r="DD6" i="10"/>
  <c r="CU6" i="10"/>
  <c r="CE6" i="10"/>
  <c r="IY5" i="10"/>
  <c r="IX5" i="10"/>
  <c r="IW5" i="10"/>
  <c r="IT5" i="10"/>
  <c r="IS5" i="10"/>
  <c r="IR5" i="10"/>
  <c r="IQ5" i="10"/>
  <c r="IP5" i="10"/>
  <c r="IN5" i="10"/>
  <c r="IJ5" i="10"/>
  <c r="IH5" i="10"/>
  <c r="IG5" i="10"/>
  <c r="IF5" i="10"/>
  <c r="IE5" i="10"/>
  <c r="ID5" i="10"/>
  <c r="IC5" i="10"/>
  <c r="IB5" i="10"/>
  <c r="IA5" i="10"/>
  <c r="HZ5" i="10"/>
  <c r="HY5" i="10"/>
  <c r="HX5" i="10"/>
  <c r="HW5" i="10"/>
  <c r="HV5" i="10"/>
  <c r="HM5" i="10"/>
  <c r="GW5" i="10"/>
  <c r="GP5" i="10"/>
  <c r="GO5" i="10"/>
  <c r="GN5" i="10"/>
  <c r="GK5" i="10"/>
  <c r="GJ5" i="10"/>
  <c r="GI5" i="10"/>
  <c r="GH5" i="10"/>
  <c r="GA5" i="10"/>
  <c r="FY5" i="10"/>
  <c r="FX5" i="10"/>
  <c r="FW5" i="10"/>
  <c r="FV5" i="10"/>
  <c r="FU5" i="10"/>
  <c r="FT5" i="10"/>
  <c r="FS5" i="10"/>
  <c r="FR5" i="10"/>
  <c r="FQ5" i="10"/>
  <c r="FP5" i="10"/>
  <c r="FO5" i="10"/>
  <c r="FN5" i="10"/>
  <c r="FM5" i="10"/>
  <c r="FD5" i="10"/>
  <c r="EN5" i="10"/>
  <c r="EG5" i="10"/>
  <c r="EF5" i="10"/>
  <c r="EE5" i="10"/>
  <c r="EB5" i="10"/>
  <c r="EA5" i="10"/>
  <c r="DZ5" i="10"/>
  <c r="DY5" i="10"/>
  <c r="DX5" i="10"/>
  <c r="DV5" i="10"/>
  <c r="DR5" i="10"/>
  <c r="DP5" i="10"/>
  <c r="DO5" i="10"/>
  <c r="DN5" i="10"/>
  <c r="DM5" i="10"/>
  <c r="DL5" i="10"/>
  <c r="DK5" i="10"/>
  <c r="DJ5" i="10"/>
  <c r="DI5" i="10"/>
  <c r="DH5" i="10"/>
  <c r="DG5" i="10"/>
  <c r="DF5" i="10"/>
  <c r="DE5" i="10"/>
  <c r="DD5" i="10"/>
  <c r="CU5" i="10"/>
  <c r="CE5" i="10"/>
  <c r="IY4" i="10"/>
  <c r="IX4" i="10"/>
  <c r="IW4" i="10"/>
  <c r="IT4" i="10"/>
  <c r="IS4" i="10"/>
  <c r="IR4" i="10"/>
  <c r="IQ4" i="10"/>
  <c r="IP4" i="10"/>
  <c r="IN4" i="10"/>
  <c r="IJ4" i="10"/>
  <c r="IH4" i="10"/>
  <c r="IG4" i="10"/>
  <c r="IF4" i="10"/>
  <c r="IE4" i="10"/>
  <c r="ID4" i="10"/>
  <c r="IC4" i="10"/>
  <c r="IB4" i="10"/>
  <c r="IA4" i="10"/>
  <c r="HZ4" i="10"/>
  <c r="HY4" i="10"/>
  <c r="HX4" i="10"/>
  <c r="HW4" i="10"/>
  <c r="HV4" i="10"/>
  <c r="HM4" i="10"/>
  <c r="GW4" i="10"/>
  <c r="GP4" i="10"/>
  <c r="GO4" i="10"/>
  <c r="GN4" i="10"/>
  <c r="GK4" i="10"/>
  <c r="GJ4" i="10"/>
  <c r="GI4" i="10"/>
  <c r="GH4" i="10"/>
  <c r="GA4" i="10"/>
  <c r="FY4" i="10"/>
  <c r="FX4" i="10"/>
  <c r="FW4" i="10"/>
  <c r="FV4" i="10"/>
  <c r="FU4" i="10"/>
  <c r="FT4" i="10"/>
  <c r="FS4" i="10"/>
  <c r="FR4" i="10"/>
  <c r="FQ4" i="10"/>
  <c r="FP4" i="10"/>
  <c r="FO4" i="10"/>
  <c r="FN4" i="10"/>
  <c r="FM4" i="10"/>
  <c r="FD4" i="10"/>
  <c r="EN4" i="10"/>
  <c r="EG4" i="10"/>
  <c r="EF4" i="10"/>
  <c r="EE4" i="10"/>
  <c r="EB4" i="10"/>
  <c r="EA4" i="10"/>
  <c r="DZ4" i="10"/>
  <c r="DY4" i="10"/>
  <c r="DX4" i="10"/>
  <c r="DV4" i="10"/>
  <c r="DR4" i="10"/>
  <c r="DP4" i="10"/>
  <c r="DO4" i="10"/>
  <c r="DN4" i="10"/>
  <c r="DM4" i="10"/>
  <c r="DL4" i="10"/>
  <c r="DK4" i="10"/>
  <c r="DJ4" i="10"/>
  <c r="DI4" i="10"/>
  <c r="DH4" i="10"/>
  <c r="DG4" i="10"/>
  <c r="DF4" i="10"/>
  <c r="DE4" i="10"/>
  <c r="DD4" i="10"/>
  <c r="CU4" i="10"/>
  <c r="CE4" i="10"/>
  <c r="U100" i="10"/>
  <c r="V100" i="10"/>
  <c r="W100" i="10"/>
  <c r="X100" i="10"/>
  <c r="Y100" i="10"/>
  <c r="AA100" i="10"/>
  <c r="AB100" i="10"/>
  <c r="AC100" i="10"/>
  <c r="AD100" i="10"/>
  <c r="AE100" i="10"/>
  <c r="AF100" i="10"/>
  <c r="AG100" i="10"/>
  <c r="AH100" i="10"/>
  <c r="AK100" i="10"/>
  <c r="AL100" i="10"/>
  <c r="AM100" i="10"/>
  <c r="AN100" i="10"/>
  <c r="AO100" i="10"/>
  <c r="AP100" i="10"/>
  <c r="BK100" i="10"/>
  <c r="BL100" i="10"/>
  <c r="BM100" i="10"/>
  <c r="GE100" i="10" s="1"/>
  <c r="GG100" i="10" s="1"/>
  <c r="BN100" i="10"/>
  <c r="BT100" i="10"/>
  <c r="BY100" i="10"/>
  <c r="CD100" i="10"/>
  <c r="CF100" i="10"/>
  <c r="CG100" i="10"/>
  <c r="CH100" i="10"/>
  <c r="CJ100" i="10"/>
  <c r="CK100" i="10"/>
  <c r="CL100" i="10"/>
  <c r="CM100" i="10"/>
  <c r="CN100" i="10"/>
  <c r="CO100" i="10"/>
  <c r="CP100" i="10"/>
  <c r="CQ100" i="10"/>
  <c r="CT100" i="10"/>
  <c r="CV100" i="10"/>
  <c r="CW100" i="10"/>
  <c r="CX100" i="10"/>
  <c r="CY100" i="10"/>
  <c r="DT100" i="10"/>
  <c r="DU100" i="10"/>
  <c r="DW100" i="10"/>
  <c r="EC100" i="10"/>
  <c r="EM100" i="10"/>
  <c r="EO100" i="10"/>
  <c r="EP100" i="10"/>
  <c r="EQ100" i="10"/>
  <c r="ES100" i="10"/>
  <c r="ET100" i="10"/>
  <c r="EU100" i="10"/>
  <c r="EV100" i="10"/>
  <c r="EW100" i="10"/>
  <c r="EX100" i="10"/>
  <c r="EY100" i="10"/>
  <c r="EZ100" i="10"/>
  <c r="FC100" i="10"/>
  <c r="FE100" i="10"/>
  <c r="FF100" i="10"/>
  <c r="FG100" i="10"/>
  <c r="FH100" i="10"/>
  <c r="GC100" i="10"/>
  <c r="GD100" i="10"/>
  <c r="GF100" i="10"/>
  <c r="GL100" i="10"/>
  <c r="GV100" i="10"/>
  <c r="GX100" i="10"/>
  <c r="GY100" i="10"/>
  <c r="GZ100" i="10"/>
  <c r="HB100" i="10"/>
  <c r="HC100" i="10"/>
  <c r="HD100" i="10"/>
  <c r="HE100" i="10"/>
  <c r="HF100" i="10"/>
  <c r="HG100" i="10"/>
  <c r="HH100" i="10"/>
  <c r="HI100" i="10"/>
  <c r="HL100" i="10"/>
  <c r="HN100" i="10"/>
  <c r="HO100" i="10"/>
  <c r="HP100" i="10"/>
  <c r="HQ100" i="10"/>
  <c r="IL100" i="10"/>
  <c r="IM100" i="10"/>
  <c r="IO100" i="10"/>
  <c r="IU100" i="10"/>
  <c r="U101" i="10"/>
  <c r="V101" i="10"/>
  <c r="W101" i="10"/>
  <c r="X101" i="10"/>
  <c r="Y101" i="10"/>
  <c r="AA101" i="10"/>
  <c r="AB101" i="10"/>
  <c r="AC101" i="10"/>
  <c r="AD101" i="10"/>
  <c r="AE101" i="10"/>
  <c r="AF101" i="10"/>
  <c r="AG101" i="10"/>
  <c r="AH101" i="10"/>
  <c r="AK101" i="10"/>
  <c r="AL101" i="10"/>
  <c r="AM101" i="10"/>
  <c r="AN101" i="10"/>
  <c r="AQ101" i="10" s="1"/>
  <c r="AO101" i="10"/>
  <c r="AP101" i="10"/>
  <c r="BK101" i="10"/>
  <c r="BO101" i="10" s="1"/>
  <c r="BL101" i="10"/>
  <c r="BM101" i="10"/>
  <c r="BN101" i="10"/>
  <c r="BT101" i="10"/>
  <c r="BY101" i="10"/>
  <c r="CD101" i="10"/>
  <c r="CF101" i="10"/>
  <c r="CG101" i="10"/>
  <c r="CH101" i="10"/>
  <c r="CJ101" i="10"/>
  <c r="CK101" i="10"/>
  <c r="CL101" i="10"/>
  <c r="CM101" i="10"/>
  <c r="CN101" i="10"/>
  <c r="CO101" i="10"/>
  <c r="CP101" i="10"/>
  <c r="CQ101" i="10"/>
  <c r="CT101" i="10"/>
  <c r="CV101" i="10"/>
  <c r="CW101" i="10"/>
  <c r="CX101" i="10"/>
  <c r="CY101" i="10"/>
  <c r="DT101" i="10"/>
  <c r="DU101" i="10"/>
  <c r="DW101" i="10"/>
  <c r="EC101" i="10"/>
  <c r="EM101" i="10"/>
  <c r="EO101" i="10"/>
  <c r="EP101" i="10"/>
  <c r="EQ101" i="10"/>
  <c r="ES101" i="10"/>
  <c r="ET101" i="10"/>
  <c r="EU101" i="10"/>
  <c r="EV101" i="10"/>
  <c r="EW101" i="10"/>
  <c r="EX101" i="10"/>
  <c r="EY101" i="10"/>
  <c r="EZ101" i="10"/>
  <c r="FC101" i="10"/>
  <c r="FE101" i="10"/>
  <c r="FI101" i="10" s="1"/>
  <c r="FF101" i="10"/>
  <c r="FG101" i="10"/>
  <c r="FH101" i="10"/>
  <c r="GC101" i="10"/>
  <c r="GD101" i="10"/>
  <c r="GE101" i="10"/>
  <c r="GF101" i="10"/>
  <c r="GL101" i="10"/>
  <c r="GV101" i="10"/>
  <c r="GX101" i="10"/>
  <c r="GY101" i="10"/>
  <c r="GZ101" i="10"/>
  <c r="HB101" i="10"/>
  <c r="HC101" i="10"/>
  <c r="HD101" i="10"/>
  <c r="HE101" i="10"/>
  <c r="HF101" i="10"/>
  <c r="HG101" i="10"/>
  <c r="HH101" i="10"/>
  <c r="HI101" i="10"/>
  <c r="HL101" i="10"/>
  <c r="HN101" i="10"/>
  <c r="HO101" i="10"/>
  <c r="HP101" i="10"/>
  <c r="HQ101" i="10"/>
  <c r="HR101" i="10"/>
  <c r="IL101" i="10"/>
  <c r="IM101" i="10"/>
  <c r="IO101" i="10"/>
  <c r="IU101" i="10"/>
  <c r="U102" i="10"/>
  <c r="V102" i="10"/>
  <c r="Z102" i="10" s="1"/>
  <c r="AJ102" i="10" s="1"/>
  <c r="W102" i="10"/>
  <c r="X102" i="10"/>
  <c r="Y102" i="10"/>
  <c r="AA102" i="10"/>
  <c r="AB102" i="10"/>
  <c r="AC102" i="10"/>
  <c r="AD102" i="10"/>
  <c r="AE102" i="10"/>
  <c r="AF102" i="10"/>
  <c r="AG102" i="10"/>
  <c r="AH102" i="10"/>
  <c r="AI102" i="10" s="1"/>
  <c r="AK102" i="10"/>
  <c r="AL102" i="10"/>
  <c r="AM102" i="10"/>
  <c r="AN102" i="10"/>
  <c r="AO102" i="10"/>
  <c r="AP102" i="10"/>
  <c r="BK102" i="10"/>
  <c r="BL102" i="10"/>
  <c r="BM102" i="10"/>
  <c r="BO102" i="10" s="1"/>
  <c r="BN102" i="10"/>
  <c r="BT102" i="10"/>
  <c r="BY102" i="10"/>
  <c r="CD102" i="10"/>
  <c r="CF102" i="10"/>
  <c r="CG102" i="10"/>
  <c r="CH102" i="10"/>
  <c r="CJ102" i="10"/>
  <c r="CK102" i="10"/>
  <c r="CL102" i="10"/>
  <c r="CM102" i="10"/>
  <c r="CN102" i="10"/>
  <c r="CO102" i="10"/>
  <c r="CP102" i="10"/>
  <c r="CQ102" i="10"/>
  <c r="CT102" i="10"/>
  <c r="CV102" i="10"/>
  <c r="CW102" i="10"/>
  <c r="CX102" i="10"/>
  <c r="CY102" i="10"/>
  <c r="DT102" i="10"/>
  <c r="DU102" i="10"/>
  <c r="DW102" i="10"/>
  <c r="EC102" i="10"/>
  <c r="EM102" i="10"/>
  <c r="EO102" i="10"/>
  <c r="EP102" i="10"/>
  <c r="EQ102" i="10"/>
  <c r="ES102" i="10"/>
  <c r="ET102" i="10"/>
  <c r="EU102" i="10"/>
  <c r="EV102" i="10"/>
  <c r="EW102" i="10"/>
  <c r="EX102" i="10"/>
  <c r="EY102" i="10"/>
  <c r="EZ102" i="10"/>
  <c r="FC102" i="10"/>
  <c r="FE102" i="10"/>
  <c r="FF102" i="10"/>
  <c r="FG102" i="10"/>
  <c r="FH102" i="10"/>
  <c r="GC102" i="10"/>
  <c r="GD102" i="10"/>
  <c r="GE102" i="10"/>
  <c r="GG102" i="10" s="1"/>
  <c r="GF102" i="10"/>
  <c r="GL102" i="10"/>
  <c r="GV102" i="10"/>
  <c r="GX102" i="10"/>
  <c r="GY102" i="10"/>
  <c r="GZ102" i="10"/>
  <c r="HB102" i="10"/>
  <c r="HC102" i="10"/>
  <c r="HD102" i="10"/>
  <c r="HE102" i="10"/>
  <c r="HF102" i="10"/>
  <c r="HG102" i="10"/>
  <c r="HH102" i="10"/>
  <c r="HI102" i="10"/>
  <c r="HL102" i="10"/>
  <c r="HN102" i="10"/>
  <c r="HO102" i="10"/>
  <c r="HP102" i="10"/>
  <c r="HQ102" i="10"/>
  <c r="IL102" i="10"/>
  <c r="IM102" i="10"/>
  <c r="IO102" i="10"/>
  <c r="IU102" i="10"/>
  <c r="U103" i="10"/>
  <c r="V103" i="10"/>
  <c r="CI103" i="10" s="1"/>
  <c r="W103" i="10"/>
  <c r="X103" i="10"/>
  <c r="Y103" i="10"/>
  <c r="AA103" i="10"/>
  <c r="AB103" i="10"/>
  <c r="AC103" i="10"/>
  <c r="AD103" i="10"/>
  <c r="AE103" i="10"/>
  <c r="AF103" i="10"/>
  <c r="AG103" i="10"/>
  <c r="AH103" i="10"/>
  <c r="AK103" i="10"/>
  <c r="AL103" i="10"/>
  <c r="AM103" i="10"/>
  <c r="AN103" i="10"/>
  <c r="AO103" i="10"/>
  <c r="AQ103" i="10" s="1"/>
  <c r="AP103" i="10"/>
  <c r="BK103" i="10"/>
  <c r="BL103" i="10"/>
  <c r="BM103" i="10"/>
  <c r="GE103" i="10" s="1"/>
  <c r="BN103" i="10"/>
  <c r="BT103" i="10"/>
  <c r="BY103" i="10"/>
  <c r="CD103" i="10"/>
  <c r="CF103" i="10"/>
  <c r="CG103" i="10"/>
  <c r="CH103" i="10"/>
  <c r="CJ103" i="10"/>
  <c r="CK103" i="10"/>
  <c r="CL103" i="10"/>
  <c r="CM103" i="10"/>
  <c r="CN103" i="10"/>
  <c r="CO103" i="10"/>
  <c r="CP103" i="10"/>
  <c r="CQ103" i="10"/>
  <c r="CT103" i="10"/>
  <c r="CV103" i="10"/>
  <c r="CW103" i="10"/>
  <c r="CX103" i="10"/>
  <c r="CY103" i="10"/>
  <c r="DT103" i="10"/>
  <c r="DU103" i="10"/>
  <c r="DW103" i="10"/>
  <c r="EC103" i="10"/>
  <c r="EM103" i="10"/>
  <c r="EO103" i="10"/>
  <c r="EP103" i="10"/>
  <c r="EQ103" i="10"/>
  <c r="ES103" i="10"/>
  <c r="ET103" i="10"/>
  <c r="EU103" i="10"/>
  <c r="EV103" i="10"/>
  <c r="EW103" i="10"/>
  <c r="EX103" i="10"/>
  <c r="EY103" i="10"/>
  <c r="EZ103" i="10"/>
  <c r="FC103" i="10"/>
  <c r="FE103" i="10"/>
  <c r="FF103" i="10"/>
  <c r="FI103" i="10" s="1"/>
  <c r="FG103" i="10"/>
  <c r="FH103" i="10"/>
  <c r="GC103" i="10"/>
  <c r="GD103" i="10"/>
  <c r="GF103" i="10"/>
  <c r="GL103" i="10"/>
  <c r="GV103" i="10"/>
  <c r="GX103" i="10"/>
  <c r="HA103" i="10" s="1"/>
  <c r="GY103" i="10"/>
  <c r="GZ103" i="10"/>
  <c r="HB103" i="10"/>
  <c r="HC103" i="10"/>
  <c r="HJ103" i="10" s="1"/>
  <c r="HD103" i="10"/>
  <c r="HE103" i="10"/>
  <c r="HF103" i="10"/>
  <c r="HG103" i="10"/>
  <c r="HH103" i="10"/>
  <c r="HI103" i="10"/>
  <c r="HL103" i="10"/>
  <c r="HN103" i="10"/>
  <c r="HO103" i="10"/>
  <c r="HR103" i="10" s="1"/>
  <c r="HP103" i="10"/>
  <c r="HQ103" i="10"/>
  <c r="IL103" i="10"/>
  <c r="IM103" i="10"/>
  <c r="IO103" i="10"/>
  <c r="IU103" i="10"/>
  <c r="U104" i="10"/>
  <c r="V104" i="10"/>
  <c r="W104" i="10"/>
  <c r="X104" i="10"/>
  <c r="Y104" i="10"/>
  <c r="AA104" i="10"/>
  <c r="AB104" i="10"/>
  <c r="AC104" i="10"/>
  <c r="AD104" i="10"/>
  <c r="AE104" i="10"/>
  <c r="AF104" i="10"/>
  <c r="AG104" i="10"/>
  <c r="AH104" i="10"/>
  <c r="AK104" i="10"/>
  <c r="AL104" i="10"/>
  <c r="AM104" i="10"/>
  <c r="AN104" i="10"/>
  <c r="AO104" i="10"/>
  <c r="AP104" i="10"/>
  <c r="BK104" i="10"/>
  <c r="BL104" i="10"/>
  <c r="BM104" i="10"/>
  <c r="BO104" i="10" s="1"/>
  <c r="BN104" i="10"/>
  <c r="BT104" i="10"/>
  <c r="BY104" i="10"/>
  <c r="CD104" i="10"/>
  <c r="CF104" i="10"/>
  <c r="CG104" i="10"/>
  <c r="CH104" i="10"/>
  <c r="CJ104" i="10"/>
  <c r="CK104" i="10"/>
  <c r="CL104" i="10"/>
  <c r="CM104" i="10"/>
  <c r="CN104" i="10"/>
  <c r="CO104" i="10"/>
  <c r="CP104" i="10"/>
  <c r="CQ104" i="10"/>
  <c r="CT104" i="10"/>
  <c r="CV104" i="10"/>
  <c r="CW104" i="10"/>
  <c r="CX104" i="10"/>
  <c r="CY104" i="10"/>
  <c r="CZ104" i="10"/>
  <c r="DT104" i="10"/>
  <c r="DU104" i="10"/>
  <c r="DW104" i="10"/>
  <c r="EC104" i="10"/>
  <c r="EM104" i="10"/>
  <c r="EO104" i="10"/>
  <c r="EP104" i="10"/>
  <c r="EQ104" i="10"/>
  <c r="ES104" i="10"/>
  <c r="ET104" i="10"/>
  <c r="EU104" i="10"/>
  <c r="EV104" i="10"/>
  <c r="EW104" i="10"/>
  <c r="EX104" i="10"/>
  <c r="EY104" i="10"/>
  <c r="EZ104" i="10"/>
  <c r="FC104" i="10"/>
  <c r="FE104" i="10"/>
  <c r="FF104" i="10"/>
  <c r="FI104" i="10" s="1"/>
  <c r="FG104" i="10"/>
  <c r="FH104" i="10"/>
  <c r="GC104" i="10"/>
  <c r="GD104" i="10"/>
  <c r="GF104" i="10"/>
  <c r="GL104" i="10"/>
  <c r="GV104" i="10"/>
  <c r="GX104" i="10"/>
  <c r="GY104" i="10"/>
  <c r="GZ104" i="10"/>
  <c r="HB104" i="10"/>
  <c r="HC104" i="10"/>
  <c r="HD104" i="10"/>
  <c r="HE104" i="10"/>
  <c r="HF104" i="10"/>
  <c r="HG104" i="10"/>
  <c r="HH104" i="10"/>
  <c r="HI104" i="10"/>
  <c r="HL104" i="10"/>
  <c r="HN104" i="10"/>
  <c r="HO104" i="10"/>
  <c r="HP104" i="10"/>
  <c r="HQ104" i="10"/>
  <c r="IL104" i="10"/>
  <c r="IM104" i="10"/>
  <c r="IO104" i="10"/>
  <c r="IU104" i="10"/>
  <c r="U105" i="10"/>
  <c r="V105" i="10"/>
  <c r="CI105" i="10" s="1"/>
  <c r="W105" i="10"/>
  <c r="X105" i="10"/>
  <c r="Y105" i="10"/>
  <c r="AA105" i="10"/>
  <c r="AB105" i="10"/>
  <c r="AC105" i="10"/>
  <c r="AD105" i="10"/>
  <c r="AE105" i="10"/>
  <c r="AF105" i="10"/>
  <c r="AG105" i="10"/>
  <c r="AH105" i="10"/>
  <c r="AK105" i="10"/>
  <c r="AL105" i="10"/>
  <c r="AM105" i="10"/>
  <c r="AN105" i="10"/>
  <c r="AO105" i="10"/>
  <c r="AQ105" i="10" s="1"/>
  <c r="AP105" i="10"/>
  <c r="BK105" i="10"/>
  <c r="BO105" i="10" s="1"/>
  <c r="BL105" i="10"/>
  <c r="BM105" i="10"/>
  <c r="GE105" i="10" s="1"/>
  <c r="BN105" i="10"/>
  <c r="BT105" i="10"/>
  <c r="BY105" i="10"/>
  <c r="CD105" i="10"/>
  <c r="CF105" i="10"/>
  <c r="CG105" i="10"/>
  <c r="CH105" i="10"/>
  <c r="CJ105" i="10"/>
  <c r="CK105" i="10"/>
  <c r="CL105" i="10"/>
  <c r="CM105" i="10"/>
  <c r="CN105" i="10"/>
  <c r="CO105" i="10"/>
  <c r="CP105" i="10"/>
  <c r="CQ105" i="10"/>
  <c r="CT105" i="10"/>
  <c r="CV105" i="10"/>
  <c r="CW105" i="10"/>
  <c r="CX105" i="10"/>
  <c r="CY105" i="10"/>
  <c r="DT105" i="10"/>
  <c r="DU105" i="10"/>
  <c r="DW105" i="10"/>
  <c r="EC105" i="10"/>
  <c r="EM105" i="10"/>
  <c r="EO105" i="10"/>
  <c r="EP105" i="10"/>
  <c r="EQ105" i="10"/>
  <c r="ES105" i="10"/>
  <c r="ET105" i="10"/>
  <c r="EU105" i="10"/>
  <c r="EV105" i="10"/>
  <c r="EW105" i="10"/>
  <c r="EX105" i="10"/>
  <c r="EY105" i="10"/>
  <c r="EZ105" i="10"/>
  <c r="FC105" i="10"/>
  <c r="FE105" i="10"/>
  <c r="FF105" i="10"/>
  <c r="FG105" i="10"/>
  <c r="FH105" i="10"/>
  <c r="GC105" i="10"/>
  <c r="GG105" i="10" s="1"/>
  <c r="GD105" i="10"/>
  <c r="GF105" i="10"/>
  <c r="GL105" i="10"/>
  <c r="GV105" i="10"/>
  <c r="GX105" i="10"/>
  <c r="GY105" i="10"/>
  <c r="GZ105" i="10"/>
  <c r="HB105" i="10"/>
  <c r="HC105" i="10"/>
  <c r="HD105" i="10"/>
  <c r="HE105" i="10"/>
  <c r="HF105" i="10"/>
  <c r="HG105" i="10"/>
  <c r="HH105" i="10"/>
  <c r="HI105" i="10"/>
  <c r="HL105" i="10"/>
  <c r="HN105" i="10"/>
  <c r="HO105" i="10"/>
  <c r="HR105" i="10" s="1"/>
  <c r="HP105" i="10"/>
  <c r="HQ105" i="10"/>
  <c r="HS105" i="10"/>
  <c r="IL105" i="10"/>
  <c r="IM105" i="10"/>
  <c r="IO105" i="10"/>
  <c r="IU105" i="10"/>
  <c r="U106" i="10"/>
  <c r="V106" i="10"/>
  <c r="W106" i="10"/>
  <c r="X106" i="10"/>
  <c r="Y106" i="10"/>
  <c r="AA106" i="10"/>
  <c r="AB106" i="10"/>
  <c r="AC106" i="10"/>
  <c r="AD106" i="10"/>
  <c r="AE106" i="10"/>
  <c r="AF106" i="10"/>
  <c r="AG106" i="10"/>
  <c r="AH106" i="10"/>
  <c r="AK106" i="10"/>
  <c r="AL106" i="10"/>
  <c r="AM106" i="10"/>
  <c r="AN106" i="10"/>
  <c r="AO106" i="10"/>
  <c r="AP106" i="10"/>
  <c r="BK106" i="10"/>
  <c r="BL106" i="10"/>
  <c r="BM106" i="10"/>
  <c r="GE106" i="10" s="1"/>
  <c r="GG106" i="10" s="1"/>
  <c r="BN106" i="10"/>
  <c r="BT106" i="10"/>
  <c r="BY106" i="10"/>
  <c r="CD106" i="10"/>
  <c r="CF106" i="10"/>
  <c r="CG106" i="10"/>
  <c r="CH106" i="10"/>
  <c r="CJ106" i="10"/>
  <c r="CK106" i="10"/>
  <c r="CL106" i="10"/>
  <c r="CM106" i="10"/>
  <c r="CN106" i="10"/>
  <c r="CO106" i="10"/>
  <c r="CP106" i="10"/>
  <c r="CQ106" i="10"/>
  <c r="CT106" i="10"/>
  <c r="CV106" i="10"/>
  <c r="CW106" i="10"/>
  <c r="CX106" i="10"/>
  <c r="CY106" i="10"/>
  <c r="DT106" i="10"/>
  <c r="DU106" i="10"/>
  <c r="DW106" i="10"/>
  <c r="EC106" i="10"/>
  <c r="EM106" i="10"/>
  <c r="EO106" i="10"/>
  <c r="EP106" i="10"/>
  <c r="EQ106" i="10"/>
  <c r="ES106" i="10"/>
  <c r="ET106" i="10"/>
  <c r="EU106" i="10"/>
  <c r="EV106" i="10"/>
  <c r="EW106" i="10"/>
  <c r="EX106" i="10"/>
  <c r="EY106" i="10"/>
  <c r="EZ106" i="10"/>
  <c r="FC106" i="10"/>
  <c r="FE106" i="10"/>
  <c r="FF106" i="10"/>
  <c r="FG106" i="10"/>
  <c r="FH106" i="10"/>
  <c r="GC106" i="10"/>
  <c r="GD106" i="10"/>
  <c r="GF106" i="10"/>
  <c r="GL106" i="10"/>
  <c r="GV106" i="10"/>
  <c r="GX106" i="10"/>
  <c r="GY106" i="10"/>
  <c r="GZ106" i="10"/>
  <c r="HB106" i="10"/>
  <c r="HC106" i="10"/>
  <c r="HJ106" i="10" s="1"/>
  <c r="HD106" i="10"/>
  <c r="HE106" i="10"/>
  <c r="HF106" i="10"/>
  <c r="HG106" i="10"/>
  <c r="HH106" i="10"/>
  <c r="HI106" i="10"/>
  <c r="HL106" i="10"/>
  <c r="HN106" i="10"/>
  <c r="HO106" i="10"/>
  <c r="HP106" i="10"/>
  <c r="HQ106" i="10"/>
  <c r="IL106" i="10"/>
  <c r="IM106" i="10"/>
  <c r="IO106" i="10"/>
  <c r="IU106" i="10"/>
  <c r="HS101" i="10" l="1"/>
  <c r="HA102" i="10"/>
  <c r="HR106" i="10"/>
  <c r="FA101" i="10"/>
  <c r="ER103" i="10"/>
  <c r="FI105" i="10"/>
  <c r="CR102" i="10"/>
  <c r="CZ106" i="10"/>
  <c r="Z101" i="10"/>
  <c r="HA105" i="10"/>
  <c r="HA101" i="10"/>
  <c r="HJ104" i="10"/>
  <c r="FA106" i="10"/>
  <c r="FA105" i="10"/>
  <c r="FI102" i="10"/>
  <c r="ER105" i="10"/>
  <c r="FB105" i="10" s="1"/>
  <c r="FK105" i="10" s="1"/>
  <c r="FJ105" i="10"/>
  <c r="FJ103" i="10"/>
  <c r="FJ101" i="10"/>
  <c r="ER102" i="10"/>
  <c r="CI106" i="10"/>
  <c r="CS106" i="10" s="1"/>
  <c r="DB106" i="10" s="1"/>
  <c r="DA106" i="10"/>
  <c r="DA104" i="10"/>
  <c r="CZ102" i="10"/>
  <c r="DA101" i="10"/>
  <c r="AI106" i="10"/>
  <c r="AR102" i="10"/>
  <c r="BO103" i="10"/>
  <c r="AI104" i="10"/>
  <c r="CI102" i="10"/>
  <c r="CS102" i="10" s="1"/>
  <c r="GG103" i="10"/>
  <c r="BO100" i="10"/>
  <c r="HR100" i="10"/>
  <c r="HR102" i="10"/>
  <c r="HS103" i="10"/>
  <c r="HA106" i="10"/>
  <c r="HK106" i="10" s="1"/>
  <c r="HJ102" i="10"/>
  <c r="HK102" i="10"/>
  <c r="HS102" i="10"/>
  <c r="HT102" i="10" s="1"/>
  <c r="HS106" i="10"/>
  <c r="HT106" i="10" s="1"/>
  <c r="HA104" i="10"/>
  <c r="HJ105" i="10"/>
  <c r="HK105" i="10" s="1"/>
  <c r="HT105" i="10" s="1"/>
  <c r="HJ101" i="10"/>
  <c r="HR104" i="10"/>
  <c r="HS104" i="10"/>
  <c r="FJ104" i="10"/>
  <c r="FA104" i="10"/>
  <c r="FA103" i="10"/>
  <c r="FB103" i="10" s="1"/>
  <c r="ER106" i="10"/>
  <c r="FB106" i="10" s="1"/>
  <c r="ER100" i="10"/>
  <c r="FJ102" i="10"/>
  <c r="FI106" i="10"/>
  <c r="FJ106" i="10"/>
  <c r="ER104" i="10"/>
  <c r="ER101" i="10"/>
  <c r="FB101" i="10" s="1"/>
  <c r="FA102" i="10"/>
  <c r="CZ100" i="10"/>
  <c r="DA105" i="10"/>
  <c r="CR106" i="10"/>
  <c r="CR103" i="10"/>
  <c r="CS103" i="10" s="1"/>
  <c r="CZ101" i="10"/>
  <c r="CI104" i="10"/>
  <c r="DA103" i="10"/>
  <c r="DA102" i="10"/>
  <c r="DB102" i="10" s="1"/>
  <c r="CR101" i="10"/>
  <c r="CZ105" i="10"/>
  <c r="CR104" i="10"/>
  <c r="CS104" i="10" s="1"/>
  <c r="DB104" i="10" s="1"/>
  <c r="CZ103" i="10"/>
  <c r="CR105" i="10"/>
  <c r="CS105" i="10" s="1"/>
  <c r="CI101" i="10"/>
  <c r="GE104" i="10"/>
  <c r="GG104" i="10" s="1"/>
  <c r="AR101" i="10"/>
  <c r="Z105" i="10"/>
  <c r="AQ104" i="10"/>
  <c r="AR103" i="10"/>
  <c r="AR104" i="10"/>
  <c r="Z106" i="10"/>
  <c r="AJ106" i="10" s="1"/>
  <c r="AQ106" i="10"/>
  <c r="AR105" i="10"/>
  <c r="Z104" i="10"/>
  <c r="AJ104" i="10" s="1"/>
  <c r="AS104" i="10" s="1"/>
  <c r="Z103" i="10"/>
  <c r="BO106" i="10"/>
  <c r="AI101" i="10"/>
  <c r="AJ101" i="10" s="1"/>
  <c r="AI105" i="10"/>
  <c r="AJ105" i="10" s="1"/>
  <c r="AI103" i="10"/>
  <c r="AR106" i="10"/>
  <c r="AS102" i="10"/>
  <c r="GG101" i="10"/>
  <c r="AQ102" i="10"/>
  <c r="A91" i="17"/>
  <c r="AM91" i="17"/>
  <c r="AL92" i="17"/>
  <c r="AK93" i="17"/>
  <c r="AI100" i="10"/>
  <c r="Z100" i="10"/>
  <c r="AR100" i="10"/>
  <c r="AQ100" i="10"/>
  <c r="CI100" i="10"/>
  <c r="DA100" i="10"/>
  <c r="CR100" i="10"/>
  <c r="FA100" i="10"/>
  <c r="FI100" i="10"/>
  <c r="HA100" i="10"/>
  <c r="HS100" i="10"/>
  <c r="HJ100" i="10"/>
  <c r="HK101" i="10"/>
  <c r="HT101" i="10" s="1"/>
  <c r="HK103" i="10"/>
  <c r="FJ100" i="10"/>
  <c r="BM2" i="2"/>
  <c r="BL3" i="2"/>
  <c r="BK3" i="2"/>
  <c r="BJ3" i="2"/>
  <c r="BI3" i="2"/>
  <c r="BH3" i="2"/>
  <c r="BG3" i="2"/>
  <c r="BF3" i="2"/>
  <c r="BE3" i="2"/>
  <c r="BD3" i="2"/>
  <c r="BC3" i="2"/>
  <c r="BB3" i="2"/>
  <c r="BA3" i="2"/>
  <c r="AZ3" i="2"/>
  <c r="AY3" i="2"/>
  <c r="AX3" i="2"/>
  <c r="AW3" i="2"/>
  <c r="AV3" i="2"/>
  <c r="AU3" i="2"/>
  <c r="AT3" i="2"/>
  <c r="AS3" i="2"/>
  <c r="AR3" i="2"/>
  <c r="AQ3" i="2"/>
  <c r="AP3" i="2"/>
  <c r="AO3" i="2"/>
  <c r="AN3" i="2"/>
  <c r="AM3" i="2"/>
  <c r="AL3" i="2"/>
  <c r="AK3" i="2"/>
  <c r="AJ3" i="2"/>
  <c r="AI3"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C3" i="2"/>
  <c r="B3" i="2"/>
  <c r="BL2" i="2"/>
  <c r="BK2" i="2"/>
  <c r="BJ2" i="2"/>
  <c r="BI2" i="2"/>
  <c r="BH2" i="2"/>
  <c r="BG2" i="2"/>
  <c r="BF2" i="2"/>
  <c r="BE2" i="2"/>
  <c r="BD2" i="2"/>
  <c r="BC2" i="2"/>
  <c r="BB2" i="2"/>
  <c r="BA2" i="2"/>
  <c r="AZ2" i="2"/>
  <c r="AY2" i="2"/>
  <c r="AX2" i="2"/>
  <c r="AW2" i="2"/>
  <c r="AV2" i="2"/>
  <c r="AU2" i="2"/>
  <c r="AT2" i="2"/>
  <c r="AS2" i="2"/>
  <c r="AR2" i="2"/>
  <c r="AQ2" i="2"/>
  <c r="AP2" i="2"/>
  <c r="AO2" i="2"/>
  <c r="AN2" i="2"/>
  <c r="AM2" i="2"/>
  <c r="AL2" i="2"/>
  <c r="AK2" i="2"/>
  <c r="AJ2" i="2"/>
  <c r="AI2" i="2"/>
  <c r="AH2" i="2"/>
  <c r="AG2" i="2"/>
  <c r="AF2" i="2"/>
  <c r="AE2" i="2"/>
  <c r="AD2" i="2"/>
  <c r="AC2" i="2"/>
  <c r="AB2" i="2"/>
  <c r="AA2" i="2"/>
  <c r="Z2" i="2"/>
  <c r="Y2" i="2"/>
  <c r="X2" i="2"/>
  <c r="W2" i="2"/>
  <c r="V2" i="2"/>
  <c r="U2" i="2"/>
  <c r="T2" i="2"/>
  <c r="S2" i="2"/>
  <c r="R2" i="2"/>
  <c r="Q2" i="2"/>
  <c r="P2" i="2"/>
  <c r="O2" i="2"/>
  <c r="N2" i="2"/>
  <c r="M2" i="2"/>
  <c r="L2" i="2"/>
  <c r="K2" i="2"/>
  <c r="J2" i="2"/>
  <c r="I2" i="2"/>
  <c r="H2" i="2"/>
  <c r="G2" i="2"/>
  <c r="F2" i="2"/>
  <c r="E2" i="2"/>
  <c r="D2" i="2"/>
  <c r="C2" i="2"/>
  <c r="B2" i="2"/>
  <c r="BL1" i="2"/>
  <c r="BK1" i="2"/>
  <c r="BJ1" i="2"/>
  <c r="BI1" i="2"/>
  <c r="BH1" i="2"/>
  <c r="BG1" i="2"/>
  <c r="BF1" i="2"/>
  <c r="BE1" i="2"/>
  <c r="BD1" i="2"/>
  <c r="BC1" i="2"/>
  <c r="BB1" i="2"/>
  <c r="BA1" i="2"/>
  <c r="AZ1" i="2"/>
  <c r="AY1" i="2"/>
  <c r="AX1" i="2"/>
  <c r="AW1" i="2"/>
  <c r="AV1" i="2"/>
  <c r="AU1" i="2"/>
  <c r="AT1" i="2"/>
  <c r="AS1" i="2"/>
  <c r="AR1" i="2"/>
  <c r="AQ1" i="2"/>
  <c r="AP1" i="2"/>
  <c r="AO1" i="2"/>
  <c r="AN1" i="2"/>
  <c r="AM1" i="2"/>
  <c r="AL1" i="2"/>
  <c r="AK1" i="2"/>
  <c r="AJ1" i="2"/>
  <c r="AI1" i="2"/>
  <c r="AH1" i="2"/>
  <c r="AG1" i="2"/>
  <c r="AF1" i="2"/>
  <c r="AE1" i="2"/>
  <c r="AD1" i="2"/>
  <c r="AC1" i="2"/>
  <c r="AB1" i="2"/>
  <c r="AA1" i="2"/>
  <c r="Z1" i="2"/>
  <c r="Y1" i="2"/>
  <c r="X1" i="2"/>
  <c r="W1" i="2"/>
  <c r="V1" i="2"/>
  <c r="U1" i="2"/>
  <c r="T1" i="2"/>
  <c r="S1" i="2"/>
  <c r="R1" i="2"/>
  <c r="Q1" i="2"/>
  <c r="P1" i="2"/>
  <c r="O1" i="2"/>
  <c r="N1" i="2"/>
  <c r="M1" i="2"/>
  <c r="L1" i="2"/>
  <c r="K1" i="2"/>
  <c r="J1" i="2"/>
  <c r="I1" i="2"/>
  <c r="H1" i="2"/>
  <c r="G1" i="2"/>
  <c r="F1" i="2"/>
  <c r="E1" i="2"/>
  <c r="D1" i="2"/>
  <c r="C1" i="2"/>
  <c r="B1" i="2"/>
  <c r="HK104" i="10" l="1"/>
  <c r="FK101" i="10"/>
  <c r="FB104" i="10"/>
  <c r="FK104" i="10" s="1"/>
  <c r="FB100" i="10"/>
  <c r="FB102" i="10"/>
  <c r="FK102" i="10" s="1"/>
  <c r="HT103" i="10"/>
  <c r="HT104" i="10"/>
  <c r="HK100" i="10"/>
  <c r="HT100" i="10" s="1"/>
  <c r="FK103" i="10"/>
  <c r="DB103" i="10"/>
  <c r="CS101" i="10"/>
  <c r="DB101" i="10" s="1"/>
  <c r="DB105" i="10"/>
  <c r="AS101" i="10"/>
  <c r="AJ103" i="10"/>
  <c r="AS103" i="10" s="1"/>
  <c r="AJ100" i="10"/>
  <c r="AS100" i="10" s="1"/>
  <c r="FK100" i="10"/>
  <c r="FK106" i="10"/>
  <c r="CS100" i="10"/>
  <c r="DB100" i="10" s="1"/>
  <c r="AS105" i="10"/>
  <c r="AS106" i="10"/>
  <c r="AK94" i="17"/>
  <c r="AL93" i="17"/>
  <c r="AM92" i="17"/>
  <c r="A92" i="17"/>
  <c r="AL6" i="17"/>
  <c r="A6" i="17" s="1"/>
  <c r="A93" i="17" l="1"/>
  <c r="AM93" i="17"/>
  <c r="AL94" i="17"/>
  <c r="AK95" i="17"/>
  <c r="AL7" i="17"/>
  <c r="A7" i="17" s="1"/>
  <c r="AM6" i="17"/>
  <c r="B4" i="17"/>
  <c r="S92" i="17" s="1"/>
  <c r="C5" i="22"/>
  <c r="B5" i="22"/>
  <c r="A5" i="22"/>
  <c r="N3" i="22"/>
  <c r="N2" i="22"/>
  <c r="AM7" i="17" l="1"/>
  <c r="I7" i="17" s="1"/>
  <c r="N1" i="22"/>
  <c r="L11" i="10" s="1"/>
  <c r="X92" i="17"/>
  <c r="H92" i="17"/>
  <c r="AH92" i="17"/>
  <c r="BB102" i="10" s="1"/>
  <c r="G92" i="17"/>
  <c r="O92" i="17"/>
  <c r="L92" i="17"/>
  <c r="D92" i="17"/>
  <c r="E92" i="17"/>
  <c r="AJ92" i="17"/>
  <c r="BQ102" i="10" s="1"/>
  <c r="W92" i="17"/>
  <c r="AE92" i="17"/>
  <c r="AW102" i="10" s="1"/>
  <c r="F92" i="17"/>
  <c r="M92" i="17"/>
  <c r="E3" i="6"/>
  <c r="J92" i="17"/>
  <c r="AI92" i="17"/>
  <c r="BC102" i="10" s="1"/>
  <c r="B92" i="17"/>
  <c r="V92" i="17"/>
  <c r="BE102" i="10" s="1"/>
  <c r="N92" i="17"/>
  <c r="BD102" i="10" s="1"/>
  <c r="AB92" i="17"/>
  <c r="AX102" i="10" s="1"/>
  <c r="AA92" i="17"/>
  <c r="BS102" i="10" s="1"/>
  <c r="Q92" i="17"/>
  <c r="R92" i="17"/>
  <c r="AB91" i="17"/>
  <c r="AX101" i="10" s="1"/>
  <c r="S91" i="17"/>
  <c r="AI91" i="17"/>
  <c r="BC101" i="10" s="1"/>
  <c r="D91" i="17"/>
  <c r="AC91" i="17"/>
  <c r="AU101" i="10" s="1"/>
  <c r="AJ91" i="17"/>
  <c r="BQ101" i="10" s="1"/>
  <c r="E91" i="17"/>
  <c r="AE91" i="17"/>
  <c r="AW101" i="10" s="1"/>
  <c r="U91" i="17"/>
  <c r="Z91" i="17"/>
  <c r="BR101" i="10" s="1"/>
  <c r="R91" i="17"/>
  <c r="AD91" i="17"/>
  <c r="AV101" i="10" s="1"/>
  <c r="T91" i="17"/>
  <c r="N91" i="17"/>
  <c r="BD101" i="10" s="1"/>
  <c r="I91" i="17"/>
  <c r="P91" i="17"/>
  <c r="V91" i="17"/>
  <c r="BE101" i="10" s="1"/>
  <c r="G91" i="17"/>
  <c r="W91" i="17"/>
  <c r="AG91" i="17"/>
  <c r="AZ101" i="10" s="1"/>
  <c r="B91" i="17"/>
  <c r="AA91" i="17"/>
  <c r="BS101" i="10" s="1"/>
  <c r="M91" i="17"/>
  <c r="AF91" i="17"/>
  <c r="BA101" i="10" s="1"/>
  <c r="Q91" i="17"/>
  <c r="K91" i="17"/>
  <c r="C91" i="17"/>
  <c r="O91" i="17"/>
  <c r="AH91" i="17"/>
  <c r="BB101" i="10" s="1"/>
  <c r="F91" i="17"/>
  <c r="H91" i="17"/>
  <c r="X91" i="17"/>
  <c r="Y91" i="17"/>
  <c r="BP101" i="10" s="1"/>
  <c r="J91" i="17"/>
  <c r="L91" i="17"/>
  <c r="AD92" i="17"/>
  <c r="AV102" i="10" s="1"/>
  <c r="AC92" i="17"/>
  <c r="AU102" i="10" s="1"/>
  <c r="T92" i="17"/>
  <c r="K92" i="17"/>
  <c r="AF92" i="17"/>
  <c r="BA102" i="10" s="1"/>
  <c r="Y92" i="17"/>
  <c r="BP102" i="10" s="1"/>
  <c r="C92" i="17"/>
  <c r="U92" i="17"/>
  <c r="Z92" i="17"/>
  <c r="BR102" i="10" s="1"/>
  <c r="AG92" i="17"/>
  <c r="AZ102" i="10" s="1"/>
  <c r="BF102" i="10" s="1"/>
  <c r="P92" i="17"/>
  <c r="I92" i="17"/>
  <c r="AM94" i="17"/>
  <c r="A94" i="17"/>
  <c r="AK96" i="17"/>
  <c r="AL95" i="17"/>
  <c r="L93" i="17"/>
  <c r="AB93" i="17"/>
  <c r="AX103" i="10" s="1"/>
  <c r="M93" i="17"/>
  <c r="AC93" i="17"/>
  <c r="AU103" i="10" s="1"/>
  <c r="N93" i="17"/>
  <c r="BD103" i="10" s="1"/>
  <c r="AD93" i="17"/>
  <c r="AV103" i="10" s="1"/>
  <c r="P93" i="17"/>
  <c r="O93" i="17"/>
  <c r="AE93" i="17"/>
  <c r="AW103" i="10" s="1"/>
  <c r="AF93" i="17"/>
  <c r="BA103" i="10" s="1"/>
  <c r="Q93" i="17"/>
  <c r="AG93" i="17"/>
  <c r="AZ103" i="10" s="1"/>
  <c r="B93" i="17"/>
  <c r="R93" i="17"/>
  <c r="AH93" i="17"/>
  <c r="BB103" i="10" s="1"/>
  <c r="C93" i="17"/>
  <c r="S93" i="17"/>
  <c r="AI93" i="17"/>
  <c r="BC103" i="10" s="1"/>
  <c r="D93" i="17"/>
  <c r="T93" i="17"/>
  <c r="AJ93" i="17"/>
  <c r="BQ103" i="10" s="1"/>
  <c r="E93" i="17"/>
  <c r="U93" i="17"/>
  <c r="F93" i="17"/>
  <c r="V93" i="17"/>
  <c r="BE103" i="10" s="1"/>
  <c r="AA93" i="17"/>
  <c r="BS103" i="10" s="1"/>
  <c r="G93" i="17"/>
  <c r="W93" i="17"/>
  <c r="H93" i="17"/>
  <c r="X93" i="17"/>
  <c r="I93" i="17"/>
  <c r="Y93" i="17"/>
  <c r="BP103" i="10" s="1"/>
  <c r="K93" i="17"/>
  <c r="J93" i="17"/>
  <c r="Z93" i="17"/>
  <c r="BR103" i="10" s="1"/>
  <c r="B6" i="17"/>
  <c r="AE6" i="17"/>
  <c r="O6" i="17"/>
  <c r="AD6" i="17"/>
  <c r="N6" i="17"/>
  <c r="U6" i="17"/>
  <c r="AC6" i="17"/>
  <c r="M6" i="17"/>
  <c r="AB6" i="17"/>
  <c r="L6" i="17"/>
  <c r="AA6" i="17"/>
  <c r="K6" i="17"/>
  <c r="Z6" i="17"/>
  <c r="J6" i="17"/>
  <c r="Y6" i="17"/>
  <c r="I6" i="17"/>
  <c r="X6" i="17"/>
  <c r="H6" i="17"/>
  <c r="E6" i="17"/>
  <c r="W6" i="17"/>
  <c r="G6" i="17"/>
  <c r="V6" i="17"/>
  <c r="F6" i="17"/>
  <c r="AJ6" i="17"/>
  <c r="T6" i="17"/>
  <c r="D6" i="17"/>
  <c r="AI6" i="17"/>
  <c r="S6" i="17"/>
  <c r="C6" i="17"/>
  <c r="AH6" i="17"/>
  <c r="R6" i="17"/>
  <c r="AG6" i="17"/>
  <c r="Q6" i="17"/>
  <c r="AF6" i="17"/>
  <c r="P6" i="17"/>
  <c r="AL8" i="17"/>
  <c r="B2" i="7" l="1"/>
  <c r="F7" i="17"/>
  <c r="C7" i="17"/>
  <c r="Z7" i="17"/>
  <c r="O7" i="17"/>
  <c r="S7" i="17"/>
  <c r="J7" i="17"/>
  <c r="AE7" i="17"/>
  <c r="V7" i="17"/>
  <c r="AI7" i="17"/>
  <c r="R7" i="17"/>
  <c r="W7" i="17"/>
  <c r="T7" i="17"/>
  <c r="AJ7" i="17"/>
  <c r="AA7" i="17"/>
  <c r="B7" i="17"/>
  <c r="P7" i="17"/>
  <c r="AD7" i="17"/>
  <c r="N7" i="17"/>
  <c r="AH7" i="17"/>
  <c r="D7" i="17"/>
  <c r="AC7" i="17"/>
  <c r="L7" i="17"/>
  <c r="Y7" i="17"/>
  <c r="AF7" i="17"/>
  <c r="M7" i="17"/>
  <c r="X7" i="17"/>
  <c r="E7" i="17"/>
  <c r="AB7" i="17"/>
  <c r="G7" i="17"/>
  <c r="K7" i="17"/>
  <c r="H7" i="17"/>
  <c r="Q7" i="17"/>
  <c r="AG7" i="17"/>
  <c r="AZ17" i="10" s="1"/>
  <c r="U7" i="17"/>
  <c r="AY102" i="10"/>
  <c r="BG102" i="10" s="1"/>
  <c r="BI102" i="10" s="1"/>
  <c r="BV102" i="10" s="1"/>
  <c r="BW102" i="10" s="1"/>
  <c r="BX102" i="10" s="1"/>
  <c r="BF101" i="10"/>
  <c r="AY103" i="10"/>
  <c r="BF103" i="10"/>
  <c r="AY101" i="10"/>
  <c r="A95" i="17"/>
  <c r="AM95" i="17"/>
  <c r="AL96" i="17"/>
  <c r="AK97" i="17"/>
  <c r="AL97" i="17" s="1"/>
  <c r="E94" i="17"/>
  <c r="U94" i="17"/>
  <c r="Y94" i="17"/>
  <c r="BP104" i="10" s="1"/>
  <c r="T94" i="17"/>
  <c r="F94" i="17"/>
  <c r="V94" i="17"/>
  <c r="BE104" i="10" s="1"/>
  <c r="I94" i="17"/>
  <c r="G94" i="17"/>
  <c r="W94" i="17"/>
  <c r="H94" i="17"/>
  <c r="X94" i="17"/>
  <c r="J94" i="17"/>
  <c r="Z94" i="17"/>
  <c r="BR104" i="10" s="1"/>
  <c r="K94" i="17"/>
  <c r="AA94" i="17"/>
  <c r="BS104" i="10" s="1"/>
  <c r="L94" i="17"/>
  <c r="AB94" i="17"/>
  <c r="AX104" i="10" s="1"/>
  <c r="D94" i="17"/>
  <c r="M94" i="17"/>
  <c r="AC94" i="17"/>
  <c r="AU104" i="10" s="1"/>
  <c r="AJ94" i="17"/>
  <c r="BQ104" i="10" s="1"/>
  <c r="N94" i="17"/>
  <c r="BD104" i="10" s="1"/>
  <c r="AD94" i="17"/>
  <c r="AV104" i="10" s="1"/>
  <c r="O94" i="17"/>
  <c r="AE94" i="17"/>
  <c r="AW104" i="10" s="1"/>
  <c r="AG94" i="17"/>
  <c r="AZ104" i="10" s="1"/>
  <c r="P94" i="17"/>
  <c r="AF94" i="17"/>
  <c r="BA104" i="10" s="1"/>
  <c r="Q94" i="17"/>
  <c r="B94" i="17"/>
  <c r="R94" i="17"/>
  <c r="AH94" i="17"/>
  <c r="BB104" i="10" s="1"/>
  <c r="C94" i="17"/>
  <c r="S94" i="17"/>
  <c r="AI94" i="17"/>
  <c r="BC104" i="10" s="1"/>
  <c r="AL9" i="17"/>
  <c r="A8" i="17"/>
  <c r="AM8" i="17"/>
  <c r="L43" i="19"/>
  <c r="L47" i="19" s="1"/>
  <c r="L48" i="19" s="1"/>
  <c r="L36" i="19"/>
  <c r="L40" i="19" s="1"/>
  <c r="L33" i="19"/>
  <c r="L34" i="19" s="1"/>
  <c r="P31" i="19"/>
  <c r="L24" i="19"/>
  <c r="L25" i="19" s="1"/>
  <c r="L15" i="19"/>
  <c r="B6" i="19"/>
  <c r="BG5" i="14"/>
  <c r="BF5" i="14"/>
  <c r="BE5" i="14"/>
  <c r="BD5" i="14"/>
  <c r="BC5" i="14"/>
  <c r="BB5" i="14"/>
  <c r="BA5" i="14"/>
  <c r="AZ5" i="14"/>
  <c r="AY5" i="14"/>
  <c r="AX5" i="14"/>
  <c r="AW5" i="14"/>
  <c r="AV5" i="14"/>
  <c r="AU5" i="14"/>
  <c r="AT5" i="14"/>
  <c r="AS5" i="14"/>
  <c r="AR5" i="14"/>
  <c r="AQ5" i="14"/>
  <c r="AP5" i="14"/>
  <c r="AO5" i="14"/>
  <c r="AN5" i="14"/>
  <c r="AM5" i="14"/>
  <c r="AL5" i="14"/>
  <c r="AK5" i="14"/>
  <c r="AJ5" i="14"/>
  <c r="AI5" i="14"/>
  <c r="AH5" i="14"/>
  <c r="AG5" i="14"/>
  <c r="AF5" i="14"/>
  <c r="AE5" i="14"/>
  <c r="AD5" i="14"/>
  <c r="AC5" i="14"/>
  <c r="AB5" i="14"/>
  <c r="AA5" i="14"/>
  <c r="Z5" i="14"/>
  <c r="Y5" i="14"/>
  <c r="X5" i="14"/>
  <c r="W5" i="14"/>
  <c r="V5" i="14"/>
  <c r="U5" i="14"/>
  <c r="T5" i="14"/>
  <c r="S5" i="14"/>
  <c r="R5" i="14"/>
  <c r="Q5" i="14"/>
  <c r="P5" i="14"/>
  <c r="O5" i="14"/>
  <c r="N5" i="14"/>
  <c r="M5" i="14"/>
  <c r="L5" i="14"/>
  <c r="K5" i="14"/>
  <c r="J5" i="14"/>
  <c r="I5" i="14"/>
  <c r="H5" i="14"/>
  <c r="G5" i="14"/>
  <c r="F5" i="14"/>
  <c r="E5" i="14"/>
  <c r="D5" i="14"/>
  <c r="C5" i="14"/>
  <c r="B5" i="14"/>
  <c r="BG5" i="13"/>
  <c r="BF5" i="13"/>
  <c r="BE5" i="13"/>
  <c r="BD5" i="13"/>
  <c r="BC5" i="13"/>
  <c r="BB5" i="13"/>
  <c r="BA5" i="13"/>
  <c r="AZ5" i="13"/>
  <c r="AY5" i="13"/>
  <c r="AX5" i="13"/>
  <c r="AW5" i="13"/>
  <c r="AV5" i="13"/>
  <c r="AU5" i="13"/>
  <c r="AT5" i="13"/>
  <c r="AS5" i="13"/>
  <c r="AR5" i="13"/>
  <c r="AQ5" i="13"/>
  <c r="AP5" i="13"/>
  <c r="AO5" i="13"/>
  <c r="AN5" i="13"/>
  <c r="AM5" i="13"/>
  <c r="AL5" i="13"/>
  <c r="AK5" i="13"/>
  <c r="AJ5" i="13"/>
  <c r="AI5" i="13"/>
  <c r="AH5" i="13"/>
  <c r="AG5" i="13"/>
  <c r="AF5" i="13"/>
  <c r="AE5" i="13"/>
  <c r="AD5" i="13"/>
  <c r="AC5" i="13"/>
  <c r="AB5" i="13"/>
  <c r="AA5" i="13"/>
  <c r="Z5" i="13"/>
  <c r="Y5" i="13"/>
  <c r="X5" i="13"/>
  <c r="W5" i="13"/>
  <c r="V5" i="13"/>
  <c r="U5" i="13"/>
  <c r="T5" i="13"/>
  <c r="S5" i="13"/>
  <c r="R5" i="13"/>
  <c r="Q5" i="13"/>
  <c r="P5" i="13"/>
  <c r="O5" i="13"/>
  <c r="N5" i="13"/>
  <c r="M5" i="13"/>
  <c r="L5" i="13"/>
  <c r="K5" i="13"/>
  <c r="J5" i="13"/>
  <c r="I5" i="13"/>
  <c r="H5" i="13"/>
  <c r="G5" i="13"/>
  <c r="F5" i="13"/>
  <c r="E5" i="13"/>
  <c r="D5" i="13"/>
  <c r="C5" i="13"/>
  <c r="B5" i="13"/>
  <c r="BG5" i="11"/>
  <c r="BF5" i="11"/>
  <c r="BE5" i="11"/>
  <c r="BD5" i="11"/>
  <c r="BC5" i="11"/>
  <c r="BB5" i="11"/>
  <c r="BA5" i="11"/>
  <c r="AZ5" i="11"/>
  <c r="AY5" i="11"/>
  <c r="AX5" i="11"/>
  <c r="AW5" i="11"/>
  <c r="AV5" i="11"/>
  <c r="AU5" i="11"/>
  <c r="AT5" i="11"/>
  <c r="AS5"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D5" i="11"/>
  <c r="C5" i="11"/>
  <c r="B5" i="11"/>
  <c r="BL5" i="2"/>
  <c r="BK5" i="2"/>
  <c r="BJ5" i="2"/>
  <c r="BI5" i="2"/>
  <c r="BH5" i="2"/>
  <c r="BG5" i="2"/>
  <c r="BF5" i="2"/>
  <c r="BE5" i="2"/>
  <c r="BD5" i="2"/>
  <c r="BC5" i="2"/>
  <c r="BB5" i="2"/>
  <c r="BA5" i="2"/>
  <c r="AZ5" i="2"/>
  <c r="AY5" i="2"/>
  <c r="AX5" i="2"/>
  <c r="AW5" i="2"/>
  <c r="AV5" i="2"/>
  <c r="AU5" i="2"/>
  <c r="AT5" i="2"/>
  <c r="AS5" i="2"/>
  <c r="AR5" i="2"/>
  <c r="AQ5" i="2"/>
  <c r="AP5" i="2"/>
  <c r="AO5" i="2"/>
  <c r="AN5" i="2"/>
  <c r="AM5" i="2"/>
  <c r="AL5" i="2"/>
  <c r="AK5" i="2"/>
  <c r="AJ5" i="2"/>
  <c r="AI5" i="2"/>
  <c r="AH5" i="2"/>
  <c r="AG5" i="2"/>
  <c r="AF5" i="2"/>
  <c r="AE5" i="2"/>
  <c r="AD5" i="2"/>
  <c r="AC5" i="2"/>
  <c r="AB5" i="2"/>
  <c r="AA5" i="2"/>
  <c r="Z5" i="2"/>
  <c r="Y5" i="2"/>
  <c r="X5" i="2"/>
  <c r="W5" i="2"/>
  <c r="V5" i="2"/>
  <c r="U5" i="2"/>
  <c r="T5" i="2"/>
  <c r="S5" i="2"/>
  <c r="R5" i="2"/>
  <c r="Q5" i="2"/>
  <c r="P5" i="2"/>
  <c r="O5" i="2"/>
  <c r="N5" i="2"/>
  <c r="M5" i="2"/>
  <c r="L5" i="2"/>
  <c r="K5" i="2"/>
  <c r="J5" i="2"/>
  <c r="I5" i="2"/>
  <c r="H5" i="2"/>
  <c r="G5" i="2"/>
  <c r="F5" i="2"/>
  <c r="E5" i="2"/>
  <c r="D5" i="2"/>
  <c r="C5" i="2"/>
  <c r="B5" i="2"/>
  <c r="D10" i="7"/>
  <c r="D32" i="7"/>
  <c r="H24" i="6" s="1"/>
  <c r="D17" i="7"/>
  <c r="D21" i="7"/>
  <c r="H19" i="6" s="1"/>
  <c r="D12" i="7"/>
  <c r="H11" i="6" s="1"/>
  <c r="D29" i="7"/>
  <c r="D22" i="7"/>
  <c r="D31" i="7"/>
  <c r="H28" i="6" s="1"/>
  <c r="E10" i="7"/>
  <c r="I9" i="6" s="1"/>
  <c r="E32" i="7"/>
  <c r="I24" i="6" s="1"/>
  <c r="E17" i="7"/>
  <c r="E21" i="7"/>
  <c r="I19" i="6" s="1"/>
  <c r="E12" i="7"/>
  <c r="E29" i="7"/>
  <c r="I26" i="6" s="1"/>
  <c r="E22" i="7"/>
  <c r="I20" i="6" s="1"/>
  <c r="E31" i="7"/>
  <c r="I28" i="6" s="1"/>
  <c r="B10" i="7"/>
  <c r="B28" i="7"/>
  <c r="F25" i="6" s="1"/>
  <c r="B16" i="7"/>
  <c r="F15" i="6" s="1"/>
  <c r="B17" i="7"/>
  <c r="B23" i="7"/>
  <c r="B21" i="7"/>
  <c r="F21" i="19" s="1"/>
  <c r="B29" i="7"/>
  <c r="F26" i="6" s="1"/>
  <c r="B13" i="7"/>
  <c r="AG91" i="4"/>
  <c r="HQ99" i="10" s="1"/>
  <c r="AF91" i="4"/>
  <c r="HF99" i="10" s="1"/>
  <c r="AE91" i="4"/>
  <c r="HE99" i="10" s="1"/>
  <c r="AD91" i="4"/>
  <c r="HD99" i="10" s="1"/>
  <c r="AC91" i="4"/>
  <c r="IO99" i="10" s="1"/>
  <c r="AB91" i="4"/>
  <c r="IL99" i="10" s="1"/>
  <c r="AA91" i="4"/>
  <c r="GV99" i="10" s="1"/>
  <c r="Z91" i="4"/>
  <c r="IM99" i="10" s="1"/>
  <c r="Y91" i="4"/>
  <c r="FH99" i="10" s="1"/>
  <c r="X91" i="4"/>
  <c r="EW99" i="10" s="1"/>
  <c r="W91" i="4"/>
  <c r="EV99" i="10" s="1"/>
  <c r="V91" i="4"/>
  <c r="EU99" i="10" s="1"/>
  <c r="U91" i="4"/>
  <c r="GF99" i="10" s="1"/>
  <c r="T91" i="4"/>
  <c r="GC99" i="10" s="1"/>
  <c r="S91" i="4"/>
  <c r="EM99" i="10" s="1"/>
  <c r="R91" i="4"/>
  <c r="GD99" i="10" s="1"/>
  <c r="Q91" i="4"/>
  <c r="CY99" i="10" s="1"/>
  <c r="P91" i="4"/>
  <c r="CN99" i="10" s="1"/>
  <c r="O91" i="4"/>
  <c r="CM99" i="10" s="1"/>
  <c r="N91" i="4"/>
  <c r="CL99" i="10" s="1"/>
  <c r="M91" i="4"/>
  <c r="DW99" i="10" s="1"/>
  <c r="L91" i="4"/>
  <c r="DT99" i="10" s="1"/>
  <c r="K91" i="4"/>
  <c r="CD99" i="10" s="1"/>
  <c r="J91" i="4"/>
  <c r="DU99" i="10" s="1"/>
  <c r="I91" i="4"/>
  <c r="AP99" i="10" s="1"/>
  <c r="H91" i="4"/>
  <c r="AE99" i="10" s="1"/>
  <c r="G91" i="4"/>
  <c r="AD99" i="10" s="1"/>
  <c r="F91" i="4"/>
  <c r="AC99" i="10" s="1"/>
  <c r="E91" i="4"/>
  <c r="BN99" i="10" s="1"/>
  <c r="D91" i="4"/>
  <c r="BK99" i="10" s="1"/>
  <c r="C91" i="4"/>
  <c r="U99" i="10" s="1"/>
  <c r="B91" i="4"/>
  <c r="BL99" i="10" s="1"/>
  <c r="AG90" i="4"/>
  <c r="HQ98" i="10" s="1"/>
  <c r="AF90" i="4"/>
  <c r="HF98" i="10" s="1"/>
  <c r="AE90" i="4"/>
  <c r="HE98" i="10" s="1"/>
  <c r="AD90" i="4"/>
  <c r="HD98" i="10" s="1"/>
  <c r="AC90" i="4"/>
  <c r="IO98" i="10" s="1"/>
  <c r="AB90" i="4"/>
  <c r="IL98" i="10" s="1"/>
  <c r="AA90" i="4"/>
  <c r="GV98" i="10" s="1"/>
  <c r="Z90" i="4"/>
  <c r="IM98" i="10" s="1"/>
  <c r="Y90" i="4"/>
  <c r="FH98" i="10" s="1"/>
  <c r="X90" i="4"/>
  <c r="EW98" i="10" s="1"/>
  <c r="W90" i="4"/>
  <c r="EV98" i="10" s="1"/>
  <c r="V90" i="4"/>
  <c r="EU98" i="10" s="1"/>
  <c r="U90" i="4"/>
  <c r="GF98" i="10" s="1"/>
  <c r="T90" i="4"/>
  <c r="GC98" i="10" s="1"/>
  <c r="S90" i="4"/>
  <c r="EM98" i="10" s="1"/>
  <c r="R90" i="4"/>
  <c r="GD98" i="10" s="1"/>
  <c r="Q90" i="4"/>
  <c r="CY98" i="10" s="1"/>
  <c r="P90" i="4"/>
  <c r="CN98" i="10" s="1"/>
  <c r="O90" i="4"/>
  <c r="CM98" i="10" s="1"/>
  <c r="N90" i="4"/>
  <c r="CL98" i="10" s="1"/>
  <c r="M90" i="4"/>
  <c r="DW98" i="10" s="1"/>
  <c r="L90" i="4"/>
  <c r="DT98" i="10" s="1"/>
  <c r="K90" i="4"/>
  <c r="CD98" i="10" s="1"/>
  <c r="J90" i="4"/>
  <c r="DU98" i="10" s="1"/>
  <c r="I90" i="4"/>
  <c r="AP98" i="10" s="1"/>
  <c r="H90" i="4"/>
  <c r="AE98" i="10" s="1"/>
  <c r="G90" i="4"/>
  <c r="F90" i="4"/>
  <c r="AC98" i="10" s="1"/>
  <c r="E90" i="4"/>
  <c r="BN98" i="10" s="1"/>
  <c r="D90" i="4"/>
  <c r="BK98" i="10" s="1"/>
  <c r="C90" i="4"/>
  <c r="U98" i="10" s="1"/>
  <c r="B90" i="4"/>
  <c r="BL98" i="10" s="1"/>
  <c r="AG89" i="4"/>
  <c r="HQ97" i="10" s="1"/>
  <c r="AF89" i="4"/>
  <c r="HF97" i="10" s="1"/>
  <c r="AE89" i="4"/>
  <c r="HE97" i="10" s="1"/>
  <c r="AD89" i="4"/>
  <c r="HD97" i="10" s="1"/>
  <c r="AC89" i="4"/>
  <c r="IO97" i="10" s="1"/>
  <c r="AB89" i="4"/>
  <c r="AA89" i="4"/>
  <c r="GV97" i="10" s="1"/>
  <c r="Z89" i="4"/>
  <c r="IM97" i="10" s="1"/>
  <c r="Y89" i="4"/>
  <c r="FH97" i="10" s="1"/>
  <c r="X89" i="4"/>
  <c r="EW97" i="10" s="1"/>
  <c r="W89" i="4"/>
  <c r="EV97" i="10" s="1"/>
  <c r="V89" i="4"/>
  <c r="EU97" i="10" s="1"/>
  <c r="U89" i="4"/>
  <c r="GF97" i="10" s="1"/>
  <c r="T89" i="4"/>
  <c r="GC97" i="10" s="1"/>
  <c r="S89" i="4"/>
  <c r="EM97" i="10" s="1"/>
  <c r="R89" i="4"/>
  <c r="GD97" i="10" s="1"/>
  <c r="Q89" i="4"/>
  <c r="CY97" i="10" s="1"/>
  <c r="P89" i="4"/>
  <c r="CN97" i="10" s="1"/>
  <c r="O89" i="4"/>
  <c r="CM97" i="10" s="1"/>
  <c r="N89" i="4"/>
  <c r="CL97" i="10" s="1"/>
  <c r="M89" i="4"/>
  <c r="DW97" i="10" s="1"/>
  <c r="L89" i="4"/>
  <c r="DT97" i="10" s="1"/>
  <c r="K89" i="4"/>
  <c r="CD97" i="10" s="1"/>
  <c r="J89" i="4"/>
  <c r="DU97" i="10" s="1"/>
  <c r="I89" i="4"/>
  <c r="AP97" i="10" s="1"/>
  <c r="H89" i="4"/>
  <c r="AE97" i="10" s="1"/>
  <c r="G89" i="4"/>
  <c r="F89" i="4"/>
  <c r="AC97" i="10" s="1"/>
  <c r="E89" i="4"/>
  <c r="BN97" i="10" s="1"/>
  <c r="D89" i="4"/>
  <c r="BK97" i="10" s="1"/>
  <c r="C89" i="4"/>
  <c r="U97" i="10" s="1"/>
  <c r="B89" i="4"/>
  <c r="BL97" i="10" s="1"/>
  <c r="AG88" i="4"/>
  <c r="HQ96" i="10" s="1"/>
  <c r="AF88" i="4"/>
  <c r="HF96" i="10" s="1"/>
  <c r="AE88" i="4"/>
  <c r="HE96" i="10" s="1"/>
  <c r="AD88" i="4"/>
  <c r="HD96" i="10" s="1"/>
  <c r="AC88" i="4"/>
  <c r="IO96" i="10" s="1"/>
  <c r="AB88" i="4"/>
  <c r="IL96" i="10" s="1"/>
  <c r="AA88" i="4"/>
  <c r="GV96" i="10" s="1"/>
  <c r="Z88" i="4"/>
  <c r="IM96" i="10" s="1"/>
  <c r="Y88" i="4"/>
  <c r="FH96" i="10" s="1"/>
  <c r="X88" i="4"/>
  <c r="EW96" i="10" s="1"/>
  <c r="W88" i="4"/>
  <c r="EV96" i="10" s="1"/>
  <c r="V88" i="4"/>
  <c r="EU96" i="10" s="1"/>
  <c r="U88" i="4"/>
  <c r="GF96" i="10" s="1"/>
  <c r="T88" i="4"/>
  <c r="GC96" i="10" s="1"/>
  <c r="S88" i="4"/>
  <c r="EM96" i="10" s="1"/>
  <c r="R88" i="4"/>
  <c r="GD96" i="10" s="1"/>
  <c r="Q88" i="4"/>
  <c r="CY96" i="10" s="1"/>
  <c r="P88" i="4"/>
  <c r="CN96" i="10" s="1"/>
  <c r="O88" i="4"/>
  <c r="CM96" i="10" s="1"/>
  <c r="N88" i="4"/>
  <c r="CL96" i="10" s="1"/>
  <c r="M88" i="4"/>
  <c r="DW96" i="10" s="1"/>
  <c r="L88" i="4"/>
  <c r="DT96" i="10" s="1"/>
  <c r="K88" i="4"/>
  <c r="CD96" i="10" s="1"/>
  <c r="J88" i="4"/>
  <c r="DU96" i="10" s="1"/>
  <c r="I88" i="4"/>
  <c r="AP96" i="10" s="1"/>
  <c r="H88" i="4"/>
  <c r="AE96" i="10" s="1"/>
  <c r="G88" i="4"/>
  <c r="AD96" i="10" s="1"/>
  <c r="F88" i="4"/>
  <c r="AC96" i="10" s="1"/>
  <c r="E88" i="4"/>
  <c r="BN96" i="10" s="1"/>
  <c r="D88" i="4"/>
  <c r="BK96" i="10" s="1"/>
  <c r="C88" i="4"/>
  <c r="U96" i="10" s="1"/>
  <c r="B88" i="4"/>
  <c r="BL96" i="10" s="1"/>
  <c r="AG87" i="4"/>
  <c r="HQ95" i="10" s="1"/>
  <c r="AF87" i="4"/>
  <c r="HF95" i="10" s="1"/>
  <c r="AE87" i="4"/>
  <c r="HE95" i="10" s="1"/>
  <c r="AD87" i="4"/>
  <c r="HD95" i="10" s="1"/>
  <c r="AC87" i="4"/>
  <c r="IO95" i="10" s="1"/>
  <c r="AB87" i="4"/>
  <c r="IL95" i="10" s="1"/>
  <c r="AA87" i="4"/>
  <c r="GV95" i="10" s="1"/>
  <c r="Z87" i="4"/>
  <c r="IM95" i="10" s="1"/>
  <c r="Y87" i="4"/>
  <c r="FH95" i="10" s="1"/>
  <c r="X87" i="4"/>
  <c r="EW95" i="10" s="1"/>
  <c r="W87" i="4"/>
  <c r="EV95" i="10" s="1"/>
  <c r="V87" i="4"/>
  <c r="EU95" i="10" s="1"/>
  <c r="U87" i="4"/>
  <c r="GF95" i="10" s="1"/>
  <c r="T87" i="4"/>
  <c r="GC95" i="10" s="1"/>
  <c r="S87" i="4"/>
  <c r="EM95" i="10" s="1"/>
  <c r="R87" i="4"/>
  <c r="GD95" i="10" s="1"/>
  <c r="Q87" i="4"/>
  <c r="CY95" i="10" s="1"/>
  <c r="P87" i="4"/>
  <c r="CN95" i="10" s="1"/>
  <c r="O87" i="4"/>
  <c r="CM95" i="10" s="1"/>
  <c r="N87" i="4"/>
  <c r="CL95" i="10" s="1"/>
  <c r="M87" i="4"/>
  <c r="DW95" i="10" s="1"/>
  <c r="L87" i="4"/>
  <c r="DT95" i="10" s="1"/>
  <c r="K87" i="4"/>
  <c r="CD95" i="10" s="1"/>
  <c r="J87" i="4"/>
  <c r="DU95" i="10" s="1"/>
  <c r="I87" i="4"/>
  <c r="AP95" i="10" s="1"/>
  <c r="H87" i="4"/>
  <c r="AE95" i="10" s="1"/>
  <c r="G87" i="4"/>
  <c r="AD95" i="10" s="1"/>
  <c r="F87" i="4"/>
  <c r="AC95" i="10" s="1"/>
  <c r="E87" i="4"/>
  <c r="BN95" i="10" s="1"/>
  <c r="D87" i="4"/>
  <c r="BK95" i="10" s="1"/>
  <c r="C87" i="4"/>
  <c r="U95" i="10" s="1"/>
  <c r="B87" i="4"/>
  <c r="BL95" i="10" s="1"/>
  <c r="AG86" i="4"/>
  <c r="HQ94" i="10" s="1"/>
  <c r="AF86" i="4"/>
  <c r="HF94" i="10" s="1"/>
  <c r="AE86" i="4"/>
  <c r="HE94" i="10" s="1"/>
  <c r="AD86" i="4"/>
  <c r="HD94" i="10" s="1"/>
  <c r="AC86" i="4"/>
  <c r="IO94" i="10" s="1"/>
  <c r="AB86" i="4"/>
  <c r="IL94" i="10" s="1"/>
  <c r="AA86" i="4"/>
  <c r="GV94" i="10" s="1"/>
  <c r="Z86" i="4"/>
  <c r="IM94" i="10" s="1"/>
  <c r="Y86" i="4"/>
  <c r="FH94" i="10" s="1"/>
  <c r="X86" i="4"/>
  <c r="EW94" i="10" s="1"/>
  <c r="W86" i="4"/>
  <c r="EV94" i="10" s="1"/>
  <c r="V86" i="4"/>
  <c r="EU94" i="10" s="1"/>
  <c r="U86" i="4"/>
  <c r="GF94" i="10" s="1"/>
  <c r="T86" i="4"/>
  <c r="GC94" i="10" s="1"/>
  <c r="S86" i="4"/>
  <c r="EM94" i="10" s="1"/>
  <c r="R86" i="4"/>
  <c r="GD94" i="10" s="1"/>
  <c r="Q86" i="4"/>
  <c r="CY94" i="10" s="1"/>
  <c r="P86" i="4"/>
  <c r="CN94" i="10" s="1"/>
  <c r="O86" i="4"/>
  <c r="CM94" i="10" s="1"/>
  <c r="N86" i="4"/>
  <c r="CL94" i="10" s="1"/>
  <c r="M86" i="4"/>
  <c r="DW94" i="10" s="1"/>
  <c r="L86" i="4"/>
  <c r="DT94" i="10" s="1"/>
  <c r="K86" i="4"/>
  <c r="CD94" i="10" s="1"/>
  <c r="J86" i="4"/>
  <c r="DU94" i="10" s="1"/>
  <c r="I86" i="4"/>
  <c r="AP94" i="10" s="1"/>
  <c r="H86" i="4"/>
  <c r="AE94" i="10" s="1"/>
  <c r="G86" i="4"/>
  <c r="F86" i="4"/>
  <c r="AC94" i="10" s="1"/>
  <c r="E86" i="4"/>
  <c r="BN94" i="10" s="1"/>
  <c r="D86" i="4"/>
  <c r="BK94" i="10" s="1"/>
  <c r="C86" i="4"/>
  <c r="U94" i="10" s="1"/>
  <c r="B86" i="4"/>
  <c r="BL94" i="10" s="1"/>
  <c r="AG85" i="4"/>
  <c r="HQ93" i="10" s="1"/>
  <c r="AF85" i="4"/>
  <c r="HF93" i="10" s="1"/>
  <c r="AE85" i="4"/>
  <c r="HE93" i="10" s="1"/>
  <c r="AD85" i="4"/>
  <c r="HD93" i="10" s="1"/>
  <c r="AC85" i="4"/>
  <c r="IO93" i="10" s="1"/>
  <c r="AB85" i="4"/>
  <c r="IL93" i="10" s="1"/>
  <c r="AA85" i="4"/>
  <c r="GV93" i="10" s="1"/>
  <c r="Z85" i="4"/>
  <c r="IM93" i="10" s="1"/>
  <c r="Y85" i="4"/>
  <c r="FH93" i="10" s="1"/>
  <c r="X85" i="4"/>
  <c r="EW93" i="10" s="1"/>
  <c r="W85" i="4"/>
  <c r="EV93" i="10" s="1"/>
  <c r="V85" i="4"/>
  <c r="EU93" i="10" s="1"/>
  <c r="U85" i="4"/>
  <c r="GF93" i="10" s="1"/>
  <c r="T85" i="4"/>
  <c r="GC93" i="10" s="1"/>
  <c r="S85" i="4"/>
  <c r="EM93" i="10" s="1"/>
  <c r="R85" i="4"/>
  <c r="GD93" i="10" s="1"/>
  <c r="Q85" i="4"/>
  <c r="CY93" i="10" s="1"/>
  <c r="P85" i="4"/>
  <c r="CN93" i="10" s="1"/>
  <c r="O85" i="4"/>
  <c r="CM93" i="10" s="1"/>
  <c r="N85" i="4"/>
  <c r="CL93" i="10" s="1"/>
  <c r="M85" i="4"/>
  <c r="DW93" i="10" s="1"/>
  <c r="L85" i="4"/>
  <c r="DT93" i="10" s="1"/>
  <c r="K85" i="4"/>
  <c r="CD93" i="10" s="1"/>
  <c r="J85" i="4"/>
  <c r="DU93" i="10" s="1"/>
  <c r="I85" i="4"/>
  <c r="AP93" i="10" s="1"/>
  <c r="H85" i="4"/>
  <c r="AE93" i="10" s="1"/>
  <c r="G85" i="4"/>
  <c r="F85" i="4"/>
  <c r="AC93" i="10" s="1"/>
  <c r="E85" i="4"/>
  <c r="BN93" i="10" s="1"/>
  <c r="D85" i="4"/>
  <c r="BK93" i="10" s="1"/>
  <c r="C85" i="4"/>
  <c r="U93" i="10" s="1"/>
  <c r="B85" i="4"/>
  <c r="BL93" i="10" s="1"/>
  <c r="AG84" i="4"/>
  <c r="HQ92" i="10" s="1"/>
  <c r="AF84" i="4"/>
  <c r="HF92" i="10" s="1"/>
  <c r="AE84" i="4"/>
  <c r="HE92" i="10" s="1"/>
  <c r="AD84" i="4"/>
  <c r="HD92" i="10" s="1"/>
  <c r="AC84" i="4"/>
  <c r="IO92" i="10" s="1"/>
  <c r="AB84" i="4"/>
  <c r="IL92" i="10" s="1"/>
  <c r="AA84" i="4"/>
  <c r="GV92" i="10" s="1"/>
  <c r="Z84" i="4"/>
  <c r="IM92" i="10" s="1"/>
  <c r="Y84" i="4"/>
  <c r="FH92" i="10" s="1"/>
  <c r="X84" i="4"/>
  <c r="EW92" i="10" s="1"/>
  <c r="W84" i="4"/>
  <c r="EV92" i="10" s="1"/>
  <c r="V84" i="4"/>
  <c r="EU92" i="10" s="1"/>
  <c r="U84" i="4"/>
  <c r="GF92" i="10" s="1"/>
  <c r="T84" i="4"/>
  <c r="GC92" i="10" s="1"/>
  <c r="S84" i="4"/>
  <c r="EM92" i="10" s="1"/>
  <c r="R84" i="4"/>
  <c r="GD92" i="10" s="1"/>
  <c r="Q84" i="4"/>
  <c r="CY92" i="10" s="1"/>
  <c r="P84" i="4"/>
  <c r="CN92" i="10" s="1"/>
  <c r="O84" i="4"/>
  <c r="CM92" i="10" s="1"/>
  <c r="N84" i="4"/>
  <c r="CL92" i="10" s="1"/>
  <c r="M84" i="4"/>
  <c r="DW92" i="10" s="1"/>
  <c r="L84" i="4"/>
  <c r="DT92" i="10" s="1"/>
  <c r="K84" i="4"/>
  <c r="CD92" i="10" s="1"/>
  <c r="J84" i="4"/>
  <c r="DU92" i="10" s="1"/>
  <c r="I84" i="4"/>
  <c r="AP92" i="10" s="1"/>
  <c r="H84" i="4"/>
  <c r="AE92" i="10" s="1"/>
  <c r="G84" i="4"/>
  <c r="AD92" i="10" s="1"/>
  <c r="F84" i="4"/>
  <c r="AC92" i="10" s="1"/>
  <c r="E84" i="4"/>
  <c r="BN92" i="10" s="1"/>
  <c r="D84" i="4"/>
  <c r="BK92" i="10" s="1"/>
  <c r="C84" i="4"/>
  <c r="U92" i="10" s="1"/>
  <c r="B84" i="4"/>
  <c r="BL92" i="10" s="1"/>
  <c r="AG83" i="4"/>
  <c r="HQ91" i="10" s="1"/>
  <c r="AF83" i="4"/>
  <c r="HF91" i="10" s="1"/>
  <c r="AE83" i="4"/>
  <c r="HE91" i="10" s="1"/>
  <c r="AD83" i="4"/>
  <c r="HD91" i="10" s="1"/>
  <c r="AC83" i="4"/>
  <c r="IO91" i="10" s="1"/>
  <c r="AB83" i="4"/>
  <c r="IL91" i="10" s="1"/>
  <c r="AA83" i="4"/>
  <c r="GV91" i="10" s="1"/>
  <c r="Z83" i="4"/>
  <c r="IM91" i="10" s="1"/>
  <c r="Y83" i="4"/>
  <c r="FH91" i="10" s="1"/>
  <c r="X83" i="4"/>
  <c r="EW91" i="10" s="1"/>
  <c r="W83" i="4"/>
  <c r="EV91" i="10" s="1"/>
  <c r="V83" i="4"/>
  <c r="EU91" i="10" s="1"/>
  <c r="U83" i="4"/>
  <c r="GF91" i="10" s="1"/>
  <c r="T83" i="4"/>
  <c r="GC91" i="10" s="1"/>
  <c r="S83" i="4"/>
  <c r="EM91" i="10" s="1"/>
  <c r="R83" i="4"/>
  <c r="GD91" i="10" s="1"/>
  <c r="Q83" i="4"/>
  <c r="CY91" i="10" s="1"/>
  <c r="P83" i="4"/>
  <c r="CN91" i="10" s="1"/>
  <c r="O83" i="4"/>
  <c r="CM91" i="10" s="1"/>
  <c r="N83" i="4"/>
  <c r="CL91" i="10" s="1"/>
  <c r="M83" i="4"/>
  <c r="DW91" i="10" s="1"/>
  <c r="L83" i="4"/>
  <c r="DT91" i="10" s="1"/>
  <c r="K83" i="4"/>
  <c r="CD91" i="10" s="1"/>
  <c r="J83" i="4"/>
  <c r="DU91" i="10" s="1"/>
  <c r="I83" i="4"/>
  <c r="AP91" i="10" s="1"/>
  <c r="H83" i="4"/>
  <c r="AE91" i="10" s="1"/>
  <c r="G83" i="4"/>
  <c r="AD91" i="10" s="1"/>
  <c r="F83" i="4"/>
  <c r="AC91" i="10" s="1"/>
  <c r="E83" i="4"/>
  <c r="BN91" i="10" s="1"/>
  <c r="D83" i="4"/>
  <c r="BK91" i="10" s="1"/>
  <c r="C83" i="4"/>
  <c r="U91" i="10" s="1"/>
  <c r="B83" i="4"/>
  <c r="BL91" i="10" s="1"/>
  <c r="AG82" i="4"/>
  <c r="HQ90" i="10" s="1"/>
  <c r="AF82" i="4"/>
  <c r="HF90" i="10" s="1"/>
  <c r="AE82" i="4"/>
  <c r="HE90" i="10" s="1"/>
  <c r="AD82" i="4"/>
  <c r="HD90" i="10" s="1"/>
  <c r="AC82" i="4"/>
  <c r="IO90" i="10" s="1"/>
  <c r="AB82" i="4"/>
  <c r="IL90" i="10" s="1"/>
  <c r="AA82" i="4"/>
  <c r="GV90" i="10" s="1"/>
  <c r="Z82" i="4"/>
  <c r="IM90" i="10" s="1"/>
  <c r="Y82" i="4"/>
  <c r="FH90" i="10" s="1"/>
  <c r="X82" i="4"/>
  <c r="EW90" i="10" s="1"/>
  <c r="W82" i="4"/>
  <c r="EV90" i="10" s="1"/>
  <c r="V82" i="4"/>
  <c r="EU90" i="10" s="1"/>
  <c r="U82" i="4"/>
  <c r="GF90" i="10" s="1"/>
  <c r="T82" i="4"/>
  <c r="GC90" i="10" s="1"/>
  <c r="S82" i="4"/>
  <c r="EM90" i="10" s="1"/>
  <c r="R82" i="4"/>
  <c r="GD90" i="10" s="1"/>
  <c r="Q82" i="4"/>
  <c r="CY90" i="10" s="1"/>
  <c r="P82" i="4"/>
  <c r="CN90" i="10" s="1"/>
  <c r="O82" i="4"/>
  <c r="CM90" i="10" s="1"/>
  <c r="N82" i="4"/>
  <c r="CL90" i="10" s="1"/>
  <c r="M82" i="4"/>
  <c r="DW90" i="10" s="1"/>
  <c r="L82" i="4"/>
  <c r="DT90" i="10" s="1"/>
  <c r="K82" i="4"/>
  <c r="CD90" i="10" s="1"/>
  <c r="J82" i="4"/>
  <c r="DU90" i="10" s="1"/>
  <c r="I82" i="4"/>
  <c r="AP90" i="10" s="1"/>
  <c r="H82" i="4"/>
  <c r="AE90" i="10" s="1"/>
  <c r="G82" i="4"/>
  <c r="AD90" i="10" s="1"/>
  <c r="F82" i="4"/>
  <c r="AC90" i="10" s="1"/>
  <c r="E82" i="4"/>
  <c r="BN90" i="10" s="1"/>
  <c r="D82" i="4"/>
  <c r="BK90" i="10" s="1"/>
  <c r="C82" i="4"/>
  <c r="U90" i="10" s="1"/>
  <c r="B82" i="4"/>
  <c r="BL90" i="10" s="1"/>
  <c r="AG81" i="4"/>
  <c r="HQ89" i="10" s="1"/>
  <c r="AF81" i="4"/>
  <c r="HF89" i="10" s="1"/>
  <c r="AE81" i="4"/>
  <c r="HE89" i="10" s="1"/>
  <c r="AD81" i="4"/>
  <c r="HD89" i="10" s="1"/>
  <c r="AC81" i="4"/>
  <c r="IO89" i="10" s="1"/>
  <c r="AB81" i="4"/>
  <c r="IL89" i="10" s="1"/>
  <c r="AA81" i="4"/>
  <c r="GV89" i="10" s="1"/>
  <c r="Z81" i="4"/>
  <c r="IM89" i="10" s="1"/>
  <c r="Y81" i="4"/>
  <c r="FH89" i="10" s="1"/>
  <c r="X81" i="4"/>
  <c r="EW89" i="10" s="1"/>
  <c r="W81" i="4"/>
  <c r="EV89" i="10" s="1"/>
  <c r="V81" i="4"/>
  <c r="EU89" i="10" s="1"/>
  <c r="U81" i="4"/>
  <c r="GF89" i="10" s="1"/>
  <c r="T81" i="4"/>
  <c r="GC89" i="10" s="1"/>
  <c r="S81" i="4"/>
  <c r="EM89" i="10" s="1"/>
  <c r="R81" i="4"/>
  <c r="GD89" i="10" s="1"/>
  <c r="Q81" i="4"/>
  <c r="CY89" i="10" s="1"/>
  <c r="P81" i="4"/>
  <c r="CN89" i="10" s="1"/>
  <c r="O81" i="4"/>
  <c r="CM89" i="10" s="1"/>
  <c r="N81" i="4"/>
  <c r="CL89" i="10" s="1"/>
  <c r="M81" i="4"/>
  <c r="DW89" i="10" s="1"/>
  <c r="L81" i="4"/>
  <c r="DT89" i="10" s="1"/>
  <c r="K81" i="4"/>
  <c r="CD89" i="10" s="1"/>
  <c r="J81" i="4"/>
  <c r="DU89" i="10" s="1"/>
  <c r="I81" i="4"/>
  <c r="AP89" i="10" s="1"/>
  <c r="H81" i="4"/>
  <c r="AE89" i="10" s="1"/>
  <c r="G81" i="4"/>
  <c r="AD89" i="10" s="1"/>
  <c r="F81" i="4"/>
  <c r="AC89" i="10" s="1"/>
  <c r="E81" i="4"/>
  <c r="BN89" i="10" s="1"/>
  <c r="D81" i="4"/>
  <c r="BK89" i="10" s="1"/>
  <c r="C81" i="4"/>
  <c r="U89" i="10" s="1"/>
  <c r="B81" i="4"/>
  <c r="BL89" i="10" s="1"/>
  <c r="AG80" i="4"/>
  <c r="HQ88" i="10" s="1"/>
  <c r="AF80" i="4"/>
  <c r="HF88" i="10" s="1"/>
  <c r="AE80" i="4"/>
  <c r="HE88" i="10" s="1"/>
  <c r="AD80" i="4"/>
  <c r="HD88" i="10" s="1"/>
  <c r="AC80" i="4"/>
  <c r="IO88" i="10" s="1"/>
  <c r="AB80" i="4"/>
  <c r="IL88" i="10" s="1"/>
  <c r="AA80" i="4"/>
  <c r="GV88" i="10" s="1"/>
  <c r="Z80" i="4"/>
  <c r="IM88" i="10" s="1"/>
  <c r="Y80" i="4"/>
  <c r="FH88" i="10" s="1"/>
  <c r="X80" i="4"/>
  <c r="EW88" i="10" s="1"/>
  <c r="W80" i="4"/>
  <c r="EV88" i="10" s="1"/>
  <c r="V80" i="4"/>
  <c r="EU88" i="10" s="1"/>
  <c r="U80" i="4"/>
  <c r="GF88" i="10" s="1"/>
  <c r="T80" i="4"/>
  <c r="GC88" i="10" s="1"/>
  <c r="S80" i="4"/>
  <c r="EM88" i="10" s="1"/>
  <c r="R80" i="4"/>
  <c r="GD88" i="10" s="1"/>
  <c r="Q80" i="4"/>
  <c r="CY88" i="10" s="1"/>
  <c r="P80" i="4"/>
  <c r="CN88" i="10" s="1"/>
  <c r="O80" i="4"/>
  <c r="CM88" i="10" s="1"/>
  <c r="N80" i="4"/>
  <c r="CL88" i="10" s="1"/>
  <c r="M80" i="4"/>
  <c r="DW88" i="10" s="1"/>
  <c r="L80" i="4"/>
  <c r="DT88" i="10" s="1"/>
  <c r="K80" i="4"/>
  <c r="CD88" i="10" s="1"/>
  <c r="J80" i="4"/>
  <c r="DU88" i="10" s="1"/>
  <c r="I80" i="4"/>
  <c r="AP88" i="10" s="1"/>
  <c r="H80" i="4"/>
  <c r="AE88" i="10" s="1"/>
  <c r="G80" i="4"/>
  <c r="AD88" i="10" s="1"/>
  <c r="F80" i="4"/>
  <c r="AC88" i="10" s="1"/>
  <c r="E80" i="4"/>
  <c r="BN88" i="10" s="1"/>
  <c r="D80" i="4"/>
  <c r="BK88" i="10" s="1"/>
  <c r="C80" i="4"/>
  <c r="U88" i="10" s="1"/>
  <c r="B80" i="4"/>
  <c r="BL88" i="10" s="1"/>
  <c r="AG79" i="4"/>
  <c r="HQ87" i="10" s="1"/>
  <c r="AF79" i="4"/>
  <c r="HF87" i="10" s="1"/>
  <c r="AE79" i="4"/>
  <c r="HE87" i="10" s="1"/>
  <c r="AD79" i="4"/>
  <c r="HD87" i="10" s="1"/>
  <c r="AC79" i="4"/>
  <c r="IO87" i="10" s="1"/>
  <c r="AB79" i="4"/>
  <c r="IL87" i="10" s="1"/>
  <c r="AA79" i="4"/>
  <c r="GV87" i="10" s="1"/>
  <c r="Z79" i="4"/>
  <c r="IM87" i="10" s="1"/>
  <c r="Y79" i="4"/>
  <c r="FH87" i="10" s="1"/>
  <c r="X79" i="4"/>
  <c r="EW87" i="10" s="1"/>
  <c r="W79" i="4"/>
  <c r="EV87" i="10" s="1"/>
  <c r="V79" i="4"/>
  <c r="EU87" i="10" s="1"/>
  <c r="U79" i="4"/>
  <c r="GF87" i="10" s="1"/>
  <c r="T79" i="4"/>
  <c r="GC87" i="10" s="1"/>
  <c r="S79" i="4"/>
  <c r="EM87" i="10" s="1"/>
  <c r="R79" i="4"/>
  <c r="GD87" i="10" s="1"/>
  <c r="Q79" i="4"/>
  <c r="CY87" i="10" s="1"/>
  <c r="P79" i="4"/>
  <c r="CN87" i="10" s="1"/>
  <c r="O79" i="4"/>
  <c r="CM87" i="10" s="1"/>
  <c r="N79" i="4"/>
  <c r="CL87" i="10" s="1"/>
  <c r="M79" i="4"/>
  <c r="DW87" i="10" s="1"/>
  <c r="L79" i="4"/>
  <c r="DT87" i="10" s="1"/>
  <c r="K79" i="4"/>
  <c r="CD87" i="10" s="1"/>
  <c r="J79" i="4"/>
  <c r="DU87" i="10" s="1"/>
  <c r="I79" i="4"/>
  <c r="AP87" i="10" s="1"/>
  <c r="H79" i="4"/>
  <c r="AE87" i="10" s="1"/>
  <c r="G79" i="4"/>
  <c r="AD87" i="10" s="1"/>
  <c r="F79" i="4"/>
  <c r="AC87" i="10" s="1"/>
  <c r="E79" i="4"/>
  <c r="BN87" i="10" s="1"/>
  <c r="D79" i="4"/>
  <c r="BK87" i="10" s="1"/>
  <c r="C79" i="4"/>
  <c r="U87" i="10" s="1"/>
  <c r="B79" i="4"/>
  <c r="BL87" i="10" s="1"/>
  <c r="AG78" i="4"/>
  <c r="HQ86" i="10" s="1"/>
  <c r="AF78" i="4"/>
  <c r="HF86" i="10" s="1"/>
  <c r="AE78" i="4"/>
  <c r="HE86" i="10" s="1"/>
  <c r="AD78" i="4"/>
  <c r="HD86" i="10" s="1"/>
  <c r="AC78" i="4"/>
  <c r="IO86" i="10" s="1"/>
  <c r="AB78" i="4"/>
  <c r="AA78" i="4"/>
  <c r="GV86" i="10" s="1"/>
  <c r="Z78" i="4"/>
  <c r="IM86" i="10" s="1"/>
  <c r="Y78" i="4"/>
  <c r="FH86" i="10" s="1"/>
  <c r="X78" i="4"/>
  <c r="EW86" i="10" s="1"/>
  <c r="W78" i="4"/>
  <c r="EV86" i="10" s="1"/>
  <c r="V78" i="4"/>
  <c r="EU86" i="10" s="1"/>
  <c r="U78" i="4"/>
  <c r="GF86" i="10" s="1"/>
  <c r="T78" i="4"/>
  <c r="GC86" i="10" s="1"/>
  <c r="S78" i="4"/>
  <c r="EM86" i="10" s="1"/>
  <c r="R78" i="4"/>
  <c r="GD86" i="10" s="1"/>
  <c r="Q78" i="4"/>
  <c r="CY86" i="10" s="1"/>
  <c r="P78" i="4"/>
  <c r="CN86" i="10" s="1"/>
  <c r="O78" i="4"/>
  <c r="CM86" i="10" s="1"/>
  <c r="N78" i="4"/>
  <c r="CL86" i="10" s="1"/>
  <c r="M78" i="4"/>
  <c r="DW86" i="10" s="1"/>
  <c r="L78" i="4"/>
  <c r="DT86" i="10" s="1"/>
  <c r="K78" i="4"/>
  <c r="CD86" i="10" s="1"/>
  <c r="J78" i="4"/>
  <c r="DU86" i="10" s="1"/>
  <c r="I78" i="4"/>
  <c r="AP86" i="10" s="1"/>
  <c r="H78" i="4"/>
  <c r="AE86" i="10" s="1"/>
  <c r="G78" i="4"/>
  <c r="AD86" i="10" s="1"/>
  <c r="F78" i="4"/>
  <c r="AC86" i="10" s="1"/>
  <c r="E78" i="4"/>
  <c r="BN86" i="10" s="1"/>
  <c r="D78" i="4"/>
  <c r="BK86" i="10" s="1"/>
  <c r="C78" i="4"/>
  <c r="U86" i="10" s="1"/>
  <c r="B78" i="4"/>
  <c r="BL86" i="10" s="1"/>
  <c r="AG77" i="4"/>
  <c r="HQ85" i="10" s="1"/>
  <c r="AF77" i="4"/>
  <c r="HF85" i="10" s="1"/>
  <c r="AE77" i="4"/>
  <c r="HE85" i="10" s="1"/>
  <c r="AD77" i="4"/>
  <c r="HD85" i="10" s="1"/>
  <c r="AC77" i="4"/>
  <c r="IO85" i="10" s="1"/>
  <c r="AB77" i="4"/>
  <c r="IL85" i="10" s="1"/>
  <c r="AA77" i="4"/>
  <c r="GV85" i="10" s="1"/>
  <c r="Z77" i="4"/>
  <c r="IM85" i="10" s="1"/>
  <c r="Y77" i="4"/>
  <c r="FH85" i="10" s="1"/>
  <c r="X77" i="4"/>
  <c r="EW85" i="10" s="1"/>
  <c r="W77" i="4"/>
  <c r="EV85" i="10" s="1"/>
  <c r="V77" i="4"/>
  <c r="EU85" i="10" s="1"/>
  <c r="U77" i="4"/>
  <c r="GF85" i="10" s="1"/>
  <c r="T77" i="4"/>
  <c r="GC85" i="10" s="1"/>
  <c r="S77" i="4"/>
  <c r="EM85" i="10" s="1"/>
  <c r="R77" i="4"/>
  <c r="GD85" i="10" s="1"/>
  <c r="Q77" i="4"/>
  <c r="CY85" i="10" s="1"/>
  <c r="P77" i="4"/>
  <c r="CN85" i="10" s="1"/>
  <c r="O77" i="4"/>
  <c r="CM85" i="10" s="1"/>
  <c r="N77" i="4"/>
  <c r="CL85" i="10" s="1"/>
  <c r="M77" i="4"/>
  <c r="DW85" i="10" s="1"/>
  <c r="L77" i="4"/>
  <c r="DT85" i="10" s="1"/>
  <c r="K77" i="4"/>
  <c r="CD85" i="10" s="1"/>
  <c r="J77" i="4"/>
  <c r="DU85" i="10" s="1"/>
  <c r="I77" i="4"/>
  <c r="AP85" i="10" s="1"/>
  <c r="H77" i="4"/>
  <c r="AE85" i="10" s="1"/>
  <c r="G77" i="4"/>
  <c r="AD85" i="10" s="1"/>
  <c r="F77" i="4"/>
  <c r="AC85" i="10" s="1"/>
  <c r="E77" i="4"/>
  <c r="BN85" i="10" s="1"/>
  <c r="D77" i="4"/>
  <c r="BK85" i="10" s="1"/>
  <c r="C77" i="4"/>
  <c r="U85" i="10" s="1"/>
  <c r="B77" i="4"/>
  <c r="BL85" i="10" s="1"/>
  <c r="AG76" i="4"/>
  <c r="HQ84" i="10" s="1"/>
  <c r="AF76" i="4"/>
  <c r="HF84" i="10" s="1"/>
  <c r="AE76" i="4"/>
  <c r="HE84" i="10" s="1"/>
  <c r="AD76" i="4"/>
  <c r="HD84" i="10" s="1"/>
  <c r="AC76" i="4"/>
  <c r="IO84" i="10" s="1"/>
  <c r="AB76" i="4"/>
  <c r="IL84" i="10" s="1"/>
  <c r="AA76" i="4"/>
  <c r="GV84" i="10" s="1"/>
  <c r="Z76" i="4"/>
  <c r="IM84" i="10" s="1"/>
  <c r="Y76" i="4"/>
  <c r="FH84" i="10" s="1"/>
  <c r="X76" i="4"/>
  <c r="EW84" i="10" s="1"/>
  <c r="W76" i="4"/>
  <c r="EV84" i="10" s="1"/>
  <c r="V76" i="4"/>
  <c r="EU84" i="10" s="1"/>
  <c r="U76" i="4"/>
  <c r="GF84" i="10" s="1"/>
  <c r="T76" i="4"/>
  <c r="GC84" i="10" s="1"/>
  <c r="S76" i="4"/>
  <c r="EM84" i="10" s="1"/>
  <c r="R76" i="4"/>
  <c r="GD84" i="10" s="1"/>
  <c r="Q76" i="4"/>
  <c r="CY84" i="10" s="1"/>
  <c r="P76" i="4"/>
  <c r="CN84" i="10" s="1"/>
  <c r="O76" i="4"/>
  <c r="CM84" i="10" s="1"/>
  <c r="N76" i="4"/>
  <c r="CL84" i="10" s="1"/>
  <c r="M76" i="4"/>
  <c r="DW84" i="10" s="1"/>
  <c r="L76" i="4"/>
  <c r="DT84" i="10" s="1"/>
  <c r="K76" i="4"/>
  <c r="CD84" i="10" s="1"/>
  <c r="J76" i="4"/>
  <c r="DU84" i="10" s="1"/>
  <c r="I76" i="4"/>
  <c r="AP84" i="10" s="1"/>
  <c r="H76" i="4"/>
  <c r="AE84" i="10" s="1"/>
  <c r="G76" i="4"/>
  <c r="AD84" i="10" s="1"/>
  <c r="F76" i="4"/>
  <c r="AC84" i="10" s="1"/>
  <c r="E76" i="4"/>
  <c r="BN84" i="10" s="1"/>
  <c r="D76" i="4"/>
  <c r="BK84" i="10" s="1"/>
  <c r="C76" i="4"/>
  <c r="U84" i="10" s="1"/>
  <c r="B76" i="4"/>
  <c r="BL84" i="10" s="1"/>
  <c r="AG75" i="4"/>
  <c r="HQ83" i="10" s="1"/>
  <c r="AF75" i="4"/>
  <c r="HF83" i="10" s="1"/>
  <c r="AE75" i="4"/>
  <c r="HE83" i="10" s="1"/>
  <c r="AD75" i="4"/>
  <c r="HD83" i="10" s="1"/>
  <c r="AC75" i="4"/>
  <c r="IO83" i="10" s="1"/>
  <c r="AB75" i="4"/>
  <c r="IL83" i="10" s="1"/>
  <c r="AA75" i="4"/>
  <c r="GV83" i="10" s="1"/>
  <c r="Z75" i="4"/>
  <c r="IM83" i="10" s="1"/>
  <c r="Y75" i="4"/>
  <c r="FH83" i="10" s="1"/>
  <c r="X75" i="4"/>
  <c r="EW83" i="10" s="1"/>
  <c r="W75" i="4"/>
  <c r="EV83" i="10" s="1"/>
  <c r="V75" i="4"/>
  <c r="EU83" i="10" s="1"/>
  <c r="U75" i="4"/>
  <c r="GF83" i="10" s="1"/>
  <c r="T75" i="4"/>
  <c r="GC83" i="10" s="1"/>
  <c r="S75" i="4"/>
  <c r="EM83" i="10" s="1"/>
  <c r="R75" i="4"/>
  <c r="GD83" i="10" s="1"/>
  <c r="Q75" i="4"/>
  <c r="CY83" i="10" s="1"/>
  <c r="P75" i="4"/>
  <c r="CN83" i="10" s="1"/>
  <c r="O75" i="4"/>
  <c r="CM83" i="10" s="1"/>
  <c r="N75" i="4"/>
  <c r="CL83" i="10" s="1"/>
  <c r="M75" i="4"/>
  <c r="DW83" i="10" s="1"/>
  <c r="L75" i="4"/>
  <c r="DT83" i="10" s="1"/>
  <c r="K75" i="4"/>
  <c r="CD83" i="10" s="1"/>
  <c r="J75" i="4"/>
  <c r="DU83" i="10" s="1"/>
  <c r="I75" i="4"/>
  <c r="AP83" i="10" s="1"/>
  <c r="H75" i="4"/>
  <c r="AE83" i="10" s="1"/>
  <c r="G75" i="4"/>
  <c r="AD83" i="10" s="1"/>
  <c r="F75" i="4"/>
  <c r="AC83" i="10" s="1"/>
  <c r="E75" i="4"/>
  <c r="BN83" i="10" s="1"/>
  <c r="D75" i="4"/>
  <c r="BK83" i="10" s="1"/>
  <c r="C75" i="4"/>
  <c r="U83" i="10" s="1"/>
  <c r="B75" i="4"/>
  <c r="BL83" i="10" s="1"/>
  <c r="AG74" i="4"/>
  <c r="HQ82" i="10" s="1"/>
  <c r="AF74" i="4"/>
  <c r="HF82" i="10" s="1"/>
  <c r="AE74" i="4"/>
  <c r="HE82" i="10" s="1"/>
  <c r="AD74" i="4"/>
  <c r="HD82" i="10" s="1"/>
  <c r="AC74" i="4"/>
  <c r="IO82" i="10" s="1"/>
  <c r="AB74" i="4"/>
  <c r="IL82" i="10" s="1"/>
  <c r="AA74" i="4"/>
  <c r="GV82" i="10" s="1"/>
  <c r="Z74" i="4"/>
  <c r="IM82" i="10" s="1"/>
  <c r="Y74" i="4"/>
  <c r="FH82" i="10" s="1"/>
  <c r="X74" i="4"/>
  <c r="EW82" i="10" s="1"/>
  <c r="W74" i="4"/>
  <c r="EV82" i="10" s="1"/>
  <c r="V74" i="4"/>
  <c r="EU82" i="10" s="1"/>
  <c r="U74" i="4"/>
  <c r="GF82" i="10" s="1"/>
  <c r="T74" i="4"/>
  <c r="GC82" i="10" s="1"/>
  <c r="S74" i="4"/>
  <c r="EM82" i="10" s="1"/>
  <c r="R74" i="4"/>
  <c r="GD82" i="10" s="1"/>
  <c r="Q74" i="4"/>
  <c r="CY82" i="10" s="1"/>
  <c r="P74" i="4"/>
  <c r="CN82" i="10" s="1"/>
  <c r="O74" i="4"/>
  <c r="CM82" i="10" s="1"/>
  <c r="N74" i="4"/>
  <c r="CL82" i="10" s="1"/>
  <c r="M74" i="4"/>
  <c r="DW82" i="10" s="1"/>
  <c r="L74" i="4"/>
  <c r="DT82" i="10" s="1"/>
  <c r="K74" i="4"/>
  <c r="CD82" i="10" s="1"/>
  <c r="J74" i="4"/>
  <c r="DU82" i="10" s="1"/>
  <c r="I74" i="4"/>
  <c r="AP82" i="10" s="1"/>
  <c r="H74" i="4"/>
  <c r="AE82" i="10" s="1"/>
  <c r="G74" i="4"/>
  <c r="AD82" i="10" s="1"/>
  <c r="F74" i="4"/>
  <c r="AC82" i="10" s="1"/>
  <c r="E74" i="4"/>
  <c r="BN82" i="10" s="1"/>
  <c r="D74" i="4"/>
  <c r="BK82" i="10" s="1"/>
  <c r="C74" i="4"/>
  <c r="U82" i="10" s="1"/>
  <c r="B74" i="4"/>
  <c r="BL82" i="10" s="1"/>
  <c r="AG73" i="4"/>
  <c r="HQ81" i="10" s="1"/>
  <c r="AF73" i="4"/>
  <c r="HF81" i="10" s="1"/>
  <c r="AE73" i="4"/>
  <c r="HE81" i="10" s="1"/>
  <c r="AD73" i="4"/>
  <c r="HD81" i="10" s="1"/>
  <c r="AC73" i="4"/>
  <c r="IO81" i="10" s="1"/>
  <c r="AB73" i="4"/>
  <c r="IL81" i="10" s="1"/>
  <c r="AA73" i="4"/>
  <c r="GV81" i="10" s="1"/>
  <c r="Z73" i="4"/>
  <c r="IM81" i="10" s="1"/>
  <c r="Y73" i="4"/>
  <c r="FH81" i="10" s="1"/>
  <c r="X73" i="4"/>
  <c r="EW81" i="10" s="1"/>
  <c r="W73" i="4"/>
  <c r="EV81" i="10" s="1"/>
  <c r="V73" i="4"/>
  <c r="EU81" i="10" s="1"/>
  <c r="U73" i="4"/>
  <c r="GF81" i="10" s="1"/>
  <c r="T73" i="4"/>
  <c r="GC81" i="10" s="1"/>
  <c r="S73" i="4"/>
  <c r="EM81" i="10" s="1"/>
  <c r="R73" i="4"/>
  <c r="GD81" i="10" s="1"/>
  <c r="Q73" i="4"/>
  <c r="CY81" i="10" s="1"/>
  <c r="P73" i="4"/>
  <c r="CN81" i="10" s="1"/>
  <c r="O73" i="4"/>
  <c r="CM81" i="10" s="1"/>
  <c r="N73" i="4"/>
  <c r="CL81" i="10" s="1"/>
  <c r="M73" i="4"/>
  <c r="DW81" i="10" s="1"/>
  <c r="L73" i="4"/>
  <c r="DT81" i="10" s="1"/>
  <c r="K73" i="4"/>
  <c r="CD81" i="10" s="1"/>
  <c r="J73" i="4"/>
  <c r="DU81" i="10" s="1"/>
  <c r="I73" i="4"/>
  <c r="AP81" i="10" s="1"/>
  <c r="H73" i="4"/>
  <c r="AE81" i="10" s="1"/>
  <c r="G73" i="4"/>
  <c r="AD81" i="10" s="1"/>
  <c r="F73" i="4"/>
  <c r="AC81" i="10" s="1"/>
  <c r="E73" i="4"/>
  <c r="BN81" i="10" s="1"/>
  <c r="D73" i="4"/>
  <c r="BK81" i="10" s="1"/>
  <c r="C73" i="4"/>
  <c r="U81" i="10" s="1"/>
  <c r="B73" i="4"/>
  <c r="BL81" i="10" s="1"/>
  <c r="AG72" i="4"/>
  <c r="HQ80" i="10" s="1"/>
  <c r="AF72" i="4"/>
  <c r="HF80" i="10" s="1"/>
  <c r="AE72" i="4"/>
  <c r="HE80" i="10" s="1"/>
  <c r="AD72" i="4"/>
  <c r="HD80" i="10" s="1"/>
  <c r="AC72" i="4"/>
  <c r="IO80" i="10" s="1"/>
  <c r="AB72" i="4"/>
  <c r="IL80" i="10" s="1"/>
  <c r="AA72" i="4"/>
  <c r="GV80" i="10" s="1"/>
  <c r="Z72" i="4"/>
  <c r="IM80" i="10" s="1"/>
  <c r="Y72" i="4"/>
  <c r="FH80" i="10" s="1"/>
  <c r="X72" i="4"/>
  <c r="EW80" i="10" s="1"/>
  <c r="W72" i="4"/>
  <c r="EV80" i="10" s="1"/>
  <c r="V72" i="4"/>
  <c r="EU80" i="10" s="1"/>
  <c r="U72" i="4"/>
  <c r="GF80" i="10" s="1"/>
  <c r="T72" i="4"/>
  <c r="GC80" i="10" s="1"/>
  <c r="S72" i="4"/>
  <c r="EM80" i="10" s="1"/>
  <c r="R72" i="4"/>
  <c r="GD80" i="10" s="1"/>
  <c r="Q72" i="4"/>
  <c r="CY80" i="10" s="1"/>
  <c r="P72" i="4"/>
  <c r="CN80" i="10" s="1"/>
  <c r="O72" i="4"/>
  <c r="CM80" i="10" s="1"/>
  <c r="N72" i="4"/>
  <c r="CL80" i="10" s="1"/>
  <c r="M72" i="4"/>
  <c r="DW80" i="10" s="1"/>
  <c r="L72" i="4"/>
  <c r="DT80" i="10" s="1"/>
  <c r="K72" i="4"/>
  <c r="CD80" i="10" s="1"/>
  <c r="J72" i="4"/>
  <c r="DU80" i="10" s="1"/>
  <c r="I72" i="4"/>
  <c r="AP80" i="10" s="1"/>
  <c r="H72" i="4"/>
  <c r="AE80" i="10" s="1"/>
  <c r="G72" i="4"/>
  <c r="AD80" i="10" s="1"/>
  <c r="F72" i="4"/>
  <c r="AC80" i="10" s="1"/>
  <c r="E72" i="4"/>
  <c r="BN80" i="10" s="1"/>
  <c r="D72" i="4"/>
  <c r="BK80" i="10" s="1"/>
  <c r="C72" i="4"/>
  <c r="U80" i="10" s="1"/>
  <c r="B72" i="4"/>
  <c r="BL80" i="10" s="1"/>
  <c r="AG71" i="4"/>
  <c r="HQ79" i="10" s="1"/>
  <c r="AF71" i="4"/>
  <c r="HF79" i="10" s="1"/>
  <c r="AE71" i="4"/>
  <c r="HE79" i="10" s="1"/>
  <c r="AD71" i="4"/>
  <c r="HD79" i="10" s="1"/>
  <c r="AC71" i="4"/>
  <c r="IO79" i="10" s="1"/>
  <c r="AB71" i="4"/>
  <c r="AA71" i="4"/>
  <c r="GV79" i="10" s="1"/>
  <c r="Z71" i="4"/>
  <c r="IM79" i="10" s="1"/>
  <c r="Y71" i="4"/>
  <c r="FH79" i="10" s="1"/>
  <c r="X71" i="4"/>
  <c r="EW79" i="10" s="1"/>
  <c r="W71" i="4"/>
  <c r="EV79" i="10" s="1"/>
  <c r="V71" i="4"/>
  <c r="EU79" i="10" s="1"/>
  <c r="U71" i="4"/>
  <c r="GF79" i="10" s="1"/>
  <c r="T71" i="4"/>
  <c r="GC79" i="10" s="1"/>
  <c r="S71" i="4"/>
  <c r="EM79" i="10" s="1"/>
  <c r="R71" i="4"/>
  <c r="GD79" i="10" s="1"/>
  <c r="Q71" i="4"/>
  <c r="CY79" i="10" s="1"/>
  <c r="P71" i="4"/>
  <c r="CN79" i="10" s="1"/>
  <c r="O71" i="4"/>
  <c r="CM79" i="10" s="1"/>
  <c r="N71" i="4"/>
  <c r="CL79" i="10" s="1"/>
  <c r="M71" i="4"/>
  <c r="DW79" i="10" s="1"/>
  <c r="L71" i="4"/>
  <c r="DT79" i="10" s="1"/>
  <c r="K71" i="4"/>
  <c r="CD79" i="10" s="1"/>
  <c r="J71" i="4"/>
  <c r="DU79" i="10" s="1"/>
  <c r="I71" i="4"/>
  <c r="AP79" i="10" s="1"/>
  <c r="H71" i="4"/>
  <c r="AE79" i="10" s="1"/>
  <c r="G71" i="4"/>
  <c r="AD79" i="10" s="1"/>
  <c r="F71" i="4"/>
  <c r="AC79" i="10" s="1"/>
  <c r="E71" i="4"/>
  <c r="BN79" i="10" s="1"/>
  <c r="D71" i="4"/>
  <c r="BK79" i="10" s="1"/>
  <c r="C71" i="4"/>
  <c r="U79" i="10" s="1"/>
  <c r="B71" i="4"/>
  <c r="BL79" i="10" s="1"/>
  <c r="AG70" i="4"/>
  <c r="HQ78" i="10" s="1"/>
  <c r="AF70" i="4"/>
  <c r="HF78" i="10" s="1"/>
  <c r="AE70" i="4"/>
  <c r="HE78" i="10" s="1"/>
  <c r="AD70" i="4"/>
  <c r="HD78" i="10" s="1"/>
  <c r="AC70" i="4"/>
  <c r="IO78" i="10" s="1"/>
  <c r="AB70" i="4"/>
  <c r="IL78" i="10" s="1"/>
  <c r="AA70" i="4"/>
  <c r="GV78" i="10" s="1"/>
  <c r="Z70" i="4"/>
  <c r="IM78" i="10" s="1"/>
  <c r="Y70" i="4"/>
  <c r="FH78" i="10" s="1"/>
  <c r="X70" i="4"/>
  <c r="EW78" i="10" s="1"/>
  <c r="W70" i="4"/>
  <c r="EV78" i="10" s="1"/>
  <c r="V70" i="4"/>
  <c r="EU78" i="10" s="1"/>
  <c r="U70" i="4"/>
  <c r="GF78" i="10" s="1"/>
  <c r="T70" i="4"/>
  <c r="GC78" i="10" s="1"/>
  <c r="S70" i="4"/>
  <c r="EM78" i="10" s="1"/>
  <c r="R70" i="4"/>
  <c r="GD78" i="10" s="1"/>
  <c r="Q70" i="4"/>
  <c r="CY78" i="10" s="1"/>
  <c r="P70" i="4"/>
  <c r="CN78" i="10" s="1"/>
  <c r="O70" i="4"/>
  <c r="CM78" i="10" s="1"/>
  <c r="N70" i="4"/>
  <c r="CL78" i="10" s="1"/>
  <c r="M70" i="4"/>
  <c r="DW78" i="10" s="1"/>
  <c r="L70" i="4"/>
  <c r="DT78" i="10" s="1"/>
  <c r="K70" i="4"/>
  <c r="CD78" i="10" s="1"/>
  <c r="J70" i="4"/>
  <c r="DU78" i="10" s="1"/>
  <c r="I70" i="4"/>
  <c r="AP78" i="10" s="1"/>
  <c r="H70" i="4"/>
  <c r="AE78" i="10" s="1"/>
  <c r="G70" i="4"/>
  <c r="AD78" i="10" s="1"/>
  <c r="F70" i="4"/>
  <c r="AC78" i="10" s="1"/>
  <c r="E70" i="4"/>
  <c r="BN78" i="10" s="1"/>
  <c r="D70" i="4"/>
  <c r="BK78" i="10" s="1"/>
  <c r="C70" i="4"/>
  <c r="U78" i="10" s="1"/>
  <c r="B70" i="4"/>
  <c r="BL78" i="10" s="1"/>
  <c r="AG69" i="4"/>
  <c r="HQ77" i="10" s="1"/>
  <c r="AF69" i="4"/>
  <c r="HF77" i="10" s="1"/>
  <c r="AE69" i="4"/>
  <c r="HE77" i="10" s="1"/>
  <c r="AD69" i="4"/>
  <c r="HD77" i="10" s="1"/>
  <c r="AC69" i="4"/>
  <c r="IO77" i="10" s="1"/>
  <c r="AB69" i="4"/>
  <c r="AA69" i="4"/>
  <c r="GV77" i="10" s="1"/>
  <c r="Z69" i="4"/>
  <c r="IM77" i="10" s="1"/>
  <c r="Y69" i="4"/>
  <c r="FH77" i="10" s="1"/>
  <c r="X69" i="4"/>
  <c r="EW77" i="10" s="1"/>
  <c r="W69" i="4"/>
  <c r="EV77" i="10" s="1"/>
  <c r="V69" i="4"/>
  <c r="EU77" i="10" s="1"/>
  <c r="U69" i="4"/>
  <c r="GF77" i="10" s="1"/>
  <c r="T69" i="4"/>
  <c r="GC77" i="10" s="1"/>
  <c r="S69" i="4"/>
  <c r="EM77" i="10" s="1"/>
  <c r="R69" i="4"/>
  <c r="GD77" i="10" s="1"/>
  <c r="Q69" i="4"/>
  <c r="CY77" i="10" s="1"/>
  <c r="P69" i="4"/>
  <c r="CN77" i="10" s="1"/>
  <c r="O69" i="4"/>
  <c r="CM77" i="10" s="1"/>
  <c r="N69" i="4"/>
  <c r="CL77" i="10" s="1"/>
  <c r="M69" i="4"/>
  <c r="DW77" i="10" s="1"/>
  <c r="L69" i="4"/>
  <c r="DT77" i="10" s="1"/>
  <c r="K69" i="4"/>
  <c r="CD77" i="10" s="1"/>
  <c r="J69" i="4"/>
  <c r="DU77" i="10" s="1"/>
  <c r="I69" i="4"/>
  <c r="AP77" i="10" s="1"/>
  <c r="H69" i="4"/>
  <c r="AE77" i="10" s="1"/>
  <c r="G69" i="4"/>
  <c r="AD77" i="10" s="1"/>
  <c r="F69" i="4"/>
  <c r="AC77" i="10" s="1"/>
  <c r="E69" i="4"/>
  <c r="BN77" i="10" s="1"/>
  <c r="D69" i="4"/>
  <c r="BK77" i="10" s="1"/>
  <c r="C69" i="4"/>
  <c r="U77" i="10" s="1"/>
  <c r="B69" i="4"/>
  <c r="BL77" i="10" s="1"/>
  <c r="AG68" i="4"/>
  <c r="HQ76" i="10" s="1"/>
  <c r="AF68" i="4"/>
  <c r="HF76" i="10" s="1"/>
  <c r="AE68" i="4"/>
  <c r="HE76" i="10" s="1"/>
  <c r="AD68" i="4"/>
  <c r="HD76" i="10" s="1"/>
  <c r="AC68" i="4"/>
  <c r="IO76" i="10" s="1"/>
  <c r="AB68" i="4"/>
  <c r="IL76" i="10" s="1"/>
  <c r="AA68" i="4"/>
  <c r="GV76" i="10" s="1"/>
  <c r="Z68" i="4"/>
  <c r="IM76" i="10" s="1"/>
  <c r="Y68" i="4"/>
  <c r="FH76" i="10" s="1"/>
  <c r="X68" i="4"/>
  <c r="EW76" i="10" s="1"/>
  <c r="W68" i="4"/>
  <c r="EV76" i="10" s="1"/>
  <c r="V68" i="4"/>
  <c r="EU76" i="10" s="1"/>
  <c r="U68" i="4"/>
  <c r="GF76" i="10" s="1"/>
  <c r="T68" i="4"/>
  <c r="GC76" i="10" s="1"/>
  <c r="S68" i="4"/>
  <c r="EM76" i="10" s="1"/>
  <c r="R68" i="4"/>
  <c r="GD76" i="10" s="1"/>
  <c r="Q68" i="4"/>
  <c r="CY76" i="10" s="1"/>
  <c r="P68" i="4"/>
  <c r="CN76" i="10" s="1"/>
  <c r="O68" i="4"/>
  <c r="CM76" i="10" s="1"/>
  <c r="N68" i="4"/>
  <c r="CL76" i="10" s="1"/>
  <c r="M68" i="4"/>
  <c r="DW76" i="10" s="1"/>
  <c r="L68" i="4"/>
  <c r="DT76" i="10" s="1"/>
  <c r="K68" i="4"/>
  <c r="CD76" i="10" s="1"/>
  <c r="J68" i="4"/>
  <c r="DU76" i="10" s="1"/>
  <c r="I68" i="4"/>
  <c r="AP76" i="10" s="1"/>
  <c r="H68" i="4"/>
  <c r="AE76" i="10" s="1"/>
  <c r="G68" i="4"/>
  <c r="AD76" i="10" s="1"/>
  <c r="F68" i="4"/>
  <c r="AC76" i="10" s="1"/>
  <c r="E68" i="4"/>
  <c r="BN76" i="10" s="1"/>
  <c r="D68" i="4"/>
  <c r="BK76" i="10" s="1"/>
  <c r="C68" i="4"/>
  <c r="U76" i="10" s="1"/>
  <c r="B68" i="4"/>
  <c r="BL76" i="10" s="1"/>
  <c r="AG67" i="4"/>
  <c r="HQ75" i="10" s="1"/>
  <c r="AF67" i="4"/>
  <c r="HF75" i="10" s="1"/>
  <c r="AE67" i="4"/>
  <c r="HE75" i="10" s="1"/>
  <c r="AD67" i="4"/>
  <c r="HD75" i="10" s="1"/>
  <c r="AC67" i="4"/>
  <c r="IO75" i="10" s="1"/>
  <c r="AB67" i="4"/>
  <c r="AA67" i="4"/>
  <c r="GV75" i="10" s="1"/>
  <c r="Z67" i="4"/>
  <c r="IM75" i="10" s="1"/>
  <c r="Y67" i="4"/>
  <c r="FH75" i="10" s="1"/>
  <c r="X67" i="4"/>
  <c r="EW75" i="10" s="1"/>
  <c r="W67" i="4"/>
  <c r="EV75" i="10" s="1"/>
  <c r="V67" i="4"/>
  <c r="EU75" i="10" s="1"/>
  <c r="U67" i="4"/>
  <c r="GF75" i="10" s="1"/>
  <c r="T67" i="4"/>
  <c r="GC75" i="10" s="1"/>
  <c r="S67" i="4"/>
  <c r="EM75" i="10" s="1"/>
  <c r="R67" i="4"/>
  <c r="GD75" i="10" s="1"/>
  <c r="Q67" i="4"/>
  <c r="CY75" i="10" s="1"/>
  <c r="P67" i="4"/>
  <c r="CN75" i="10" s="1"/>
  <c r="O67" i="4"/>
  <c r="CM75" i="10" s="1"/>
  <c r="N67" i="4"/>
  <c r="CL75" i="10" s="1"/>
  <c r="M67" i="4"/>
  <c r="DW75" i="10" s="1"/>
  <c r="L67" i="4"/>
  <c r="DT75" i="10" s="1"/>
  <c r="K67" i="4"/>
  <c r="CD75" i="10" s="1"/>
  <c r="J67" i="4"/>
  <c r="DU75" i="10" s="1"/>
  <c r="I67" i="4"/>
  <c r="AP75" i="10" s="1"/>
  <c r="H67" i="4"/>
  <c r="AE75" i="10" s="1"/>
  <c r="G67" i="4"/>
  <c r="AD75" i="10" s="1"/>
  <c r="F67" i="4"/>
  <c r="AC75" i="10" s="1"/>
  <c r="E67" i="4"/>
  <c r="BN75" i="10" s="1"/>
  <c r="D67" i="4"/>
  <c r="BK75" i="10" s="1"/>
  <c r="C67" i="4"/>
  <c r="U75" i="10" s="1"/>
  <c r="B67" i="4"/>
  <c r="BL75" i="10" s="1"/>
  <c r="AG66" i="4"/>
  <c r="HQ74" i="10" s="1"/>
  <c r="AF66" i="4"/>
  <c r="HF74" i="10" s="1"/>
  <c r="AE66" i="4"/>
  <c r="HE74" i="10" s="1"/>
  <c r="AD66" i="4"/>
  <c r="HD74" i="10" s="1"/>
  <c r="AC66" i="4"/>
  <c r="IO74" i="10" s="1"/>
  <c r="AB66" i="4"/>
  <c r="IL74" i="10" s="1"/>
  <c r="AA66" i="4"/>
  <c r="GV74" i="10" s="1"/>
  <c r="Z66" i="4"/>
  <c r="IM74" i="10" s="1"/>
  <c r="Y66" i="4"/>
  <c r="FH74" i="10" s="1"/>
  <c r="X66" i="4"/>
  <c r="EW74" i="10" s="1"/>
  <c r="W66" i="4"/>
  <c r="EV74" i="10" s="1"/>
  <c r="V66" i="4"/>
  <c r="EU74" i="10" s="1"/>
  <c r="U66" i="4"/>
  <c r="GF74" i="10" s="1"/>
  <c r="T66" i="4"/>
  <c r="GC74" i="10" s="1"/>
  <c r="S66" i="4"/>
  <c r="EM74" i="10" s="1"/>
  <c r="R66" i="4"/>
  <c r="GD74" i="10" s="1"/>
  <c r="Q66" i="4"/>
  <c r="CY74" i="10" s="1"/>
  <c r="P66" i="4"/>
  <c r="CN74" i="10" s="1"/>
  <c r="O66" i="4"/>
  <c r="CM74" i="10" s="1"/>
  <c r="N66" i="4"/>
  <c r="CL74" i="10" s="1"/>
  <c r="M66" i="4"/>
  <c r="DW74" i="10" s="1"/>
  <c r="L66" i="4"/>
  <c r="DT74" i="10" s="1"/>
  <c r="K66" i="4"/>
  <c r="CD74" i="10" s="1"/>
  <c r="J66" i="4"/>
  <c r="DU74" i="10" s="1"/>
  <c r="I66" i="4"/>
  <c r="AP74" i="10" s="1"/>
  <c r="H66" i="4"/>
  <c r="AE74" i="10" s="1"/>
  <c r="G66" i="4"/>
  <c r="AD74" i="10" s="1"/>
  <c r="F66" i="4"/>
  <c r="AC74" i="10" s="1"/>
  <c r="E66" i="4"/>
  <c r="BN74" i="10" s="1"/>
  <c r="D66" i="4"/>
  <c r="BK74" i="10" s="1"/>
  <c r="C66" i="4"/>
  <c r="U74" i="10" s="1"/>
  <c r="B66" i="4"/>
  <c r="BL74" i="10" s="1"/>
  <c r="AG65" i="4"/>
  <c r="HQ73" i="10" s="1"/>
  <c r="AF65" i="4"/>
  <c r="HF73" i="10" s="1"/>
  <c r="AE65" i="4"/>
  <c r="HE73" i="10" s="1"/>
  <c r="AD65" i="4"/>
  <c r="HD73" i="10" s="1"/>
  <c r="AC65" i="4"/>
  <c r="IO73" i="10" s="1"/>
  <c r="AB65" i="4"/>
  <c r="IL73" i="10" s="1"/>
  <c r="AA65" i="4"/>
  <c r="GV73" i="10" s="1"/>
  <c r="Z65" i="4"/>
  <c r="IM73" i="10" s="1"/>
  <c r="Y65" i="4"/>
  <c r="FH73" i="10" s="1"/>
  <c r="X65" i="4"/>
  <c r="EW73" i="10" s="1"/>
  <c r="W65" i="4"/>
  <c r="EV73" i="10" s="1"/>
  <c r="V65" i="4"/>
  <c r="EU73" i="10" s="1"/>
  <c r="U65" i="4"/>
  <c r="GF73" i="10" s="1"/>
  <c r="T65" i="4"/>
  <c r="GC73" i="10" s="1"/>
  <c r="S65" i="4"/>
  <c r="EM73" i="10" s="1"/>
  <c r="R65" i="4"/>
  <c r="GD73" i="10" s="1"/>
  <c r="Q65" i="4"/>
  <c r="CY73" i="10" s="1"/>
  <c r="P65" i="4"/>
  <c r="CN73" i="10" s="1"/>
  <c r="O65" i="4"/>
  <c r="CM73" i="10" s="1"/>
  <c r="N65" i="4"/>
  <c r="CL73" i="10" s="1"/>
  <c r="M65" i="4"/>
  <c r="DW73" i="10" s="1"/>
  <c r="L65" i="4"/>
  <c r="DT73" i="10" s="1"/>
  <c r="K65" i="4"/>
  <c r="CD73" i="10" s="1"/>
  <c r="J65" i="4"/>
  <c r="DU73" i="10" s="1"/>
  <c r="I65" i="4"/>
  <c r="AP73" i="10" s="1"/>
  <c r="H65" i="4"/>
  <c r="AE73" i="10" s="1"/>
  <c r="G65" i="4"/>
  <c r="AD73" i="10" s="1"/>
  <c r="F65" i="4"/>
  <c r="AC73" i="10" s="1"/>
  <c r="E65" i="4"/>
  <c r="BN73" i="10" s="1"/>
  <c r="D65" i="4"/>
  <c r="BK73" i="10" s="1"/>
  <c r="C65" i="4"/>
  <c r="U73" i="10" s="1"/>
  <c r="B65" i="4"/>
  <c r="BL73" i="10" s="1"/>
  <c r="AG64" i="4"/>
  <c r="HQ72" i="10" s="1"/>
  <c r="AF64" i="4"/>
  <c r="HF72" i="10" s="1"/>
  <c r="AE64" i="4"/>
  <c r="HE72" i="10" s="1"/>
  <c r="AD64" i="4"/>
  <c r="HD72" i="10" s="1"/>
  <c r="AC64" i="4"/>
  <c r="IO72" i="10" s="1"/>
  <c r="AB64" i="4"/>
  <c r="IL72" i="10" s="1"/>
  <c r="AA64" i="4"/>
  <c r="GV72" i="10" s="1"/>
  <c r="Z64" i="4"/>
  <c r="IM72" i="10" s="1"/>
  <c r="Y64" i="4"/>
  <c r="FH72" i="10" s="1"/>
  <c r="X64" i="4"/>
  <c r="EW72" i="10" s="1"/>
  <c r="W64" i="4"/>
  <c r="EV72" i="10" s="1"/>
  <c r="V64" i="4"/>
  <c r="EU72" i="10" s="1"/>
  <c r="U64" i="4"/>
  <c r="GF72" i="10" s="1"/>
  <c r="T64" i="4"/>
  <c r="GC72" i="10" s="1"/>
  <c r="S64" i="4"/>
  <c r="EM72" i="10" s="1"/>
  <c r="R64" i="4"/>
  <c r="GD72" i="10" s="1"/>
  <c r="Q64" i="4"/>
  <c r="CY72" i="10" s="1"/>
  <c r="P64" i="4"/>
  <c r="CN72" i="10" s="1"/>
  <c r="O64" i="4"/>
  <c r="CM72" i="10" s="1"/>
  <c r="N64" i="4"/>
  <c r="CL72" i="10" s="1"/>
  <c r="M64" i="4"/>
  <c r="DW72" i="10" s="1"/>
  <c r="L64" i="4"/>
  <c r="DT72" i="10" s="1"/>
  <c r="K64" i="4"/>
  <c r="CD72" i="10" s="1"/>
  <c r="J64" i="4"/>
  <c r="DU72" i="10" s="1"/>
  <c r="I64" i="4"/>
  <c r="AP72" i="10" s="1"/>
  <c r="H64" i="4"/>
  <c r="AE72" i="10" s="1"/>
  <c r="G64" i="4"/>
  <c r="AD72" i="10" s="1"/>
  <c r="F64" i="4"/>
  <c r="AC72" i="10" s="1"/>
  <c r="E64" i="4"/>
  <c r="BN72" i="10" s="1"/>
  <c r="D64" i="4"/>
  <c r="BK72" i="10" s="1"/>
  <c r="C64" i="4"/>
  <c r="U72" i="10" s="1"/>
  <c r="B64" i="4"/>
  <c r="BL72" i="10" s="1"/>
  <c r="AG63" i="4"/>
  <c r="HQ71" i="10" s="1"/>
  <c r="AF63" i="4"/>
  <c r="HF71" i="10" s="1"/>
  <c r="AE63" i="4"/>
  <c r="HE71" i="10" s="1"/>
  <c r="AD63" i="4"/>
  <c r="HD71" i="10" s="1"/>
  <c r="AC63" i="4"/>
  <c r="IO71" i="10" s="1"/>
  <c r="AB63" i="4"/>
  <c r="AA63" i="4"/>
  <c r="GV71" i="10" s="1"/>
  <c r="Z63" i="4"/>
  <c r="IM71" i="10" s="1"/>
  <c r="Y63" i="4"/>
  <c r="FH71" i="10" s="1"/>
  <c r="X63" i="4"/>
  <c r="EW71" i="10" s="1"/>
  <c r="W63" i="4"/>
  <c r="EV71" i="10" s="1"/>
  <c r="V63" i="4"/>
  <c r="EU71" i="10" s="1"/>
  <c r="U63" i="4"/>
  <c r="GF71" i="10" s="1"/>
  <c r="T63" i="4"/>
  <c r="GC71" i="10" s="1"/>
  <c r="S63" i="4"/>
  <c r="EM71" i="10" s="1"/>
  <c r="R63" i="4"/>
  <c r="GD71" i="10" s="1"/>
  <c r="Q63" i="4"/>
  <c r="CY71" i="10" s="1"/>
  <c r="P63" i="4"/>
  <c r="CN71" i="10" s="1"/>
  <c r="O63" i="4"/>
  <c r="CM71" i="10" s="1"/>
  <c r="N63" i="4"/>
  <c r="CL71" i="10" s="1"/>
  <c r="M63" i="4"/>
  <c r="DW71" i="10" s="1"/>
  <c r="L63" i="4"/>
  <c r="DT71" i="10" s="1"/>
  <c r="K63" i="4"/>
  <c r="CD71" i="10" s="1"/>
  <c r="J63" i="4"/>
  <c r="DU71" i="10" s="1"/>
  <c r="I63" i="4"/>
  <c r="AP71" i="10" s="1"/>
  <c r="H63" i="4"/>
  <c r="AE71" i="10" s="1"/>
  <c r="G63" i="4"/>
  <c r="AD71" i="10" s="1"/>
  <c r="F63" i="4"/>
  <c r="AC71" i="10" s="1"/>
  <c r="E63" i="4"/>
  <c r="BN71" i="10" s="1"/>
  <c r="D63" i="4"/>
  <c r="BK71" i="10" s="1"/>
  <c r="C63" i="4"/>
  <c r="U71" i="10" s="1"/>
  <c r="B63" i="4"/>
  <c r="BL71" i="10" s="1"/>
  <c r="AG62" i="4"/>
  <c r="HQ70" i="10" s="1"/>
  <c r="AF62" i="4"/>
  <c r="HF70" i="10" s="1"/>
  <c r="AE62" i="4"/>
  <c r="HE70" i="10" s="1"/>
  <c r="AD62" i="4"/>
  <c r="HD70" i="10" s="1"/>
  <c r="AC62" i="4"/>
  <c r="IO70" i="10" s="1"/>
  <c r="AB62" i="4"/>
  <c r="AA62" i="4"/>
  <c r="GV70" i="10" s="1"/>
  <c r="Z62" i="4"/>
  <c r="IM70" i="10" s="1"/>
  <c r="Y62" i="4"/>
  <c r="FH70" i="10" s="1"/>
  <c r="X62" i="4"/>
  <c r="EW70" i="10" s="1"/>
  <c r="W62" i="4"/>
  <c r="EV70" i="10" s="1"/>
  <c r="V62" i="4"/>
  <c r="EU70" i="10" s="1"/>
  <c r="U62" i="4"/>
  <c r="GF70" i="10" s="1"/>
  <c r="T62" i="4"/>
  <c r="GC70" i="10" s="1"/>
  <c r="S62" i="4"/>
  <c r="EM70" i="10" s="1"/>
  <c r="R62" i="4"/>
  <c r="GD70" i="10" s="1"/>
  <c r="Q62" i="4"/>
  <c r="CY70" i="10" s="1"/>
  <c r="P62" i="4"/>
  <c r="CN70" i="10" s="1"/>
  <c r="O62" i="4"/>
  <c r="CM70" i="10" s="1"/>
  <c r="N62" i="4"/>
  <c r="CL70" i="10" s="1"/>
  <c r="M62" i="4"/>
  <c r="DW70" i="10" s="1"/>
  <c r="L62" i="4"/>
  <c r="DT70" i="10" s="1"/>
  <c r="K62" i="4"/>
  <c r="CD70" i="10" s="1"/>
  <c r="J62" i="4"/>
  <c r="DU70" i="10" s="1"/>
  <c r="I62" i="4"/>
  <c r="AP70" i="10" s="1"/>
  <c r="H62" i="4"/>
  <c r="AE70" i="10" s="1"/>
  <c r="G62" i="4"/>
  <c r="AD70" i="10" s="1"/>
  <c r="F62" i="4"/>
  <c r="AC70" i="10" s="1"/>
  <c r="E62" i="4"/>
  <c r="BN70" i="10" s="1"/>
  <c r="D62" i="4"/>
  <c r="BK70" i="10" s="1"/>
  <c r="C62" i="4"/>
  <c r="U70" i="10" s="1"/>
  <c r="B62" i="4"/>
  <c r="BL70" i="10" s="1"/>
  <c r="AG61" i="4"/>
  <c r="HQ69" i="10" s="1"/>
  <c r="AF61" i="4"/>
  <c r="HF69" i="10" s="1"/>
  <c r="AE61" i="4"/>
  <c r="HE69" i="10" s="1"/>
  <c r="AD61" i="4"/>
  <c r="HD69" i="10" s="1"/>
  <c r="AC61" i="4"/>
  <c r="IO69" i="10" s="1"/>
  <c r="AB61" i="4"/>
  <c r="IL69" i="10" s="1"/>
  <c r="AA61" i="4"/>
  <c r="GV69" i="10" s="1"/>
  <c r="Z61" i="4"/>
  <c r="IM69" i="10" s="1"/>
  <c r="Y61" i="4"/>
  <c r="FH69" i="10" s="1"/>
  <c r="X61" i="4"/>
  <c r="EW69" i="10" s="1"/>
  <c r="W61" i="4"/>
  <c r="EV69" i="10" s="1"/>
  <c r="V61" i="4"/>
  <c r="EU69" i="10" s="1"/>
  <c r="U61" i="4"/>
  <c r="GF69" i="10" s="1"/>
  <c r="T61" i="4"/>
  <c r="GC69" i="10" s="1"/>
  <c r="S61" i="4"/>
  <c r="EM69" i="10" s="1"/>
  <c r="R61" i="4"/>
  <c r="GD69" i="10" s="1"/>
  <c r="Q61" i="4"/>
  <c r="CY69" i="10" s="1"/>
  <c r="P61" i="4"/>
  <c r="CN69" i="10" s="1"/>
  <c r="O61" i="4"/>
  <c r="CM69" i="10" s="1"/>
  <c r="N61" i="4"/>
  <c r="CL69" i="10" s="1"/>
  <c r="M61" i="4"/>
  <c r="DW69" i="10" s="1"/>
  <c r="L61" i="4"/>
  <c r="DT69" i="10" s="1"/>
  <c r="K61" i="4"/>
  <c r="CD69" i="10" s="1"/>
  <c r="J61" i="4"/>
  <c r="DU69" i="10" s="1"/>
  <c r="I61" i="4"/>
  <c r="AP69" i="10" s="1"/>
  <c r="H61" i="4"/>
  <c r="AE69" i="10" s="1"/>
  <c r="G61" i="4"/>
  <c r="AD69" i="10" s="1"/>
  <c r="F61" i="4"/>
  <c r="AC69" i="10" s="1"/>
  <c r="E61" i="4"/>
  <c r="BN69" i="10" s="1"/>
  <c r="D61" i="4"/>
  <c r="BK69" i="10" s="1"/>
  <c r="C61" i="4"/>
  <c r="U69" i="10" s="1"/>
  <c r="B61" i="4"/>
  <c r="BL69" i="10" s="1"/>
  <c r="AG60" i="4"/>
  <c r="HQ68" i="10" s="1"/>
  <c r="AF60" i="4"/>
  <c r="HF68" i="10" s="1"/>
  <c r="AE60" i="4"/>
  <c r="HE68" i="10" s="1"/>
  <c r="AD60" i="4"/>
  <c r="HD68" i="10" s="1"/>
  <c r="AC60" i="4"/>
  <c r="IO68" i="10" s="1"/>
  <c r="AB60" i="4"/>
  <c r="IL68" i="10" s="1"/>
  <c r="AA60" i="4"/>
  <c r="GV68" i="10" s="1"/>
  <c r="Z60" i="4"/>
  <c r="IM68" i="10" s="1"/>
  <c r="Y60" i="4"/>
  <c r="FH68" i="10" s="1"/>
  <c r="X60" i="4"/>
  <c r="EW68" i="10" s="1"/>
  <c r="W60" i="4"/>
  <c r="EV68" i="10" s="1"/>
  <c r="V60" i="4"/>
  <c r="EU68" i="10" s="1"/>
  <c r="U60" i="4"/>
  <c r="GF68" i="10" s="1"/>
  <c r="T60" i="4"/>
  <c r="GC68" i="10" s="1"/>
  <c r="S60" i="4"/>
  <c r="EM68" i="10" s="1"/>
  <c r="R60" i="4"/>
  <c r="GD68" i="10" s="1"/>
  <c r="Q60" i="4"/>
  <c r="CY68" i="10" s="1"/>
  <c r="P60" i="4"/>
  <c r="CN68" i="10" s="1"/>
  <c r="O60" i="4"/>
  <c r="CM68" i="10" s="1"/>
  <c r="N60" i="4"/>
  <c r="CL68" i="10" s="1"/>
  <c r="M60" i="4"/>
  <c r="DW68" i="10" s="1"/>
  <c r="L60" i="4"/>
  <c r="DT68" i="10" s="1"/>
  <c r="K60" i="4"/>
  <c r="CD68" i="10" s="1"/>
  <c r="J60" i="4"/>
  <c r="DU68" i="10" s="1"/>
  <c r="I60" i="4"/>
  <c r="AP68" i="10" s="1"/>
  <c r="H60" i="4"/>
  <c r="AE68" i="10" s="1"/>
  <c r="G60" i="4"/>
  <c r="AD68" i="10" s="1"/>
  <c r="F60" i="4"/>
  <c r="AC68" i="10" s="1"/>
  <c r="E60" i="4"/>
  <c r="BN68" i="10" s="1"/>
  <c r="D60" i="4"/>
  <c r="BK68" i="10" s="1"/>
  <c r="C60" i="4"/>
  <c r="U68" i="10" s="1"/>
  <c r="B60" i="4"/>
  <c r="BL68" i="10" s="1"/>
  <c r="AG59" i="4"/>
  <c r="HQ67" i="10" s="1"/>
  <c r="AF59" i="4"/>
  <c r="HF67" i="10" s="1"/>
  <c r="AE59" i="4"/>
  <c r="HE67" i="10" s="1"/>
  <c r="AD59" i="4"/>
  <c r="HD67" i="10" s="1"/>
  <c r="AC59" i="4"/>
  <c r="IO67" i="10" s="1"/>
  <c r="AB59" i="4"/>
  <c r="IL67" i="10" s="1"/>
  <c r="AA59" i="4"/>
  <c r="GV67" i="10" s="1"/>
  <c r="Z59" i="4"/>
  <c r="IM67" i="10" s="1"/>
  <c r="Y59" i="4"/>
  <c r="FH67" i="10" s="1"/>
  <c r="X59" i="4"/>
  <c r="EW67" i="10" s="1"/>
  <c r="W59" i="4"/>
  <c r="EV67" i="10" s="1"/>
  <c r="V59" i="4"/>
  <c r="EU67" i="10" s="1"/>
  <c r="U59" i="4"/>
  <c r="GF67" i="10" s="1"/>
  <c r="T59" i="4"/>
  <c r="GC67" i="10" s="1"/>
  <c r="S59" i="4"/>
  <c r="EM67" i="10" s="1"/>
  <c r="R59" i="4"/>
  <c r="GD67" i="10" s="1"/>
  <c r="Q59" i="4"/>
  <c r="CY67" i="10" s="1"/>
  <c r="P59" i="4"/>
  <c r="CN67" i="10" s="1"/>
  <c r="O59" i="4"/>
  <c r="CM67" i="10" s="1"/>
  <c r="N59" i="4"/>
  <c r="CL67" i="10" s="1"/>
  <c r="M59" i="4"/>
  <c r="DW67" i="10" s="1"/>
  <c r="L59" i="4"/>
  <c r="DT67" i="10" s="1"/>
  <c r="K59" i="4"/>
  <c r="CD67" i="10" s="1"/>
  <c r="J59" i="4"/>
  <c r="DU67" i="10" s="1"/>
  <c r="I59" i="4"/>
  <c r="AP67" i="10" s="1"/>
  <c r="H59" i="4"/>
  <c r="AE67" i="10" s="1"/>
  <c r="G59" i="4"/>
  <c r="AD67" i="10" s="1"/>
  <c r="F59" i="4"/>
  <c r="AC67" i="10" s="1"/>
  <c r="E59" i="4"/>
  <c r="BN67" i="10" s="1"/>
  <c r="D59" i="4"/>
  <c r="BK67" i="10" s="1"/>
  <c r="C59" i="4"/>
  <c r="U67" i="10" s="1"/>
  <c r="B59" i="4"/>
  <c r="BL67" i="10" s="1"/>
  <c r="AG58" i="4"/>
  <c r="HQ66" i="10" s="1"/>
  <c r="AF58" i="4"/>
  <c r="HF66" i="10" s="1"/>
  <c r="AE58" i="4"/>
  <c r="HE66" i="10" s="1"/>
  <c r="AD58" i="4"/>
  <c r="HD66" i="10" s="1"/>
  <c r="AC58" i="4"/>
  <c r="IO66" i="10" s="1"/>
  <c r="AB58" i="4"/>
  <c r="IL66" i="10" s="1"/>
  <c r="AA58" i="4"/>
  <c r="GV66" i="10" s="1"/>
  <c r="Z58" i="4"/>
  <c r="IM66" i="10" s="1"/>
  <c r="Y58" i="4"/>
  <c r="FH66" i="10" s="1"/>
  <c r="X58" i="4"/>
  <c r="EW66" i="10" s="1"/>
  <c r="W58" i="4"/>
  <c r="EV66" i="10" s="1"/>
  <c r="V58" i="4"/>
  <c r="EU66" i="10" s="1"/>
  <c r="U58" i="4"/>
  <c r="GF66" i="10" s="1"/>
  <c r="T58" i="4"/>
  <c r="GC66" i="10" s="1"/>
  <c r="S58" i="4"/>
  <c r="EM66" i="10" s="1"/>
  <c r="R58" i="4"/>
  <c r="GD66" i="10" s="1"/>
  <c r="Q58" i="4"/>
  <c r="CY66" i="10" s="1"/>
  <c r="P58" i="4"/>
  <c r="CN66" i="10" s="1"/>
  <c r="O58" i="4"/>
  <c r="CM66" i="10" s="1"/>
  <c r="N58" i="4"/>
  <c r="CL66" i="10" s="1"/>
  <c r="M58" i="4"/>
  <c r="DW66" i="10" s="1"/>
  <c r="L58" i="4"/>
  <c r="DT66" i="10" s="1"/>
  <c r="K58" i="4"/>
  <c r="CD66" i="10" s="1"/>
  <c r="J58" i="4"/>
  <c r="DU66" i="10" s="1"/>
  <c r="I58" i="4"/>
  <c r="AP66" i="10" s="1"/>
  <c r="H58" i="4"/>
  <c r="AE66" i="10" s="1"/>
  <c r="G58" i="4"/>
  <c r="AD66" i="10" s="1"/>
  <c r="F58" i="4"/>
  <c r="AC66" i="10" s="1"/>
  <c r="E58" i="4"/>
  <c r="BN66" i="10" s="1"/>
  <c r="D58" i="4"/>
  <c r="BK66" i="10" s="1"/>
  <c r="C58" i="4"/>
  <c r="U66" i="10" s="1"/>
  <c r="B58" i="4"/>
  <c r="BL66" i="10" s="1"/>
  <c r="AG57" i="4"/>
  <c r="HQ65" i="10" s="1"/>
  <c r="AF57" i="4"/>
  <c r="HF65" i="10" s="1"/>
  <c r="AE57" i="4"/>
  <c r="HE65" i="10" s="1"/>
  <c r="AD57" i="4"/>
  <c r="HD65" i="10" s="1"/>
  <c r="AC57" i="4"/>
  <c r="IO65" i="10" s="1"/>
  <c r="AB57" i="4"/>
  <c r="IL65" i="10" s="1"/>
  <c r="AA57" i="4"/>
  <c r="GV65" i="10" s="1"/>
  <c r="Z57" i="4"/>
  <c r="IM65" i="10" s="1"/>
  <c r="Y57" i="4"/>
  <c r="FH65" i="10" s="1"/>
  <c r="X57" i="4"/>
  <c r="EW65" i="10" s="1"/>
  <c r="W57" i="4"/>
  <c r="EV65" i="10" s="1"/>
  <c r="V57" i="4"/>
  <c r="EU65" i="10" s="1"/>
  <c r="U57" i="4"/>
  <c r="GF65" i="10" s="1"/>
  <c r="T57" i="4"/>
  <c r="GC65" i="10" s="1"/>
  <c r="S57" i="4"/>
  <c r="EM65" i="10" s="1"/>
  <c r="R57" i="4"/>
  <c r="GD65" i="10" s="1"/>
  <c r="Q57" i="4"/>
  <c r="CY65" i="10" s="1"/>
  <c r="P57" i="4"/>
  <c r="CN65" i="10" s="1"/>
  <c r="O57" i="4"/>
  <c r="CM65" i="10" s="1"/>
  <c r="N57" i="4"/>
  <c r="CL65" i="10" s="1"/>
  <c r="M57" i="4"/>
  <c r="DW65" i="10" s="1"/>
  <c r="L57" i="4"/>
  <c r="DT65" i="10" s="1"/>
  <c r="K57" i="4"/>
  <c r="CD65" i="10" s="1"/>
  <c r="J57" i="4"/>
  <c r="DU65" i="10" s="1"/>
  <c r="I57" i="4"/>
  <c r="AP65" i="10" s="1"/>
  <c r="H57" i="4"/>
  <c r="AE65" i="10" s="1"/>
  <c r="G57" i="4"/>
  <c r="AD65" i="10" s="1"/>
  <c r="F57" i="4"/>
  <c r="AC65" i="10" s="1"/>
  <c r="E57" i="4"/>
  <c r="BN65" i="10" s="1"/>
  <c r="D57" i="4"/>
  <c r="BK65" i="10" s="1"/>
  <c r="C57" i="4"/>
  <c r="U65" i="10" s="1"/>
  <c r="B57" i="4"/>
  <c r="BL65" i="10" s="1"/>
  <c r="AG56" i="4"/>
  <c r="HQ64" i="10" s="1"/>
  <c r="AF56" i="4"/>
  <c r="HF64" i="10" s="1"/>
  <c r="AE56" i="4"/>
  <c r="HE64" i="10" s="1"/>
  <c r="AD56" i="4"/>
  <c r="HD64" i="10" s="1"/>
  <c r="AC56" i="4"/>
  <c r="IO64" i="10" s="1"/>
  <c r="AB56" i="4"/>
  <c r="IL64" i="10" s="1"/>
  <c r="AA56" i="4"/>
  <c r="GV64" i="10" s="1"/>
  <c r="Z56" i="4"/>
  <c r="IM64" i="10" s="1"/>
  <c r="Y56" i="4"/>
  <c r="FH64" i="10" s="1"/>
  <c r="X56" i="4"/>
  <c r="EW64" i="10" s="1"/>
  <c r="W56" i="4"/>
  <c r="EV64" i="10" s="1"/>
  <c r="V56" i="4"/>
  <c r="EU64" i="10" s="1"/>
  <c r="U56" i="4"/>
  <c r="GF64" i="10" s="1"/>
  <c r="T56" i="4"/>
  <c r="GC64" i="10" s="1"/>
  <c r="S56" i="4"/>
  <c r="EM64" i="10" s="1"/>
  <c r="R56" i="4"/>
  <c r="GD64" i="10" s="1"/>
  <c r="Q56" i="4"/>
  <c r="CY64" i="10" s="1"/>
  <c r="P56" i="4"/>
  <c r="CN64" i="10" s="1"/>
  <c r="O56" i="4"/>
  <c r="CM64" i="10" s="1"/>
  <c r="N56" i="4"/>
  <c r="CL64" i="10" s="1"/>
  <c r="M56" i="4"/>
  <c r="DW64" i="10" s="1"/>
  <c r="L56" i="4"/>
  <c r="DT64" i="10" s="1"/>
  <c r="K56" i="4"/>
  <c r="CD64" i="10" s="1"/>
  <c r="J56" i="4"/>
  <c r="DU64" i="10" s="1"/>
  <c r="I56" i="4"/>
  <c r="AP64" i="10" s="1"/>
  <c r="H56" i="4"/>
  <c r="AE64" i="10" s="1"/>
  <c r="G56" i="4"/>
  <c r="AD64" i="10" s="1"/>
  <c r="F56" i="4"/>
  <c r="AC64" i="10" s="1"/>
  <c r="E56" i="4"/>
  <c r="BN64" i="10" s="1"/>
  <c r="D56" i="4"/>
  <c r="BK64" i="10" s="1"/>
  <c r="C56" i="4"/>
  <c r="U64" i="10" s="1"/>
  <c r="B56" i="4"/>
  <c r="BL64" i="10" s="1"/>
  <c r="AG55" i="4"/>
  <c r="HQ63" i="10" s="1"/>
  <c r="AF55" i="4"/>
  <c r="HF63" i="10" s="1"/>
  <c r="AE55" i="4"/>
  <c r="HE63" i="10" s="1"/>
  <c r="AD55" i="4"/>
  <c r="HD63" i="10" s="1"/>
  <c r="AC55" i="4"/>
  <c r="IO63" i="10" s="1"/>
  <c r="AB55" i="4"/>
  <c r="IL63" i="10" s="1"/>
  <c r="AA55" i="4"/>
  <c r="GV63" i="10" s="1"/>
  <c r="Z55" i="4"/>
  <c r="IM63" i="10" s="1"/>
  <c r="Y55" i="4"/>
  <c r="FH63" i="10" s="1"/>
  <c r="X55" i="4"/>
  <c r="EW63" i="10" s="1"/>
  <c r="W55" i="4"/>
  <c r="EV63" i="10" s="1"/>
  <c r="V55" i="4"/>
  <c r="EU63" i="10" s="1"/>
  <c r="U55" i="4"/>
  <c r="GF63" i="10" s="1"/>
  <c r="T55" i="4"/>
  <c r="GC63" i="10" s="1"/>
  <c r="S55" i="4"/>
  <c r="EM63" i="10" s="1"/>
  <c r="R55" i="4"/>
  <c r="GD63" i="10" s="1"/>
  <c r="Q55" i="4"/>
  <c r="CY63" i="10" s="1"/>
  <c r="P55" i="4"/>
  <c r="CN63" i="10" s="1"/>
  <c r="O55" i="4"/>
  <c r="CM63" i="10" s="1"/>
  <c r="N55" i="4"/>
  <c r="CL63" i="10" s="1"/>
  <c r="M55" i="4"/>
  <c r="DW63" i="10" s="1"/>
  <c r="L55" i="4"/>
  <c r="DT63" i="10" s="1"/>
  <c r="K55" i="4"/>
  <c r="CD63" i="10" s="1"/>
  <c r="J55" i="4"/>
  <c r="DU63" i="10" s="1"/>
  <c r="I55" i="4"/>
  <c r="AP63" i="10" s="1"/>
  <c r="H55" i="4"/>
  <c r="AE63" i="10" s="1"/>
  <c r="G55" i="4"/>
  <c r="AD63" i="10" s="1"/>
  <c r="F55" i="4"/>
  <c r="AC63" i="10" s="1"/>
  <c r="E55" i="4"/>
  <c r="BN63" i="10" s="1"/>
  <c r="D55" i="4"/>
  <c r="BK63" i="10" s="1"/>
  <c r="C55" i="4"/>
  <c r="U63" i="10" s="1"/>
  <c r="B55" i="4"/>
  <c r="BL63" i="10" s="1"/>
  <c r="AG54" i="4"/>
  <c r="HQ62" i="10" s="1"/>
  <c r="AF54" i="4"/>
  <c r="HF62" i="10" s="1"/>
  <c r="AE54" i="4"/>
  <c r="HE62" i="10" s="1"/>
  <c r="AD54" i="4"/>
  <c r="HD62" i="10" s="1"/>
  <c r="AC54" i="4"/>
  <c r="IO62" i="10" s="1"/>
  <c r="AB54" i="4"/>
  <c r="IL62" i="10" s="1"/>
  <c r="AA54" i="4"/>
  <c r="GV62" i="10" s="1"/>
  <c r="Z54" i="4"/>
  <c r="IM62" i="10" s="1"/>
  <c r="Y54" i="4"/>
  <c r="FH62" i="10" s="1"/>
  <c r="X54" i="4"/>
  <c r="EW62" i="10" s="1"/>
  <c r="W54" i="4"/>
  <c r="EV62" i="10" s="1"/>
  <c r="V54" i="4"/>
  <c r="EU62" i="10" s="1"/>
  <c r="U54" i="4"/>
  <c r="GF62" i="10" s="1"/>
  <c r="T54" i="4"/>
  <c r="GC62" i="10" s="1"/>
  <c r="S54" i="4"/>
  <c r="EM62" i="10" s="1"/>
  <c r="R54" i="4"/>
  <c r="GD62" i="10" s="1"/>
  <c r="Q54" i="4"/>
  <c r="CY62" i="10" s="1"/>
  <c r="P54" i="4"/>
  <c r="CN62" i="10" s="1"/>
  <c r="O54" i="4"/>
  <c r="CM62" i="10" s="1"/>
  <c r="N54" i="4"/>
  <c r="CL62" i="10" s="1"/>
  <c r="M54" i="4"/>
  <c r="DW62" i="10" s="1"/>
  <c r="L54" i="4"/>
  <c r="DT62" i="10" s="1"/>
  <c r="K54" i="4"/>
  <c r="CD62" i="10" s="1"/>
  <c r="J54" i="4"/>
  <c r="DU62" i="10" s="1"/>
  <c r="I54" i="4"/>
  <c r="AP62" i="10" s="1"/>
  <c r="H54" i="4"/>
  <c r="AE62" i="10" s="1"/>
  <c r="G54" i="4"/>
  <c r="AD62" i="10" s="1"/>
  <c r="F54" i="4"/>
  <c r="AC62" i="10" s="1"/>
  <c r="E54" i="4"/>
  <c r="BN62" i="10" s="1"/>
  <c r="D54" i="4"/>
  <c r="BK62" i="10" s="1"/>
  <c r="C54" i="4"/>
  <c r="U62" i="10" s="1"/>
  <c r="B54" i="4"/>
  <c r="BL62" i="10" s="1"/>
  <c r="AG53" i="4"/>
  <c r="HQ61" i="10" s="1"/>
  <c r="AF53" i="4"/>
  <c r="HF61" i="10" s="1"/>
  <c r="AE53" i="4"/>
  <c r="HE61" i="10" s="1"/>
  <c r="AD53" i="4"/>
  <c r="HD61" i="10" s="1"/>
  <c r="AC53" i="4"/>
  <c r="IO61" i="10" s="1"/>
  <c r="AB53" i="4"/>
  <c r="IL61" i="10" s="1"/>
  <c r="AA53" i="4"/>
  <c r="GV61" i="10" s="1"/>
  <c r="Z53" i="4"/>
  <c r="IM61" i="10" s="1"/>
  <c r="Y53" i="4"/>
  <c r="FH61" i="10" s="1"/>
  <c r="X53" i="4"/>
  <c r="EW61" i="10" s="1"/>
  <c r="W53" i="4"/>
  <c r="EV61" i="10" s="1"/>
  <c r="V53" i="4"/>
  <c r="EU61" i="10" s="1"/>
  <c r="U53" i="4"/>
  <c r="GF61" i="10" s="1"/>
  <c r="T53" i="4"/>
  <c r="GC61" i="10" s="1"/>
  <c r="S53" i="4"/>
  <c r="EM61" i="10" s="1"/>
  <c r="R53" i="4"/>
  <c r="GD61" i="10" s="1"/>
  <c r="Q53" i="4"/>
  <c r="CY61" i="10" s="1"/>
  <c r="P53" i="4"/>
  <c r="CN61" i="10" s="1"/>
  <c r="O53" i="4"/>
  <c r="CM61" i="10" s="1"/>
  <c r="N53" i="4"/>
  <c r="CL61" i="10" s="1"/>
  <c r="M53" i="4"/>
  <c r="DW61" i="10" s="1"/>
  <c r="L53" i="4"/>
  <c r="DT61" i="10" s="1"/>
  <c r="K53" i="4"/>
  <c r="CD61" i="10" s="1"/>
  <c r="J53" i="4"/>
  <c r="DU61" i="10" s="1"/>
  <c r="I53" i="4"/>
  <c r="AP61" i="10" s="1"/>
  <c r="H53" i="4"/>
  <c r="AE61" i="10" s="1"/>
  <c r="G53" i="4"/>
  <c r="AD61" i="10" s="1"/>
  <c r="F53" i="4"/>
  <c r="AC61" i="10" s="1"/>
  <c r="E53" i="4"/>
  <c r="BN61" i="10" s="1"/>
  <c r="D53" i="4"/>
  <c r="BK61" i="10" s="1"/>
  <c r="C53" i="4"/>
  <c r="U61" i="10" s="1"/>
  <c r="B53" i="4"/>
  <c r="BL61" i="10" s="1"/>
  <c r="AG52" i="4"/>
  <c r="HQ60" i="10" s="1"/>
  <c r="AF52" i="4"/>
  <c r="HF60" i="10" s="1"/>
  <c r="AE52" i="4"/>
  <c r="HE60" i="10" s="1"/>
  <c r="AD52" i="4"/>
  <c r="HD60" i="10" s="1"/>
  <c r="AC52" i="4"/>
  <c r="IO60" i="10" s="1"/>
  <c r="AB52" i="4"/>
  <c r="IL60" i="10" s="1"/>
  <c r="AA52" i="4"/>
  <c r="GV60" i="10" s="1"/>
  <c r="Z52" i="4"/>
  <c r="IM60" i="10" s="1"/>
  <c r="Y52" i="4"/>
  <c r="FH60" i="10" s="1"/>
  <c r="X52" i="4"/>
  <c r="EW60" i="10" s="1"/>
  <c r="W52" i="4"/>
  <c r="EV60" i="10" s="1"/>
  <c r="V52" i="4"/>
  <c r="EU60" i="10" s="1"/>
  <c r="U52" i="4"/>
  <c r="GF60" i="10" s="1"/>
  <c r="T52" i="4"/>
  <c r="GC60" i="10" s="1"/>
  <c r="S52" i="4"/>
  <c r="EM60" i="10" s="1"/>
  <c r="R52" i="4"/>
  <c r="GD60" i="10" s="1"/>
  <c r="Q52" i="4"/>
  <c r="CY60" i="10" s="1"/>
  <c r="P52" i="4"/>
  <c r="CN60" i="10" s="1"/>
  <c r="O52" i="4"/>
  <c r="CM60" i="10" s="1"/>
  <c r="N52" i="4"/>
  <c r="CL60" i="10" s="1"/>
  <c r="M52" i="4"/>
  <c r="DW60" i="10" s="1"/>
  <c r="L52" i="4"/>
  <c r="DT60" i="10" s="1"/>
  <c r="K52" i="4"/>
  <c r="CD60" i="10" s="1"/>
  <c r="J52" i="4"/>
  <c r="DU60" i="10" s="1"/>
  <c r="I52" i="4"/>
  <c r="AP60" i="10" s="1"/>
  <c r="H52" i="4"/>
  <c r="AE60" i="10" s="1"/>
  <c r="G52" i="4"/>
  <c r="AD60" i="10" s="1"/>
  <c r="F52" i="4"/>
  <c r="AC60" i="10" s="1"/>
  <c r="E52" i="4"/>
  <c r="BN60" i="10" s="1"/>
  <c r="D52" i="4"/>
  <c r="BK60" i="10" s="1"/>
  <c r="C52" i="4"/>
  <c r="U60" i="10" s="1"/>
  <c r="B52" i="4"/>
  <c r="BL60" i="10" s="1"/>
  <c r="AG51" i="4"/>
  <c r="HQ59" i="10" s="1"/>
  <c r="AF51" i="4"/>
  <c r="HF59" i="10" s="1"/>
  <c r="AE51" i="4"/>
  <c r="HE59" i="10" s="1"/>
  <c r="AD51" i="4"/>
  <c r="HD59" i="10" s="1"/>
  <c r="AC51" i="4"/>
  <c r="IO59" i="10" s="1"/>
  <c r="AB51" i="4"/>
  <c r="IL59" i="10" s="1"/>
  <c r="AA51" i="4"/>
  <c r="GV59" i="10" s="1"/>
  <c r="Z51" i="4"/>
  <c r="IM59" i="10" s="1"/>
  <c r="Y51" i="4"/>
  <c r="FH59" i="10" s="1"/>
  <c r="X51" i="4"/>
  <c r="EW59" i="10" s="1"/>
  <c r="W51" i="4"/>
  <c r="EV59" i="10" s="1"/>
  <c r="V51" i="4"/>
  <c r="EU59" i="10" s="1"/>
  <c r="U51" i="4"/>
  <c r="GF59" i="10" s="1"/>
  <c r="T51" i="4"/>
  <c r="GC59" i="10" s="1"/>
  <c r="S51" i="4"/>
  <c r="EM59" i="10" s="1"/>
  <c r="R51" i="4"/>
  <c r="GD59" i="10" s="1"/>
  <c r="Q51" i="4"/>
  <c r="CY59" i="10" s="1"/>
  <c r="P51" i="4"/>
  <c r="CN59" i="10" s="1"/>
  <c r="O51" i="4"/>
  <c r="CM59" i="10" s="1"/>
  <c r="N51" i="4"/>
  <c r="CL59" i="10" s="1"/>
  <c r="M51" i="4"/>
  <c r="DW59" i="10" s="1"/>
  <c r="L51" i="4"/>
  <c r="DT59" i="10" s="1"/>
  <c r="K51" i="4"/>
  <c r="CD59" i="10" s="1"/>
  <c r="J51" i="4"/>
  <c r="DU59" i="10" s="1"/>
  <c r="I51" i="4"/>
  <c r="AP59" i="10" s="1"/>
  <c r="H51" i="4"/>
  <c r="AE59" i="10" s="1"/>
  <c r="G51" i="4"/>
  <c r="AD59" i="10" s="1"/>
  <c r="F51" i="4"/>
  <c r="AC59" i="10" s="1"/>
  <c r="E51" i="4"/>
  <c r="BN59" i="10" s="1"/>
  <c r="D51" i="4"/>
  <c r="BK59" i="10" s="1"/>
  <c r="C51" i="4"/>
  <c r="U59" i="10" s="1"/>
  <c r="B51" i="4"/>
  <c r="BL59" i="10" s="1"/>
  <c r="AG50" i="4"/>
  <c r="HQ58" i="10" s="1"/>
  <c r="AF50" i="4"/>
  <c r="HF58" i="10" s="1"/>
  <c r="AE50" i="4"/>
  <c r="HE58" i="10" s="1"/>
  <c r="AD50" i="4"/>
  <c r="HD58" i="10" s="1"/>
  <c r="AC50" i="4"/>
  <c r="IO58" i="10" s="1"/>
  <c r="AB50" i="4"/>
  <c r="IL58" i="10" s="1"/>
  <c r="AA50" i="4"/>
  <c r="GV58" i="10" s="1"/>
  <c r="Z50" i="4"/>
  <c r="IM58" i="10" s="1"/>
  <c r="Y50" i="4"/>
  <c r="FH58" i="10" s="1"/>
  <c r="X50" i="4"/>
  <c r="EW58" i="10" s="1"/>
  <c r="W50" i="4"/>
  <c r="EV58" i="10" s="1"/>
  <c r="V50" i="4"/>
  <c r="EU58" i="10" s="1"/>
  <c r="U50" i="4"/>
  <c r="GF58" i="10" s="1"/>
  <c r="T50" i="4"/>
  <c r="GC58" i="10" s="1"/>
  <c r="S50" i="4"/>
  <c r="EM58" i="10" s="1"/>
  <c r="R50" i="4"/>
  <c r="GD58" i="10" s="1"/>
  <c r="Q50" i="4"/>
  <c r="CY58" i="10" s="1"/>
  <c r="P50" i="4"/>
  <c r="CN58" i="10" s="1"/>
  <c r="O50" i="4"/>
  <c r="CM58" i="10" s="1"/>
  <c r="N50" i="4"/>
  <c r="CL58" i="10" s="1"/>
  <c r="M50" i="4"/>
  <c r="DW58" i="10" s="1"/>
  <c r="L50" i="4"/>
  <c r="DT58" i="10" s="1"/>
  <c r="K50" i="4"/>
  <c r="CD58" i="10" s="1"/>
  <c r="J50" i="4"/>
  <c r="DU58" i="10" s="1"/>
  <c r="I50" i="4"/>
  <c r="AP58" i="10" s="1"/>
  <c r="H50" i="4"/>
  <c r="AE58" i="10" s="1"/>
  <c r="G50" i="4"/>
  <c r="AD58" i="10" s="1"/>
  <c r="F50" i="4"/>
  <c r="AC58" i="10" s="1"/>
  <c r="E50" i="4"/>
  <c r="BN58" i="10" s="1"/>
  <c r="D50" i="4"/>
  <c r="BK58" i="10" s="1"/>
  <c r="C50" i="4"/>
  <c r="U58" i="10" s="1"/>
  <c r="B50" i="4"/>
  <c r="BL58" i="10" s="1"/>
  <c r="AG49" i="4"/>
  <c r="HQ57" i="10" s="1"/>
  <c r="AF49" i="4"/>
  <c r="HF57" i="10" s="1"/>
  <c r="AE49" i="4"/>
  <c r="HE57" i="10" s="1"/>
  <c r="AD49" i="4"/>
  <c r="HD57" i="10" s="1"/>
  <c r="AC49" i="4"/>
  <c r="IO57" i="10" s="1"/>
  <c r="AB49" i="4"/>
  <c r="IL57" i="10" s="1"/>
  <c r="AA49" i="4"/>
  <c r="GV57" i="10" s="1"/>
  <c r="Z49" i="4"/>
  <c r="IM57" i="10" s="1"/>
  <c r="Y49" i="4"/>
  <c r="FH57" i="10" s="1"/>
  <c r="X49" i="4"/>
  <c r="EW57" i="10" s="1"/>
  <c r="W49" i="4"/>
  <c r="EV57" i="10" s="1"/>
  <c r="V49" i="4"/>
  <c r="EU57" i="10" s="1"/>
  <c r="U49" i="4"/>
  <c r="GF57" i="10" s="1"/>
  <c r="T49" i="4"/>
  <c r="GC57" i="10" s="1"/>
  <c r="S49" i="4"/>
  <c r="EM57" i="10" s="1"/>
  <c r="R49" i="4"/>
  <c r="GD57" i="10" s="1"/>
  <c r="Q49" i="4"/>
  <c r="CY57" i="10" s="1"/>
  <c r="P49" i="4"/>
  <c r="CN57" i="10" s="1"/>
  <c r="O49" i="4"/>
  <c r="CM57" i="10" s="1"/>
  <c r="N49" i="4"/>
  <c r="CL57" i="10" s="1"/>
  <c r="M49" i="4"/>
  <c r="DW57" i="10" s="1"/>
  <c r="L49" i="4"/>
  <c r="DT57" i="10" s="1"/>
  <c r="K49" i="4"/>
  <c r="CD57" i="10" s="1"/>
  <c r="J49" i="4"/>
  <c r="DU57" i="10" s="1"/>
  <c r="I49" i="4"/>
  <c r="AP57" i="10" s="1"/>
  <c r="H49" i="4"/>
  <c r="AE57" i="10" s="1"/>
  <c r="G49" i="4"/>
  <c r="AD57" i="10" s="1"/>
  <c r="F49" i="4"/>
  <c r="AC57" i="10" s="1"/>
  <c r="E49" i="4"/>
  <c r="BN57" i="10" s="1"/>
  <c r="D49" i="4"/>
  <c r="BK57" i="10" s="1"/>
  <c r="C49" i="4"/>
  <c r="U57" i="10" s="1"/>
  <c r="B49" i="4"/>
  <c r="BL57" i="10" s="1"/>
  <c r="AG48" i="4"/>
  <c r="HQ56" i="10" s="1"/>
  <c r="AF48" i="4"/>
  <c r="HF56" i="10" s="1"/>
  <c r="AE48" i="4"/>
  <c r="HE56" i="10" s="1"/>
  <c r="AD48" i="4"/>
  <c r="HD56" i="10" s="1"/>
  <c r="AC48" i="4"/>
  <c r="IO56" i="10" s="1"/>
  <c r="AB48" i="4"/>
  <c r="IL56" i="10" s="1"/>
  <c r="AA48" i="4"/>
  <c r="GV56" i="10" s="1"/>
  <c r="Z48" i="4"/>
  <c r="IM56" i="10" s="1"/>
  <c r="Y48" i="4"/>
  <c r="FH56" i="10" s="1"/>
  <c r="X48" i="4"/>
  <c r="EW56" i="10" s="1"/>
  <c r="W48" i="4"/>
  <c r="EV56" i="10" s="1"/>
  <c r="V48" i="4"/>
  <c r="EU56" i="10" s="1"/>
  <c r="U48" i="4"/>
  <c r="GF56" i="10" s="1"/>
  <c r="T48" i="4"/>
  <c r="GC56" i="10" s="1"/>
  <c r="S48" i="4"/>
  <c r="EM56" i="10" s="1"/>
  <c r="R48" i="4"/>
  <c r="GD56" i="10" s="1"/>
  <c r="Q48" i="4"/>
  <c r="CY56" i="10" s="1"/>
  <c r="P48" i="4"/>
  <c r="CN56" i="10" s="1"/>
  <c r="O48" i="4"/>
  <c r="CM56" i="10" s="1"/>
  <c r="N48" i="4"/>
  <c r="CL56" i="10" s="1"/>
  <c r="M48" i="4"/>
  <c r="DW56" i="10" s="1"/>
  <c r="L48" i="4"/>
  <c r="DT56" i="10" s="1"/>
  <c r="K48" i="4"/>
  <c r="CD56" i="10" s="1"/>
  <c r="J48" i="4"/>
  <c r="DU56" i="10" s="1"/>
  <c r="I48" i="4"/>
  <c r="AP56" i="10" s="1"/>
  <c r="H48" i="4"/>
  <c r="AE56" i="10" s="1"/>
  <c r="G48" i="4"/>
  <c r="AD56" i="10" s="1"/>
  <c r="F48" i="4"/>
  <c r="AC56" i="10" s="1"/>
  <c r="E48" i="4"/>
  <c r="BN56" i="10" s="1"/>
  <c r="D48" i="4"/>
  <c r="BK56" i="10" s="1"/>
  <c r="C48" i="4"/>
  <c r="U56" i="10" s="1"/>
  <c r="B48" i="4"/>
  <c r="BL56" i="10" s="1"/>
  <c r="AG47" i="4"/>
  <c r="HQ55" i="10" s="1"/>
  <c r="AF47" i="4"/>
  <c r="HF55" i="10" s="1"/>
  <c r="AE47" i="4"/>
  <c r="HE55" i="10" s="1"/>
  <c r="AD47" i="4"/>
  <c r="HD55" i="10" s="1"/>
  <c r="AC47" i="4"/>
  <c r="IO55" i="10" s="1"/>
  <c r="AB47" i="4"/>
  <c r="IL55" i="10" s="1"/>
  <c r="AA47" i="4"/>
  <c r="GV55" i="10" s="1"/>
  <c r="Z47" i="4"/>
  <c r="IM55" i="10" s="1"/>
  <c r="Y47" i="4"/>
  <c r="FH55" i="10" s="1"/>
  <c r="X47" i="4"/>
  <c r="EW55" i="10" s="1"/>
  <c r="W47" i="4"/>
  <c r="EV55" i="10" s="1"/>
  <c r="V47" i="4"/>
  <c r="EU55" i="10" s="1"/>
  <c r="U47" i="4"/>
  <c r="GF55" i="10" s="1"/>
  <c r="T47" i="4"/>
  <c r="GC55" i="10" s="1"/>
  <c r="S47" i="4"/>
  <c r="EM55" i="10" s="1"/>
  <c r="R47" i="4"/>
  <c r="GD55" i="10" s="1"/>
  <c r="Q47" i="4"/>
  <c r="CY55" i="10" s="1"/>
  <c r="P47" i="4"/>
  <c r="CN55" i="10" s="1"/>
  <c r="O47" i="4"/>
  <c r="CM55" i="10" s="1"/>
  <c r="N47" i="4"/>
  <c r="CL55" i="10" s="1"/>
  <c r="M47" i="4"/>
  <c r="DW55" i="10" s="1"/>
  <c r="L47" i="4"/>
  <c r="DT55" i="10" s="1"/>
  <c r="K47" i="4"/>
  <c r="CD55" i="10" s="1"/>
  <c r="J47" i="4"/>
  <c r="DU55" i="10" s="1"/>
  <c r="I47" i="4"/>
  <c r="AP55" i="10" s="1"/>
  <c r="H47" i="4"/>
  <c r="AE55" i="10" s="1"/>
  <c r="G47" i="4"/>
  <c r="AD55" i="10" s="1"/>
  <c r="F47" i="4"/>
  <c r="AC55" i="10" s="1"/>
  <c r="E47" i="4"/>
  <c r="BN55" i="10" s="1"/>
  <c r="D47" i="4"/>
  <c r="BK55" i="10" s="1"/>
  <c r="C47" i="4"/>
  <c r="U55" i="10" s="1"/>
  <c r="B47" i="4"/>
  <c r="BL55" i="10" s="1"/>
  <c r="AG46" i="4"/>
  <c r="HQ54" i="10" s="1"/>
  <c r="AF46" i="4"/>
  <c r="HF54" i="10" s="1"/>
  <c r="AE46" i="4"/>
  <c r="HE54" i="10" s="1"/>
  <c r="AD46" i="4"/>
  <c r="HD54" i="10" s="1"/>
  <c r="AC46" i="4"/>
  <c r="IO54" i="10" s="1"/>
  <c r="AB46" i="4"/>
  <c r="IL54" i="10" s="1"/>
  <c r="AA46" i="4"/>
  <c r="GV54" i="10" s="1"/>
  <c r="Z46" i="4"/>
  <c r="IM54" i="10" s="1"/>
  <c r="Y46" i="4"/>
  <c r="FH54" i="10" s="1"/>
  <c r="X46" i="4"/>
  <c r="EW54" i="10" s="1"/>
  <c r="W46" i="4"/>
  <c r="EV54" i="10" s="1"/>
  <c r="V46" i="4"/>
  <c r="EU54" i="10" s="1"/>
  <c r="U46" i="4"/>
  <c r="GF54" i="10" s="1"/>
  <c r="T46" i="4"/>
  <c r="GC54" i="10" s="1"/>
  <c r="S46" i="4"/>
  <c r="EM54" i="10" s="1"/>
  <c r="R46" i="4"/>
  <c r="GD54" i="10" s="1"/>
  <c r="Q46" i="4"/>
  <c r="CY54" i="10" s="1"/>
  <c r="P46" i="4"/>
  <c r="CN54" i="10" s="1"/>
  <c r="O46" i="4"/>
  <c r="CM54" i="10" s="1"/>
  <c r="N46" i="4"/>
  <c r="CL54" i="10" s="1"/>
  <c r="M46" i="4"/>
  <c r="DW54" i="10" s="1"/>
  <c r="L46" i="4"/>
  <c r="DT54" i="10" s="1"/>
  <c r="K46" i="4"/>
  <c r="CD54" i="10" s="1"/>
  <c r="J46" i="4"/>
  <c r="DU54" i="10" s="1"/>
  <c r="I46" i="4"/>
  <c r="AP54" i="10" s="1"/>
  <c r="H46" i="4"/>
  <c r="AE54" i="10" s="1"/>
  <c r="G46" i="4"/>
  <c r="AD54" i="10" s="1"/>
  <c r="F46" i="4"/>
  <c r="AC54" i="10" s="1"/>
  <c r="E46" i="4"/>
  <c r="BN54" i="10" s="1"/>
  <c r="D46" i="4"/>
  <c r="BK54" i="10" s="1"/>
  <c r="C46" i="4"/>
  <c r="U54" i="10" s="1"/>
  <c r="B46" i="4"/>
  <c r="BL54" i="10" s="1"/>
  <c r="AG45" i="4"/>
  <c r="HQ53" i="10" s="1"/>
  <c r="AF45" i="4"/>
  <c r="HF53" i="10" s="1"/>
  <c r="AE45" i="4"/>
  <c r="HE53" i="10" s="1"/>
  <c r="AD45" i="4"/>
  <c r="HD53" i="10" s="1"/>
  <c r="AC45" i="4"/>
  <c r="IO53" i="10" s="1"/>
  <c r="AB45" i="4"/>
  <c r="IL53" i="10" s="1"/>
  <c r="AA45" i="4"/>
  <c r="GV53" i="10" s="1"/>
  <c r="Z45" i="4"/>
  <c r="IM53" i="10" s="1"/>
  <c r="Y45" i="4"/>
  <c r="FH53" i="10" s="1"/>
  <c r="X45" i="4"/>
  <c r="EW53" i="10" s="1"/>
  <c r="W45" i="4"/>
  <c r="EV53" i="10" s="1"/>
  <c r="V45" i="4"/>
  <c r="EU53" i="10" s="1"/>
  <c r="U45" i="4"/>
  <c r="GF53" i="10" s="1"/>
  <c r="T45" i="4"/>
  <c r="GC53" i="10" s="1"/>
  <c r="S45" i="4"/>
  <c r="EM53" i="10" s="1"/>
  <c r="R45" i="4"/>
  <c r="GD53" i="10" s="1"/>
  <c r="Q45" i="4"/>
  <c r="CY53" i="10" s="1"/>
  <c r="P45" i="4"/>
  <c r="CN53" i="10" s="1"/>
  <c r="O45" i="4"/>
  <c r="CM53" i="10" s="1"/>
  <c r="N45" i="4"/>
  <c r="CL53" i="10" s="1"/>
  <c r="M45" i="4"/>
  <c r="DW53" i="10" s="1"/>
  <c r="L45" i="4"/>
  <c r="DT53" i="10" s="1"/>
  <c r="K45" i="4"/>
  <c r="CD53" i="10" s="1"/>
  <c r="J45" i="4"/>
  <c r="DU53" i="10" s="1"/>
  <c r="I45" i="4"/>
  <c r="AP53" i="10" s="1"/>
  <c r="H45" i="4"/>
  <c r="AE53" i="10" s="1"/>
  <c r="G45" i="4"/>
  <c r="AD53" i="10" s="1"/>
  <c r="F45" i="4"/>
  <c r="AC53" i="10" s="1"/>
  <c r="E45" i="4"/>
  <c r="BN53" i="10" s="1"/>
  <c r="D45" i="4"/>
  <c r="BK53" i="10" s="1"/>
  <c r="C45" i="4"/>
  <c r="U53" i="10" s="1"/>
  <c r="B45" i="4"/>
  <c r="BL53" i="10" s="1"/>
  <c r="AG44" i="4"/>
  <c r="HQ52" i="10" s="1"/>
  <c r="AF44" i="4"/>
  <c r="HF52" i="10" s="1"/>
  <c r="AE44" i="4"/>
  <c r="HE52" i="10" s="1"/>
  <c r="AD44" i="4"/>
  <c r="HD52" i="10" s="1"/>
  <c r="AC44" i="4"/>
  <c r="IO52" i="10" s="1"/>
  <c r="AB44" i="4"/>
  <c r="IL52" i="10" s="1"/>
  <c r="AA44" i="4"/>
  <c r="GV52" i="10" s="1"/>
  <c r="Z44" i="4"/>
  <c r="IM52" i="10" s="1"/>
  <c r="Y44" i="4"/>
  <c r="FH52" i="10" s="1"/>
  <c r="X44" i="4"/>
  <c r="EW52" i="10" s="1"/>
  <c r="W44" i="4"/>
  <c r="EV52" i="10" s="1"/>
  <c r="V44" i="4"/>
  <c r="EU52" i="10" s="1"/>
  <c r="U44" i="4"/>
  <c r="GF52" i="10" s="1"/>
  <c r="T44" i="4"/>
  <c r="GC52" i="10" s="1"/>
  <c r="S44" i="4"/>
  <c r="EM52" i="10" s="1"/>
  <c r="R44" i="4"/>
  <c r="GD52" i="10" s="1"/>
  <c r="Q44" i="4"/>
  <c r="CY52" i="10" s="1"/>
  <c r="P44" i="4"/>
  <c r="CN52" i="10" s="1"/>
  <c r="O44" i="4"/>
  <c r="CM52" i="10" s="1"/>
  <c r="N44" i="4"/>
  <c r="CL52" i="10" s="1"/>
  <c r="M44" i="4"/>
  <c r="DW52" i="10" s="1"/>
  <c r="L44" i="4"/>
  <c r="DT52" i="10" s="1"/>
  <c r="K44" i="4"/>
  <c r="CD52" i="10" s="1"/>
  <c r="J44" i="4"/>
  <c r="DU52" i="10" s="1"/>
  <c r="I44" i="4"/>
  <c r="AP52" i="10" s="1"/>
  <c r="H44" i="4"/>
  <c r="AE52" i="10" s="1"/>
  <c r="G44" i="4"/>
  <c r="AD52" i="10" s="1"/>
  <c r="F44" i="4"/>
  <c r="AC52" i="10" s="1"/>
  <c r="E44" i="4"/>
  <c r="BN52" i="10" s="1"/>
  <c r="D44" i="4"/>
  <c r="BK52" i="10" s="1"/>
  <c r="C44" i="4"/>
  <c r="U52" i="10" s="1"/>
  <c r="B44" i="4"/>
  <c r="BL52" i="10" s="1"/>
  <c r="AG43" i="4"/>
  <c r="HQ51" i="10" s="1"/>
  <c r="AF43" i="4"/>
  <c r="HF51" i="10" s="1"/>
  <c r="AE43" i="4"/>
  <c r="HE51" i="10" s="1"/>
  <c r="AD43" i="4"/>
  <c r="HD51" i="10" s="1"/>
  <c r="AC43" i="4"/>
  <c r="IO51" i="10" s="1"/>
  <c r="AB43" i="4"/>
  <c r="IL51" i="10" s="1"/>
  <c r="AA43" i="4"/>
  <c r="GV51" i="10" s="1"/>
  <c r="Z43" i="4"/>
  <c r="IM51" i="10" s="1"/>
  <c r="Y43" i="4"/>
  <c r="FH51" i="10" s="1"/>
  <c r="X43" i="4"/>
  <c r="EW51" i="10" s="1"/>
  <c r="W43" i="4"/>
  <c r="EV51" i="10" s="1"/>
  <c r="V43" i="4"/>
  <c r="EU51" i="10" s="1"/>
  <c r="U43" i="4"/>
  <c r="GF51" i="10" s="1"/>
  <c r="T43" i="4"/>
  <c r="GC51" i="10" s="1"/>
  <c r="S43" i="4"/>
  <c r="EM51" i="10" s="1"/>
  <c r="R43" i="4"/>
  <c r="GD51" i="10" s="1"/>
  <c r="Q43" i="4"/>
  <c r="CY51" i="10" s="1"/>
  <c r="P43" i="4"/>
  <c r="CN51" i="10" s="1"/>
  <c r="O43" i="4"/>
  <c r="CM51" i="10" s="1"/>
  <c r="N43" i="4"/>
  <c r="CL51" i="10" s="1"/>
  <c r="M43" i="4"/>
  <c r="DW51" i="10" s="1"/>
  <c r="L43" i="4"/>
  <c r="DT51" i="10" s="1"/>
  <c r="K43" i="4"/>
  <c r="CD51" i="10" s="1"/>
  <c r="J43" i="4"/>
  <c r="DU51" i="10" s="1"/>
  <c r="I43" i="4"/>
  <c r="AP51" i="10" s="1"/>
  <c r="H43" i="4"/>
  <c r="AE51" i="10" s="1"/>
  <c r="G43" i="4"/>
  <c r="AD51" i="10" s="1"/>
  <c r="F43" i="4"/>
  <c r="AC51" i="10" s="1"/>
  <c r="E43" i="4"/>
  <c r="BN51" i="10" s="1"/>
  <c r="D43" i="4"/>
  <c r="BK51" i="10" s="1"/>
  <c r="C43" i="4"/>
  <c r="U51" i="10" s="1"/>
  <c r="B43" i="4"/>
  <c r="BL51" i="10" s="1"/>
  <c r="AG42" i="4"/>
  <c r="HQ50" i="10" s="1"/>
  <c r="AF42" i="4"/>
  <c r="HF50" i="10" s="1"/>
  <c r="AE42" i="4"/>
  <c r="HE50" i="10" s="1"/>
  <c r="AD42" i="4"/>
  <c r="HD50" i="10" s="1"/>
  <c r="AC42" i="4"/>
  <c r="IO50" i="10" s="1"/>
  <c r="AB42" i="4"/>
  <c r="IL50" i="10" s="1"/>
  <c r="AA42" i="4"/>
  <c r="GV50" i="10" s="1"/>
  <c r="Z42" i="4"/>
  <c r="IM50" i="10" s="1"/>
  <c r="Y42" i="4"/>
  <c r="FH50" i="10" s="1"/>
  <c r="X42" i="4"/>
  <c r="EW50" i="10" s="1"/>
  <c r="W42" i="4"/>
  <c r="EV50" i="10" s="1"/>
  <c r="V42" i="4"/>
  <c r="EU50" i="10" s="1"/>
  <c r="U42" i="4"/>
  <c r="GF50" i="10" s="1"/>
  <c r="T42" i="4"/>
  <c r="GC50" i="10" s="1"/>
  <c r="S42" i="4"/>
  <c r="EM50" i="10" s="1"/>
  <c r="R42" i="4"/>
  <c r="GD50" i="10" s="1"/>
  <c r="Q42" i="4"/>
  <c r="CY50" i="10" s="1"/>
  <c r="P42" i="4"/>
  <c r="CN50" i="10" s="1"/>
  <c r="O42" i="4"/>
  <c r="CM50" i="10" s="1"/>
  <c r="N42" i="4"/>
  <c r="CL50" i="10" s="1"/>
  <c r="M42" i="4"/>
  <c r="DW50" i="10" s="1"/>
  <c r="L42" i="4"/>
  <c r="DT50" i="10" s="1"/>
  <c r="K42" i="4"/>
  <c r="CD50" i="10" s="1"/>
  <c r="J42" i="4"/>
  <c r="DU50" i="10" s="1"/>
  <c r="I42" i="4"/>
  <c r="AP50" i="10" s="1"/>
  <c r="H42" i="4"/>
  <c r="AE50" i="10" s="1"/>
  <c r="G42" i="4"/>
  <c r="AD50" i="10" s="1"/>
  <c r="F42" i="4"/>
  <c r="AC50" i="10" s="1"/>
  <c r="E42" i="4"/>
  <c r="BN50" i="10" s="1"/>
  <c r="D42" i="4"/>
  <c r="BK50" i="10" s="1"/>
  <c r="C42" i="4"/>
  <c r="U50" i="10" s="1"/>
  <c r="B42" i="4"/>
  <c r="BL50" i="10" s="1"/>
  <c r="AG41" i="4"/>
  <c r="HQ49" i="10" s="1"/>
  <c r="AF41" i="4"/>
  <c r="HF49" i="10" s="1"/>
  <c r="AE41" i="4"/>
  <c r="HE49" i="10" s="1"/>
  <c r="AD41" i="4"/>
  <c r="HD49" i="10" s="1"/>
  <c r="AC41" i="4"/>
  <c r="IO49" i="10" s="1"/>
  <c r="AB41" i="4"/>
  <c r="IL49" i="10" s="1"/>
  <c r="AA41" i="4"/>
  <c r="GV49" i="10" s="1"/>
  <c r="Z41" i="4"/>
  <c r="IM49" i="10" s="1"/>
  <c r="Y41" i="4"/>
  <c r="FH49" i="10" s="1"/>
  <c r="X41" i="4"/>
  <c r="EW49" i="10" s="1"/>
  <c r="W41" i="4"/>
  <c r="EV49" i="10" s="1"/>
  <c r="V41" i="4"/>
  <c r="EU49" i="10" s="1"/>
  <c r="U41" i="4"/>
  <c r="GF49" i="10" s="1"/>
  <c r="T41" i="4"/>
  <c r="GC49" i="10" s="1"/>
  <c r="S41" i="4"/>
  <c r="EM49" i="10" s="1"/>
  <c r="R41" i="4"/>
  <c r="GD49" i="10" s="1"/>
  <c r="Q41" i="4"/>
  <c r="CY49" i="10" s="1"/>
  <c r="P41" i="4"/>
  <c r="CN49" i="10" s="1"/>
  <c r="O41" i="4"/>
  <c r="CM49" i="10" s="1"/>
  <c r="N41" i="4"/>
  <c r="CL49" i="10" s="1"/>
  <c r="M41" i="4"/>
  <c r="DW49" i="10" s="1"/>
  <c r="L41" i="4"/>
  <c r="DT49" i="10" s="1"/>
  <c r="K41" i="4"/>
  <c r="CD49" i="10" s="1"/>
  <c r="J41" i="4"/>
  <c r="DU49" i="10" s="1"/>
  <c r="I41" i="4"/>
  <c r="AP49" i="10" s="1"/>
  <c r="H41" i="4"/>
  <c r="AE49" i="10" s="1"/>
  <c r="G41" i="4"/>
  <c r="AD49" i="10" s="1"/>
  <c r="F41" i="4"/>
  <c r="AC49" i="10" s="1"/>
  <c r="E41" i="4"/>
  <c r="BN49" i="10" s="1"/>
  <c r="D41" i="4"/>
  <c r="BK49" i="10" s="1"/>
  <c r="C41" i="4"/>
  <c r="U49" i="10" s="1"/>
  <c r="B41" i="4"/>
  <c r="BL49" i="10" s="1"/>
  <c r="AG40" i="4"/>
  <c r="HQ48" i="10" s="1"/>
  <c r="AF40" i="4"/>
  <c r="HF48" i="10" s="1"/>
  <c r="AE40" i="4"/>
  <c r="HE48" i="10" s="1"/>
  <c r="AD40" i="4"/>
  <c r="HD48" i="10" s="1"/>
  <c r="AC40" i="4"/>
  <c r="IO48" i="10" s="1"/>
  <c r="AB40" i="4"/>
  <c r="IL48" i="10" s="1"/>
  <c r="AA40" i="4"/>
  <c r="GV48" i="10" s="1"/>
  <c r="Z40" i="4"/>
  <c r="IM48" i="10" s="1"/>
  <c r="Y40" i="4"/>
  <c r="FH48" i="10" s="1"/>
  <c r="X40" i="4"/>
  <c r="EW48" i="10" s="1"/>
  <c r="W40" i="4"/>
  <c r="EV48" i="10" s="1"/>
  <c r="V40" i="4"/>
  <c r="EU48" i="10" s="1"/>
  <c r="U40" i="4"/>
  <c r="GF48" i="10" s="1"/>
  <c r="T40" i="4"/>
  <c r="GC48" i="10" s="1"/>
  <c r="S40" i="4"/>
  <c r="EM48" i="10" s="1"/>
  <c r="R40" i="4"/>
  <c r="GD48" i="10" s="1"/>
  <c r="Q40" i="4"/>
  <c r="CY48" i="10" s="1"/>
  <c r="P40" i="4"/>
  <c r="CN48" i="10" s="1"/>
  <c r="O40" i="4"/>
  <c r="CM48" i="10" s="1"/>
  <c r="N40" i="4"/>
  <c r="CL48" i="10" s="1"/>
  <c r="M40" i="4"/>
  <c r="DW48" i="10" s="1"/>
  <c r="L40" i="4"/>
  <c r="DT48" i="10" s="1"/>
  <c r="K40" i="4"/>
  <c r="CD48" i="10" s="1"/>
  <c r="J40" i="4"/>
  <c r="DU48" i="10" s="1"/>
  <c r="I40" i="4"/>
  <c r="AP48" i="10" s="1"/>
  <c r="H40" i="4"/>
  <c r="AE48" i="10" s="1"/>
  <c r="G40" i="4"/>
  <c r="AD48" i="10" s="1"/>
  <c r="F40" i="4"/>
  <c r="AC48" i="10" s="1"/>
  <c r="E40" i="4"/>
  <c r="BN48" i="10" s="1"/>
  <c r="D40" i="4"/>
  <c r="BK48" i="10" s="1"/>
  <c r="C40" i="4"/>
  <c r="U48" i="10" s="1"/>
  <c r="B40" i="4"/>
  <c r="BL48" i="10" s="1"/>
  <c r="AG39" i="4"/>
  <c r="HQ47" i="10" s="1"/>
  <c r="AF39" i="4"/>
  <c r="HF47" i="10" s="1"/>
  <c r="AE39" i="4"/>
  <c r="HE47" i="10" s="1"/>
  <c r="AD39" i="4"/>
  <c r="HD47" i="10" s="1"/>
  <c r="AC39" i="4"/>
  <c r="IO47" i="10" s="1"/>
  <c r="AB39" i="4"/>
  <c r="IL47" i="10" s="1"/>
  <c r="AA39" i="4"/>
  <c r="GV47" i="10" s="1"/>
  <c r="Z39" i="4"/>
  <c r="IM47" i="10" s="1"/>
  <c r="Y39" i="4"/>
  <c r="FH47" i="10" s="1"/>
  <c r="X39" i="4"/>
  <c r="EW47" i="10" s="1"/>
  <c r="W39" i="4"/>
  <c r="EV47" i="10" s="1"/>
  <c r="V39" i="4"/>
  <c r="EU47" i="10" s="1"/>
  <c r="U39" i="4"/>
  <c r="GF47" i="10" s="1"/>
  <c r="T39" i="4"/>
  <c r="GC47" i="10" s="1"/>
  <c r="S39" i="4"/>
  <c r="EM47" i="10" s="1"/>
  <c r="R39" i="4"/>
  <c r="GD47" i="10" s="1"/>
  <c r="Q39" i="4"/>
  <c r="CY47" i="10" s="1"/>
  <c r="P39" i="4"/>
  <c r="CN47" i="10" s="1"/>
  <c r="O39" i="4"/>
  <c r="CM47" i="10" s="1"/>
  <c r="N39" i="4"/>
  <c r="CL47" i="10" s="1"/>
  <c r="M39" i="4"/>
  <c r="DW47" i="10" s="1"/>
  <c r="L39" i="4"/>
  <c r="DT47" i="10" s="1"/>
  <c r="K39" i="4"/>
  <c r="CD47" i="10" s="1"/>
  <c r="J39" i="4"/>
  <c r="DU47" i="10" s="1"/>
  <c r="I39" i="4"/>
  <c r="AP47" i="10" s="1"/>
  <c r="H39" i="4"/>
  <c r="AE47" i="10" s="1"/>
  <c r="G39" i="4"/>
  <c r="AD47" i="10" s="1"/>
  <c r="F39" i="4"/>
  <c r="AC47" i="10" s="1"/>
  <c r="E39" i="4"/>
  <c r="BN47" i="10" s="1"/>
  <c r="D39" i="4"/>
  <c r="BK47" i="10" s="1"/>
  <c r="C39" i="4"/>
  <c r="U47" i="10" s="1"/>
  <c r="B39" i="4"/>
  <c r="BL47" i="10" s="1"/>
  <c r="AG38" i="4"/>
  <c r="HQ46" i="10" s="1"/>
  <c r="AF38" i="4"/>
  <c r="HF46" i="10" s="1"/>
  <c r="AE38" i="4"/>
  <c r="HE46" i="10" s="1"/>
  <c r="AD38" i="4"/>
  <c r="HD46" i="10" s="1"/>
  <c r="AC38" i="4"/>
  <c r="IO46" i="10" s="1"/>
  <c r="AB38" i="4"/>
  <c r="IL46" i="10" s="1"/>
  <c r="AA38" i="4"/>
  <c r="GV46" i="10" s="1"/>
  <c r="Z38" i="4"/>
  <c r="IM46" i="10" s="1"/>
  <c r="Y38" i="4"/>
  <c r="FH46" i="10" s="1"/>
  <c r="X38" i="4"/>
  <c r="EW46" i="10" s="1"/>
  <c r="W38" i="4"/>
  <c r="EV46" i="10" s="1"/>
  <c r="V38" i="4"/>
  <c r="EU46" i="10" s="1"/>
  <c r="U38" i="4"/>
  <c r="GF46" i="10" s="1"/>
  <c r="T38" i="4"/>
  <c r="GC46" i="10" s="1"/>
  <c r="S38" i="4"/>
  <c r="EM46" i="10" s="1"/>
  <c r="R38" i="4"/>
  <c r="GD46" i="10" s="1"/>
  <c r="Q38" i="4"/>
  <c r="CY46" i="10" s="1"/>
  <c r="P38" i="4"/>
  <c r="CN46" i="10" s="1"/>
  <c r="O38" i="4"/>
  <c r="CM46" i="10" s="1"/>
  <c r="N38" i="4"/>
  <c r="CL46" i="10" s="1"/>
  <c r="M38" i="4"/>
  <c r="DW46" i="10" s="1"/>
  <c r="L38" i="4"/>
  <c r="DT46" i="10" s="1"/>
  <c r="K38" i="4"/>
  <c r="CD46" i="10" s="1"/>
  <c r="J38" i="4"/>
  <c r="DU46" i="10" s="1"/>
  <c r="I38" i="4"/>
  <c r="AP46" i="10" s="1"/>
  <c r="H38" i="4"/>
  <c r="AE46" i="10" s="1"/>
  <c r="G38" i="4"/>
  <c r="AD46" i="10" s="1"/>
  <c r="F38" i="4"/>
  <c r="AC46" i="10" s="1"/>
  <c r="E38" i="4"/>
  <c r="BN46" i="10" s="1"/>
  <c r="D38" i="4"/>
  <c r="BK46" i="10" s="1"/>
  <c r="C38" i="4"/>
  <c r="U46" i="10" s="1"/>
  <c r="B38" i="4"/>
  <c r="BL46" i="10" s="1"/>
  <c r="AG37" i="4"/>
  <c r="HQ45" i="10" s="1"/>
  <c r="AF37" i="4"/>
  <c r="HF45" i="10" s="1"/>
  <c r="AE37" i="4"/>
  <c r="HE45" i="10" s="1"/>
  <c r="AD37" i="4"/>
  <c r="HD45" i="10" s="1"/>
  <c r="AC37" i="4"/>
  <c r="IO45" i="10" s="1"/>
  <c r="AB37" i="4"/>
  <c r="IL45" i="10" s="1"/>
  <c r="AA37" i="4"/>
  <c r="GV45" i="10" s="1"/>
  <c r="Z37" i="4"/>
  <c r="IM45" i="10" s="1"/>
  <c r="Y37" i="4"/>
  <c r="FH45" i="10" s="1"/>
  <c r="X37" i="4"/>
  <c r="EW45" i="10" s="1"/>
  <c r="W37" i="4"/>
  <c r="EV45" i="10" s="1"/>
  <c r="V37" i="4"/>
  <c r="EU45" i="10" s="1"/>
  <c r="U37" i="4"/>
  <c r="GF45" i="10" s="1"/>
  <c r="T37" i="4"/>
  <c r="GC45" i="10" s="1"/>
  <c r="S37" i="4"/>
  <c r="EM45" i="10" s="1"/>
  <c r="R37" i="4"/>
  <c r="GD45" i="10" s="1"/>
  <c r="Q37" i="4"/>
  <c r="CY45" i="10" s="1"/>
  <c r="P37" i="4"/>
  <c r="CN45" i="10" s="1"/>
  <c r="O37" i="4"/>
  <c r="CM45" i="10" s="1"/>
  <c r="N37" i="4"/>
  <c r="CL45" i="10" s="1"/>
  <c r="M37" i="4"/>
  <c r="DW45" i="10" s="1"/>
  <c r="L37" i="4"/>
  <c r="DT45" i="10" s="1"/>
  <c r="K37" i="4"/>
  <c r="CD45" i="10" s="1"/>
  <c r="J37" i="4"/>
  <c r="DU45" i="10" s="1"/>
  <c r="I37" i="4"/>
  <c r="AP45" i="10" s="1"/>
  <c r="H37" i="4"/>
  <c r="AE45" i="10" s="1"/>
  <c r="G37" i="4"/>
  <c r="AD45" i="10" s="1"/>
  <c r="F37" i="4"/>
  <c r="AC45" i="10" s="1"/>
  <c r="E37" i="4"/>
  <c r="BN45" i="10" s="1"/>
  <c r="D37" i="4"/>
  <c r="BK45" i="10" s="1"/>
  <c r="C37" i="4"/>
  <c r="U45" i="10" s="1"/>
  <c r="B37" i="4"/>
  <c r="BL45" i="10" s="1"/>
  <c r="AG36" i="4"/>
  <c r="HQ44" i="10" s="1"/>
  <c r="AF36" i="4"/>
  <c r="HF44" i="10" s="1"/>
  <c r="AE36" i="4"/>
  <c r="HE44" i="10" s="1"/>
  <c r="AD36" i="4"/>
  <c r="HD44" i="10" s="1"/>
  <c r="AC36" i="4"/>
  <c r="IO44" i="10" s="1"/>
  <c r="AB36" i="4"/>
  <c r="IL44" i="10" s="1"/>
  <c r="AA36" i="4"/>
  <c r="GV44" i="10" s="1"/>
  <c r="Z36" i="4"/>
  <c r="IM44" i="10" s="1"/>
  <c r="Y36" i="4"/>
  <c r="FH44" i="10" s="1"/>
  <c r="X36" i="4"/>
  <c r="EW44" i="10" s="1"/>
  <c r="W36" i="4"/>
  <c r="EV44" i="10" s="1"/>
  <c r="V36" i="4"/>
  <c r="EU44" i="10" s="1"/>
  <c r="U36" i="4"/>
  <c r="GF44" i="10" s="1"/>
  <c r="T36" i="4"/>
  <c r="GC44" i="10" s="1"/>
  <c r="S36" i="4"/>
  <c r="EM44" i="10" s="1"/>
  <c r="R36" i="4"/>
  <c r="GD44" i="10" s="1"/>
  <c r="Q36" i="4"/>
  <c r="CY44" i="10" s="1"/>
  <c r="P36" i="4"/>
  <c r="CN44" i="10" s="1"/>
  <c r="O36" i="4"/>
  <c r="CM44" i="10" s="1"/>
  <c r="N36" i="4"/>
  <c r="CL44" i="10" s="1"/>
  <c r="M36" i="4"/>
  <c r="DW44" i="10" s="1"/>
  <c r="L36" i="4"/>
  <c r="DT44" i="10" s="1"/>
  <c r="K36" i="4"/>
  <c r="CD44" i="10" s="1"/>
  <c r="J36" i="4"/>
  <c r="DU44" i="10" s="1"/>
  <c r="I36" i="4"/>
  <c r="AP44" i="10" s="1"/>
  <c r="H36" i="4"/>
  <c r="AE44" i="10" s="1"/>
  <c r="G36" i="4"/>
  <c r="AD44" i="10" s="1"/>
  <c r="F36" i="4"/>
  <c r="AC44" i="10" s="1"/>
  <c r="E36" i="4"/>
  <c r="BN44" i="10" s="1"/>
  <c r="D36" i="4"/>
  <c r="BK44" i="10" s="1"/>
  <c r="C36" i="4"/>
  <c r="U44" i="10" s="1"/>
  <c r="B36" i="4"/>
  <c r="BL44" i="10" s="1"/>
  <c r="AG35" i="4"/>
  <c r="HQ43" i="10" s="1"/>
  <c r="AF35" i="4"/>
  <c r="HF43" i="10" s="1"/>
  <c r="AE35" i="4"/>
  <c r="HE43" i="10" s="1"/>
  <c r="AD35" i="4"/>
  <c r="HD43" i="10" s="1"/>
  <c r="AC35" i="4"/>
  <c r="IO43" i="10" s="1"/>
  <c r="AB35" i="4"/>
  <c r="IL43" i="10" s="1"/>
  <c r="AA35" i="4"/>
  <c r="GV43" i="10" s="1"/>
  <c r="Z35" i="4"/>
  <c r="IM43" i="10" s="1"/>
  <c r="Y35" i="4"/>
  <c r="FH43" i="10" s="1"/>
  <c r="X35" i="4"/>
  <c r="EW43" i="10" s="1"/>
  <c r="W35" i="4"/>
  <c r="EV43" i="10" s="1"/>
  <c r="V35" i="4"/>
  <c r="EU43" i="10" s="1"/>
  <c r="U35" i="4"/>
  <c r="GF43" i="10" s="1"/>
  <c r="T35" i="4"/>
  <c r="GC43" i="10" s="1"/>
  <c r="S35" i="4"/>
  <c r="EM43" i="10" s="1"/>
  <c r="R35" i="4"/>
  <c r="GD43" i="10" s="1"/>
  <c r="Q35" i="4"/>
  <c r="CY43" i="10" s="1"/>
  <c r="P35" i="4"/>
  <c r="CN43" i="10" s="1"/>
  <c r="O35" i="4"/>
  <c r="CM43" i="10" s="1"/>
  <c r="N35" i="4"/>
  <c r="CL43" i="10" s="1"/>
  <c r="M35" i="4"/>
  <c r="DW43" i="10" s="1"/>
  <c r="L35" i="4"/>
  <c r="DT43" i="10" s="1"/>
  <c r="K35" i="4"/>
  <c r="CD43" i="10" s="1"/>
  <c r="J35" i="4"/>
  <c r="DU43" i="10" s="1"/>
  <c r="I35" i="4"/>
  <c r="AP43" i="10" s="1"/>
  <c r="H35" i="4"/>
  <c r="AE43" i="10" s="1"/>
  <c r="G35" i="4"/>
  <c r="AD43" i="10" s="1"/>
  <c r="F35" i="4"/>
  <c r="AC43" i="10" s="1"/>
  <c r="E35" i="4"/>
  <c r="BN43" i="10" s="1"/>
  <c r="D35" i="4"/>
  <c r="BK43" i="10" s="1"/>
  <c r="C35" i="4"/>
  <c r="U43" i="10" s="1"/>
  <c r="B35" i="4"/>
  <c r="BL43" i="10" s="1"/>
  <c r="AG34" i="4"/>
  <c r="HQ42" i="10" s="1"/>
  <c r="AF34" i="4"/>
  <c r="HF42" i="10" s="1"/>
  <c r="AE34" i="4"/>
  <c r="HE42" i="10" s="1"/>
  <c r="AD34" i="4"/>
  <c r="HD42" i="10" s="1"/>
  <c r="AC34" i="4"/>
  <c r="IO42" i="10" s="1"/>
  <c r="AB34" i="4"/>
  <c r="IL42" i="10" s="1"/>
  <c r="AA34" i="4"/>
  <c r="GV42" i="10" s="1"/>
  <c r="Z34" i="4"/>
  <c r="IM42" i="10" s="1"/>
  <c r="Y34" i="4"/>
  <c r="FH42" i="10" s="1"/>
  <c r="X34" i="4"/>
  <c r="EW42" i="10" s="1"/>
  <c r="W34" i="4"/>
  <c r="EV42" i="10" s="1"/>
  <c r="V34" i="4"/>
  <c r="EU42" i="10" s="1"/>
  <c r="U34" i="4"/>
  <c r="GF42" i="10" s="1"/>
  <c r="T34" i="4"/>
  <c r="GC42" i="10" s="1"/>
  <c r="S34" i="4"/>
  <c r="EM42" i="10" s="1"/>
  <c r="R34" i="4"/>
  <c r="GD42" i="10" s="1"/>
  <c r="Q34" i="4"/>
  <c r="CY42" i="10" s="1"/>
  <c r="P34" i="4"/>
  <c r="CN42" i="10" s="1"/>
  <c r="O34" i="4"/>
  <c r="CM42" i="10" s="1"/>
  <c r="N34" i="4"/>
  <c r="CL42" i="10" s="1"/>
  <c r="M34" i="4"/>
  <c r="DW42" i="10" s="1"/>
  <c r="L34" i="4"/>
  <c r="DT42" i="10" s="1"/>
  <c r="K34" i="4"/>
  <c r="CD42" i="10" s="1"/>
  <c r="J34" i="4"/>
  <c r="DU42" i="10" s="1"/>
  <c r="I34" i="4"/>
  <c r="AP42" i="10" s="1"/>
  <c r="H34" i="4"/>
  <c r="AE42" i="10" s="1"/>
  <c r="G34" i="4"/>
  <c r="AD42" i="10" s="1"/>
  <c r="F34" i="4"/>
  <c r="AC42" i="10" s="1"/>
  <c r="E34" i="4"/>
  <c r="BN42" i="10" s="1"/>
  <c r="D34" i="4"/>
  <c r="BK42" i="10" s="1"/>
  <c r="C34" i="4"/>
  <c r="U42" i="10" s="1"/>
  <c r="B34" i="4"/>
  <c r="BL42" i="10" s="1"/>
  <c r="AG33" i="4"/>
  <c r="HQ41" i="10" s="1"/>
  <c r="AF33" i="4"/>
  <c r="HF41" i="10" s="1"/>
  <c r="AE33" i="4"/>
  <c r="HE41" i="10" s="1"/>
  <c r="AD33" i="4"/>
  <c r="HD41" i="10" s="1"/>
  <c r="AC33" i="4"/>
  <c r="IO41" i="10" s="1"/>
  <c r="AB33" i="4"/>
  <c r="IL41" i="10" s="1"/>
  <c r="AA33" i="4"/>
  <c r="GV41" i="10" s="1"/>
  <c r="Z33" i="4"/>
  <c r="IM41" i="10" s="1"/>
  <c r="Y33" i="4"/>
  <c r="FH41" i="10" s="1"/>
  <c r="X33" i="4"/>
  <c r="EW41" i="10" s="1"/>
  <c r="W33" i="4"/>
  <c r="EV41" i="10" s="1"/>
  <c r="V33" i="4"/>
  <c r="EU41" i="10" s="1"/>
  <c r="U33" i="4"/>
  <c r="GF41" i="10" s="1"/>
  <c r="T33" i="4"/>
  <c r="GC41" i="10" s="1"/>
  <c r="S33" i="4"/>
  <c r="EM41" i="10" s="1"/>
  <c r="R33" i="4"/>
  <c r="GD41" i="10" s="1"/>
  <c r="Q33" i="4"/>
  <c r="CY41" i="10" s="1"/>
  <c r="P33" i="4"/>
  <c r="CN41" i="10" s="1"/>
  <c r="O33" i="4"/>
  <c r="CM41" i="10" s="1"/>
  <c r="N33" i="4"/>
  <c r="CL41" i="10" s="1"/>
  <c r="M33" i="4"/>
  <c r="DW41" i="10" s="1"/>
  <c r="L33" i="4"/>
  <c r="DT41" i="10" s="1"/>
  <c r="K33" i="4"/>
  <c r="CD41" i="10" s="1"/>
  <c r="J33" i="4"/>
  <c r="DU41" i="10" s="1"/>
  <c r="I33" i="4"/>
  <c r="AP41" i="10" s="1"/>
  <c r="H33" i="4"/>
  <c r="AE41" i="10" s="1"/>
  <c r="G33" i="4"/>
  <c r="AD41" i="10" s="1"/>
  <c r="F33" i="4"/>
  <c r="AC41" i="10" s="1"/>
  <c r="E33" i="4"/>
  <c r="BN41" i="10" s="1"/>
  <c r="D33" i="4"/>
  <c r="BK41" i="10" s="1"/>
  <c r="C33" i="4"/>
  <c r="U41" i="10" s="1"/>
  <c r="B33" i="4"/>
  <c r="BL41" i="10" s="1"/>
  <c r="AG32" i="4"/>
  <c r="HQ40" i="10" s="1"/>
  <c r="AF32" i="4"/>
  <c r="HF40" i="10" s="1"/>
  <c r="AE32" i="4"/>
  <c r="HE40" i="10" s="1"/>
  <c r="AD32" i="4"/>
  <c r="HD40" i="10" s="1"/>
  <c r="AC32" i="4"/>
  <c r="IO40" i="10" s="1"/>
  <c r="AB32" i="4"/>
  <c r="IL40" i="10" s="1"/>
  <c r="AA32" i="4"/>
  <c r="GV40" i="10" s="1"/>
  <c r="Z32" i="4"/>
  <c r="IM40" i="10" s="1"/>
  <c r="Y32" i="4"/>
  <c r="FH40" i="10" s="1"/>
  <c r="X32" i="4"/>
  <c r="EW40" i="10" s="1"/>
  <c r="W32" i="4"/>
  <c r="EV40" i="10" s="1"/>
  <c r="V32" i="4"/>
  <c r="EU40" i="10" s="1"/>
  <c r="U32" i="4"/>
  <c r="GF40" i="10" s="1"/>
  <c r="T32" i="4"/>
  <c r="GC40" i="10" s="1"/>
  <c r="S32" i="4"/>
  <c r="EM40" i="10" s="1"/>
  <c r="R32" i="4"/>
  <c r="GD40" i="10" s="1"/>
  <c r="Q32" i="4"/>
  <c r="CY40" i="10" s="1"/>
  <c r="P32" i="4"/>
  <c r="CN40" i="10" s="1"/>
  <c r="O32" i="4"/>
  <c r="CM40" i="10" s="1"/>
  <c r="N32" i="4"/>
  <c r="CL40" i="10" s="1"/>
  <c r="M32" i="4"/>
  <c r="DW40" i="10" s="1"/>
  <c r="L32" i="4"/>
  <c r="DT40" i="10" s="1"/>
  <c r="K32" i="4"/>
  <c r="CD40" i="10" s="1"/>
  <c r="J32" i="4"/>
  <c r="DU40" i="10" s="1"/>
  <c r="I32" i="4"/>
  <c r="AP40" i="10" s="1"/>
  <c r="H32" i="4"/>
  <c r="AE40" i="10" s="1"/>
  <c r="G32" i="4"/>
  <c r="AD40" i="10" s="1"/>
  <c r="F32" i="4"/>
  <c r="AC40" i="10" s="1"/>
  <c r="E32" i="4"/>
  <c r="BN40" i="10" s="1"/>
  <c r="D32" i="4"/>
  <c r="BK40" i="10" s="1"/>
  <c r="C32" i="4"/>
  <c r="U40" i="10" s="1"/>
  <c r="B32" i="4"/>
  <c r="BL40" i="10" s="1"/>
  <c r="AG31" i="4"/>
  <c r="HQ39" i="10" s="1"/>
  <c r="AF31" i="4"/>
  <c r="HF39" i="10" s="1"/>
  <c r="AE31" i="4"/>
  <c r="HE39" i="10" s="1"/>
  <c r="AD31" i="4"/>
  <c r="HD39" i="10" s="1"/>
  <c r="AC31" i="4"/>
  <c r="IO39" i="10" s="1"/>
  <c r="AB31" i="4"/>
  <c r="IL39" i="10" s="1"/>
  <c r="AA31" i="4"/>
  <c r="GV39" i="10" s="1"/>
  <c r="Z31" i="4"/>
  <c r="IM39" i="10" s="1"/>
  <c r="Y31" i="4"/>
  <c r="FH39" i="10" s="1"/>
  <c r="X31" i="4"/>
  <c r="EW39" i="10" s="1"/>
  <c r="W31" i="4"/>
  <c r="EV39" i="10" s="1"/>
  <c r="V31" i="4"/>
  <c r="EU39" i="10" s="1"/>
  <c r="U31" i="4"/>
  <c r="GF39" i="10" s="1"/>
  <c r="T31" i="4"/>
  <c r="GC39" i="10" s="1"/>
  <c r="S31" i="4"/>
  <c r="EM39" i="10" s="1"/>
  <c r="R31" i="4"/>
  <c r="GD39" i="10" s="1"/>
  <c r="Q31" i="4"/>
  <c r="CY39" i="10" s="1"/>
  <c r="P31" i="4"/>
  <c r="CN39" i="10" s="1"/>
  <c r="O31" i="4"/>
  <c r="CM39" i="10" s="1"/>
  <c r="N31" i="4"/>
  <c r="CL39" i="10" s="1"/>
  <c r="M31" i="4"/>
  <c r="DW39" i="10" s="1"/>
  <c r="L31" i="4"/>
  <c r="DT39" i="10" s="1"/>
  <c r="K31" i="4"/>
  <c r="CD39" i="10" s="1"/>
  <c r="J31" i="4"/>
  <c r="DU39" i="10" s="1"/>
  <c r="I31" i="4"/>
  <c r="AP39" i="10" s="1"/>
  <c r="H31" i="4"/>
  <c r="AE39" i="10" s="1"/>
  <c r="G31" i="4"/>
  <c r="AD39" i="10" s="1"/>
  <c r="F31" i="4"/>
  <c r="AC39" i="10" s="1"/>
  <c r="E31" i="4"/>
  <c r="BN39" i="10" s="1"/>
  <c r="D31" i="4"/>
  <c r="BK39" i="10" s="1"/>
  <c r="C31" i="4"/>
  <c r="U39" i="10" s="1"/>
  <c r="B31" i="4"/>
  <c r="BL39" i="10" s="1"/>
  <c r="AG30" i="4"/>
  <c r="HQ38" i="10" s="1"/>
  <c r="AF30" i="4"/>
  <c r="HF38" i="10" s="1"/>
  <c r="AE30" i="4"/>
  <c r="HE38" i="10" s="1"/>
  <c r="AD30" i="4"/>
  <c r="HD38" i="10" s="1"/>
  <c r="AC30" i="4"/>
  <c r="IO38" i="10" s="1"/>
  <c r="AB30" i="4"/>
  <c r="IL38" i="10" s="1"/>
  <c r="AA30" i="4"/>
  <c r="GV38" i="10" s="1"/>
  <c r="Z30" i="4"/>
  <c r="IM38" i="10" s="1"/>
  <c r="Y30" i="4"/>
  <c r="FH38" i="10" s="1"/>
  <c r="X30" i="4"/>
  <c r="EW38" i="10" s="1"/>
  <c r="W30" i="4"/>
  <c r="EV38" i="10" s="1"/>
  <c r="V30" i="4"/>
  <c r="EU38" i="10" s="1"/>
  <c r="U30" i="4"/>
  <c r="GF38" i="10" s="1"/>
  <c r="T30" i="4"/>
  <c r="GC38" i="10" s="1"/>
  <c r="S30" i="4"/>
  <c r="EM38" i="10" s="1"/>
  <c r="R30" i="4"/>
  <c r="GD38" i="10" s="1"/>
  <c r="Q30" i="4"/>
  <c r="CY38" i="10" s="1"/>
  <c r="P30" i="4"/>
  <c r="CN38" i="10" s="1"/>
  <c r="O30" i="4"/>
  <c r="CM38" i="10" s="1"/>
  <c r="N30" i="4"/>
  <c r="CL38" i="10" s="1"/>
  <c r="M30" i="4"/>
  <c r="DW38" i="10" s="1"/>
  <c r="L30" i="4"/>
  <c r="DT38" i="10" s="1"/>
  <c r="K30" i="4"/>
  <c r="CD38" i="10" s="1"/>
  <c r="J30" i="4"/>
  <c r="DU38" i="10" s="1"/>
  <c r="I30" i="4"/>
  <c r="AP38" i="10" s="1"/>
  <c r="H30" i="4"/>
  <c r="AE38" i="10" s="1"/>
  <c r="G30" i="4"/>
  <c r="AD38" i="10" s="1"/>
  <c r="F30" i="4"/>
  <c r="AC38" i="10" s="1"/>
  <c r="E30" i="4"/>
  <c r="BN38" i="10" s="1"/>
  <c r="D30" i="4"/>
  <c r="BK38" i="10" s="1"/>
  <c r="C30" i="4"/>
  <c r="U38" i="10" s="1"/>
  <c r="B30" i="4"/>
  <c r="BL38" i="10" s="1"/>
  <c r="AG29" i="4"/>
  <c r="HQ37" i="10" s="1"/>
  <c r="AF29" i="4"/>
  <c r="HF37" i="10" s="1"/>
  <c r="AE29" i="4"/>
  <c r="HE37" i="10" s="1"/>
  <c r="AD29" i="4"/>
  <c r="HD37" i="10" s="1"/>
  <c r="AC29" i="4"/>
  <c r="IO37" i="10" s="1"/>
  <c r="AB29" i="4"/>
  <c r="IL37" i="10" s="1"/>
  <c r="AA29" i="4"/>
  <c r="GV37" i="10" s="1"/>
  <c r="Z29" i="4"/>
  <c r="IM37" i="10" s="1"/>
  <c r="Y29" i="4"/>
  <c r="FH37" i="10" s="1"/>
  <c r="X29" i="4"/>
  <c r="EW37" i="10" s="1"/>
  <c r="W29" i="4"/>
  <c r="EV37" i="10" s="1"/>
  <c r="V29" i="4"/>
  <c r="EU37" i="10" s="1"/>
  <c r="U29" i="4"/>
  <c r="GF37" i="10" s="1"/>
  <c r="T29" i="4"/>
  <c r="GC37" i="10" s="1"/>
  <c r="S29" i="4"/>
  <c r="EM37" i="10" s="1"/>
  <c r="R29" i="4"/>
  <c r="GD37" i="10" s="1"/>
  <c r="Q29" i="4"/>
  <c r="CY37" i="10" s="1"/>
  <c r="P29" i="4"/>
  <c r="CN37" i="10" s="1"/>
  <c r="O29" i="4"/>
  <c r="CM37" i="10" s="1"/>
  <c r="N29" i="4"/>
  <c r="CL37" i="10" s="1"/>
  <c r="M29" i="4"/>
  <c r="DW37" i="10" s="1"/>
  <c r="L29" i="4"/>
  <c r="DT37" i="10" s="1"/>
  <c r="K29" i="4"/>
  <c r="CD37" i="10" s="1"/>
  <c r="J29" i="4"/>
  <c r="DU37" i="10" s="1"/>
  <c r="I29" i="4"/>
  <c r="AP37" i="10" s="1"/>
  <c r="H29" i="4"/>
  <c r="AE37" i="10" s="1"/>
  <c r="G29" i="4"/>
  <c r="AD37" i="10" s="1"/>
  <c r="F29" i="4"/>
  <c r="AC37" i="10" s="1"/>
  <c r="E29" i="4"/>
  <c r="BN37" i="10" s="1"/>
  <c r="D29" i="4"/>
  <c r="BK37" i="10" s="1"/>
  <c r="C29" i="4"/>
  <c r="U37" i="10" s="1"/>
  <c r="B29" i="4"/>
  <c r="BL37" i="10" s="1"/>
  <c r="AG28" i="4"/>
  <c r="HQ36" i="10" s="1"/>
  <c r="AF28" i="4"/>
  <c r="HF36" i="10" s="1"/>
  <c r="AE28" i="4"/>
  <c r="HE36" i="10" s="1"/>
  <c r="AD28" i="4"/>
  <c r="HD36" i="10" s="1"/>
  <c r="AC28" i="4"/>
  <c r="IO36" i="10" s="1"/>
  <c r="AB28" i="4"/>
  <c r="IL36" i="10" s="1"/>
  <c r="AA28" i="4"/>
  <c r="GV36" i="10" s="1"/>
  <c r="Z28" i="4"/>
  <c r="IM36" i="10" s="1"/>
  <c r="Y28" i="4"/>
  <c r="FH36" i="10" s="1"/>
  <c r="X28" i="4"/>
  <c r="EW36" i="10" s="1"/>
  <c r="W28" i="4"/>
  <c r="EV36" i="10" s="1"/>
  <c r="V28" i="4"/>
  <c r="EU36" i="10" s="1"/>
  <c r="U28" i="4"/>
  <c r="GF36" i="10" s="1"/>
  <c r="T28" i="4"/>
  <c r="GC36" i="10" s="1"/>
  <c r="S28" i="4"/>
  <c r="EM36" i="10" s="1"/>
  <c r="R28" i="4"/>
  <c r="GD36" i="10" s="1"/>
  <c r="Q28" i="4"/>
  <c r="CY36" i="10" s="1"/>
  <c r="P28" i="4"/>
  <c r="CN36" i="10" s="1"/>
  <c r="O28" i="4"/>
  <c r="CM36" i="10" s="1"/>
  <c r="N28" i="4"/>
  <c r="CL36" i="10" s="1"/>
  <c r="M28" i="4"/>
  <c r="DW36" i="10" s="1"/>
  <c r="L28" i="4"/>
  <c r="DT36" i="10" s="1"/>
  <c r="K28" i="4"/>
  <c r="CD36" i="10" s="1"/>
  <c r="J28" i="4"/>
  <c r="DU36" i="10" s="1"/>
  <c r="I28" i="4"/>
  <c r="AP36" i="10" s="1"/>
  <c r="H28" i="4"/>
  <c r="AE36" i="10" s="1"/>
  <c r="G28" i="4"/>
  <c r="AD36" i="10" s="1"/>
  <c r="F28" i="4"/>
  <c r="AC36" i="10" s="1"/>
  <c r="E28" i="4"/>
  <c r="BN36" i="10" s="1"/>
  <c r="D28" i="4"/>
  <c r="BK36" i="10" s="1"/>
  <c r="C28" i="4"/>
  <c r="U36" i="10" s="1"/>
  <c r="B28" i="4"/>
  <c r="BL36" i="10" s="1"/>
  <c r="AG27" i="4"/>
  <c r="HQ35" i="10" s="1"/>
  <c r="AF27" i="4"/>
  <c r="HF35" i="10" s="1"/>
  <c r="AE27" i="4"/>
  <c r="HE35" i="10" s="1"/>
  <c r="AD27" i="4"/>
  <c r="HD35" i="10" s="1"/>
  <c r="AC27" i="4"/>
  <c r="IO35" i="10" s="1"/>
  <c r="AB27" i="4"/>
  <c r="IL35" i="10" s="1"/>
  <c r="AA27" i="4"/>
  <c r="GV35" i="10" s="1"/>
  <c r="Z27" i="4"/>
  <c r="IM35" i="10" s="1"/>
  <c r="Y27" i="4"/>
  <c r="FH35" i="10" s="1"/>
  <c r="X27" i="4"/>
  <c r="EW35" i="10" s="1"/>
  <c r="W27" i="4"/>
  <c r="EV35" i="10" s="1"/>
  <c r="V27" i="4"/>
  <c r="EU35" i="10" s="1"/>
  <c r="U27" i="4"/>
  <c r="GF35" i="10" s="1"/>
  <c r="T27" i="4"/>
  <c r="GC35" i="10" s="1"/>
  <c r="S27" i="4"/>
  <c r="EM35" i="10" s="1"/>
  <c r="R27" i="4"/>
  <c r="GD35" i="10" s="1"/>
  <c r="Q27" i="4"/>
  <c r="CY35" i="10" s="1"/>
  <c r="P27" i="4"/>
  <c r="CN35" i="10" s="1"/>
  <c r="O27" i="4"/>
  <c r="CM35" i="10" s="1"/>
  <c r="N27" i="4"/>
  <c r="CL35" i="10" s="1"/>
  <c r="M27" i="4"/>
  <c r="DW35" i="10" s="1"/>
  <c r="L27" i="4"/>
  <c r="DT35" i="10" s="1"/>
  <c r="K27" i="4"/>
  <c r="CD35" i="10" s="1"/>
  <c r="J27" i="4"/>
  <c r="DU35" i="10" s="1"/>
  <c r="I27" i="4"/>
  <c r="AP35" i="10" s="1"/>
  <c r="H27" i="4"/>
  <c r="AE35" i="10" s="1"/>
  <c r="G27" i="4"/>
  <c r="AD35" i="10" s="1"/>
  <c r="F27" i="4"/>
  <c r="AC35" i="10" s="1"/>
  <c r="E27" i="4"/>
  <c r="BN35" i="10" s="1"/>
  <c r="D27" i="4"/>
  <c r="BK35" i="10" s="1"/>
  <c r="C27" i="4"/>
  <c r="U35" i="10" s="1"/>
  <c r="B27" i="4"/>
  <c r="BL35" i="10" s="1"/>
  <c r="AG26" i="4"/>
  <c r="HQ34" i="10" s="1"/>
  <c r="AF26" i="4"/>
  <c r="HF34" i="10" s="1"/>
  <c r="AE26" i="4"/>
  <c r="HE34" i="10" s="1"/>
  <c r="AD26" i="4"/>
  <c r="HD34" i="10" s="1"/>
  <c r="AC26" i="4"/>
  <c r="IO34" i="10" s="1"/>
  <c r="AB26" i="4"/>
  <c r="IL34" i="10" s="1"/>
  <c r="AA26" i="4"/>
  <c r="GV34" i="10" s="1"/>
  <c r="Z26" i="4"/>
  <c r="IM34" i="10" s="1"/>
  <c r="Y26" i="4"/>
  <c r="FH34" i="10" s="1"/>
  <c r="X26" i="4"/>
  <c r="EW34" i="10" s="1"/>
  <c r="W26" i="4"/>
  <c r="EV34" i="10" s="1"/>
  <c r="V26" i="4"/>
  <c r="EU34" i="10" s="1"/>
  <c r="U26" i="4"/>
  <c r="GF34" i="10" s="1"/>
  <c r="T26" i="4"/>
  <c r="GC34" i="10" s="1"/>
  <c r="S26" i="4"/>
  <c r="EM34" i="10" s="1"/>
  <c r="R26" i="4"/>
  <c r="GD34" i="10" s="1"/>
  <c r="Q26" i="4"/>
  <c r="CY34" i="10" s="1"/>
  <c r="P26" i="4"/>
  <c r="CN34" i="10" s="1"/>
  <c r="O26" i="4"/>
  <c r="CM34" i="10" s="1"/>
  <c r="N26" i="4"/>
  <c r="CL34" i="10" s="1"/>
  <c r="M26" i="4"/>
  <c r="DW34" i="10" s="1"/>
  <c r="L26" i="4"/>
  <c r="DT34" i="10" s="1"/>
  <c r="K26" i="4"/>
  <c r="CD34" i="10" s="1"/>
  <c r="J26" i="4"/>
  <c r="DU34" i="10" s="1"/>
  <c r="I26" i="4"/>
  <c r="AP34" i="10" s="1"/>
  <c r="H26" i="4"/>
  <c r="AE34" i="10" s="1"/>
  <c r="G26" i="4"/>
  <c r="AD34" i="10" s="1"/>
  <c r="F26" i="4"/>
  <c r="AC34" i="10" s="1"/>
  <c r="E26" i="4"/>
  <c r="BN34" i="10" s="1"/>
  <c r="D26" i="4"/>
  <c r="BK34" i="10" s="1"/>
  <c r="C26" i="4"/>
  <c r="U34" i="10" s="1"/>
  <c r="B26" i="4"/>
  <c r="BL34" i="10" s="1"/>
  <c r="AG25" i="4"/>
  <c r="HQ33" i="10" s="1"/>
  <c r="AF25" i="4"/>
  <c r="HF33" i="10" s="1"/>
  <c r="AE25" i="4"/>
  <c r="HE33" i="10" s="1"/>
  <c r="AD25" i="4"/>
  <c r="HD33" i="10" s="1"/>
  <c r="AC25" i="4"/>
  <c r="IO33" i="10" s="1"/>
  <c r="AB25" i="4"/>
  <c r="IL33" i="10" s="1"/>
  <c r="AA25" i="4"/>
  <c r="GV33" i="10" s="1"/>
  <c r="Z25" i="4"/>
  <c r="IM33" i="10" s="1"/>
  <c r="Y25" i="4"/>
  <c r="FH33" i="10" s="1"/>
  <c r="X25" i="4"/>
  <c r="EW33" i="10" s="1"/>
  <c r="W25" i="4"/>
  <c r="EV33" i="10" s="1"/>
  <c r="V25" i="4"/>
  <c r="EU33" i="10" s="1"/>
  <c r="U25" i="4"/>
  <c r="GF33" i="10" s="1"/>
  <c r="T25" i="4"/>
  <c r="GC33" i="10" s="1"/>
  <c r="S25" i="4"/>
  <c r="EM33" i="10" s="1"/>
  <c r="R25" i="4"/>
  <c r="GD33" i="10" s="1"/>
  <c r="Q25" i="4"/>
  <c r="CY33" i="10" s="1"/>
  <c r="P25" i="4"/>
  <c r="CN33" i="10" s="1"/>
  <c r="O25" i="4"/>
  <c r="CM33" i="10" s="1"/>
  <c r="N25" i="4"/>
  <c r="CL33" i="10" s="1"/>
  <c r="M25" i="4"/>
  <c r="DW33" i="10" s="1"/>
  <c r="L25" i="4"/>
  <c r="DT33" i="10" s="1"/>
  <c r="K25" i="4"/>
  <c r="CD33" i="10" s="1"/>
  <c r="J25" i="4"/>
  <c r="DU33" i="10" s="1"/>
  <c r="I25" i="4"/>
  <c r="AP33" i="10" s="1"/>
  <c r="H25" i="4"/>
  <c r="AE33" i="10" s="1"/>
  <c r="G25" i="4"/>
  <c r="AD33" i="10" s="1"/>
  <c r="F25" i="4"/>
  <c r="AC33" i="10" s="1"/>
  <c r="E25" i="4"/>
  <c r="BN33" i="10" s="1"/>
  <c r="D25" i="4"/>
  <c r="BK33" i="10" s="1"/>
  <c r="C25" i="4"/>
  <c r="U33" i="10" s="1"/>
  <c r="B25" i="4"/>
  <c r="BL33" i="10" s="1"/>
  <c r="AG24" i="4"/>
  <c r="HQ32" i="10" s="1"/>
  <c r="AF24" i="4"/>
  <c r="HF32" i="10" s="1"/>
  <c r="AE24" i="4"/>
  <c r="HE32" i="10" s="1"/>
  <c r="AD24" i="4"/>
  <c r="HD32" i="10" s="1"/>
  <c r="AC24" i="4"/>
  <c r="IO32" i="10" s="1"/>
  <c r="AB24" i="4"/>
  <c r="IL32" i="10" s="1"/>
  <c r="AA24" i="4"/>
  <c r="GV32" i="10" s="1"/>
  <c r="Z24" i="4"/>
  <c r="IM32" i="10" s="1"/>
  <c r="Y24" i="4"/>
  <c r="FH32" i="10" s="1"/>
  <c r="X24" i="4"/>
  <c r="EW32" i="10" s="1"/>
  <c r="W24" i="4"/>
  <c r="EV32" i="10" s="1"/>
  <c r="V24" i="4"/>
  <c r="EU32" i="10" s="1"/>
  <c r="U24" i="4"/>
  <c r="GF32" i="10" s="1"/>
  <c r="T24" i="4"/>
  <c r="GC32" i="10" s="1"/>
  <c r="S24" i="4"/>
  <c r="EM32" i="10" s="1"/>
  <c r="R24" i="4"/>
  <c r="GD32" i="10" s="1"/>
  <c r="Q24" i="4"/>
  <c r="CY32" i="10" s="1"/>
  <c r="P24" i="4"/>
  <c r="CN32" i="10" s="1"/>
  <c r="O24" i="4"/>
  <c r="CM32" i="10" s="1"/>
  <c r="N24" i="4"/>
  <c r="CL32" i="10" s="1"/>
  <c r="M24" i="4"/>
  <c r="DW32" i="10" s="1"/>
  <c r="L24" i="4"/>
  <c r="DT32" i="10" s="1"/>
  <c r="K24" i="4"/>
  <c r="CD32" i="10" s="1"/>
  <c r="J24" i="4"/>
  <c r="DU32" i="10" s="1"/>
  <c r="I24" i="4"/>
  <c r="AP32" i="10" s="1"/>
  <c r="H24" i="4"/>
  <c r="AE32" i="10" s="1"/>
  <c r="G24" i="4"/>
  <c r="AD32" i="10" s="1"/>
  <c r="F24" i="4"/>
  <c r="AC32" i="10" s="1"/>
  <c r="E24" i="4"/>
  <c r="BN32" i="10" s="1"/>
  <c r="D24" i="4"/>
  <c r="BK32" i="10" s="1"/>
  <c r="C24" i="4"/>
  <c r="U32" i="10" s="1"/>
  <c r="B24" i="4"/>
  <c r="BL32" i="10" s="1"/>
  <c r="AG23" i="4"/>
  <c r="HQ31" i="10" s="1"/>
  <c r="AF23" i="4"/>
  <c r="HF31" i="10" s="1"/>
  <c r="AE23" i="4"/>
  <c r="HE31" i="10" s="1"/>
  <c r="AD23" i="4"/>
  <c r="HD31" i="10" s="1"/>
  <c r="AC23" i="4"/>
  <c r="IO31" i="10" s="1"/>
  <c r="AB23" i="4"/>
  <c r="IL31" i="10" s="1"/>
  <c r="AA23" i="4"/>
  <c r="GV31" i="10" s="1"/>
  <c r="Z23" i="4"/>
  <c r="IM31" i="10" s="1"/>
  <c r="Y23" i="4"/>
  <c r="FH31" i="10" s="1"/>
  <c r="X23" i="4"/>
  <c r="EW31" i="10" s="1"/>
  <c r="W23" i="4"/>
  <c r="EV31" i="10" s="1"/>
  <c r="V23" i="4"/>
  <c r="EU31" i="10" s="1"/>
  <c r="U23" i="4"/>
  <c r="GF31" i="10" s="1"/>
  <c r="T23" i="4"/>
  <c r="GC31" i="10" s="1"/>
  <c r="S23" i="4"/>
  <c r="EM31" i="10" s="1"/>
  <c r="R23" i="4"/>
  <c r="GD31" i="10" s="1"/>
  <c r="Q23" i="4"/>
  <c r="CY31" i="10" s="1"/>
  <c r="P23" i="4"/>
  <c r="CN31" i="10" s="1"/>
  <c r="O23" i="4"/>
  <c r="CM31" i="10" s="1"/>
  <c r="N23" i="4"/>
  <c r="CL31" i="10" s="1"/>
  <c r="M23" i="4"/>
  <c r="DW31" i="10" s="1"/>
  <c r="L23" i="4"/>
  <c r="DT31" i="10" s="1"/>
  <c r="K23" i="4"/>
  <c r="CD31" i="10" s="1"/>
  <c r="J23" i="4"/>
  <c r="DU31" i="10" s="1"/>
  <c r="I23" i="4"/>
  <c r="AP31" i="10" s="1"/>
  <c r="H23" i="4"/>
  <c r="AE31" i="10" s="1"/>
  <c r="G23" i="4"/>
  <c r="AD31" i="10" s="1"/>
  <c r="F23" i="4"/>
  <c r="AC31" i="10" s="1"/>
  <c r="E23" i="4"/>
  <c r="BN31" i="10" s="1"/>
  <c r="D23" i="4"/>
  <c r="BK31" i="10" s="1"/>
  <c r="C23" i="4"/>
  <c r="U31" i="10" s="1"/>
  <c r="B23" i="4"/>
  <c r="BL31" i="10" s="1"/>
  <c r="AG22" i="4"/>
  <c r="HQ30" i="10" s="1"/>
  <c r="AF22" i="4"/>
  <c r="HF30" i="10" s="1"/>
  <c r="AE22" i="4"/>
  <c r="HE30" i="10" s="1"/>
  <c r="AD22" i="4"/>
  <c r="HD30" i="10" s="1"/>
  <c r="AC22" i="4"/>
  <c r="IO30" i="10" s="1"/>
  <c r="AB22" i="4"/>
  <c r="IL30" i="10" s="1"/>
  <c r="AA22" i="4"/>
  <c r="GV30" i="10" s="1"/>
  <c r="Z22" i="4"/>
  <c r="IM30" i="10" s="1"/>
  <c r="Y22" i="4"/>
  <c r="FH30" i="10" s="1"/>
  <c r="X22" i="4"/>
  <c r="EW30" i="10" s="1"/>
  <c r="W22" i="4"/>
  <c r="EV30" i="10" s="1"/>
  <c r="V22" i="4"/>
  <c r="EU30" i="10" s="1"/>
  <c r="U22" i="4"/>
  <c r="GF30" i="10" s="1"/>
  <c r="T22" i="4"/>
  <c r="GC30" i="10" s="1"/>
  <c r="S22" i="4"/>
  <c r="EM30" i="10" s="1"/>
  <c r="R22" i="4"/>
  <c r="GD30" i="10" s="1"/>
  <c r="Q22" i="4"/>
  <c r="CY30" i="10" s="1"/>
  <c r="P22" i="4"/>
  <c r="CN30" i="10" s="1"/>
  <c r="O22" i="4"/>
  <c r="CM30" i="10" s="1"/>
  <c r="N22" i="4"/>
  <c r="CL30" i="10" s="1"/>
  <c r="M22" i="4"/>
  <c r="DW30" i="10" s="1"/>
  <c r="L22" i="4"/>
  <c r="DT30" i="10" s="1"/>
  <c r="K22" i="4"/>
  <c r="CD30" i="10" s="1"/>
  <c r="J22" i="4"/>
  <c r="DU30" i="10" s="1"/>
  <c r="I22" i="4"/>
  <c r="AP30" i="10" s="1"/>
  <c r="H22" i="4"/>
  <c r="AE30" i="10" s="1"/>
  <c r="G22" i="4"/>
  <c r="AD30" i="10" s="1"/>
  <c r="F22" i="4"/>
  <c r="AC30" i="10" s="1"/>
  <c r="E22" i="4"/>
  <c r="BN30" i="10" s="1"/>
  <c r="D22" i="4"/>
  <c r="BK30" i="10" s="1"/>
  <c r="C22" i="4"/>
  <c r="U30" i="10" s="1"/>
  <c r="B22" i="4"/>
  <c r="BL30" i="10" s="1"/>
  <c r="AG21" i="4"/>
  <c r="HQ29" i="10" s="1"/>
  <c r="AF21" i="4"/>
  <c r="HF29" i="10" s="1"/>
  <c r="AE21" i="4"/>
  <c r="HE29" i="10" s="1"/>
  <c r="AD21" i="4"/>
  <c r="HD29" i="10" s="1"/>
  <c r="AC21" i="4"/>
  <c r="IO29" i="10" s="1"/>
  <c r="AB21" i="4"/>
  <c r="IL29" i="10" s="1"/>
  <c r="AA21" i="4"/>
  <c r="GV29" i="10" s="1"/>
  <c r="Z21" i="4"/>
  <c r="IM29" i="10" s="1"/>
  <c r="Y21" i="4"/>
  <c r="FH29" i="10" s="1"/>
  <c r="X21" i="4"/>
  <c r="EW29" i="10" s="1"/>
  <c r="W21" i="4"/>
  <c r="EV29" i="10" s="1"/>
  <c r="V21" i="4"/>
  <c r="EU29" i="10" s="1"/>
  <c r="U21" i="4"/>
  <c r="GF29" i="10" s="1"/>
  <c r="T21" i="4"/>
  <c r="GC29" i="10" s="1"/>
  <c r="S21" i="4"/>
  <c r="EM29" i="10" s="1"/>
  <c r="R21" i="4"/>
  <c r="GD29" i="10" s="1"/>
  <c r="Q21" i="4"/>
  <c r="CY29" i="10" s="1"/>
  <c r="P21" i="4"/>
  <c r="CN29" i="10" s="1"/>
  <c r="O21" i="4"/>
  <c r="CM29" i="10" s="1"/>
  <c r="N21" i="4"/>
  <c r="CL29" i="10" s="1"/>
  <c r="M21" i="4"/>
  <c r="DW29" i="10" s="1"/>
  <c r="L21" i="4"/>
  <c r="DT29" i="10" s="1"/>
  <c r="K21" i="4"/>
  <c r="CD29" i="10" s="1"/>
  <c r="J21" i="4"/>
  <c r="DU29" i="10" s="1"/>
  <c r="I21" i="4"/>
  <c r="AP29" i="10" s="1"/>
  <c r="H21" i="4"/>
  <c r="AE29" i="10" s="1"/>
  <c r="G21" i="4"/>
  <c r="AD29" i="10" s="1"/>
  <c r="F21" i="4"/>
  <c r="AC29" i="10" s="1"/>
  <c r="E21" i="4"/>
  <c r="BN29" i="10" s="1"/>
  <c r="D21" i="4"/>
  <c r="BK29" i="10" s="1"/>
  <c r="C21" i="4"/>
  <c r="U29" i="10" s="1"/>
  <c r="B21" i="4"/>
  <c r="BL29" i="10" s="1"/>
  <c r="AG20" i="4"/>
  <c r="HQ28" i="10" s="1"/>
  <c r="AF20" i="4"/>
  <c r="HF28" i="10" s="1"/>
  <c r="AE20" i="4"/>
  <c r="HE28" i="10" s="1"/>
  <c r="AD20" i="4"/>
  <c r="HD28" i="10" s="1"/>
  <c r="AC20" i="4"/>
  <c r="IO28" i="10" s="1"/>
  <c r="AB20" i="4"/>
  <c r="IL28" i="10" s="1"/>
  <c r="AA20" i="4"/>
  <c r="GV28" i="10" s="1"/>
  <c r="Z20" i="4"/>
  <c r="IM28" i="10" s="1"/>
  <c r="Y20" i="4"/>
  <c r="FH28" i="10" s="1"/>
  <c r="X20" i="4"/>
  <c r="EW28" i="10" s="1"/>
  <c r="W20" i="4"/>
  <c r="EV28" i="10" s="1"/>
  <c r="V20" i="4"/>
  <c r="EU28" i="10" s="1"/>
  <c r="U20" i="4"/>
  <c r="GF28" i="10" s="1"/>
  <c r="T20" i="4"/>
  <c r="GC28" i="10" s="1"/>
  <c r="S20" i="4"/>
  <c r="EM28" i="10" s="1"/>
  <c r="R20" i="4"/>
  <c r="GD28" i="10" s="1"/>
  <c r="Q20" i="4"/>
  <c r="CY28" i="10" s="1"/>
  <c r="P20" i="4"/>
  <c r="CN28" i="10" s="1"/>
  <c r="O20" i="4"/>
  <c r="CM28" i="10" s="1"/>
  <c r="N20" i="4"/>
  <c r="CL28" i="10" s="1"/>
  <c r="M20" i="4"/>
  <c r="DW28" i="10" s="1"/>
  <c r="L20" i="4"/>
  <c r="DT28" i="10" s="1"/>
  <c r="K20" i="4"/>
  <c r="CD28" i="10" s="1"/>
  <c r="J20" i="4"/>
  <c r="DU28" i="10" s="1"/>
  <c r="I20" i="4"/>
  <c r="AP28" i="10" s="1"/>
  <c r="H20" i="4"/>
  <c r="AE28" i="10" s="1"/>
  <c r="G20" i="4"/>
  <c r="AD28" i="10" s="1"/>
  <c r="F20" i="4"/>
  <c r="AC28" i="10" s="1"/>
  <c r="E20" i="4"/>
  <c r="BN28" i="10" s="1"/>
  <c r="D20" i="4"/>
  <c r="BK28" i="10" s="1"/>
  <c r="C20" i="4"/>
  <c r="U28" i="10" s="1"/>
  <c r="B20" i="4"/>
  <c r="BL28" i="10" s="1"/>
  <c r="AG19" i="4"/>
  <c r="HQ27" i="10" s="1"/>
  <c r="AF19" i="4"/>
  <c r="HF27" i="10" s="1"/>
  <c r="AE19" i="4"/>
  <c r="HE27" i="10" s="1"/>
  <c r="AD19" i="4"/>
  <c r="HD27" i="10" s="1"/>
  <c r="AC19" i="4"/>
  <c r="IO27" i="10" s="1"/>
  <c r="AB19" i="4"/>
  <c r="IL27" i="10" s="1"/>
  <c r="AA19" i="4"/>
  <c r="GV27" i="10" s="1"/>
  <c r="Z19" i="4"/>
  <c r="IM27" i="10" s="1"/>
  <c r="Y19" i="4"/>
  <c r="FH27" i="10" s="1"/>
  <c r="X19" i="4"/>
  <c r="EW27" i="10" s="1"/>
  <c r="W19" i="4"/>
  <c r="EV27" i="10" s="1"/>
  <c r="V19" i="4"/>
  <c r="EU27" i="10" s="1"/>
  <c r="U19" i="4"/>
  <c r="GF27" i="10" s="1"/>
  <c r="T19" i="4"/>
  <c r="GC27" i="10" s="1"/>
  <c r="S19" i="4"/>
  <c r="EM27" i="10" s="1"/>
  <c r="R19" i="4"/>
  <c r="GD27" i="10" s="1"/>
  <c r="Q19" i="4"/>
  <c r="CY27" i="10" s="1"/>
  <c r="P19" i="4"/>
  <c r="CN27" i="10" s="1"/>
  <c r="O19" i="4"/>
  <c r="CM27" i="10" s="1"/>
  <c r="N19" i="4"/>
  <c r="CL27" i="10" s="1"/>
  <c r="M19" i="4"/>
  <c r="DW27" i="10" s="1"/>
  <c r="L19" i="4"/>
  <c r="DT27" i="10" s="1"/>
  <c r="K19" i="4"/>
  <c r="CD27" i="10" s="1"/>
  <c r="J19" i="4"/>
  <c r="DU27" i="10" s="1"/>
  <c r="I19" i="4"/>
  <c r="AP27" i="10" s="1"/>
  <c r="H19" i="4"/>
  <c r="AE27" i="10" s="1"/>
  <c r="G19" i="4"/>
  <c r="AD27" i="10" s="1"/>
  <c r="F19" i="4"/>
  <c r="AC27" i="10" s="1"/>
  <c r="E19" i="4"/>
  <c r="BN27" i="10" s="1"/>
  <c r="D19" i="4"/>
  <c r="BK27" i="10" s="1"/>
  <c r="C19" i="4"/>
  <c r="U27" i="10" s="1"/>
  <c r="B19" i="4"/>
  <c r="BL27" i="10" s="1"/>
  <c r="AG18" i="4"/>
  <c r="HQ26" i="10" s="1"/>
  <c r="AF18" i="4"/>
  <c r="HF26" i="10" s="1"/>
  <c r="AE18" i="4"/>
  <c r="HE26" i="10" s="1"/>
  <c r="AD18" i="4"/>
  <c r="HD26" i="10" s="1"/>
  <c r="AC18" i="4"/>
  <c r="IO26" i="10" s="1"/>
  <c r="AB18" i="4"/>
  <c r="IL26" i="10" s="1"/>
  <c r="AA18" i="4"/>
  <c r="GV26" i="10" s="1"/>
  <c r="Z18" i="4"/>
  <c r="IM26" i="10" s="1"/>
  <c r="Y18" i="4"/>
  <c r="FH26" i="10" s="1"/>
  <c r="X18" i="4"/>
  <c r="EW26" i="10" s="1"/>
  <c r="W18" i="4"/>
  <c r="EV26" i="10" s="1"/>
  <c r="V18" i="4"/>
  <c r="EU26" i="10" s="1"/>
  <c r="U18" i="4"/>
  <c r="GF26" i="10" s="1"/>
  <c r="T18" i="4"/>
  <c r="GC26" i="10" s="1"/>
  <c r="S18" i="4"/>
  <c r="EM26" i="10" s="1"/>
  <c r="R18" i="4"/>
  <c r="GD26" i="10" s="1"/>
  <c r="Q18" i="4"/>
  <c r="CY26" i="10" s="1"/>
  <c r="P18" i="4"/>
  <c r="CN26" i="10" s="1"/>
  <c r="O18" i="4"/>
  <c r="CM26" i="10" s="1"/>
  <c r="N18" i="4"/>
  <c r="CL26" i="10" s="1"/>
  <c r="M18" i="4"/>
  <c r="DW26" i="10" s="1"/>
  <c r="L18" i="4"/>
  <c r="DT26" i="10" s="1"/>
  <c r="K18" i="4"/>
  <c r="CD26" i="10" s="1"/>
  <c r="J18" i="4"/>
  <c r="DU26" i="10" s="1"/>
  <c r="I18" i="4"/>
  <c r="AP26" i="10" s="1"/>
  <c r="H18" i="4"/>
  <c r="AE26" i="10" s="1"/>
  <c r="G18" i="4"/>
  <c r="AD26" i="10" s="1"/>
  <c r="F18" i="4"/>
  <c r="AC26" i="10" s="1"/>
  <c r="E18" i="4"/>
  <c r="BN26" i="10" s="1"/>
  <c r="D18" i="4"/>
  <c r="BK26" i="10" s="1"/>
  <c r="C18" i="4"/>
  <c r="U26" i="10" s="1"/>
  <c r="B18" i="4"/>
  <c r="BL26" i="10" s="1"/>
  <c r="AG17" i="4"/>
  <c r="HQ25" i="10" s="1"/>
  <c r="AF17" i="4"/>
  <c r="HF25" i="10" s="1"/>
  <c r="AE17" i="4"/>
  <c r="HE25" i="10" s="1"/>
  <c r="AD17" i="4"/>
  <c r="HD25" i="10" s="1"/>
  <c r="AC17" i="4"/>
  <c r="IO25" i="10" s="1"/>
  <c r="AB17" i="4"/>
  <c r="IL25" i="10" s="1"/>
  <c r="AA17" i="4"/>
  <c r="GV25" i="10" s="1"/>
  <c r="Z17" i="4"/>
  <c r="IM25" i="10" s="1"/>
  <c r="Y17" i="4"/>
  <c r="FH25" i="10" s="1"/>
  <c r="X17" i="4"/>
  <c r="EW25" i="10" s="1"/>
  <c r="W17" i="4"/>
  <c r="EV25" i="10" s="1"/>
  <c r="V17" i="4"/>
  <c r="EU25" i="10" s="1"/>
  <c r="U17" i="4"/>
  <c r="GF25" i="10" s="1"/>
  <c r="T17" i="4"/>
  <c r="GC25" i="10" s="1"/>
  <c r="S17" i="4"/>
  <c r="EM25" i="10" s="1"/>
  <c r="R17" i="4"/>
  <c r="GD25" i="10" s="1"/>
  <c r="Q17" i="4"/>
  <c r="CY25" i="10" s="1"/>
  <c r="P17" i="4"/>
  <c r="CN25" i="10" s="1"/>
  <c r="O17" i="4"/>
  <c r="CM25" i="10" s="1"/>
  <c r="N17" i="4"/>
  <c r="CL25" i="10" s="1"/>
  <c r="M17" i="4"/>
  <c r="DW25" i="10" s="1"/>
  <c r="L17" i="4"/>
  <c r="DT25" i="10" s="1"/>
  <c r="K17" i="4"/>
  <c r="CD25" i="10" s="1"/>
  <c r="J17" i="4"/>
  <c r="DU25" i="10" s="1"/>
  <c r="I17" i="4"/>
  <c r="AP25" i="10" s="1"/>
  <c r="H17" i="4"/>
  <c r="AE25" i="10" s="1"/>
  <c r="G17" i="4"/>
  <c r="AD25" i="10" s="1"/>
  <c r="F17" i="4"/>
  <c r="AC25" i="10" s="1"/>
  <c r="E17" i="4"/>
  <c r="BN25" i="10" s="1"/>
  <c r="D17" i="4"/>
  <c r="BK25" i="10" s="1"/>
  <c r="C17" i="4"/>
  <c r="U25" i="10" s="1"/>
  <c r="B17" i="4"/>
  <c r="BL25" i="10" s="1"/>
  <c r="AG16" i="4"/>
  <c r="HQ24" i="10" s="1"/>
  <c r="AF16" i="4"/>
  <c r="HF24" i="10" s="1"/>
  <c r="AE16" i="4"/>
  <c r="HE24" i="10" s="1"/>
  <c r="AD16" i="4"/>
  <c r="HD24" i="10" s="1"/>
  <c r="AC16" i="4"/>
  <c r="IO24" i="10" s="1"/>
  <c r="AB16" i="4"/>
  <c r="IL24" i="10" s="1"/>
  <c r="AA16" i="4"/>
  <c r="GV24" i="10" s="1"/>
  <c r="Z16" i="4"/>
  <c r="IM24" i="10" s="1"/>
  <c r="Y16" i="4"/>
  <c r="FH24" i="10" s="1"/>
  <c r="X16" i="4"/>
  <c r="EW24" i="10" s="1"/>
  <c r="W16" i="4"/>
  <c r="EV24" i="10" s="1"/>
  <c r="V16" i="4"/>
  <c r="EU24" i="10" s="1"/>
  <c r="U16" i="4"/>
  <c r="GF24" i="10" s="1"/>
  <c r="T16" i="4"/>
  <c r="GC24" i="10" s="1"/>
  <c r="S16" i="4"/>
  <c r="EM24" i="10" s="1"/>
  <c r="R16" i="4"/>
  <c r="GD24" i="10" s="1"/>
  <c r="Q16" i="4"/>
  <c r="CY24" i="10" s="1"/>
  <c r="P16" i="4"/>
  <c r="CN24" i="10" s="1"/>
  <c r="O16" i="4"/>
  <c r="CM24" i="10" s="1"/>
  <c r="N16" i="4"/>
  <c r="CL24" i="10" s="1"/>
  <c r="M16" i="4"/>
  <c r="DW24" i="10" s="1"/>
  <c r="L16" i="4"/>
  <c r="DT24" i="10" s="1"/>
  <c r="K16" i="4"/>
  <c r="CD24" i="10" s="1"/>
  <c r="J16" i="4"/>
  <c r="DU24" i="10" s="1"/>
  <c r="I16" i="4"/>
  <c r="AP24" i="10" s="1"/>
  <c r="H16" i="4"/>
  <c r="AE24" i="10" s="1"/>
  <c r="G16" i="4"/>
  <c r="AD24" i="10" s="1"/>
  <c r="F16" i="4"/>
  <c r="AC24" i="10" s="1"/>
  <c r="E16" i="4"/>
  <c r="BN24" i="10" s="1"/>
  <c r="D16" i="4"/>
  <c r="BK24" i="10" s="1"/>
  <c r="C16" i="4"/>
  <c r="U24" i="10" s="1"/>
  <c r="B16" i="4"/>
  <c r="BL24" i="10" s="1"/>
  <c r="AG15" i="4"/>
  <c r="HQ23" i="10" s="1"/>
  <c r="AF15" i="4"/>
  <c r="HF23" i="10" s="1"/>
  <c r="AE15" i="4"/>
  <c r="HE23" i="10" s="1"/>
  <c r="AD15" i="4"/>
  <c r="HD23" i="10" s="1"/>
  <c r="AC15" i="4"/>
  <c r="IO23" i="10" s="1"/>
  <c r="AB15" i="4"/>
  <c r="IL23" i="10" s="1"/>
  <c r="AA15" i="4"/>
  <c r="GV23" i="10" s="1"/>
  <c r="Z15" i="4"/>
  <c r="IM23" i="10" s="1"/>
  <c r="Y15" i="4"/>
  <c r="FH23" i="10" s="1"/>
  <c r="X15" i="4"/>
  <c r="EW23" i="10" s="1"/>
  <c r="W15" i="4"/>
  <c r="EV23" i="10" s="1"/>
  <c r="V15" i="4"/>
  <c r="EU23" i="10" s="1"/>
  <c r="U15" i="4"/>
  <c r="GF23" i="10" s="1"/>
  <c r="T15" i="4"/>
  <c r="GC23" i="10" s="1"/>
  <c r="S15" i="4"/>
  <c r="EM23" i="10" s="1"/>
  <c r="R15" i="4"/>
  <c r="GD23" i="10" s="1"/>
  <c r="Q15" i="4"/>
  <c r="CY23" i="10" s="1"/>
  <c r="P15" i="4"/>
  <c r="CN23" i="10" s="1"/>
  <c r="O15" i="4"/>
  <c r="CM23" i="10" s="1"/>
  <c r="N15" i="4"/>
  <c r="CL23" i="10" s="1"/>
  <c r="M15" i="4"/>
  <c r="DW23" i="10" s="1"/>
  <c r="L15" i="4"/>
  <c r="DT23" i="10" s="1"/>
  <c r="K15" i="4"/>
  <c r="CD23" i="10" s="1"/>
  <c r="J15" i="4"/>
  <c r="DU23" i="10" s="1"/>
  <c r="I15" i="4"/>
  <c r="AP23" i="10" s="1"/>
  <c r="H15" i="4"/>
  <c r="AE23" i="10" s="1"/>
  <c r="G15" i="4"/>
  <c r="AD23" i="10" s="1"/>
  <c r="F15" i="4"/>
  <c r="AC23" i="10" s="1"/>
  <c r="E15" i="4"/>
  <c r="BN23" i="10" s="1"/>
  <c r="D15" i="4"/>
  <c r="BK23" i="10" s="1"/>
  <c r="C15" i="4"/>
  <c r="U23" i="10" s="1"/>
  <c r="B15" i="4"/>
  <c r="BL23" i="10" s="1"/>
  <c r="AG14" i="4"/>
  <c r="HQ22" i="10" s="1"/>
  <c r="AF14" i="4"/>
  <c r="HF22" i="10" s="1"/>
  <c r="AE14" i="4"/>
  <c r="HE22" i="10" s="1"/>
  <c r="AD14" i="4"/>
  <c r="HD22" i="10" s="1"/>
  <c r="AC14" i="4"/>
  <c r="IO22" i="10" s="1"/>
  <c r="AB14" i="4"/>
  <c r="IL22" i="10" s="1"/>
  <c r="AA14" i="4"/>
  <c r="GV22" i="10" s="1"/>
  <c r="Z14" i="4"/>
  <c r="IM22" i="10" s="1"/>
  <c r="Y14" i="4"/>
  <c r="FH22" i="10" s="1"/>
  <c r="X14" i="4"/>
  <c r="EW22" i="10" s="1"/>
  <c r="W14" i="4"/>
  <c r="EV22" i="10" s="1"/>
  <c r="V14" i="4"/>
  <c r="EU22" i="10" s="1"/>
  <c r="U14" i="4"/>
  <c r="GF22" i="10" s="1"/>
  <c r="T14" i="4"/>
  <c r="GC22" i="10" s="1"/>
  <c r="S14" i="4"/>
  <c r="EM22" i="10" s="1"/>
  <c r="R14" i="4"/>
  <c r="GD22" i="10" s="1"/>
  <c r="Q14" i="4"/>
  <c r="CY22" i="10" s="1"/>
  <c r="P14" i="4"/>
  <c r="CN22" i="10" s="1"/>
  <c r="O14" i="4"/>
  <c r="CM22" i="10" s="1"/>
  <c r="N14" i="4"/>
  <c r="CL22" i="10" s="1"/>
  <c r="M14" i="4"/>
  <c r="DW22" i="10" s="1"/>
  <c r="L14" i="4"/>
  <c r="DT22" i="10" s="1"/>
  <c r="K14" i="4"/>
  <c r="CD22" i="10" s="1"/>
  <c r="J14" i="4"/>
  <c r="DU22" i="10" s="1"/>
  <c r="I14" i="4"/>
  <c r="AP22" i="10" s="1"/>
  <c r="H14" i="4"/>
  <c r="AE22" i="10" s="1"/>
  <c r="G14" i="4"/>
  <c r="AD22" i="10" s="1"/>
  <c r="F14" i="4"/>
  <c r="AC22" i="10" s="1"/>
  <c r="E14" i="4"/>
  <c r="BN22" i="10" s="1"/>
  <c r="D14" i="4"/>
  <c r="BK22" i="10" s="1"/>
  <c r="C14" i="4"/>
  <c r="U22" i="10" s="1"/>
  <c r="B14" i="4"/>
  <c r="BL22" i="10" s="1"/>
  <c r="AG13" i="4"/>
  <c r="HQ21" i="10" s="1"/>
  <c r="AF13" i="4"/>
  <c r="HF21" i="10" s="1"/>
  <c r="AE13" i="4"/>
  <c r="HE21" i="10" s="1"/>
  <c r="AD13" i="4"/>
  <c r="HD21" i="10" s="1"/>
  <c r="AC13" i="4"/>
  <c r="IO21" i="10" s="1"/>
  <c r="AB13" i="4"/>
  <c r="IL21" i="10" s="1"/>
  <c r="AA13" i="4"/>
  <c r="GV21" i="10" s="1"/>
  <c r="Z13" i="4"/>
  <c r="IM21" i="10" s="1"/>
  <c r="Y13" i="4"/>
  <c r="FH21" i="10" s="1"/>
  <c r="X13" i="4"/>
  <c r="EW21" i="10" s="1"/>
  <c r="W13" i="4"/>
  <c r="EV21" i="10" s="1"/>
  <c r="V13" i="4"/>
  <c r="EU21" i="10" s="1"/>
  <c r="U13" i="4"/>
  <c r="GF21" i="10" s="1"/>
  <c r="T13" i="4"/>
  <c r="GC21" i="10" s="1"/>
  <c r="S13" i="4"/>
  <c r="EM21" i="10" s="1"/>
  <c r="R13" i="4"/>
  <c r="GD21" i="10" s="1"/>
  <c r="Q13" i="4"/>
  <c r="CY21" i="10" s="1"/>
  <c r="P13" i="4"/>
  <c r="CN21" i="10" s="1"/>
  <c r="O13" i="4"/>
  <c r="CM21" i="10" s="1"/>
  <c r="N13" i="4"/>
  <c r="CL21" i="10" s="1"/>
  <c r="M13" i="4"/>
  <c r="DW21" i="10" s="1"/>
  <c r="L13" i="4"/>
  <c r="DT21" i="10" s="1"/>
  <c r="K13" i="4"/>
  <c r="CD21" i="10" s="1"/>
  <c r="J13" i="4"/>
  <c r="DU21" i="10" s="1"/>
  <c r="I13" i="4"/>
  <c r="AP21" i="10" s="1"/>
  <c r="H13" i="4"/>
  <c r="AE21" i="10" s="1"/>
  <c r="G13" i="4"/>
  <c r="AD21" i="10" s="1"/>
  <c r="F13" i="4"/>
  <c r="AC21" i="10" s="1"/>
  <c r="E13" i="4"/>
  <c r="BN21" i="10" s="1"/>
  <c r="D13" i="4"/>
  <c r="BK21" i="10" s="1"/>
  <c r="C13" i="4"/>
  <c r="U21" i="10" s="1"/>
  <c r="B13" i="4"/>
  <c r="BL21" i="10" s="1"/>
  <c r="AG12" i="4"/>
  <c r="HQ20" i="10" s="1"/>
  <c r="AF12" i="4"/>
  <c r="HF20" i="10" s="1"/>
  <c r="AE12" i="4"/>
  <c r="HE20" i="10" s="1"/>
  <c r="AD12" i="4"/>
  <c r="HD20" i="10" s="1"/>
  <c r="AC12" i="4"/>
  <c r="IO20" i="10" s="1"/>
  <c r="AB12" i="4"/>
  <c r="IL20" i="10" s="1"/>
  <c r="AA12" i="4"/>
  <c r="GV20" i="10" s="1"/>
  <c r="Z12" i="4"/>
  <c r="IM20" i="10" s="1"/>
  <c r="Y12" i="4"/>
  <c r="FH20" i="10" s="1"/>
  <c r="X12" i="4"/>
  <c r="EW20" i="10" s="1"/>
  <c r="W12" i="4"/>
  <c r="EV20" i="10" s="1"/>
  <c r="V12" i="4"/>
  <c r="EU20" i="10" s="1"/>
  <c r="U12" i="4"/>
  <c r="GF20" i="10" s="1"/>
  <c r="T12" i="4"/>
  <c r="GC20" i="10" s="1"/>
  <c r="S12" i="4"/>
  <c r="EM20" i="10" s="1"/>
  <c r="R12" i="4"/>
  <c r="GD20" i="10" s="1"/>
  <c r="Q12" i="4"/>
  <c r="CY20" i="10" s="1"/>
  <c r="P12" i="4"/>
  <c r="CN20" i="10" s="1"/>
  <c r="O12" i="4"/>
  <c r="CM20" i="10" s="1"/>
  <c r="N12" i="4"/>
  <c r="CL20" i="10" s="1"/>
  <c r="M12" i="4"/>
  <c r="DW20" i="10" s="1"/>
  <c r="L12" i="4"/>
  <c r="DT20" i="10" s="1"/>
  <c r="K12" i="4"/>
  <c r="CD20" i="10" s="1"/>
  <c r="J12" i="4"/>
  <c r="DU20" i="10" s="1"/>
  <c r="I12" i="4"/>
  <c r="AP20" i="10" s="1"/>
  <c r="H12" i="4"/>
  <c r="AE20" i="10" s="1"/>
  <c r="G12" i="4"/>
  <c r="AD20" i="10" s="1"/>
  <c r="F12" i="4"/>
  <c r="AC20" i="10" s="1"/>
  <c r="E12" i="4"/>
  <c r="BN20" i="10" s="1"/>
  <c r="D12" i="4"/>
  <c r="BK20" i="10" s="1"/>
  <c r="C12" i="4"/>
  <c r="U20" i="10" s="1"/>
  <c r="B12" i="4"/>
  <c r="BL20" i="10" s="1"/>
  <c r="AG11" i="4"/>
  <c r="HQ19" i="10" s="1"/>
  <c r="AF11" i="4"/>
  <c r="HF19" i="10" s="1"/>
  <c r="AE11" i="4"/>
  <c r="HE19" i="10" s="1"/>
  <c r="AD11" i="4"/>
  <c r="HD19" i="10" s="1"/>
  <c r="AC11" i="4"/>
  <c r="IO19" i="10" s="1"/>
  <c r="AB11" i="4"/>
  <c r="IL19" i="10" s="1"/>
  <c r="AA11" i="4"/>
  <c r="GV19" i="10" s="1"/>
  <c r="Z11" i="4"/>
  <c r="IM19" i="10" s="1"/>
  <c r="Y11" i="4"/>
  <c r="FH19" i="10" s="1"/>
  <c r="X11" i="4"/>
  <c r="EW19" i="10" s="1"/>
  <c r="W11" i="4"/>
  <c r="EV19" i="10" s="1"/>
  <c r="V11" i="4"/>
  <c r="EU19" i="10" s="1"/>
  <c r="U11" i="4"/>
  <c r="GF19" i="10" s="1"/>
  <c r="T11" i="4"/>
  <c r="GC19" i="10" s="1"/>
  <c r="S11" i="4"/>
  <c r="EM19" i="10" s="1"/>
  <c r="R11" i="4"/>
  <c r="GD19" i="10" s="1"/>
  <c r="Q11" i="4"/>
  <c r="CY19" i="10" s="1"/>
  <c r="P11" i="4"/>
  <c r="CN19" i="10" s="1"/>
  <c r="O11" i="4"/>
  <c r="CM19" i="10" s="1"/>
  <c r="N11" i="4"/>
  <c r="CL19" i="10" s="1"/>
  <c r="M11" i="4"/>
  <c r="DW19" i="10" s="1"/>
  <c r="L11" i="4"/>
  <c r="DT19" i="10" s="1"/>
  <c r="K11" i="4"/>
  <c r="CD19" i="10" s="1"/>
  <c r="J11" i="4"/>
  <c r="DU19" i="10" s="1"/>
  <c r="I11" i="4"/>
  <c r="AP19" i="10" s="1"/>
  <c r="H11" i="4"/>
  <c r="AE19" i="10" s="1"/>
  <c r="G11" i="4"/>
  <c r="AD19" i="10" s="1"/>
  <c r="F11" i="4"/>
  <c r="AC19" i="10" s="1"/>
  <c r="E11" i="4"/>
  <c r="BN19" i="10" s="1"/>
  <c r="D11" i="4"/>
  <c r="BK19" i="10" s="1"/>
  <c r="C11" i="4"/>
  <c r="U19" i="10" s="1"/>
  <c r="B11" i="4"/>
  <c r="BL19" i="10" s="1"/>
  <c r="AG10" i="4"/>
  <c r="HQ18" i="10" s="1"/>
  <c r="AF10" i="4"/>
  <c r="HF18" i="10" s="1"/>
  <c r="AE10" i="4"/>
  <c r="HE18" i="10" s="1"/>
  <c r="AD10" i="4"/>
  <c r="HD18" i="10" s="1"/>
  <c r="AC10" i="4"/>
  <c r="IO18" i="10" s="1"/>
  <c r="AB10" i="4"/>
  <c r="IL18" i="10" s="1"/>
  <c r="AA10" i="4"/>
  <c r="GV18" i="10" s="1"/>
  <c r="Z10" i="4"/>
  <c r="IM18" i="10" s="1"/>
  <c r="Y10" i="4"/>
  <c r="FH18" i="10" s="1"/>
  <c r="X10" i="4"/>
  <c r="EW18" i="10" s="1"/>
  <c r="W10" i="4"/>
  <c r="EV18" i="10" s="1"/>
  <c r="V10" i="4"/>
  <c r="EU18" i="10" s="1"/>
  <c r="U10" i="4"/>
  <c r="GF18" i="10" s="1"/>
  <c r="T10" i="4"/>
  <c r="GC18" i="10" s="1"/>
  <c r="S10" i="4"/>
  <c r="EM18" i="10" s="1"/>
  <c r="R10" i="4"/>
  <c r="GD18" i="10" s="1"/>
  <c r="Q10" i="4"/>
  <c r="CY18" i="10" s="1"/>
  <c r="P10" i="4"/>
  <c r="CN18" i="10" s="1"/>
  <c r="O10" i="4"/>
  <c r="CM18" i="10" s="1"/>
  <c r="N10" i="4"/>
  <c r="CL18" i="10" s="1"/>
  <c r="M10" i="4"/>
  <c r="DW18" i="10" s="1"/>
  <c r="L10" i="4"/>
  <c r="DT18" i="10" s="1"/>
  <c r="K10" i="4"/>
  <c r="CD18" i="10" s="1"/>
  <c r="J10" i="4"/>
  <c r="DU18" i="10" s="1"/>
  <c r="I10" i="4"/>
  <c r="AP18" i="10" s="1"/>
  <c r="H10" i="4"/>
  <c r="AE18" i="10" s="1"/>
  <c r="G10" i="4"/>
  <c r="AD18" i="10" s="1"/>
  <c r="F10" i="4"/>
  <c r="AC18" i="10" s="1"/>
  <c r="E10" i="4"/>
  <c r="BN18" i="10" s="1"/>
  <c r="D10" i="4"/>
  <c r="BK18" i="10" s="1"/>
  <c r="C10" i="4"/>
  <c r="U18" i="10" s="1"/>
  <c r="B10" i="4"/>
  <c r="AG9" i="4"/>
  <c r="HQ17" i="10" s="1"/>
  <c r="AF9" i="4"/>
  <c r="HF17" i="10" s="1"/>
  <c r="AE9" i="4"/>
  <c r="HE17" i="10" s="1"/>
  <c r="AD9" i="4"/>
  <c r="HD17" i="10" s="1"/>
  <c r="AC9" i="4"/>
  <c r="IO17" i="10" s="1"/>
  <c r="AB9" i="4"/>
  <c r="IL17" i="10" s="1"/>
  <c r="AA9" i="4"/>
  <c r="GV17" i="10" s="1"/>
  <c r="Z9" i="4"/>
  <c r="IM17" i="10" s="1"/>
  <c r="Y9" i="4"/>
  <c r="FH17" i="10" s="1"/>
  <c r="X9" i="4"/>
  <c r="EW17" i="10" s="1"/>
  <c r="W9" i="4"/>
  <c r="EV17" i="10" s="1"/>
  <c r="V9" i="4"/>
  <c r="EU17" i="10" s="1"/>
  <c r="U9" i="4"/>
  <c r="GF17" i="10" s="1"/>
  <c r="T9" i="4"/>
  <c r="GC17" i="10" s="1"/>
  <c r="S9" i="4"/>
  <c r="EM17" i="10" s="1"/>
  <c r="R9" i="4"/>
  <c r="GD17" i="10" s="1"/>
  <c r="Q9" i="4"/>
  <c r="CY17" i="10" s="1"/>
  <c r="P9" i="4"/>
  <c r="CN17" i="10" s="1"/>
  <c r="O9" i="4"/>
  <c r="CM17" i="10" s="1"/>
  <c r="N9" i="4"/>
  <c r="CL17" i="10" s="1"/>
  <c r="M9" i="4"/>
  <c r="DW17" i="10" s="1"/>
  <c r="L9" i="4"/>
  <c r="DT17" i="10" s="1"/>
  <c r="K9" i="4"/>
  <c r="CD17" i="10" s="1"/>
  <c r="J9" i="4"/>
  <c r="DU17" i="10" s="1"/>
  <c r="I9" i="4"/>
  <c r="AP17" i="10" s="1"/>
  <c r="H9" i="4"/>
  <c r="AE17" i="10" s="1"/>
  <c r="G9" i="4"/>
  <c r="AD17" i="10" s="1"/>
  <c r="F9" i="4"/>
  <c r="AC17" i="10" s="1"/>
  <c r="E9" i="4"/>
  <c r="BN17" i="10" s="1"/>
  <c r="D9" i="4"/>
  <c r="BK17" i="10" s="1"/>
  <c r="C9" i="4"/>
  <c r="U17" i="10" s="1"/>
  <c r="B9" i="4"/>
  <c r="BL17" i="10" s="1"/>
  <c r="AG8" i="4"/>
  <c r="AF8" i="4"/>
  <c r="AE8" i="4"/>
  <c r="AD8" i="4"/>
  <c r="AC8" i="4"/>
  <c r="AB8" i="4"/>
  <c r="AA8" i="4"/>
  <c r="Z8" i="4"/>
  <c r="Y8" i="4"/>
  <c r="X8" i="4"/>
  <c r="W8" i="4"/>
  <c r="V8" i="4"/>
  <c r="U8" i="4"/>
  <c r="T8" i="4"/>
  <c r="S8" i="4"/>
  <c r="R8" i="4"/>
  <c r="Q8" i="4"/>
  <c r="P8" i="4"/>
  <c r="O8" i="4"/>
  <c r="N8" i="4"/>
  <c r="M8" i="4"/>
  <c r="L8" i="4"/>
  <c r="K8" i="4"/>
  <c r="J8" i="4"/>
  <c r="I8" i="4"/>
  <c r="H8" i="4"/>
  <c r="G8" i="4"/>
  <c r="F8" i="4"/>
  <c r="E8" i="4"/>
  <c r="D8" i="4"/>
  <c r="C8" i="4"/>
  <c r="B8" i="4"/>
  <c r="IU99" i="10"/>
  <c r="HP99" i="10"/>
  <c r="HO99" i="10"/>
  <c r="HN99" i="10"/>
  <c r="HL99" i="10"/>
  <c r="HI99" i="10"/>
  <c r="HH99" i="10"/>
  <c r="HG99" i="10"/>
  <c r="HC99" i="10"/>
  <c r="HB99" i="10"/>
  <c r="GZ99" i="10"/>
  <c r="GY99" i="10"/>
  <c r="GX99" i="10"/>
  <c r="GL99" i="10"/>
  <c r="FG99" i="10"/>
  <c r="FF99" i="10"/>
  <c r="FE99" i="10"/>
  <c r="FC99" i="10"/>
  <c r="EZ99" i="10"/>
  <c r="EY99" i="10"/>
  <c r="EX99" i="10"/>
  <c r="ET99" i="10"/>
  <c r="ES99" i="10"/>
  <c r="EQ99" i="10"/>
  <c r="EP99" i="10"/>
  <c r="EO99" i="10"/>
  <c r="EC99" i="10"/>
  <c r="CX99" i="10"/>
  <c r="CW99" i="10"/>
  <c r="CV99" i="10"/>
  <c r="CT99" i="10"/>
  <c r="CQ99" i="10"/>
  <c r="CP99" i="10"/>
  <c r="CO99" i="10"/>
  <c r="CK99" i="10"/>
  <c r="CJ99" i="10"/>
  <c r="CH99" i="10"/>
  <c r="CG99" i="10"/>
  <c r="CF99" i="10"/>
  <c r="BT99" i="10"/>
  <c r="BM99" i="10"/>
  <c r="GE99" i="10" s="1"/>
  <c r="AO99" i="10"/>
  <c r="AN99" i="10"/>
  <c r="AM99" i="10"/>
  <c r="AL99" i="10"/>
  <c r="AK99" i="10"/>
  <c r="AH99" i="10"/>
  <c r="AG99" i="10"/>
  <c r="AF99" i="10"/>
  <c r="AB99" i="10"/>
  <c r="AA99" i="10"/>
  <c r="Y99" i="10"/>
  <c r="X99" i="10"/>
  <c r="W99" i="10"/>
  <c r="V99" i="10"/>
  <c r="IU98" i="10"/>
  <c r="HP98" i="10"/>
  <c r="HO98" i="10"/>
  <c r="HN98" i="10"/>
  <c r="HL98" i="10"/>
  <c r="HI98" i="10"/>
  <c r="HH98" i="10"/>
  <c r="HG98" i="10"/>
  <c r="HC98" i="10"/>
  <c r="HB98" i="10"/>
  <c r="GZ98" i="10"/>
  <c r="GY98" i="10"/>
  <c r="GX98" i="10"/>
  <c r="GL98" i="10"/>
  <c r="FG98" i="10"/>
  <c r="FF98" i="10"/>
  <c r="FE98" i="10"/>
  <c r="FC98" i="10"/>
  <c r="EZ98" i="10"/>
  <c r="EY98" i="10"/>
  <c r="EX98" i="10"/>
  <c r="ET98" i="10"/>
  <c r="ES98" i="10"/>
  <c r="EQ98" i="10"/>
  <c r="EP98" i="10"/>
  <c r="EO98" i="10"/>
  <c r="EC98" i="10"/>
  <c r="CX98" i="10"/>
  <c r="CW98" i="10"/>
  <c r="CV98" i="10"/>
  <c r="CT98" i="10"/>
  <c r="CQ98" i="10"/>
  <c r="CP98" i="10"/>
  <c r="CO98" i="10"/>
  <c r="CK98" i="10"/>
  <c r="CJ98" i="10"/>
  <c r="CH98" i="10"/>
  <c r="CG98" i="10"/>
  <c r="CF98" i="10"/>
  <c r="BT98" i="10"/>
  <c r="BM98" i="10"/>
  <c r="GE98" i="10" s="1"/>
  <c r="AO98" i="10"/>
  <c r="AN98" i="10"/>
  <c r="AM98" i="10"/>
  <c r="AL98" i="10"/>
  <c r="AK98" i="10"/>
  <c r="AH98" i="10"/>
  <c r="AG98" i="10"/>
  <c r="AF98" i="10"/>
  <c r="AD98" i="10"/>
  <c r="AB98" i="10"/>
  <c r="AA98" i="10"/>
  <c r="Y98" i="10"/>
  <c r="X98" i="10"/>
  <c r="W98" i="10"/>
  <c r="V98" i="10"/>
  <c r="IU97" i="10"/>
  <c r="IL97" i="10"/>
  <c r="HP97" i="10"/>
  <c r="HO97" i="10"/>
  <c r="HN97" i="10"/>
  <c r="HL97" i="10"/>
  <c r="HI97" i="10"/>
  <c r="HH97" i="10"/>
  <c r="HG97" i="10"/>
  <c r="HC97" i="10"/>
  <c r="HB97" i="10"/>
  <c r="GZ97" i="10"/>
  <c r="GY97" i="10"/>
  <c r="GX97" i="10"/>
  <c r="GL97" i="10"/>
  <c r="FG97" i="10"/>
  <c r="FF97" i="10"/>
  <c r="FE97" i="10"/>
  <c r="FC97" i="10"/>
  <c r="EZ97" i="10"/>
  <c r="EY97" i="10"/>
  <c r="EX97" i="10"/>
  <c r="ET97" i="10"/>
  <c r="ES97" i="10"/>
  <c r="EQ97" i="10"/>
  <c r="EP97" i="10"/>
  <c r="EO97" i="10"/>
  <c r="EC97" i="10"/>
  <c r="CX97" i="10"/>
  <c r="CW97" i="10"/>
  <c r="CV97" i="10"/>
  <c r="CT97" i="10"/>
  <c r="CQ97" i="10"/>
  <c r="CP97" i="10"/>
  <c r="CO97" i="10"/>
  <c r="CK97" i="10"/>
  <c r="CJ97" i="10"/>
  <c r="CH97" i="10"/>
  <c r="CG97" i="10"/>
  <c r="CF97" i="10"/>
  <c r="BT97" i="10"/>
  <c r="BM97" i="10"/>
  <c r="GE97" i="10" s="1"/>
  <c r="AO97" i="10"/>
  <c r="AN97" i="10"/>
  <c r="AM97" i="10"/>
  <c r="AL97" i="10"/>
  <c r="AK97" i="10"/>
  <c r="AH97" i="10"/>
  <c r="AG97" i="10"/>
  <c r="AF97" i="10"/>
  <c r="AD97" i="10"/>
  <c r="AB97" i="10"/>
  <c r="AA97" i="10"/>
  <c r="Y97" i="10"/>
  <c r="X97" i="10"/>
  <c r="W97" i="10"/>
  <c r="V97" i="10"/>
  <c r="IU96" i="10"/>
  <c r="HP96" i="10"/>
  <c r="HO96" i="10"/>
  <c r="HN96" i="10"/>
  <c r="HL96" i="10"/>
  <c r="HI96" i="10"/>
  <c r="HH96" i="10"/>
  <c r="HG96" i="10"/>
  <c r="HC96" i="10"/>
  <c r="HB96" i="10"/>
  <c r="GZ96" i="10"/>
  <c r="GY96" i="10"/>
  <c r="GX96" i="10"/>
  <c r="GL96" i="10"/>
  <c r="FG96" i="10"/>
  <c r="FF96" i="10"/>
  <c r="FE96" i="10"/>
  <c r="FC96" i="10"/>
  <c r="EZ96" i="10"/>
  <c r="EY96" i="10"/>
  <c r="EX96" i="10"/>
  <c r="ET96" i="10"/>
  <c r="ES96" i="10"/>
  <c r="EQ96" i="10"/>
  <c r="EP96" i="10"/>
  <c r="EO96" i="10"/>
  <c r="EC96" i="10"/>
  <c r="CX96" i="10"/>
  <c r="CW96" i="10"/>
  <c r="CV96" i="10"/>
  <c r="CT96" i="10"/>
  <c r="CQ96" i="10"/>
  <c r="CP96" i="10"/>
  <c r="CO96" i="10"/>
  <c r="CK96" i="10"/>
  <c r="CJ96" i="10"/>
  <c r="CH96" i="10"/>
  <c r="CG96" i="10"/>
  <c r="CF96" i="10"/>
  <c r="BT96" i="10"/>
  <c r="BM96" i="10"/>
  <c r="GE96" i="10" s="1"/>
  <c r="AO96" i="10"/>
  <c r="AN96" i="10"/>
  <c r="AM96" i="10"/>
  <c r="AL96" i="10"/>
  <c r="AK96" i="10"/>
  <c r="AH96" i="10"/>
  <c r="AG96" i="10"/>
  <c r="AF96" i="10"/>
  <c r="AB96" i="10"/>
  <c r="AA96" i="10"/>
  <c r="Y96" i="10"/>
  <c r="X96" i="10"/>
  <c r="W96" i="10"/>
  <c r="V96" i="10"/>
  <c r="IU95" i="10"/>
  <c r="HP95" i="10"/>
  <c r="HO95" i="10"/>
  <c r="HN95" i="10"/>
  <c r="HL95" i="10"/>
  <c r="HI95" i="10"/>
  <c r="HH95" i="10"/>
  <c r="HG95" i="10"/>
  <c r="HC95" i="10"/>
  <c r="HB95" i="10"/>
  <c r="GZ95" i="10"/>
  <c r="GY95" i="10"/>
  <c r="GX95" i="10"/>
  <c r="GL95" i="10"/>
  <c r="FG95" i="10"/>
  <c r="FF95" i="10"/>
  <c r="FE95" i="10"/>
  <c r="FC95" i="10"/>
  <c r="EZ95" i="10"/>
  <c r="EY95" i="10"/>
  <c r="EX95" i="10"/>
  <c r="ET95" i="10"/>
  <c r="ES95" i="10"/>
  <c r="EQ95" i="10"/>
  <c r="EP95" i="10"/>
  <c r="EO95" i="10"/>
  <c r="EC95" i="10"/>
  <c r="CX95" i="10"/>
  <c r="CW95" i="10"/>
  <c r="CV95" i="10"/>
  <c r="CT95" i="10"/>
  <c r="CQ95" i="10"/>
  <c r="CP95" i="10"/>
  <c r="CO95" i="10"/>
  <c r="CK95" i="10"/>
  <c r="CJ95" i="10"/>
  <c r="CH95" i="10"/>
  <c r="CG95" i="10"/>
  <c r="CF95" i="10"/>
  <c r="BT95" i="10"/>
  <c r="BM95" i="10"/>
  <c r="GE95" i="10" s="1"/>
  <c r="AO95" i="10"/>
  <c r="AN95" i="10"/>
  <c r="AM95" i="10"/>
  <c r="AL95" i="10"/>
  <c r="AK95" i="10"/>
  <c r="AH95" i="10"/>
  <c r="AG95" i="10"/>
  <c r="AF95" i="10"/>
  <c r="AB95" i="10"/>
  <c r="AA95" i="10"/>
  <c r="Y95" i="10"/>
  <c r="X95" i="10"/>
  <c r="W95" i="10"/>
  <c r="V95" i="10"/>
  <c r="IU94" i="10"/>
  <c r="HP94" i="10"/>
  <c r="HO94" i="10"/>
  <c r="HN94" i="10"/>
  <c r="HL94" i="10"/>
  <c r="HI94" i="10"/>
  <c r="HH94" i="10"/>
  <c r="HG94" i="10"/>
  <c r="HC94" i="10"/>
  <c r="HB94" i="10"/>
  <c r="GZ94" i="10"/>
  <c r="GY94" i="10"/>
  <c r="GX94" i="10"/>
  <c r="GL94" i="10"/>
  <c r="FG94" i="10"/>
  <c r="FF94" i="10"/>
  <c r="FE94" i="10"/>
  <c r="FC94" i="10"/>
  <c r="EZ94" i="10"/>
  <c r="EY94" i="10"/>
  <c r="EX94" i="10"/>
  <c r="ET94" i="10"/>
  <c r="ES94" i="10"/>
  <c r="EQ94" i="10"/>
  <c r="EP94" i="10"/>
  <c r="EO94" i="10"/>
  <c r="EC94" i="10"/>
  <c r="CX94" i="10"/>
  <c r="CW94" i="10"/>
  <c r="CV94" i="10"/>
  <c r="CT94" i="10"/>
  <c r="CQ94" i="10"/>
  <c r="CP94" i="10"/>
  <c r="CO94" i="10"/>
  <c r="CK94" i="10"/>
  <c r="CJ94" i="10"/>
  <c r="CH94" i="10"/>
  <c r="CG94" i="10"/>
  <c r="CF94" i="10"/>
  <c r="BT94" i="10"/>
  <c r="BM94" i="10"/>
  <c r="GE94" i="10" s="1"/>
  <c r="AO94" i="10"/>
  <c r="AN94" i="10"/>
  <c r="AM94" i="10"/>
  <c r="AL94" i="10"/>
  <c r="AK94" i="10"/>
  <c r="AH94" i="10"/>
  <c r="AG94" i="10"/>
  <c r="AF94" i="10"/>
  <c r="AD94" i="10"/>
  <c r="AB94" i="10"/>
  <c r="AA94" i="10"/>
  <c r="Y94" i="10"/>
  <c r="X94" i="10"/>
  <c r="W94" i="10"/>
  <c r="V94" i="10"/>
  <c r="IU93" i="10"/>
  <c r="HP93" i="10"/>
  <c r="HO93" i="10"/>
  <c r="HN93" i="10"/>
  <c r="HL93" i="10"/>
  <c r="HI93" i="10"/>
  <c r="HH93" i="10"/>
  <c r="HG93" i="10"/>
  <c r="HC93" i="10"/>
  <c r="HB93" i="10"/>
  <c r="GZ93" i="10"/>
  <c r="GY93" i="10"/>
  <c r="GX93" i="10"/>
  <c r="GL93" i="10"/>
  <c r="FG93" i="10"/>
  <c r="FF93" i="10"/>
  <c r="FE93" i="10"/>
  <c r="FC93" i="10"/>
  <c r="EZ93" i="10"/>
  <c r="EY93" i="10"/>
  <c r="EX93" i="10"/>
  <c r="ET93" i="10"/>
  <c r="ES93" i="10"/>
  <c r="EQ93" i="10"/>
  <c r="EP93" i="10"/>
  <c r="EO93" i="10"/>
  <c r="EC93" i="10"/>
  <c r="CX93" i="10"/>
  <c r="CW93" i="10"/>
  <c r="CV93" i="10"/>
  <c r="CT93" i="10"/>
  <c r="CQ93" i="10"/>
  <c r="CP93" i="10"/>
  <c r="CO93" i="10"/>
  <c r="CK93" i="10"/>
  <c r="CJ93" i="10"/>
  <c r="CH93" i="10"/>
  <c r="CG93" i="10"/>
  <c r="CF93" i="10"/>
  <c r="BT93" i="10"/>
  <c r="BM93" i="10"/>
  <c r="GE93" i="10" s="1"/>
  <c r="AO93" i="10"/>
  <c r="AN93" i="10"/>
  <c r="AM93" i="10"/>
  <c r="AL93" i="10"/>
  <c r="AK93" i="10"/>
  <c r="AH93" i="10"/>
  <c r="AG93" i="10"/>
  <c r="AF93" i="10"/>
  <c r="AD93" i="10"/>
  <c r="AB93" i="10"/>
  <c r="AA93" i="10"/>
  <c r="Y93" i="10"/>
  <c r="X93" i="10"/>
  <c r="W93" i="10"/>
  <c r="V93" i="10"/>
  <c r="IU92" i="10"/>
  <c r="HP92" i="10"/>
  <c r="HO92" i="10"/>
  <c r="HN92" i="10"/>
  <c r="HL92" i="10"/>
  <c r="HI92" i="10"/>
  <c r="HH92" i="10"/>
  <c r="HG92" i="10"/>
  <c r="HC92" i="10"/>
  <c r="HB92" i="10"/>
  <c r="GZ92" i="10"/>
  <c r="GY92" i="10"/>
  <c r="GX92" i="10"/>
  <c r="GL92" i="10"/>
  <c r="FG92" i="10"/>
  <c r="FF92" i="10"/>
  <c r="FE92" i="10"/>
  <c r="FC92" i="10"/>
  <c r="EZ92" i="10"/>
  <c r="EY92" i="10"/>
  <c r="EX92" i="10"/>
  <c r="ET92" i="10"/>
  <c r="ES92" i="10"/>
  <c r="EQ92" i="10"/>
  <c r="EP92" i="10"/>
  <c r="EO92" i="10"/>
  <c r="EC92" i="10"/>
  <c r="CX92" i="10"/>
  <c r="CW92" i="10"/>
  <c r="CV92" i="10"/>
  <c r="CT92" i="10"/>
  <c r="CQ92" i="10"/>
  <c r="CP92" i="10"/>
  <c r="CO92" i="10"/>
  <c r="CK92" i="10"/>
  <c r="CJ92" i="10"/>
  <c r="CH92" i="10"/>
  <c r="CG92" i="10"/>
  <c r="CF92" i="10"/>
  <c r="BT92" i="10"/>
  <c r="BM92" i="10"/>
  <c r="GE92" i="10" s="1"/>
  <c r="AO92" i="10"/>
  <c r="AN92" i="10"/>
  <c r="AM92" i="10"/>
  <c r="AL92" i="10"/>
  <c r="AK92" i="10"/>
  <c r="AH92" i="10"/>
  <c r="AG92" i="10"/>
  <c r="AF92" i="10"/>
  <c r="AB92" i="10"/>
  <c r="AA92" i="10"/>
  <c r="Y92" i="10"/>
  <c r="X92" i="10"/>
  <c r="W92" i="10"/>
  <c r="V92" i="10"/>
  <c r="IU91" i="10"/>
  <c r="HP91" i="10"/>
  <c r="HO91" i="10"/>
  <c r="HN91" i="10"/>
  <c r="HL91" i="10"/>
  <c r="HI91" i="10"/>
  <c r="HH91" i="10"/>
  <c r="HG91" i="10"/>
  <c r="HC91" i="10"/>
  <c r="HB91" i="10"/>
  <c r="GZ91" i="10"/>
  <c r="GY91" i="10"/>
  <c r="GX91" i="10"/>
  <c r="GL91" i="10"/>
  <c r="FG91" i="10"/>
  <c r="FF91" i="10"/>
  <c r="FE91" i="10"/>
  <c r="FC91" i="10"/>
  <c r="EZ91" i="10"/>
  <c r="EY91" i="10"/>
  <c r="EX91" i="10"/>
  <c r="ET91" i="10"/>
  <c r="ES91" i="10"/>
  <c r="EQ91" i="10"/>
  <c r="EP91" i="10"/>
  <c r="EO91" i="10"/>
  <c r="EC91" i="10"/>
  <c r="CX91" i="10"/>
  <c r="CW91" i="10"/>
  <c r="CV91" i="10"/>
  <c r="CT91" i="10"/>
  <c r="CQ91" i="10"/>
  <c r="CP91" i="10"/>
  <c r="CO91" i="10"/>
  <c r="CK91" i="10"/>
  <c r="CJ91" i="10"/>
  <c r="CH91" i="10"/>
  <c r="CG91" i="10"/>
  <c r="CF91" i="10"/>
  <c r="BT91" i="10"/>
  <c r="BM91" i="10"/>
  <c r="AO91" i="10"/>
  <c r="AN91" i="10"/>
  <c r="AM91" i="10"/>
  <c r="AL91" i="10"/>
  <c r="AK91" i="10"/>
  <c r="AH91" i="10"/>
  <c r="AG91" i="10"/>
  <c r="AF91" i="10"/>
  <c r="AB91" i="10"/>
  <c r="AA91" i="10"/>
  <c r="Y91" i="10"/>
  <c r="X91" i="10"/>
  <c r="W91" i="10"/>
  <c r="V91" i="10"/>
  <c r="IU90" i="10"/>
  <c r="HP90" i="10"/>
  <c r="HO90" i="10"/>
  <c r="HN90" i="10"/>
  <c r="HL90" i="10"/>
  <c r="HI90" i="10"/>
  <c r="HH90" i="10"/>
  <c r="HG90" i="10"/>
  <c r="HC90" i="10"/>
  <c r="HB90" i="10"/>
  <c r="GZ90" i="10"/>
  <c r="GY90" i="10"/>
  <c r="GX90" i="10"/>
  <c r="GL90" i="10"/>
  <c r="FG90" i="10"/>
  <c r="FF90" i="10"/>
  <c r="FE90" i="10"/>
  <c r="FC90" i="10"/>
  <c r="EZ90" i="10"/>
  <c r="EY90" i="10"/>
  <c r="EX90" i="10"/>
  <c r="ET90" i="10"/>
  <c r="ES90" i="10"/>
  <c r="EQ90" i="10"/>
  <c r="EP90" i="10"/>
  <c r="EO90" i="10"/>
  <c r="EC90" i="10"/>
  <c r="CX90" i="10"/>
  <c r="CW90" i="10"/>
  <c r="CV90" i="10"/>
  <c r="CT90" i="10"/>
  <c r="CQ90" i="10"/>
  <c r="CP90" i="10"/>
  <c r="CO90" i="10"/>
  <c r="CK90" i="10"/>
  <c r="CJ90" i="10"/>
  <c r="CH90" i="10"/>
  <c r="CG90" i="10"/>
  <c r="CF90" i="10"/>
  <c r="BT90" i="10"/>
  <c r="BM90" i="10"/>
  <c r="GE90" i="10" s="1"/>
  <c r="AO90" i="10"/>
  <c r="AN90" i="10"/>
  <c r="AM90" i="10"/>
  <c r="AL90" i="10"/>
  <c r="AK90" i="10"/>
  <c r="AH90" i="10"/>
  <c r="AG90" i="10"/>
  <c r="AF90" i="10"/>
  <c r="AB90" i="10"/>
  <c r="AA90" i="10"/>
  <c r="Y90" i="10"/>
  <c r="X90" i="10"/>
  <c r="W90" i="10"/>
  <c r="V90" i="10"/>
  <c r="IU89" i="10"/>
  <c r="HP89" i="10"/>
  <c r="HO89" i="10"/>
  <c r="HN89" i="10"/>
  <c r="HL89" i="10"/>
  <c r="HI89" i="10"/>
  <c r="HH89" i="10"/>
  <c r="HG89" i="10"/>
  <c r="HC89" i="10"/>
  <c r="HB89" i="10"/>
  <c r="GZ89" i="10"/>
  <c r="GY89" i="10"/>
  <c r="GX89" i="10"/>
  <c r="GL89" i="10"/>
  <c r="FG89" i="10"/>
  <c r="FF89" i="10"/>
  <c r="FE89" i="10"/>
  <c r="FC89" i="10"/>
  <c r="EZ89" i="10"/>
  <c r="EY89" i="10"/>
  <c r="EX89" i="10"/>
  <c r="ET89" i="10"/>
  <c r="ES89" i="10"/>
  <c r="EQ89" i="10"/>
  <c r="EP89" i="10"/>
  <c r="EO89" i="10"/>
  <c r="EC89" i="10"/>
  <c r="CX89" i="10"/>
  <c r="CW89" i="10"/>
  <c r="CV89" i="10"/>
  <c r="CT89" i="10"/>
  <c r="CQ89" i="10"/>
  <c r="CP89" i="10"/>
  <c r="CO89" i="10"/>
  <c r="CK89" i="10"/>
  <c r="CJ89" i="10"/>
  <c r="CH89" i="10"/>
  <c r="CG89" i="10"/>
  <c r="CF89" i="10"/>
  <c r="BT89" i="10"/>
  <c r="BM89" i="10"/>
  <c r="GE89" i="10" s="1"/>
  <c r="AO89" i="10"/>
  <c r="AN89" i="10"/>
  <c r="AM89" i="10"/>
  <c r="AL89" i="10"/>
  <c r="AK89" i="10"/>
  <c r="AH89" i="10"/>
  <c r="AG89" i="10"/>
  <c r="AF89" i="10"/>
  <c r="AB89" i="10"/>
  <c r="AA89" i="10"/>
  <c r="Y89" i="10"/>
  <c r="X89" i="10"/>
  <c r="W89" i="10"/>
  <c r="V89" i="10"/>
  <c r="IU88" i="10"/>
  <c r="HP88" i="10"/>
  <c r="HO88" i="10"/>
  <c r="HN88" i="10"/>
  <c r="HL88" i="10"/>
  <c r="HI88" i="10"/>
  <c r="HH88" i="10"/>
  <c r="HG88" i="10"/>
  <c r="HC88" i="10"/>
  <c r="HB88" i="10"/>
  <c r="GZ88" i="10"/>
  <c r="GY88" i="10"/>
  <c r="GX88" i="10"/>
  <c r="GL88" i="10"/>
  <c r="FG88" i="10"/>
  <c r="FF88" i="10"/>
  <c r="FE88" i="10"/>
  <c r="FC88" i="10"/>
  <c r="EZ88" i="10"/>
  <c r="EY88" i="10"/>
  <c r="EX88" i="10"/>
  <c r="ET88" i="10"/>
  <c r="ES88" i="10"/>
  <c r="EQ88" i="10"/>
  <c r="EP88" i="10"/>
  <c r="EO88" i="10"/>
  <c r="EC88" i="10"/>
  <c r="CX88" i="10"/>
  <c r="CW88" i="10"/>
  <c r="CV88" i="10"/>
  <c r="CT88" i="10"/>
  <c r="CQ88" i="10"/>
  <c r="CP88" i="10"/>
  <c r="CO88" i="10"/>
  <c r="CK88" i="10"/>
  <c r="CJ88" i="10"/>
  <c r="CH88" i="10"/>
  <c r="CG88" i="10"/>
  <c r="CF88" i="10"/>
  <c r="BT88" i="10"/>
  <c r="BM88" i="10"/>
  <c r="AO88" i="10"/>
  <c r="AN88" i="10"/>
  <c r="AM88" i="10"/>
  <c r="AL88" i="10"/>
  <c r="AK88" i="10"/>
  <c r="AH88" i="10"/>
  <c r="AG88" i="10"/>
  <c r="AF88" i="10"/>
  <c r="AB88" i="10"/>
  <c r="AA88" i="10"/>
  <c r="Y88" i="10"/>
  <c r="X88" i="10"/>
  <c r="W88" i="10"/>
  <c r="V88" i="10"/>
  <c r="IU87" i="10"/>
  <c r="HP87" i="10"/>
  <c r="HO87" i="10"/>
  <c r="HN87" i="10"/>
  <c r="HL87" i="10"/>
  <c r="HI87" i="10"/>
  <c r="HH87" i="10"/>
  <c r="HG87" i="10"/>
  <c r="HC87" i="10"/>
  <c r="HB87" i="10"/>
  <c r="GZ87" i="10"/>
  <c r="GY87" i="10"/>
  <c r="GX87" i="10"/>
  <c r="GL87" i="10"/>
  <c r="FG87" i="10"/>
  <c r="FF87" i="10"/>
  <c r="FE87" i="10"/>
  <c r="FC87" i="10"/>
  <c r="EZ87" i="10"/>
  <c r="EY87" i="10"/>
  <c r="EX87" i="10"/>
  <c r="ET87" i="10"/>
  <c r="ES87" i="10"/>
  <c r="EQ87" i="10"/>
  <c r="EP87" i="10"/>
  <c r="EO87" i="10"/>
  <c r="EC87" i="10"/>
  <c r="CX87" i="10"/>
  <c r="CW87" i="10"/>
  <c r="CV87" i="10"/>
  <c r="CT87" i="10"/>
  <c r="CQ87" i="10"/>
  <c r="CP87" i="10"/>
  <c r="CO87" i="10"/>
  <c r="CK87" i="10"/>
  <c r="CJ87" i="10"/>
  <c r="CH87" i="10"/>
  <c r="CG87" i="10"/>
  <c r="CF87" i="10"/>
  <c r="BT87" i="10"/>
  <c r="BM87" i="10"/>
  <c r="GE87" i="10" s="1"/>
  <c r="AO87" i="10"/>
  <c r="AN87" i="10"/>
  <c r="AM87" i="10"/>
  <c r="AL87" i="10"/>
  <c r="AK87" i="10"/>
  <c r="AH87" i="10"/>
  <c r="AG87" i="10"/>
  <c r="AF87" i="10"/>
  <c r="AB87" i="10"/>
  <c r="AA87" i="10"/>
  <c r="Y87" i="10"/>
  <c r="X87" i="10"/>
  <c r="W87" i="10"/>
  <c r="V87" i="10"/>
  <c r="IU86" i="10"/>
  <c r="IL86" i="10"/>
  <c r="HP86" i="10"/>
  <c r="HO86" i="10"/>
  <c r="HN86" i="10"/>
  <c r="HL86" i="10"/>
  <c r="HI86" i="10"/>
  <c r="HH86" i="10"/>
  <c r="HG86" i="10"/>
  <c r="HC86" i="10"/>
  <c r="HB86" i="10"/>
  <c r="GZ86" i="10"/>
  <c r="GY86" i="10"/>
  <c r="GX86" i="10"/>
  <c r="GL86" i="10"/>
  <c r="FG86" i="10"/>
  <c r="FF86" i="10"/>
  <c r="FE86" i="10"/>
  <c r="FC86" i="10"/>
  <c r="EZ86" i="10"/>
  <c r="EY86" i="10"/>
  <c r="EX86" i="10"/>
  <c r="ET86" i="10"/>
  <c r="ES86" i="10"/>
  <c r="EQ86" i="10"/>
  <c r="EP86" i="10"/>
  <c r="EO86" i="10"/>
  <c r="EC86" i="10"/>
  <c r="CX86" i="10"/>
  <c r="CW86" i="10"/>
  <c r="CV86" i="10"/>
  <c r="CT86" i="10"/>
  <c r="CQ86" i="10"/>
  <c r="CP86" i="10"/>
  <c r="CO86" i="10"/>
  <c r="CK86" i="10"/>
  <c r="CJ86" i="10"/>
  <c r="CH86" i="10"/>
  <c r="CG86" i="10"/>
  <c r="CF86" i="10"/>
  <c r="BT86" i="10"/>
  <c r="BM86" i="10"/>
  <c r="GE86" i="10" s="1"/>
  <c r="AO86" i="10"/>
  <c r="AN86" i="10"/>
  <c r="AM86" i="10"/>
  <c r="AL86" i="10"/>
  <c r="AK86" i="10"/>
  <c r="AH86" i="10"/>
  <c r="AG86" i="10"/>
  <c r="AF86" i="10"/>
  <c r="AB86" i="10"/>
  <c r="AA86" i="10"/>
  <c r="Y86" i="10"/>
  <c r="X86" i="10"/>
  <c r="W86" i="10"/>
  <c r="V86" i="10"/>
  <c r="IU85" i="10"/>
  <c r="HP85" i="10"/>
  <c r="HO85" i="10"/>
  <c r="HN85" i="10"/>
  <c r="HL85" i="10"/>
  <c r="HI85" i="10"/>
  <c r="HH85" i="10"/>
  <c r="HG85" i="10"/>
  <c r="HC85" i="10"/>
  <c r="HB85" i="10"/>
  <c r="GZ85" i="10"/>
  <c r="GY85" i="10"/>
  <c r="GX85" i="10"/>
  <c r="GL85" i="10"/>
  <c r="FG85" i="10"/>
  <c r="FF85" i="10"/>
  <c r="FE85" i="10"/>
  <c r="FC85" i="10"/>
  <c r="EZ85" i="10"/>
  <c r="EY85" i="10"/>
  <c r="EX85" i="10"/>
  <c r="ET85" i="10"/>
  <c r="ES85" i="10"/>
  <c r="EQ85" i="10"/>
  <c r="EP85" i="10"/>
  <c r="EO85" i="10"/>
  <c r="EC85" i="10"/>
  <c r="CX85" i="10"/>
  <c r="CW85" i="10"/>
  <c r="CV85" i="10"/>
  <c r="CT85" i="10"/>
  <c r="CQ85" i="10"/>
  <c r="CP85" i="10"/>
  <c r="CO85" i="10"/>
  <c r="CK85" i="10"/>
  <c r="CJ85" i="10"/>
  <c r="CH85" i="10"/>
  <c r="CG85" i="10"/>
  <c r="CF85" i="10"/>
  <c r="BT85" i="10"/>
  <c r="BM85" i="10"/>
  <c r="GE85" i="10" s="1"/>
  <c r="AO85" i="10"/>
  <c r="AN85" i="10"/>
  <c r="AM85" i="10"/>
  <c r="AL85" i="10"/>
  <c r="AK85" i="10"/>
  <c r="AH85" i="10"/>
  <c r="AG85" i="10"/>
  <c r="AF85" i="10"/>
  <c r="AB85" i="10"/>
  <c r="AA85" i="10"/>
  <c r="Y85" i="10"/>
  <c r="X85" i="10"/>
  <c r="W85" i="10"/>
  <c r="V85" i="10"/>
  <c r="IU84" i="10"/>
  <c r="HP84" i="10"/>
  <c r="HO84" i="10"/>
  <c r="HN84" i="10"/>
  <c r="HL84" i="10"/>
  <c r="HI84" i="10"/>
  <c r="HH84" i="10"/>
  <c r="HG84" i="10"/>
  <c r="HC84" i="10"/>
  <c r="HB84" i="10"/>
  <c r="GZ84" i="10"/>
  <c r="GY84" i="10"/>
  <c r="GX84" i="10"/>
  <c r="GL84" i="10"/>
  <c r="FG84" i="10"/>
  <c r="FF84" i="10"/>
  <c r="FE84" i="10"/>
  <c r="FC84" i="10"/>
  <c r="EZ84" i="10"/>
  <c r="EY84" i="10"/>
  <c r="EX84" i="10"/>
  <c r="ET84" i="10"/>
  <c r="ES84" i="10"/>
  <c r="EQ84" i="10"/>
  <c r="EP84" i="10"/>
  <c r="EO84" i="10"/>
  <c r="EC84" i="10"/>
  <c r="CX84" i="10"/>
  <c r="CW84" i="10"/>
  <c r="CV84" i="10"/>
  <c r="CT84" i="10"/>
  <c r="CQ84" i="10"/>
  <c r="CP84" i="10"/>
  <c r="CO84" i="10"/>
  <c r="CK84" i="10"/>
  <c r="CJ84" i="10"/>
  <c r="CH84" i="10"/>
  <c r="CG84" i="10"/>
  <c r="CF84" i="10"/>
  <c r="BT84" i="10"/>
  <c r="BM84" i="10"/>
  <c r="GE84" i="10" s="1"/>
  <c r="AO84" i="10"/>
  <c r="AN84" i="10"/>
  <c r="AM84" i="10"/>
  <c r="AL84" i="10"/>
  <c r="AK84" i="10"/>
  <c r="AH84" i="10"/>
  <c r="AG84" i="10"/>
  <c r="AF84" i="10"/>
  <c r="AB84" i="10"/>
  <c r="AA84" i="10"/>
  <c r="Y84" i="10"/>
  <c r="X84" i="10"/>
  <c r="W84" i="10"/>
  <c r="V84" i="10"/>
  <c r="IU83" i="10"/>
  <c r="HP83" i="10"/>
  <c r="HO83" i="10"/>
  <c r="HN83" i="10"/>
  <c r="HL83" i="10"/>
  <c r="HI83" i="10"/>
  <c r="HH83" i="10"/>
  <c r="HG83" i="10"/>
  <c r="HC83" i="10"/>
  <c r="HB83" i="10"/>
  <c r="GZ83" i="10"/>
  <c r="GY83" i="10"/>
  <c r="GX83" i="10"/>
  <c r="GL83" i="10"/>
  <c r="FG83" i="10"/>
  <c r="FF83" i="10"/>
  <c r="FE83" i="10"/>
  <c r="FC83" i="10"/>
  <c r="EZ83" i="10"/>
  <c r="EY83" i="10"/>
  <c r="EX83" i="10"/>
  <c r="ET83" i="10"/>
  <c r="ES83" i="10"/>
  <c r="EQ83" i="10"/>
  <c r="EP83" i="10"/>
  <c r="EO83" i="10"/>
  <c r="EC83" i="10"/>
  <c r="CX83" i="10"/>
  <c r="CW83" i="10"/>
  <c r="CV83" i="10"/>
  <c r="CT83" i="10"/>
  <c r="CQ83" i="10"/>
  <c r="CP83" i="10"/>
  <c r="CO83" i="10"/>
  <c r="CK83" i="10"/>
  <c r="CJ83" i="10"/>
  <c r="CH83" i="10"/>
  <c r="CG83" i="10"/>
  <c r="CF83" i="10"/>
  <c r="BT83" i="10"/>
  <c r="BM83" i="10"/>
  <c r="GE83" i="10" s="1"/>
  <c r="AO83" i="10"/>
  <c r="AN83" i="10"/>
  <c r="AM83" i="10"/>
  <c r="AL83" i="10"/>
  <c r="AK83" i="10"/>
  <c r="AH83" i="10"/>
  <c r="AG83" i="10"/>
  <c r="AF83" i="10"/>
  <c r="AB83" i="10"/>
  <c r="AA83" i="10"/>
  <c r="Y83" i="10"/>
  <c r="X83" i="10"/>
  <c r="W83" i="10"/>
  <c r="V83" i="10"/>
  <c r="IU82" i="10"/>
  <c r="HP82" i="10"/>
  <c r="HO82" i="10"/>
  <c r="HN82" i="10"/>
  <c r="HL82" i="10"/>
  <c r="HI82" i="10"/>
  <c r="HH82" i="10"/>
  <c r="HG82" i="10"/>
  <c r="HC82" i="10"/>
  <c r="HB82" i="10"/>
  <c r="GZ82" i="10"/>
  <c r="GY82" i="10"/>
  <c r="GX82" i="10"/>
  <c r="GL82" i="10"/>
  <c r="FG82" i="10"/>
  <c r="FF82" i="10"/>
  <c r="FE82" i="10"/>
  <c r="FC82" i="10"/>
  <c r="EZ82" i="10"/>
  <c r="EY82" i="10"/>
  <c r="EX82" i="10"/>
  <c r="ET82" i="10"/>
  <c r="ES82" i="10"/>
  <c r="EQ82" i="10"/>
  <c r="EP82" i="10"/>
  <c r="EO82" i="10"/>
  <c r="EC82" i="10"/>
  <c r="CX82" i="10"/>
  <c r="CW82" i="10"/>
  <c r="CV82" i="10"/>
  <c r="CT82" i="10"/>
  <c r="CQ82" i="10"/>
  <c r="CP82" i="10"/>
  <c r="CO82" i="10"/>
  <c r="CK82" i="10"/>
  <c r="CJ82" i="10"/>
  <c r="CH82" i="10"/>
  <c r="CG82" i="10"/>
  <c r="CF82" i="10"/>
  <c r="BT82" i="10"/>
  <c r="BM82" i="10"/>
  <c r="GE82" i="10" s="1"/>
  <c r="AO82" i="10"/>
  <c r="AN82" i="10"/>
  <c r="AM82" i="10"/>
  <c r="AL82" i="10"/>
  <c r="AK82" i="10"/>
  <c r="AH82" i="10"/>
  <c r="AG82" i="10"/>
  <c r="AF82" i="10"/>
  <c r="AB82" i="10"/>
  <c r="AA82" i="10"/>
  <c r="Y82" i="10"/>
  <c r="X82" i="10"/>
  <c r="W82" i="10"/>
  <c r="V82" i="10"/>
  <c r="IU81" i="10"/>
  <c r="HP81" i="10"/>
  <c r="HO81" i="10"/>
  <c r="HN81" i="10"/>
  <c r="HL81" i="10"/>
  <c r="HI81" i="10"/>
  <c r="HH81" i="10"/>
  <c r="HG81" i="10"/>
  <c r="HC81" i="10"/>
  <c r="HB81" i="10"/>
  <c r="GZ81" i="10"/>
  <c r="GY81" i="10"/>
  <c r="GX81" i="10"/>
  <c r="GL81" i="10"/>
  <c r="FG81" i="10"/>
  <c r="FF81" i="10"/>
  <c r="FE81" i="10"/>
  <c r="FC81" i="10"/>
  <c r="EZ81" i="10"/>
  <c r="EY81" i="10"/>
  <c r="EX81" i="10"/>
  <c r="ET81" i="10"/>
  <c r="ES81" i="10"/>
  <c r="EQ81" i="10"/>
  <c r="EP81" i="10"/>
  <c r="EO81" i="10"/>
  <c r="EC81" i="10"/>
  <c r="CX81" i="10"/>
  <c r="CW81" i="10"/>
  <c r="CV81" i="10"/>
  <c r="CT81" i="10"/>
  <c r="CQ81" i="10"/>
  <c r="CP81" i="10"/>
  <c r="CO81" i="10"/>
  <c r="CK81" i="10"/>
  <c r="CJ81" i="10"/>
  <c r="CH81" i="10"/>
  <c r="CG81" i="10"/>
  <c r="CF81" i="10"/>
  <c r="BT81" i="10"/>
  <c r="BM81" i="10"/>
  <c r="GE81" i="10" s="1"/>
  <c r="AO81" i="10"/>
  <c r="AN81" i="10"/>
  <c r="AM81" i="10"/>
  <c r="AL81" i="10"/>
  <c r="AK81" i="10"/>
  <c r="AH81" i="10"/>
  <c r="AG81" i="10"/>
  <c r="AF81" i="10"/>
  <c r="AB81" i="10"/>
  <c r="AA81" i="10"/>
  <c r="Y81" i="10"/>
  <c r="X81" i="10"/>
  <c r="W81" i="10"/>
  <c r="V81" i="10"/>
  <c r="IU80" i="10"/>
  <c r="HP80" i="10"/>
  <c r="HO80" i="10"/>
  <c r="HN80" i="10"/>
  <c r="HL80" i="10"/>
  <c r="HI80" i="10"/>
  <c r="HH80" i="10"/>
  <c r="HG80" i="10"/>
  <c r="HC80" i="10"/>
  <c r="HB80" i="10"/>
  <c r="GZ80" i="10"/>
  <c r="GY80" i="10"/>
  <c r="GX80" i="10"/>
  <c r="GL80" i="10"/>
  <c r="FG80" i="10"/>
  <c r="FF80" i="10"/>
  <c r="FE80" i="10"/>
  <c r="FC80" i="10"/>
  <c r="EZ80" i="10"/>
  <c r="EY80" i="10"/>
  <c r="EX80" i="10"/>
  <c r="ET80" i="10"/>
  <c r="ES80" i="10"/>
  <c r="EQ80" i="10"/>
  <c r="EP80" i="10"/>
  <c r="EO80" i="10"/>
  <c r="EC80" i="10"/>
  <c r="CX80" i="10"/>
  <c r="CW80" i="10"/>
  <c r="CV80" i="10"/>
  <c r="CT80" i="10"/>
  <c r="CQ80" i="10"/>
  <c r="CP80" i="10"/>
  <c r="CO80" i="10"/>
  <c r="CK80" i="10"/>
  <c r="CJ80" i="10"/>
  <c r="CH80" i="10"/>
  <c r="CG80" i="10"/>
  <c r="CF80" i="10"/>
  <c r="BT80" i="10"/>
  <c r="BM80" i="10"/>
  <c r="GE80" i="10" s="1"/>
  <c r="AO80" i="10"/>
  <c r="AN80" i="10"/>
  <c r="AM80" i="10"/>
  <c r="AL80" i="10"/>
  <c r="AK80" i="10"/>
  <c r="AH80" i="10"/>
  <c r="AG80" i="10"/>
  <c r="AF80" i="10"/>
  <c r="AB80" i="10"/>
  <c r="AA80" i="10"/>
  <c r="Y80" i="10"/>
  <c r="X80" i="10"/>
  <c r="W80" i="10"/>
  <c r="V80" i="10"/>
  <c r="IU79" i="10"/>
  <c r="IL79" i="10"/>
  <c r="HP79" i="10"/>
  <c r="HO79" i="10"/>
  <c r="HN79" i="10"/>
  <c r="HL79" i="10"/>
  <c r="HI79" i="10"/>
  <c r="HH79" i="10"/>
  <c r="HG79" i="10"/>
  <c r="HC79" i="10"/>
  <c r="HB79" i="10"/>
  <c r="GZ79" i="10"/>
  <c r="GY79" i="10"/>
  <c r="GX79" i="10"/>
  <c r="GL79" i="10"/>
  <c r="FG79" i="10"/>
  <c r="FF79" i="10"/>
  <c r="FE79" i="10"/>
  <c r="FC79" i="10"/>
  <c r="EZ79" i="10"/>
  <c r="EY79" i="10"/>
  <c r="EX79" i="10"/>
  <c r="ET79" i="10"/>
  <c r="ES79" i="10"/>
  <c r="EQ79" i="10"/>
  <c r="EP79" i="10"/>
  <c r="EO79" i="10"/>
  <c r="EC79" i="10"/>
  <c r="CX79" i="10"/>
  <c r="CW79" i="10"/>
  <c r="CV79" i="10"/>
  <c r="CT79" i="10"/>
  <c r="CQ79" i="10"/>
  <c r="CP79" i="10"/>
  <c r="CO79" i="10"/>
  <c r="CK79" i="10"/>
  <c r="CJ79" i="10"/>
  <c r="CH79" i="10"/>
  <c r="CG79" i="10"/>
  <c r="CF79" i="10"/>
  <c r="BT79" i="10"/>
  <c r="BM79" i="10"/>
  <c r="GE79" i="10" s="1"/>
  <c r="AO79" i="10"/>
  <c r="AN79" i="10"/>
  <c r="AM79" i="10"/>
  <c r="AL79" i="10"/>
  <c r="AK79" i="10"/>
  <c r="AH79" i="10"/>
  <c r="AG79" i="10"/>
  <c r="AF79" i="10"/>
  <c r="AB79" i="10"/>
  <c r="AA79" i="10"/>
  <c r="Y79" i="10"/>
  <c r="X79" i="10"/>
  <c r="W79" i="10"/>
  <c r="V79" i="10"/>
  <c r="IU78" i="10"/>
  <c r="HP78" i="10"/>
  <c r="HO78" i="10"/>
  <c r="HN78" i="10"/>
  <c r="HL78" i="10"/>
  <c r="HI78" i="10"/>
  <c r="HH78" i="10"/>
  <c r="HG78" i="10"/>
  <c r="HC78" i="10"/>
  <c r="HB78" i="10"/>
  <c r="GZ78" i="10"/>
  <c r="GY78" i="10"/>
  <c r="GX78" i="10"/>
  <c r="GL78" i="10"/>
  <c r="FG78" i="10"/>
  <c r="FF78" i="10"/>
  <c r="FE78" i="10"/>
  <c r="FC78" i="10"/>
  <c r="EZ78" i="10"/>
  <c r="EY78" i="10"/>
  <c r="EX78" i="10"/>
  <c r="ET78" i="10"/>
  <c r="ES78" i="10"/>
  <c r="EQ78" i="10"/>
  <c r="EP78" i="10"/>
  <c r="EO78" i="10"/>
  <c r="EC78" i="10"/>
  <c r="CX78" i="10"/>
  <c r="CW78" i="10"/>
  <c r="CV78" i="10"/>
  <c r="CT78" i="10"/>
  <c r="CQ78" i="10"/>
  <c r="CP78" i="10"/>
  <c r="CO78" i="10"/>
  <c r="CK78" i="10"/>
  <c r="CJ78" i="10"/>
  <c r="CH78" i="10"/>
  <c r="CG78" i="10"/>
  <c r="CF78" i="10"/>
  <c r="BT78" i="10"/>
  <c r="BM78" i="10"/>
  <c r="GE78" i="10" s="1"/>
  <c r="AO78" i="10"/>
  <c r="AN78" i="10"/>
  <c r="AM78" i="10"/>
  <c r="AL78" i="10"/>
  <c r="AK78" i="10"/>
  <c r="AH78" i="10"/>
  <c r="AG78" i="10"/>
  <c r="AF78" i="10"/>
  <c r="AB78" i="10"/>
  <c r="AA78" i="10"/>
  <c r="Y78" i="10"/>
  <c r="X78" i="10"/>
  <c r="W78" i="10"/>
  <c r="V78" i="10"/>
  <c r="IU77" i="10"/>
  <c r="IL77" i="10"/>
  <c r="HP77" i="10"/>
  <c r="HO77" i="10"/>
  <c r="HN77" i="10"/>
  <c r="HL77" i="10"/>
  <c r="HI77" i="10"/>
  <c r="HH77" i="10"/>
  <c r="HG77" i="10"/>
  <c r="HC77" i="10"/>
  <c r="HB77" i="10"/>
  <c r="GZ77" i="10"/>
  <c r="GY77" i="10"/>
  <c r="GX77" i="10"/>
  <c r="GL77" i="10"/>
  <c r="FG77" i="10"/>
  <c r="FF77" i="10"/>
  <c r="FE77" i="10"/>
  <c r="FC77" i="10"/>
  <c r="EZ77" i="10"/>
  <c r="EY77" i="10"/>
  <c r="EX77" i="10"/>
  <c r="ET77" i="10"/>
  <c r="ES77" i="10"/>
  <c r="EQ77" i="10"/>
  <c r="EP77" i="10"/>
  <c r="EO77" i="10"/>
  <c r="EC77" i="10"/>
  <c r="CX77" i="10"/>
  <c r="CW77" i="10"/>
  <c r="CV77" i="10"/>
  <c r="CT77" i="10"/>
  <c r="CQ77" i="10"/>
  <c r="CP77" i="10"/>
  <c r="CO77" i="10"/>
  <c r="CK77" i="10"/>
  <c r="CJ77" i="10"/>
  <c r="CH77" i="10"/>
  <c r="CG77" i="10"/>
  <c r="CF77" i="10"/>
  <c r="BT77" i="10"/>
  <c r="BM77" i="10"/>
  <c r="GE77" i="10" s="1"/>
  <c r="AO77" i="10"/>
  <c r="AN77" i="10"/>
  <c r="AM77" i="10"/>
  <c r="AL77" i="10"/>
  <c r="AK77" i="10"/>
  <c r="AH77" i="10"/>
  <c r="AG77" i="10"/>
  <c r="AF77" i="10"/>
  <c r="AB77" i="10"/>
  <c r="AA77" i="10"/>
  <c r="Y77" i="10"/>
  <c r="X77" i="10"/>
  <c r="W77" i="10"/>
  <c r="V77" i="10"/>
  <c r="IU76" i="10"/>
  <c r="HP76" i="10"/>
  <c r="HO76" i="10"/>
  <c r="HN76" i="10"/>
  <c r="HL76" i="10"/>
  <c r="HI76" i="10"/>
  <c r="HH76" i="10"/>
  <c r="HG76" i="10"/>
  <c r="HC76" i="10"/>
  <c r="HB76" i="10"/>
  <c r="GZ76" i="10"/>
  <c r="GY76" i="10"/>
  <c r="GX76" i="10"/>
  <c r="GL76" i="10"/>
  <c r="FG76" i="10"/>
  <c r="FF76" i="10"/>
  <c r="FE76" i="10"/>
  <c r="FC76" i="10"/>
  <c r="EZ76" i="10"/>
  <c r="EY76" i="10"/>
  <c r="EX76" i="10"/>
  <c r="ET76" i="10"/>
  <c r="ES76" i="10"/>
  <c r="EQ76" i="10"/>
  <c r="EP76" i="10"/>
  <c r="EO76" i="10"/>
  <c r="EC76" i="10"/>
  <c r="CX76" i="10"/>
  <c r="CW76" i="10"/>
  <c r="CV76" i="10"/>
  <c r="CT76" i="10"/>
  <c r="CQ76" i="10"/>
  <c r="CP76" i="10"/>
  <c r="CO76" i="10"/>
  <c r="CK76" i="10"/>
  <c r="CJ76" i="10"/>
  <c r="CH76" i="10"/>
  <c r="CG76" i="10"/>
  <c r="CF76" i="10"/>
  <c r="BT76" i="10"/>
  <c r="BM76" i="10"/>
  <c r="GE76" i="10" s="1"/>
  <c r="AO76" i="10"/>
  <c r="AN76" i="10"/>
  <c r="AM76" i="10"/>
  <c r="AL76" i="10"/>
  <c r="AK76" i="10"/>
  <c r="AH76" i="10"/>
  <c r="AG76" i="10"/>
  <c r="AF76" i="10"/>
  <c r="AB76" i="10"/>
  <c r="AA76" i="10"/>
  <c r="Y76" i="10"/>
  <c r="X76" i="10"/>
  <c r="W76" i="10"/>
  <c r="V76" i="10"/>
  <c r="IU75" i="10"/>
  <c r="IL75" i="10"/>
  <c r="HP75" i="10"/>
  <c r="HO75" i="10"/>
  <c r="HN75" i="10"/>
  <c r="HL75" i="10"/>
  <c r="HI75" i="10"/>
  <c r="HH75" i="10"/>
  <c r="HG75" i="10"/>
  <c r="HC75" i="10"/>
  <c r="HB75" i="10"/>
  <c r="GZ75" i="10"/>
  <c r="GY75" i="10"/>
  <c r="GX75" i="10"/>
  <c r="GL75" i="10"/>
  <c r="FG75" i="10"/>
  <c r="FF75" i="10"/>
  <c r="FE75" i="10"/>
  <c r="FC75" i="10"/>
  <c r="EZ75" i="10"/>
  <c r="EY75" i="10"/>
  <c r="EX75" i="10"/>
  <c r="ET75" i="10"/>
  <c r="ES75" i="10"/>
  <c r="EQ75" i="10"/>
  <c r="EP75" i="10"/>
  <c r="EO75" i="10"/>
  <c r="EC75" i="10"/>
  <c r="CX75" i="10"/>
  <c r="CW75" i="10"/>
  <c r="CV75" i="10"/>
  <c r="CT75" i="10"/>
  <c r="CQ75" i="10"/>
  <c r="CP75" i="10"/>
  <c r="CO75" i="10"/>
  <c r="CK75" i="10"/>
  <c r="CJ75" i="10"/>
  <c r="CH75" i="10"/>
  <c r="CG75" i="10"/>
  <c r="CF75" i="10"/>
  <c r="BT75" i="10"/>
  <c r="BM75" i="10"/>
  <c r="GE75" i="10" s="1"/>
  <c r="AO75" i="10"/>
  <c r="AN75" i="10"/>
  <c r="AM75" i="10"/>
  <c r="AL75" i="10"/>
  <c r="AK75" i="10"/>
  <c r="AH75" i="10"/>
  <c r="AG75" i="10"/>
  <c r="AF75" i="10"/>
  <c r="AB75" i="10"/>
  <c r="AA75" i="10"/>
  <c r="Y75" i="10"/>
  <c r="X75" i="10"/>
  <c r="W75" i="10"/>
  <c r="V75" i="10"/>
  <c r="IU74" i="10"/>
  <c r="HP74" i="10"/>
  <c r="HO74" i="10"/>
  <c r="HN74" i="10"/>
  <c r="HL74" i="10"/>
  <c r="HI74" i="10"/>
  <c r="HH74" i="10"/>
  <c r="HG74" i="10"/>
  <c r="HC74" i="10"/>
  <c r="HB74" i="10"/>
  <c r="GZ74" i="10"/>
  <c r="GY74" i="10"/>
  <c r="GX74" i="10"/>
  <c r="GL74" i="10"/>
  <c r="FG74" i="10"/>
  <c r="FF74" i="10"/>
  <c r="FE74" i="10"/>
  <c r="FC74" i="10"/>
  <c r="EZ74" i="10"/>
  <c r="EY74" i="10"/>
  <c r="EX74" i="10"/>
  <c r="ET74" i="10"/>
  <c r="ES74" i="10"/>
  <c r="EQ74" i="10"/>
  <c r="EP74" i="10"/>
  <c r="EO74" i="10"/>
  <c r="EC74" i="10"/>
  <c r="CX74" i="10"/>
  <c r="CW74" i="10"/>
  <c r="CV74" i="10"/>
  <c r="CT74" i="10"/>
  <c r="CQ74" i="10"/>
  <c r="CP74" i="10"/>
  <c r="CO74" i="10"/>
  <c r="CK74" i="10"/>
  <c r="CJ74" i="10"/>
  <c r="CH74" i="10"/>
  <c r="CG74" i="10"/>
  <c r="CF74" i="10"/>
  <c r="BT74" i="10"/>
  <c r="BM74" i="10"/>
  <c r="GE74" i="10" s="1"/>
  <c r="AO74" i="10"/>
  <c r="AN74" i="10"/>
  <c r="AM74" i="10"/>
  <c r="AL74" i="10"/>
  <c r="AK74" i="10"/>
  <c r="AH74" i="10"/>
  <c r="AG74" i="10"/>
  <c r="AF74" i="10"/>
  <c r="AB74" i="10"/>
  <c r="AA74" i="10"/>
  <c r="Y74" i="10"/>
  <c r="X74" i="10"/>
  <c r="W74" i="10"/>
  <c r="V74" i="10"/>
  <c r="IU73" i="10"/>
  <c r="HP73" i="10"/>
  <c r="HO73" i="10"/>
  <c r="HN73" i="10"/>
  <c r="HL73" i="10"/>
  <c r="HI73" i="10"/>
  <c r="HH73" i="10"/>
  <c r="HG73" i="10"/>
  <c r="HC73" i="10"/>
  <c r="HB73" i="10"/>
  <c r="GZ73" i="10"/>
  <c r="GY73" i="10"/>
  <c r="GX73" i="10"/>
  <c r="GL73" i="10"/>
  <c r="FG73" i="10"/>
  <c r="FF73" i="10"/>
  <c r="FE73" i="10"/>
  <c r="FC73" i="10"/>
  <c r="EZ73" i="10"/>
  <c r="EY73" i="10"/>
  <c r="EX73" i="10"/>
  <c r="ET73" i="10"/>
  <c r="ES73" i="10"/>
  <c r="EQ73" i="10"/>
  <c r="EP73" i="10"/>
  <c r="EO73" i="10"/>
  <c r="EC73" i="10"/>
  <c r="CX73" i="10"/>
  <c r="CW73" i="10"/>
  <c r="CV73" i="10"/>
  <c r="CT73" i="10"/>
  <c r="CQ73" i="10"/>
  <c r="CP73" i="10"/>
  <c r="CO73" i="10"/>
  <c r="CK73" i="10"/>
  <c r="CJ73" i="10"/>
  <c r="CH73" i="10"/>
  <c r="CG73" i="10"/>
  <c r="CF73" i="10"/>
  <c r="BT73" i="10"/>
  <c r="BM73" i="10"/>
  <c r="GE73" i="10" s="1"/>
  <c r="AO73" i="10"/>
  <c r="AN73" i="10"/>
  <c r="AM73" i="10"/>
  <c r="AL73" i="10"/>
  <c r="AK73" i="10"/>
  <c r="AH73" i="10"/>
  <c r="AG73" i="10"/>
  <c r="AF73" i="10"/>
  <c r="AB73" i="10"/>
  <c r="AA73" i="10"/>
  <c r="Y73" i="10"/>
  <c r="X73" i="10"/>
  <c r="W73" i="10"/>
  <c r="V73" i="10"/>
  <c r="IU72" i="10"/>
  <c r="HP72" i="10"/>
  <c r="HO72" i="10"/>
  <c r="HN72" i="10"/>
  <c r="HL72" i="10"/>
  <c r="HI72" i="10"/>
  <c r="HH72" i="10"/>
  <c r="HG72" i="10"/>
  <c r="HC72" i="10"/>
  <c r="HB72" i="10"/>
  <c r="GZ72" i="10"/>
  <c r="GY72" i="10"/>
  <c r="GX72" i="10"/>
  <c r="GL72" i="10"/>
  <c r="FG72" i="10"/>
  <c r="FF72" i="10"/>
  <c r="FE72" i="10"/>
  <c r="FC72" i="10"/>
  <c r="EZ72" i="10"/>
  <c r="EY72" i="10"/>
  <c r="EX72" i="10"/>
  <c r="ET72" i="10"/>
  <c r="ES72" i="10"/>
  <c r="EQ72" i="10"/>
  <c r="EP72" i="10"/>
  <c r="EO72" i="10"/>
  <c r="EC72" i="10"/>
  <c r="CX72" i="10"/>
  <c r="CW72" i="10"/>
  <c r="CV72" i="10"/>
  <c r="CT72" i="10"/>
  <c r="CQ72" i="10"/>
  <c r="CP72" i="10"/>
  <c r="CO72" i="10"/>
  <c r="CK72" i="10"/>
  <c r="CJ72" i="10"/>
  <c r="CH72" i="10"/>
  <c r="CG72" i="10"/>
  <c r="CF72" i="10"/>
  <c r="BT72" i="10"/>
  <c r="BM72" i="10"/>
  <c r="AO72" i="10"/>
  <c r="AN72" i="10"/>
  <c r="AM72" i="10"/>
  <c r="AL72" i="10"/>
  <c r="AK72" i="10"/>
  <c r="AH72" i="10"/>
  <c r="AG72" i="10"/>
  <c r="AF72" i="10"/>
  <c r="AB72" i="10"/>
  <c r="AA72" i="10"/>
  <c r="Y72" i="10"/>
  <c r="X72" i="10"/>
  <c r="W72" i="10"/>
  <c r="V72" i="10"/>
  <c r="IU71" i="10"/>
  <c r="IL71" i="10"/>
  <c r="HP71" i="10"/>
  <c r="HO71" i="10"/>
  <c r="HN71" i="10"/>
  <c r="HL71" i="10"/>
  <c r="HI71" i="10"/>
  <c r="HH71" i="10"/>
  <c r="HG71" i="10"/>
  <c r="HC71" i="10"/>
  <c r="HB71" i="10"/>
  <c r="GZ71" i="10"/>
  <c r="GY71" i="10"/>
  <c r="GX71" i="10"/>
  <c r="GL71" i="10"/>
  <c r="FG71" i="10"/>
  <c r="FF71" i="10"/>
  <c r="FE71" i="10"/>
  <c r="FC71" i="10"/>
  <c r="EZ71" i="10"/>
  <c r="EY71" i="10"/>
  <c r="EX71" i="10"/>
  <c r="ET71" i="10"/>
  <c r="ES71" i="10"/>
  <c r="EQ71" i="10"/>
  <c r="EP71" i="10"/>
  <c r="EO71" i="10"/>
  <c r="EC71" i="10"/>
  <c r="CX71" i="10"/>
  <c r="CW71" i="10"/>
  <c r="CV71" i="10"/>
  <c r="CT71" i="10"/>
  <c r="CQ71" i="10"/>
  <c r="CP71" i="10"/>
  <c r="CO71" i="10"/>
  <c r="CK71" i="10"/>
  <c r="CJ71" i="10"/>
  <c r="CH71" i="10"/>
  <c r="CG71" i="10"/>
  <c r="CF71" i="10"/>
  <c r="BT71" i="10"/>
  <c r="BM71" i="10"/>
  <c r="GE71" i="10" s="1"/>
  <c r="AO71" i="10"/>
  <c r="AN71" i="10"/>
  <c r="AM71" i="10"/>
  <c r="AL71" i="10"/>
  <c r="AK71" i="10"/>
  <c r="AH71" i="10"/>
  <c r="AG71" i="10"/>
  <c r="AF71" i="10"/>
  <c r="AB71" i="10"/>
  <c r="AA71" i="10"/>
  <c r="Y71" i="10"/>
  <c r="X71" i="10"/>
  <c r="W71" i="10"/>
  <c r="V71" i="10"/>
  <c r="A71" i="10"/>
  <c r="B71" i="10" s="1"/>
  <c r="IU70" i="10"/>
  <c r="IL70" i="10"/>
  <c r="HP70" i="10"/>
  <c r="HO70" i="10"/>
  <c r="HN70" i="10"/>
  <c r="HL70" i="10"/>
  <c r="HI70" i="10"/>
  <c r="HH70" i="10"/>
  <c r="HG70" i="10"/>
  <c r="HC70" i="10"/>
  <c r="HB70" i="10"/>
  <c r="GZ70" i="10"/>
  <c r="GY70" i="10"/>
  <c r="GX70" i="10"/>
  <c r="GL70" i="10"/>
  <c r="FG70" i="10"/>
  <c r="FF70" i="10"/>
  <c r="FE70" i="10"/>
  <c r="FC70" i="10"/>
  <c r="EZ70" i="10"/>
  <c r="EY70" i="10"/>
  <c r="EX70" i="10"/>
  <c r="ET70" i="10"/>
  <c r="ES70" i="10"/>
  <c r="EQ70" i="10"/>
  <c r="EP70" i="10"/>
  <c r="EO70" i="10"/>
  <c r="EC70" i="10"/>
  <c r="CX70" i="10"/>
  <c r="CW70" i="10"/>
  <c r="CV70" i="10"/>
  <c r="CT70" i="10"/>
  <c r="CQ70" i="10"/>
  <c r="CP70" i="10"/>
  <c r="CO70" i="10"/>
  <c r="CK70" i="10"/>
  <c r="CJ70" i="10"/>
  <c r="CH70" i="10"/>
  <c r="CG70" i="10"/>
  <c r="CF70" i="10"/>
  <c r="BT70" i="10"/>
  <c r="BM70" i="10"/>
  <c r="GE70" i="10" s="1"/>
  <c r="AO70" i="10"/>
  <c r="AN70" i="10"/>
  <c r="AM70" i="10"/>
  <c r="AL70" i="10"/>
  <c r="AK70" i="10"/>
  <c r="AH70" i="10"/>
  <c r="AG70" i="10"/>
  <c r="AF70" i="10"/>
  <c r="AB70" i="10"/>
  <c r="AA70" i="10"/>
  <c r="Y70" i="10"/>
  <c r="X70" i="10"/>
  <c r="W70" i="10"/>
  <c r="V70" i="10"/>
  <c r="A70" i="10"/>
  <c r="B70" i="10" s="1"/>
  <c r="IU69" i="10"/>
  <c r="HP69" i="10"/>
  <c r="HO69" i="10"/>
  <c r="HN69" i="10"/>
  <c r="HL69" i="10"/>
  <c r="HI69" i="10"/>
  <c r="HH69" i="10"/>
  <c r="HG69" i="10"/>
  <c r="HC69" i="10"/>
  <c r="HB69" i="10"/>
  <c r="GZ69" i="10"/>
  <c r="GY69" i="10"/>
  <c r="GX69" i="10"/>
  <c r="GL69" i="10"/>
  <c r="FG69" i="10"/>
  <c r="FF69" i="10"/>
  <c r="FE69" i="10"/>
  <c r="FC69" i="10"/>
  <c r="EZ69" i="10"/>
  <c r="EY69" i="10"/>
  <c r="EX69" i="10"/>
  <c r="ET69" i="10"/>
  <c r="ES69" i="10"/>
  <c r="EQ69" i="10"/>
  <c r="EP69" i="10"/>
  <c r="EO69" i="10"/>
  <c r="EC69" i="10"/>
  <c r="CX69" i="10"/>
  <c r="CW69" i="10"/>
  <c r="CV69" i="10"/>
  <c r="CT69" i="10"/>
  <c r="CQ69" i="10"/>
  <c r="CP69" i="10"/>
  <c r="CO69" i="10"/>
  <c r="CK69" i="10"/>
  <c r="CJ69" i="10"/>
  <c r="CH69" i="10"/>
  <c r="CG69" i="10"/>
  <c r="CF69" i="10"/>
  <c r="BT69" i="10"/>
  <c r="BM69" i="10"/>
  <c r="GE69" i="10" s="1"/>
  <c r="AO69" i="10"/>
  <c r="AN69" i="10"/>
  <c r="AM69" i="10"/>
  <c r="AL69" i="10"/>
  <c r="AK69" i="10"/>
  <c r="AH69" i="10"/>
  <c r="AG69" i="10"/>
  <c r="AF69" i="10"/>
  <c r="AB69" i="10"/>
  <c r="AA69" i="10"/>
  <c r="Y69" i="10"/>
  <c r="X69" i="10"/>
  <c r="W69" i="10"/>
  <c r="V69" i="10"/>
  <c r="A69" i="10"/>
  <c r="B69" i="10" s="1"/>
  <c r="IU68" i="10"/>
  <c r="HP68" i="10"/>
  <c r="HO68" i="10"/>
  <c r="HN68" i="10"/>
  <c r="HL68" i="10"/>
  <c r="HI68" i="10"/>
  <c r="HH68" i="10"/>
  <c r="HG68" i="10"/>
  <c r="HC68" i="10"/>
  <c r="HB68" i="10"/>
  <c r="GZ68" i="10"/>
  <c r="GY68" i="10"/>
  <c r="GX68" i="10"/>
  <c r="GL68" i="10"/>
  <c r="FG68" i="10"/>
  <c r="FF68" i="10"/>
  <c r="FE68" i="10"/>
  <c r="FC68" i="10"/>
  <c r="EZ68" i="10"/>
  <c r="EY68" i="10"/>
  <c r="EX68" i="10"/>
  <c r="ET68" i="10"/>
  <c r="ES68" i="10"/>
  <c r="EQ68" i="10"/>
  <c r="EP68" i="10"/>
  <c r="EO68" i="10"/>
  <c r="EC68" i="10"/>
  <c r="CX68" i="10"/>
  <c r="CW68" i="10"/>
  <c r="CV68" i="10"/>
  <c r="CT68" i="10"/>
  <c r="CQ68" i="10"/>
  <c r="CP68" i="10"/>
  <c r="CO68" i="10"/>
  <c r="CK68" i="10"/>
  <c r="CJ68" i="10"/>
  <c r="CH68" i="10"/>
  <c r="CG68" i="10"/>
  <c r="CF68" i="10"/>
  <c r="BT68" i="10"/>
  <c r="BM68" i="10"/>
  <c r="GE68" i="10" s="1"/>
  <c r="AO68" i="10"/>
  <c r="AN68" i="10"/>
  <c r="AM68" i="10"/>
  <c r="AL68" i="10"/>
  <c r="AK68" i="10"/>
  <c r="AH68" i="10"/>
  <c r="AG68" i="10"/>
  <c r="AF68" i="10"/>
  <c r="AB68" i="10"/>
  <c r="AA68" i="10"/>
  <c r="Y68" i="10"/>
  <c r="X68" i="10"/>
  <c r="W68" i="10"/>
  <c r="V68" i="10"/>
  <c r="A68" i="10"/>
  <c r="B68" i="10" s="1"/>
  <c r="IU67" i="10"/>
  <c r="HP67" i="10"/>
  <c r="HO67" i="10"/>
  <c r="HN67" i="10"/>
  <c r="HL67" i="10"/>
  <c r="HI67" i="10"/>
  <c r="HH67" i="10"/>
  <c r="HG67" i="10"/>
  <c r="HC67" i="10"/>
  <c r="HB67" i="10"/>
  <c r="GZ67" i="10"/>
  <c r="GY67" i="10"/>
  <c r="GX67" i="10"/>
  <c r="GL67" i="10"/>
  <c r="FG67" i="10"/>
  <c r="FF67" i="10"/>
  <c r="FE67" i="10"/>
  <c r="FC67" i="10"/>
  <c r="EZ67" i="10"/>
  <c r="EY67" i="10"/>
  <c r="EX67" i="10"/>
  <c r="ET67" i="10"/>
  <c r="ES67" i="10"/>
  <c r="EQ67" i="10"/>
  <c r="EP67" i="10"/>
  <c r="EO67" i="10"/>
  <c r="EC67" i="10"/>
  <c r="CX67" i="10"/>
  <c r="CW67" i="10"/>
  <c r="CV67" i="10"/>
  <c r="CT67" i="10"/>
  <c r="CQ67" i="10"/>
  <c r="CP67" i="10"/>
  <c r="CO67" i="10"/>
  <c r="CK67" i="10"/>
  <c r="CJ67" i="10"/>
  <c r="CH67" i="10"/>
  <c r="CG67" i="10"/>
  <c r="CF67" i="10"/>
  <c r="BT67" i="10"/>
  <c r="BM67" i="10"/>
  <c r="GE67" i="10" s="1"/>
  <c r="AO67" i="10"/>
  <c r="AN67" i="10"/>
  <c r="AM67" i="10"/>
  <c r="AL67" i="10"/>
  <c r="AK67" i="10"/>
  <c r="AH67" i="10"/>
  <c r="AG67" i="10"/>
  <c r="AF67" i="10"/>
  <c r="AB67" i="10"/>
  <c r="AA67" i="10"/>
  <c r="Y67" i="10"/>
  <c r="X67" i="10"/>
  <c r="W67" i="10"/>
  <c r="V67" i="10"/>
  <c r="A67" i="10"/>
  <c r="B67" i="10" s="1"/>
  <c r="IU66" i="10"/>
  <c r="HP66" i="10"/>
  <c r="HO66" i="10"/>
  <c r="HN66" i="10"/>
  <c r="HL66" i="10"/>
  <c r="HI66" i="10"/>
  <c r="HH66" i="10"/>
  <c r="HG66" i="10"/>
  <c r="HC66" i="10"/>
  <c r="HB66" i="10"/>
  <c r="GZ66" i="10"/>
  <c r="GY66" i="10"/>
  <c r="GX66" i="10"/>
  <c r="GL66" i="10"/>
  <c r="FG66" i="10"/>
  <c r="FF66" i="10"/>
  <c r="FE66" i="10"/>
  <c r="FC66" i="10"/>
  <c r="EZ66" i="10"/>
  <c r="EY66" i="10"/>
  <c r="EX66" i="10"/>
  <c r="ET66" i="10"/>
  <c r="ES66" i="10"/>
  <c r="EQ66" i="10"/>
  <c r="EP66" i="10"/>
  <c r="EO66" i="10"/>
  <c r="EC66" i="10"/>
  <c r="CX66" i="10"/>
  <c r="CW66" i="10"/>
  <c r="CV66" i="10"/>
  <c r="CT66" i="10"/>
  <c r="CQ66" i="10"/>
  <c r="CP66" i="10"/>
  <c r="CO66" i="10"/>
  <c r="CK66" i="10"/>
  <c r="CJ66" i="10"/>
  <c r="CH66" i="10"/>
  <c r="CG66" i="10"/>
  <c r="CF66" i="10"/>
  <c r="BT66" i="10"/>
  <c r="BM66" i="10"/>
  <c r="GE66" i="10" s="1"/>
  <c r="AO66" i="10"/>
  <c r="AN66" i="10"/>
  <c r="AM66" i="10"/>
  <c r="AL66" i="10"/>
  <c r="AK66" i="10"/>
  <c r="AH66" i="10"/>
  <c r="AG66" i="10"/>
  <c r="AF66" i="10"/>
  <c r="AB66" i="10"/>
  <c r="AA66" i="10"/>
  <c r="Y66" i="10"/>
  <c r="X66" i="10"/>
  <c r="W66" i="10"/>
  <c r="V66" i="10"/>
  <c r="A66" i="10"/>
  <c r="B66" i="10" s="1"/>
  <c r="IU65" i="10"/>
  <c r="HP65" i="10"/>
  <c r="HO65" i="10"/>
  <c r="HN65" i="10"/>
  <c r="HL65" i="10"/>
  <c r="HI65" i="10"/>
  <c r="HH65" i="10"/>
  <c r="HG65" i="10"/>
  <c r="HC65" i="10"/>
  <c r="HB65" i="10"/>
  <c r="GZ65" i="10"/>
  <c r="GY65" i="10"/>
  <c r="GX65" i="10"/>
  <c r="GL65" i="10"/>
  <c r="FG65" i="10"/>
  <c r="FF65" i="10"/>
  <c r="FE65" i="10"/>
  <c r="FC65" i="10"/>
  <c r="EZ65" i="10"/>
  <c r="EY65" i="10"/>
  <c r="EX65" i="10"/>
  <c r="ET65" i="10"/>
  <c r="ES65" i="10"/>
  <c r="EQ65" i="10"/>
  <c r="EP65" i="10"/>
  <c r="EO65" i="10"/>
  <c r="EC65" i="10"/>
  <c r="CX65" i="10"/>
  <c r="CW65" i="10"/>
  <c r="CV65" i="10"/>
  <c r="CT65" i="10"/>
  <c r="CQ65" i="10"/>
  <c r="CP65" i="10"/>
  <c r="CO65" i="10"/>
  <c r="CK65" i="10"/>
  <c r="CJ65" i="10"/>
  <c r="CH65" i="10"/>
  <c r="CG65" i="10"/>
  <c r="CF65" i="10"/>
  <c r="BT65" i="10"/>
  <c r="BM65" i="10"/>
  <c r="AO65" i="10"/>
  <c r="AN65" i="10"/>
  <c r="AM65" i="10"/>
  <c r="AL65" i="10"/>
  <c r="AK65" i="10"/>
  <c r="AH65" i="10"/>
  <c r="AG65" i="10"/>
  <c r="AF65" i="10"/>
  <c r="AB65" i="10"/>
  <c r="AA65" i="10"/>
  <c r="Y65" i="10"/>
  <c r="X65" i="10"/>
  <c r="W65" i="10"/>
  <c r="V65" i="10"/>
  <c r="A65" i="10"/>
  <c r="B65" i="10" s="1"/>
  <c r="IU64" i="10"/>
  <c r="HP64" i="10"/>
  <c r="HO64" i="10"/>
  <c r="HN64" i="10"/>
  <c r="HL64" i="10"/>
  <c r="HI64" i="10"/>
  <c r="HH64" i="10"/>
  <c r="HG64" i="10"/>
  <c r="HC64" i="10"/>
  <c r="HB64" i="10"/>
  <c r="GZ64" i="10"/>
  <c r="GY64" i="10"/>
  <c r="GX64" i="10"/>
  <c r="GL64" i="10"/>
  <c r="FG64" i="10"/>
  <c r="FF64" i="10"/>
  <c r="FE64" i="10"/>
  <c r="FC64" i="10"/>
  <c r="EZ64" i="10"/>
  <c r="EY64" i="10"/>
  <c r="EX64" i="10"/>
  <c r="ET64" i="10"/>
  <c r="ES64" i="10"/>
  <c r="EQ64" i="10"/>
  <c r="EP64" i="10"/>
  <c r="EO64" i="10"/>
  <c r="EC64" i="10"/>
  <c r="CX64" i="10"/>
  <c r="CW64" i="10"/>
  <c r="CV64" i="10"/>
  <c r="CT64" i="10"/>
  <c r="CQ64" i="10"/>
  <c r="CP64" i="10"/>
  <c r="CO64" i="10"/>
  <c r="CK64" i="10"/>
  <c r="CJ64" i="10"/>
  <c r="CH64" i="10"/>
  <c r="CG64" i="10"/>
  <c r="CF64" i="10"/>
  <c r="BT64" i="10"/>
  <c r="BM64" i="10"/>
  <c r="GE64" i="10" s="1"/>
  <c r="AO64" i="10"/>
  <c r="AN64" i="10"/>
  <c r="AM64" i="10"/>
  <c r="AL64" i="10"/>
  <c r="AK64" i="10"/>
  <c r="AH64" i="10"/>
  <c r="AG64" i="10"/>
  <c r="AF64" i="10"/>
  <c r="AB64" i="10"/>
  <c r="AA64" i="10"/>
  <c r="Y64" i="10"/>
  <c r="X64" i="10"/>
  <c r="W64" i="10"/>
  <c r="V64" i="10"/>
  <c r="A64" i="10"/>
  <c r="B64" i="10" s="1"/>
  <c r="IU63" i="10"/>
  <c r="HP63" i="10"/>
  <c r="HO63" i="10"/>
  <c r="HN63" i="10"/>
  <c r="HL63" i="10"/>
  <c r="HI63" i="10"/>
  <c r="HH63" i="10"/>
  <c r="HG63" i="10"/>
  <c r="HC63" i="10"/>
  <c r="HB63" i="10"/>
  <c r="GZ63" i="10"/>
  <c r="GY63" i="10"/>
  <c r="GX63" i="10"/>
  <c r="GL63" i="10"/>
  <c r="FG63" i="10"/>
  <c r="FF63" i="10"/>
  <c r="FE63" i="10"/>
  <c r="FC63" i="10"/>
  <c r="EZ63" i="10"/>
  <c r="EY63" i="10"/>
  <c r="EX63" i="10"/>
  <c r="ET63" i="10"/>
  <c r="ES63" i="10"/>
  <c r="EQ63" i="10"/>
  <c r="EP63" i="10"/>
  <c r="EO63" i="10"/>
  <c r="EC63" i="10"/>
  <c r="CX63" i="10"/>
  <c r="CW63" i="10"/>
  <c r="CV63" i="10"/>
  <c r="CT63" i="10"/>
  <c r="CQ63" i="10"/>
  <c r="CP63" i="10"/>
  <c r="CO63" i="10"/>
  <c r="CK63" i="10"/>
  <c r="CJ63" i="10"/>
  <c r="CH63" i="10"/>
  <c r="CG63" i="10"/>
  <c r="CF63" i="10"/>
  <c r="BT63" i="10"/>
  <c r="BM63" i="10"/>
  <c r="GE63" i="10" s="1"/>
  <c r="AO63" i="10"/>
  <c r="AN63" i="10"/>
  <c r="AM63" i="10"/>
  <c r="AL63" i="10"/>
  <c r="AK63" i="10"/>
  <c r="AH63" i="10"/>
  <c r="AG63" i="10"/>
  <c r="AF63" i="10"/>
  <c r="AB63" i="10"/>
  <c r="AA63" i="10"/>
  <c r="Y63" i="10"/>
  <c r="X63" i="10"/>
  <c r="W63" i="10"/>
  <c r="V63" i="10"/>
  <c r="A63" i="10"/>
  <c r="B63" i="10" s="1"/>
  <c r="IU62" i="10"/>
  <c r="HP62" i="10"/>
  <c r="HO62" i="10"/>
  <c r="HN62" i="10"/>
  <c r="HL62" i="10"/>
  <c r="HI62" i="10"/>
  <c r="HH62" i="10"/>
  <c r="HG62" i="10"/>
  <c r="HC62" i="10"/>
  <c r="HB62" i="10"/>
  <c r="GZ62" i="10"/>
  <c r="GY62" i="10"/>
  <c r="GX62" i="10"/>
  <c r="GL62" i="10"/>
  <c r="FG62" i="10"/>
  <c r="FF62" i="10"/>
  <c r="FE62" i="10"/>
  <c r="FC62" i="10"/>
  <c r="EZ62" i="10"/>
  <c r="EY62" i="10"/>
  <c r="EX62" i="10"/>
  <c r="ET62" i="10"/>
  <c r="ES62" i="10"/>
  <c r="EQ62" i="10"/>
  <c r="EP62" i="10"/>
  <c r="EO62" i="10"/>
  <c r="EC62" i="10"/>
  <c r="CX62" i="10"/>
  <c r="CW62" i="10"/>
  <c r="CV62" i="10"/>
  <c r="CT62" i="10"/>
  <c r="CQ62" i="10"/>
  <c r="CP62" i="10"/>
  <c r="CO62" i="10"/>
  <c r="CK62" i="10"/>
  <c r="CJ62" i="10"/>
  <c r="CH62" i="10"/>
  <c r="CG62" i="10"/>
  <c r="CF62" i="10"/>
  <c r="BT62" i="10"/>
  <c r="BM62" i="10"/>
  <c r="GE62" i="10" s="1"/>
  <c r="AO62" i="10"/>
  <c r="AN62" i="10"/>
  <c r="AM62" i="10"/>
  <c r="AL62" i="10"/>
  <c r="AK62" i="10"/>
  <c r="AH62" i="10"/>
  <c r="AG62" i="10"/>
  <c r="AF62" i="10"/>
  <c r="AB62" i="10"/>
  <c r="AA62" i="10"/>
  <c r="Y62" i="10"/>
  <c r="X62" i="10"/>
  <c r="W62" i="10"/>
  <c r="V62" i="10"/>
  <c r="A62" i="10"/>
  <c r="B62" i="10" s="1"/>
  <c r="IU61" i="10"/>
  <c r="HP61" i="10"/>
  <c r="HO61" i="10"/>
  <c r="HN61" i="10"/>
  <c r="HL61" i="10"/>
  <c r="HI61" i="10"/>
  <c r="HH61" i="10"/>
  <c r="HG61" i="10"/>
  <c r="HC61" i="10"/>
  <c r="HB61" i="10"/>
  <c r="GZ61" i="10"/>
  <c r="GY61" i="10"/>
  <c r="GX61" i="10"/>
  <c r="GL61" i="10"/>
  <c r="FG61" i="10"/>
  <c r="FF61" i="10"/>
  <c r="FE61" i="10"/>
  <c r="FC61" i="10"/>
  <c r="EZ61" i="10"/>
  <c r="EY61" i="10"/>
  <c r="EX61" i="10"/>
  <c r="ET61" i="10"/>
  <c r="ES61" i="10"/>
  <c r="EQ61" i="10"/>
  <c r="EP61" i="10"/>
  <c r="EO61" i="10"/>
  <c r="EC61" i="10"/>
  <c r="CX61" i="10"/>
  <c r="CW61" i="10"/>
  <c r="CV61" i="10"/>
  <c r="CT61" i="10"/>
  <c r="CQ61" i="10"/>
  <c r="CP61" i="10"/>
  <c r="CO61" i="10"/>
  <c r="CK61" i="10"/>
  <c r="CJ61" i="10"/>
  <c r="CH61" i="10"/>
  <c r="CG61" i="10"/>
  <c r="CF61" i="10"/>
  <c r="BT61" i="10"/>
  <c r="BM61" i="10"/>
  <c r="GE61" i="10" s="1"/>
  <c r="AO61" i="10"/>
  <c r="AN61" i="10"/>
  <c r="AM61" i="10"/>
  <c r="AL61" i="10"/>
  <c r="AK61" i="10"/>
  <c r="AH61" i="10"/>
  <c r="AG61" i="10"/>
  <c r="AF61" i="10"/>
  <c r="AB61" i="10"/>
  <c r="AA61" i="10"/>
  <c r="Y61" i="10"/>
  <c r="X61" i="10"/>
  <c r="W61" i="10"/>
  <c r="V61" i="10"/>
  <c r="A61" i="10"/>
  <c r="B61" i="10" s="1"/>
  <c r="IU60" i="10"/>
  <c r="HP60" i="10"/>
  <c r="HO60" i="10"/>
  <c r="HN60" i="10"/>
  <c r="HL60" i="10"/>
  <c r="HI60" i="10"/>
  <c r="HH60" i="10"/>
  <c r="HG60" i="10"/>
  <c r="HC60" i="10"/>
  <c r="HB60" i="10"/>
  <c r="GZ60" i="10"/>
  <c r="GY60" i="10"/>
  <c r="GX60" i="10"/>
  <c r="GL60" i="10"/>
  <c r="FG60" i="10"/>
  <c r="FF60" i="10"/>
  <c r="FE60" i="10"/>
  <c r="FC60" i="10"/>
  <c r="EZ60" i="10"/>
  <c r="EY60" i="10"/>
  <c r="EX60" i="10"/>
  <c r="ET60" i="10"/>
  <c r="ES60" i="10"/>
  <c r="EQ60" i="10"/>
  <c r="EP60" i="10"/>
  <c r="EO60" i="10"/>
  <c r="EC60" i="10"/>
  <c r="CX60" i="10"/>
  <c r="CW60" i="10"/>
  <c r="CV60" i="10"/>
  <c r="CT60" i="10"/>
  <c r="CQ60" i="10"/>
  <c r="CP60" i="10"/>
  <c r="CO60" i="10"/>
  <c r="CK60" i="10"/>
  <c r="CJ60" i="10"/>
  <c r="CH60" i="10"/>
  <c r="CG60" i="10"/>
  <c r="CF60" i="10"/>
  <c r="BT60" i="10"/>
  <c r="BM60" i="10"/>
  <c r="GE60" i="10" s="1"/>
  <c r="AO60" i="10"/>
  <c r="AN60" i="10"/>
  <c r="AM60" i="10"/>
  <c r="AL60" i="10"/>
  <c r="AK60" i="10"/>
  <c r="AH60" i="10"/>
  <c r="AG60" i="10"/>
  <c r="AF60" i="10"/>
  <c r="AB60" i="10"/>
  <c r="AA60" i="10"/>
  <c r="Y60" i="10"/>
  <c r="X60" i="10"/>
  <c r="W60" i="10"/>
  <c r="V60" i="10"/>
  <c r="A60" i="10"/>
  <c r="B60" i="10" s="1"/>
  <c r="IU59" i="10"/>
  <c r="HP59" i="10"/>
  <c r="HO59" i="10"/>
  <c r="HN59" i="10"/>
  <c r="HL59" i="10"/>
  <c r="HI59" i="10"/>
  <c r="HH59" i="10"/>
  <c r="HG59" i="10"/>
  <c r="HC59" i="10"/>
  <c r="HB59" i="10"/>
  <c r="GZ59" i="10"/>
  <c r="GY59" i="10"/>
  <c r="GX59" i="10"/>
  <c r="GL59" i="10"/>
  <c r="FG59" i="10"/>
  <c r="FF59" i="10"/>
  <c r="FE59" i="10"/>
  <c r="FC59" i="10"/>
  <c r="EZ59" i="10"/>
  <c r="EY59" i="10"/>
  <c r="EX59" i="10"/>
  <c r="ET59" i="10"/>
  <c r="ES59" i="10"/>
  <c r="EQ59" i="10"/>
  <c r="EP59" i="10"/>
  <c r="EO59" i="10"/>
  <c r="EC59" i="10"/>
  <c r="CX59" i="10"/>
  <c r="CW59" i="10"/>
  <c r="CV59" i="10"/>
  <c r="CT59" i="10"/>
  <c r="CQ59" i="10"/>
  <c r="CP59" i="10"/>
  <c r="CO59" i="10"/>
  <c r="CK59" i="10"/>
  <c r="CJ59" i="10"/>
  <c r="CH59" i="10"/>
  <c r="CG59" i="10"/>
  <c r="CF59" i="10"/>
  <c r="BT59" i="10"/>
  <c r="BM59" i="10"/>
  <c r="GE59" i="10" s="1"/>
  <c r="AO59" i="10"/>
  <c r="AN59" i="10"/>
  <c r="AM59" i="10"/>
  <c r="AL59" i="10"/>
  <c r="AK59" i="10"/>
  <c r="AH59" i="10"/>
  <c r="AG59" i="10"/>
  <c r="AF59" i="10"/>
  <c r="AB59" i="10"/>
  <c r="AA59" i="10"/>
  <c r="Y59" i="10"/>
  <c r="X59" i="10"/>
  <c r="W59" i="10"/>
  <c r="V59" i="10"/>
  <c r="B59" i="10"/>
  <c r="A59" i="10"/>
  <c r="IU58" i="10"/>
  <c r="HP58" i="10"/>
  <c r="HO58" i="10"/>
  <c r="HN58" i="10"/>
  <c r="HL58" i="10"/>
  <c r="HI58" i="10"/>
  <c r="HH58" i="10"/>
  <c r="HG58" i="10"/>
  <c r="HC58" i="10"/>
  <c r="HB58" i="10"/>
  <c r="GZ58" i="10"/>
  <c r="GY58" i="10"/>
  <c r="GX58" i="10"/>
  <c r="GL58" i="10"/>
  <c r="FG58" i="10"/>
  <c r="FF58" i="10"/>
  <c r="FE58" i="10"/>
  <c r="FC58" i="10"/>
  <c r="EZ58" i="10"/>
  <c r="EY58" i="10"/>
  <c r="EX58" i="10"/>
  <c r="ET58" i="10"/>
  <c r="ES58" i="10"/>
  <c r="EQ58" i="10"/>
  <c r="EP58" i="10"/>
  <c r="EO58" i="10"/>
  <c r="EC58" i="10"/>
  <c r="CX58" i="10"/>
  <c r="CW58" i="10"/>
  <c r="CV58" i="10"/>
  <c r="CT58" i="10"/>
  <c r="CQ58" i="10"/>
  <c r="CP58" i="10"/>
  <c r="CO58" i="10"/>
  <c r="CK58" i="10"/>
  <c r="CJ58" i="10"/>
  <c r="CH58" i="10"/>
  <c r="CG58" i="10"/>
  <c r="CF58" i="10"/>
  <c r="BT58" i="10"/>
  <c r="BM58" i="10"/>
  <c r="AO58" i="10"/>
  <c r="AN58" i="10"/>
  <c r="AM58" i="10"/>
  <c r="AL58" i="10"/>
  <c r="AK58" i="10"/>
  <c r="AH58" i="10"/>
  <c r="AG58" i="10"/>
  <c r="AF58" i="10"/>
  <c r="AB58" i="10"/>
  <c r="AA58" i="10"/>
  <c r="Y58" i="10"/>
  <c r="X58" i="10"/>
  <c r="W58" i="10"/>
  <c r="V58" i="10"/>
  <c r="A58" i="10"/>
  <c r="B58" i="10" s="1"/>
  <c r="IU57" i="10"/>
  <c r="HP57" i="10"/>
  <c r="HO57" i="10"/>
  <c r="HN57" i="10"/>
  <c r="HL57" i="10"/>
  <c r="HI57" i="10"/>
  <c r="HH57" i="10"/>
  <c r="HG57" i="10"/>
  <c r="HC57" i="10"/>
  <c r="HB57" i="10"/>
  <c r="GZ57" i="10"/>
  <c r="GY57" i="10"/>
  <c r="GX57" i="10"/>
  <c r="GL57" i="10"/>
  <c r="FG57" i="10"/>
  <c r="FF57" i="10"/>
  <c r="FE57" i="10"/>
  <c r="FC57" i="10"/>
  <c r="EZ57" i="10"/>
  <c r="EY57" i="10"/>
  <c r="EX57" i="10"/>
  <c r="ET57" i="10"/>
  <c r="ES57" i="10"/>
  <c r="EQ57" i="10"/>
  <c r="EP57" i="10"/>
  <c r="EO57" i="10"/>
  <c r="EC57" i="10"/>
  <c r="CX57" i="10"/>
  <c r="CW57" i="10"/>
  <c r="CV57" i="10"/>
  <c r="CT57" i="10"/>
  <c r="CQ57" i="10"/>
  <c r="CP57" i="10"/>
  <c r="CO57" i="10"/>
  <c r="CK57" i="10"/>
  <c r="CJ57" i="10"/>
  <c r="CH57" i="10"/>
  <c r="CG57" i="10"/>
  <c r="CF57" i="10"/>
  <c r="BT57" i="10"/>
  <c r="BM57" i="10"/>
  <c r="GE57" i="10" s="1"/>
  <c r="AO57" i="10"/>
  <c r="AN57" i="10"/>
  <c r="AM57" i="10"/>
  <c r="AL57" i="10"/>
  <c r="AK57" i="10"/>
  <c r="AH57" i="10"/>
  <c r="AG57" i="10"/>
  <c r="AF57" i="10"/>
  <c r="AB57" i="10"/>
  <c r="AA57" i="10"/>
  <c r="Y57" i="10"/>
  <c r="X57" i="10"/>
  <c r="W57" i="10"/>
  <c r="V57" i="10"/>
  <c r="A57" i="10"/>
  <c r="B57" i="10" s="1"/>
  <c r="IU56" i="10"/>
  <c r="HP56" i="10"/>
  <c r="HO56" i="10"/>
  <c r="HN56" i="10"/>
  <c r="HL56" i="10"/>
  <c r="HI56" i="10"/>
  <c r="HH56" i="10"/>
  <c r="HG56" i="10"/>
  <c r="HC56" i="10"/>
  <c r="HB56" i="10"/>
  <c r="GZ56" i="10"/>
  <c r="GY56" i="10"/>
  <c r="GX56" i="10"/>
  <c r="GL56" i="10"/>
  <c r="FG56" i="10"/>
  <c r="FF56" i="10"/>
  <c r="FE56" i="10"/>
  <c r="FC56" i="10"/>
  <c r="EZ56" i="10"/>
  <c r="EY56" i="10"/>
  <c r="EX56" i="10"/>
  <c r="ET56" i="10"/>
  <c r="ES56" i="10"/>
  <c r="EQ56" i="10"/>
  <c r="EP56" i="10"/>
  <c r="EO56" i="10"/>
  <c r="EC56" i="10"/>
  <c r="CX56" i="10"/>
  <c r="CW56" i="10"/>
  <c r="CV56" i="10"/>
  <c r="CT56" i="10"/>
  <c r="CQ56" i="10"/>
  <c r="CP56" i="10"/>
  <c r="CO56" i="10"/>
  <c r="CK56" i="10"/>
  <c r="CJ56" i="10"/>
  <c r="CH56" i="10"/>
  <c r="CG56" i="10"/>
  <c r="CF56" i="10"/>
  <c r="BT56" i="10"/>
  <c r="BM56" i="10"/>
  <c r="GE56" i="10" s="1"/>
  <c r="AO56" i="10"/>
  <c r="AN56" i="10"/>
  <c r="AM56" i="10"/>
  <c r="AL56" i="10"/>
  <c r="AK56" i="10"/>
  <c r="AH56" i="10"/>
  <c r="AG56" i="10"/>
  <c r="AF56" i="10"/>
  <c r="AB56" i="10"/>
  <c r="AA56" i="10"/>
  <c r="Y56" i="10"/>
  <c r="X56" i="10"/>
  <c r="W56" i="10"/>
  <c r="V56" i="10"/>
  <c r="A56" i="10"/>
  <c r="B56" i="10" s="1"/>
  <c r="IU55" i="10"/>
  <c r="HP55" i="10"/>
  <c r="HO55" i="10"/>
  <c r="HN55" i="10"/>
  <c r="HL55" i="10"/>
  <c r="HI55" i="10"/>
  <c r="HH55" i="10"/>
  <c r="HG55" i="10"/>
  <c r="HC55" i="10"/>
  <c r="HB55" i="10"/>
  <c r="GZ55" i="10"/>
  <c r="GY55" i="10"/>
  <c r="GX55" i="10"/>
  <c r="GL55" i="10"/>
  <c r="FG55" i="10"/>
  <c r="FF55" i="10"/>
  <c r="FE55" i="10"/>
  <c r="FC55" i="10"/>
  <c r="EZ55" i="10"/>
  <c r="EY55" i="10"/>
  <c r="EX55" i="10"/>
  <c r="ET55" i="10"/>
  <c r="ES55" i="10"/>
  <c r="EQ55" i="10"/>
  <c r="EP55" i="10"/>
  <c r="EO55" i="10"/>
  <c r="EC55" i="10"/>
  <c r="CX55" i="10"/>
  <c r="CW55" i="10"/>
  <c r="CV55" i="10"/>
  <c r="CT55" i="10"/>
  <c r="CQ55" i="10"/>
  <c r="CP55" i="10"/>
  <c r="CO55" i="10"/>
  <c r="CK55" i="10"/>
  <c r="CJ55" i="10"/>
  <c r="CH55" i="10"/>
  <c r="CG55" i="10"/>
  <c r="CF55" i="10"/>
  <c r="BT55" i="10"/>
  <c r="BM55" i="10"/>
  <c r="GE55" i="10" s="1"/>
  <c r="AO55" i="10"/>
  <c r="AN55" i="10"/>
  <c r="AM55" i="10"/>
  <c r="AL55" i="10"/>
  <c r="AK55" i="10"/>
  <c r="AH55" i="10"/>
  <c r="AG55" i="10"/>
  <c r="AF55" i="10"/>
  <c r="AB55" i="10"/>
  <c r="AA55" i="10"/>
  <c r="Y55" i="10"/>
  <c r="X55" i="10"/>
  <c r="W55" i="10"/>
  <c r="V55" i="10"/>
  <c r="A55" i="10"/>
  <c r="B55" i="10" s="1"/>
  <c r="IU54" i="10"/>
  <c r="HP54" i="10"/>
  <c r="HO54" i="10"/>
  <c r="HN54" i="10"/>
  <c r="HL54" i="10"/>
  <c r="HI54" i="10"/>
  <c r="HH54" i="10"/>
  <c r="HG54" i="10"/>
  <c r="HC54" i="10"/>
  <c r="HB54" i="10"/>
  <c r="GZ54" i="10"/>
  <c r="GY54" i="10"/>
  <c r="GX54" i="10"/>
  <c r="GL54" i="10"/>
  <c r="FG54" i="10"/>
  <c r="FF54" i="10"/>
  <c r="FE54" i="10"/>
  <c r="FC54" i="10"/>
  <c r="EZ54" i="10"/>
  <c r="EY54" i="10"/>
  <c r="EX54" i="10"/>
  <c r="ET54" i="10"/>
  <c r="ES54" i="10"/>
  <c r="EQ54" i="10"/>
  <c r="EP54" i="10"/>
  <c r="EO54" i="10"/>
  <c r="EC54" i="10"/>
  <c r="CX54" i="10"/>
  <c r="CW54" i="10"/>
  <c r="CV54" i="10"/>
  <c r="CT54" i="10"/>
  <c r="CQ54" i="10"/>
  <c r="CP54" i="10"/>
  <c r="CO54" i="10"/>
  <c r="CK54" i="10"/>
  <c r="CJ54" i="10"/>
  <c r="CH54" i="10"/>
  <c r="CG54" i="10"/>
  <c r="CF54" i="10"/>
  <c r="BT54" i="10"/>
  <c r="BM54" i="10"/>
  <c r="GE54" i="10" s="1"/>
  <c r="AO54" i="10"/>
  <c r="AN54" i="10"/>
  <c r="AM54" i="10"/>
  <c r="AL54" i="10"/>
  <c r="AK54" i="10"/>
  <c r="AH54" i="10"/>
  <c r="AG54" i="10"/>
  <c r="AF54" i="10"/>
  <c r="AB54" i="10"/>
  <c r="AA54" i="10"/>
  <c r="Y54" i="10"/>
  <c r="X54" i="10"/>
  <c r="W54" i="10"/>
  <c r="V54" i="10"/>
  <c r="A54" i="10"/>
  <c r="B54" i="10" s="1"/>
  <c r="IU53" i="10"/>
  <c r="HP53" i="10"/>
  <c r="HO53" i="10"/>
  <c r="HN53" i="10"/>
  <c r="HL53" i="10"/>
  <c r="HI53" i="10"/>
  <c r="HH53" i="10"/>
  <c r="HG53" i="10"/>
  <c r="HC53" i="10"/>
  <c r="HB53" i="10"/>
  <c r="GZ53" i="10"/>
  <c r="GY53" i="10"/>
  <c r="GX53" i="10"/>
  <c r="GL53" i="10"/>
  <c r="FG53" i="10"/>
  <c r="FF53" i="10"/>
  <c r="FE53" i="10"/>
  <c r="FC53" i="10"/>
  <c r="EZ53" i="10"/>
  <c r="EY53" i="10"/>
  <c r="EX53" i="10"/>
  <c r="ET53" i="10"/>
  <c r="ES53" i="10"/>
  <c r="EQ53" i="10"/>
  <c r="EP53" i="10"/>
  <c r="EO53" i="10"/>
  <c r="EC53" i="10"/>
  <c r="CX53" i="10"/>
  <c r="CW53" i="10"/>
  <c r="CV53" i="10"/>
  <c r="CT53" i="10"/>
  <c r="CQ53" i="10"/>
  <c r="CP53" i="10"/>
  <c r="CO53" i="10"/>
  <c r="CK53" i="10"/>
  <c r="CJ53" i="10"/>
  <c r="CH53" i="10"/>
  <c r="CG53" i="10"/>
  <c r="CF53" i="10"/>
  <c r="BT53" i="10"/>
  <c r="BM53" i="10"/>
  <c r="AO53" i="10"/>
  <c r="AN53" i="10"/>
  <c r="AM53" i="10"/>
  <c r="AL53" i="10"/>
  <c r="AK53" i="10"/>
  <c r="AH53" i="10"/>
  <c r="AG53" i="10"/>
  <c r="AF53" i="10"/>
  <c r="AB53" i="10"/>
  <c r="AA53" i="10"/>
  <c r="Y53" i="10"/>
  <c r="X53" i="10"/>
  <c r="W53" i="10"/>
  <c r="V53" i="10"/>
  <c r="A53" i="10"/>
  <c r="B53" i="10" s="1"/>
  <c r="IU52" i="10"/>
  <c r="HP52" i="10"/>
  <c r="HO52" i="10"/>
  <c r="HN52" i="10"/>
  <c r="HL52" i="10"/>
  <c r="HI52" i="10"/>
  <c r="HH52" i="10"/>
  <c r="HG52" i="10"/>
  <c r="HC52" i="10"/>
  <c r="HB52" i="10"/>
  <c r="GZ52" i="10"/>
  <c r="GY52" i="10"/>
  <c r="GX52" i="10"/>
  <c r="GL52" i="10"/>
  <c r="FG52" i="10"/>
  <c r="FF52" i="10"/>
  <c r="FE52" i="10"/>
  <c r="FC52" i="10"/>
  <c r="EZ52" i="10"/>
  <c r="EY52" i="10"/>
  <c r="EX52" i="10"/>
  <c r="ET52" i="10"/>
  <c r="ES52" i="10"/>
  <c r="EQ52" i="10"/>
  <c r="EP52" i="10"/>
  <c r="EO52" i="10"/>
  <c r="EC52" i="10"/>
  <c r="CX52" i="10"/>
  <c r="CW52" i="10"/>
  <c r="CV52" i="10"/>
  <c r="CT52" i="10"/>
  <c r="CQ52" i="10"/>
  <c r="CP52" i="10"/>
  <c r="CO52" i="10"/>
  <c r="CK52" i="10"/>
  <c r="CJ52" i="10"/>
  <c r="CH52" i="10"/>
  <c r="CG52" i="10"/>
  <c r="CF52" i="10"/>
  <c r="BT52" i="10"/>
  <c r="BM52" i="10"/>
  <c r="GE52" i="10" s="1"/>
  <c r="AO52" i="10"/>
  <c r="AN52" i="10"/>
  <c r="AM52" i="10"/>
  <c r="AL52" i="10"/>
  <c r="AK52" i="10"/>
  <c r="AH52" i="10"/>
  <c r="AG52" i="10"/>
  <c r="AF52" i="10"/>
  <c r="AB52" i="10"/>
  <c r="AA52" i="10"/>
  <c r="Y52" i="10"/>
  <c r="X52" i="10"/>
  <c r="W52" i="10"/>
  <c r="V52" i="10"/>
  <c r="B52" i="10"/>
  <c r="A52" i="10"/>
  <c r="IU51" i="10"/>
  <c r="HP51" i="10"/>
  <c r="HO51" i="10"/>
  <c r="HN51" i="10"/>
  <c r="HL51" i="10"/>
  <c r="HI51" i="10"/>
  <c r="HH51" i="10"/>
  <c r="HG51" i="10"/>
  <c r="HC51" i="10"/>
  <c r="HB51" i="10"/>
  <c r="GZ51" i="10"/>
  <c r="GY51" i="10"/>
  <c r="GX51" i="10"/>
  <c r="GL51" i="10"/>
  <c r="FG51" i="10"/>
  <c r="FF51" i="10"/>
  <c r="FE51" i="10"/>
  <c r="FC51" i="10"/>
  <c r="EZ51" i="10"/>
  <c r="EY51" i="10"/>
  <c r="EX51" i="10"/>
  <c r="ET51" i="10"/>
  <c r="ES51" i="10"/>
  <c r="EQ51" i="10"/>
  <c r="EP51" i="10"/>
  <c r="EO51" i="10"/>
  <c r="EC51" i="10"/>
  <c r="CX51" i="10"/>
  <c r="CW51" i="10"/>
  <c r="CV51" i="10"/>
  <c r="CT51" i="10"/>
  <c r="CQ51" i="10"/>
  <c r="CP51" i="10"/>
  <c r="CO51" i="10"/>
  <c r="CK51" i="10"/>
  <c r="CJ51" i="10"/>
  <c r="CH51" i="10"/>
  <c r="CG51" i="10"/>
  <c r="CF51" i="10"/>
  <c r="BT51" i="10"/>
  <c r="BM51" i="10"/>
  <c r="GE51" i="10" s="1"/>
  <c r="AO51" i="10"/>
  <c r="AN51" i="10"/>
  <c r="AM51" i="10"/>
  <c r="AL51" i="10"/>
  <c r="AK51" i="10"/>
  <c r="AH51" i="10"/>
  <c r="AG51" i="10"/>
  <c r="AF51" i="10"/>
  <c r="AB51" i="10"/>
  <c r="AA51" i="10"/>
  <c r="Y51" i="10"/>
  <c r="X51" i="10"/>
  <c r="W51" i="10"/>
  <c r="V51" i="10"/>
  <c r="A51" i="10"/>
  <c r="B51" i="10" s="1"/>
  <c r="IU50" i="10"/>
  <c r="HP50" i="10"/>
  <c r="HO50" i="10"/>
  <c r="HN50" i="10"/>
  <c r="HL50" i="10"/>
  <c r="HI50" i="10"/>
  <c r="HH50" i="10"/>
  <c r="HG50" i="10"/>
  <c r="HC50" i="10"/>
  <c r="HB50" i="10"/>
  <c r="GZ50" i="10"/>
  <c r="GY50" i="10"/>
  <c r="GX50" i="10"/>
  <c r="GL50" i="10"/>
  <c r="FG50" i="10"/>
  <c r="FF50" i="10"/>
  <c r="FE50" i="10"/>
  <c r="FC50" i="10"/>
  <c r="EZ50" i="10"/>
  <c r="EY50" i="10"/>
  <c r="EX50" i="10"/>
  <c r="ET50" i="10"/>
  <c r="ES50" i="10"/>
  <c r="EQ50" i="10"/>
  <c r="EP50" i="10"/>
  <c r="EO50" i="10"/>
  <c r="EC50" i="10"/>
  <c r="CX50" i="10"/>
  <c r="CW50" i="10"/>
  <c r="CV50" i="10"/>
  <c r="CT50" i="10"/>
  <c r="CQ50" i="10"/>
  <c r="CP50" i="10"/>
  <c r="CO50" i="10"/>
  <c r="CK50" i="10"/>
  <c r="CJ50" i="10"/>
  <c r="CH50" i="10"/>
  <c r="CG50" i="10"/>
  <c r="CF50" i="10"/>
  <c r="BT50" i="10"/>
  <c r="BM50" i="10"/>
  <c r="GE50" i="10" s="1"/>
  <c r="AO50" i="10"/>
  <c r="AN50" i="10"/>
  <c r="AM50" i="10"/>
  <c r="AL50" i="10"/>
  <c r="AK50" i="10"/>
  <c r="AH50" i="10"/>
  <c r="AG50" i="10"/>
  <c r="AF50" i="10"/>
  <c r="AB50" i="10"/>
  <c r="AA50" i="10"/>
  <c r="Y50" i="10"/>
  <c r="X50" i="10"/>
  <c r="W50" i="10"/>
  <c r="V50" i="10"/>
  <c r="A50" i="10"/>
  <c r="B50" i="10" s="1"/>
  <c r="IU49" i="10"/>
  <c r="HP49" i="10"/>
  <c r="HO49" i="10"/>
  <c r="HN49" i="10"/>
  <c r="HL49" i="10"/>
  <c r="HI49" i="10"/>
  <c r="HH49" i="10"/>
  <c r="HG49" i="10"/>
  <c r="HC49" i="10"/>
  <c r="HB49" i="10"/>
  <c r="GZ49" i="10"/>
  <c r="GY49" i="10"/>
  <c r="GX49" i="10"/>
  <c r="GL49" i="10"/>
  <c r="FG49" i="10"/>
  <c r="FF49" i="10"/>
  <c r="FE49" i="10"/>
  <c r="FC49" i="10"/>
  <c r="EZ49" i="10"/>
  <c r="EY49" i="10"/>
  <c r="EX49" i="10"/>
  <c r="ET49" i="10"/>
  <c r="ES49" i="10"/>
  <c r="EQ49" i="10"/>
  <c r="EP49" i="10"/>
  <c r="EO49" i="10"/>
  <c r="EC49" i="10"/>
  <c r="CX49" i="10"/>
  <c r="CW49" i="10"/>
  <c r="CV49" i="10"/>
  <c r="CT49" i="10"/>
  <c r="CQ49" i="10"/>
  <c r="CP49" i="10"/>
  <c r="CO49" i="10"/>
  <c r="CK49" i="10"/>
  <c r="CJ49" i="10"/>
  <c r="CH49" i="10"/>
  <c r="CG49" i="10"/>
  <c r="CF49" i="10"/>
  <c r="BT49" i="10"/>
  <c r="BM49" i="10"/>
  <c r="GE49" i="10" s="1"/>
  <c r="AO49" i="10"/>
  <c r="AN49" i="10"/>
  <c r="AM49" i="10"/>
  <c r="AL49" i="10"/>
  <c r="AK49" i="10"/>
  <c r="AH49" i="10"/>
  <c r="AG49" i="10"/>
  <c r="AF49" i="10"/>
  <c r="AB49" i="10"/>
  <c r="AA49" i="10"/>
  <c r="Y49" i="10"/>
  <c r="X49" i="10"/>
  <c r="W49" i="10"/>
  <c r="V49" i="10"/>
  <c r="A49" i="10"/>
  <c r="B49" i="10" s="1"/>
  <c r="IU48" i="10"/>
  <c r="HP48" i="10"/>
  <c r="HO48" i="10"/>
  <c r="HN48" i="10"/>
  <c r="HL48" i="10"/>
  <c r="HI48" i="10"/>
  <c r="HH48" i="10"/>
  <c r="HG48" i="10"/>
  <c r="HC48" i="10"/>
  <c r="HB48" i="10"/>
  <c r="GZ48" i="10"/>
  <c r="GY48" i="10"/>
  <c r="GX48" i="10"/>
  <c r="GL48" i="10"/>
  <c r="FG48" i="10"/>
  <c r="FF48" i="10"/>
  <c r="FE48" i="10"/>
  <c r="FC48" i="10"/>
  <c r="EZ48" i="10"/>
  <c r="EY48" i="10"/>
  <c r="EX48" i="10"/>
  <c r="ET48" i="10"/>
  <c r="ES48" i="10"/>
  <c r="EQ48" i="10"/>
  <c r="EP48" i="10"/>
  <c r="EO48" i="10"/>
  <c r="EC48" i="10"/>
  <c r="CX48" i="10"/>
  <c r="CW48" i="10"/>
  <c r="CV48" i="10"/>
  <c r="CT48" i="10"/>
  <c r="CQ48" i="10"/>
  <c r="CP48" i="10"/>
  <c r="CO48" i="10"/>
  <c r="CK48" i="10"/>
  <c r="CJ48" i="10"/>
  <c r="CH48" i="10"/>
  <c r="CG48" i="10"/>
  <c r="CF48" i="10"/>
  <c r="BT48" i="10"/>
  <c r="BM48" i="10"/>
  <c r="GE48" i="10" s="1"/>
  <c r="AO48" i="10"/>
  <c r="AN48" i="10"/>
  <c r="AM48" i="10"/>
  <c r="AL48" i="10"/>
  <c r="AK48" i="10"/>
  <c r="AH48" i="10"/>
  <c r="AG48" i="10"/>
  <c r="AF48" i="10"/>
  <c r="AB48" i="10"/>
  <c r="AA48" i="10"/>
  <c r="Y48" i="10"/>
  <c r="X48" i="10"/>
  <c r="W48" i="10"/>
  <c r="V48" i="10"/>
  <c r="A48" i="10"/>
  <c r="B48" i="10" s="1"/>
  <c r="IU47" i="10"/>
  <c r="HP47" i="10"/>
  <c r="HO47" i="10"/>
  <c r="HN47" i="10"/>
  <c r="HL47" i="10"/>
  <c r="HI47" i="10"/>
  <c r="HH47" i="10"/>
  <c r="HG47" i="10"/>
  <c r="HC47" i="10"/>
  <c r="HB47" i="10"/>
  <c r="GZ47" i="10"/>
  <c r="GY47" i="10"/>
  <c r="GX47" i="10"/>
  <c r="GL47" i="10"/>
  <c r="FG47" i="10"/>
  <c r="FF47" i="10"/>
  <c r="FE47" i="10"/>
  <c r="FC47" i="10"/>
  <c r="EZ47" i="10"/>
  <c r="EY47" i="10"/>
  <c r="EX47" i="10"/>
  <c r="ET47" i="10"/>
  <c r="ES47" i="10"/>
  <c r="EQ47" i="10"/>
  <c r="EP47" i="10"/>
  <c r="EO47" i="10"/>
  <c r="EC47" i="10"/>
  <c r="CX47" i="10"/>
  <c r="CW47" i="10"/>
  <c r="CV47" i="10"/>
  <c r="CT47" i="10"/>
  <c r="CQ47" i="10"/>
  <c r="CP47" i="10"/>
  <c r="CO47" i="10"/>
  <c r="CK47" i="10"/>
  <c r="CJ47" i="10"/>
  <c r="CH47" i="10"/>
  <c r="CG47" i="10"/>
  <c r="CF47" i="10"/>
  <c r="BT47" i="10"/>
  <c r="BM47" i="10"/>
  <c r="GE47" i="10" s="1"/>
  <c r="AO47" i="10"/>
  <c r="AN47" i="10"/>
  <c r="AM47" i="10"/>
  <c r="AL47" i="10"/>
  <c r="AK47" i="10"/>
  <c r="AH47" i="10"/>
  <c r="AG47" i="10"/>
  <c r="AF47" i="10"/>
  <c r="AB47" i="10"/>
  <c r="AA47" i="10"/>
  <c r="Y47" i="10"/>
  <c r="X47" i="10"/>
  <c r="W47" i="10"/>
  <c r="V47" i="10"/>
  <c r="A47" i="10"/>
  <c r="B47" i="10" s="1"/>
  <c r="IU46" i="10"/>
  <c r="HP46" i="10"/>
  <c r="HO46" i="10"/>
  <c r="HN46" i="10"/>
  <c r="HL46" i="10"/>
  <c r="HI46" i="10"/>
  <c r="HH46" i="10"/>
  <c r="HG46" i="10"/>
  <c r="HC46" i="10"/>
  <c r="HB46" i="10"/>
  <c r="GZ46" i="10"/>
  <c r="GY46" i="10"/>
  <c r="GX46" i="10"/>
  <c r="GL46" i="10"/>
  <c r="FG46" i="10"/>
  <c r="FF46" i="10"/>
  <c r="FE46" i="10"/>
  <c r="FC46" i="10"/>
  <c r="EZ46" i="10"/>
  <c r="EY46" i="10"/>
  <c r="EX46" i="10"/>
  <c r="ET46" i="10"/>
  <c r="ES46" i="10"/>
  <c r="EQ46" i="10"/>
  <c r="EP46" i="10"/>
  <c r="EO46" i="10"/>
  <c r="EC46" i="10"/>
  <c r="CX46" i="10"/>
  <c r="CW46" i="10"/>
  <c r="CV46" i="10"/>
  <c r="CT46" i="10"/>
  <c r="CQ46" i="10"/>
  <c r="CP46" i="10"/>
  <c r="CO46" i="10"/>
  <c r="CK46" i="10"/>
  <c r="CJ46" i="10"/>
  <c r="CH46" i="10"/>
  <c r="CG46" i="10"/>
  <c r="CF46" i="10"/>
  <c r="BT46" i="10"/>
  <c r="BM46" i="10"/>
  <c r="GE46" i="10" s="1"/>
  <c r="AO46" i="10"/>
  <c r="AN46" i="10"/>
  <c r="AM46" i="10"/>
  <c r="AL46" i="10"/>
  <c r="AK46" i="10"/>
  <c r="AH46" i="10"/>
  <c r="AG46" i="10"/>
  <c r="AF46" i="10"/>
  <c r="AB46" i="10"/>
  <c r="AA46" i="10"/>
  <c r="Y46" i="10"/>
  <c r="X46" i="10"/>
  <c r="W46" i="10"/>
  <c r="V46" i="10"/>
  <c r="A46" i="10"/>
  <c r="B46" i="10" s="1"/>
  <c r="IU45" i="10"/>
  <c r="HP45" i="10"/>
  <c r="HO45" i="10"/>
  <c r="HN45" i="10"/>
  <c r="HL45" i="10"/>
  <c r="HI45" i="10"/>
  <c r="HH45" i="10"/>
  <c r="HG45" i="10"/>
  <c r="HC45" i="10"/>
  <c r="HB45" i="10"/>
  <c r="GZ45" i="10"/>
  <c r="GY45" i="10"/>
  <c r="GX45" i="10"/>
  <c r="GL45" i="10"/>
  <c r="FG45" i="10"/>
  <c r="FF45" i="10"/>
  <c r="FE45" i="10"/>
  <c r="FC45" i="10"/>
  <c r="EZ45" i="10"/>
  <c r="EY45" i="10"/>
  <c r="EX45" i="10"/>
  <c r="ET45" i="10"/>
  <c r="ES45" i="10"/>
  <c r="EQ45" i="10"/>
  <c r="EP45" i="10"/>
  <c r="EO45" i="10"/>
  <c r="EC45" i="10"/>
  <c r="CX45" i="10"/>
  <c r="CW45" i="10"/>
  <c r="CV45" i="10"/>
  <c r="CT45" i="10"/>
  <c r="CQ45" i="10"/>
  <c r="CP45" i="10"/>
  <c r="CO45" i="10"/>
  <c r="CK45" i="10"/>
  <c r="CJ45" i="10"/>
  <c r="CH45" i="10"/>
  <c r="CG45" i="10"/>
  <c r="CF45" i="10"/>
  <c r="BT45" i="10"/>
  <c r="BM45" i="10"/>
  <c r="GE45" i="10" s="1"/>
  <c r="AO45" i="10"/>
  <c r="AN45" i="10"/>
  <c r="AM45" i="10"/>
  <c r="AL45" i="10"/>
  <c r="AK45" i="10"/>
  <c r="AH45" i="10"/>
  <c r="AG45" i="10"/>
  <c r="AF45" i="10"/>
  <c r="AB45" i="10"/>
  <c r="AA45" i="10"/>
  <c r="Y45" i="10"/>
  <c r="X45" i="10"/>
  <c r="W45" i="10"/>
  <c r="V45" i="10"/>
  <c r="A45" i="10"/>
  <c r="B45" i="10" s="1"/>
  <c r="IU44" i="10"/>
  <c r="HP44" i="10"/>
  <c r="HO44" i="10"/>
  <c r="HN44" i="10"/>
  <c r="HL44" i="10"/>
  <c r="HI44" i="10"/>
  <c r="HH44" i="10"/>
  <c r="HG44" i="10"/>
  <c r="HC44" i="10"/>
  <c r="HB44" i="10"/>
  <c r="GZ44" i="10"/>
  <c r="GY44" i="10"/>
  <c r="GX44" i="10"/>
  <c r="GL44" i="10"/>
  <c r="FG44" i="10"/>
  <c r="FF44" i="10"/>
  <c r="FE44" i="10"/>
  <c r="FC44" i="10"/>
  <c r="EZ44" i="10"/>
  <c r="EY44" i="10"/>
  <c r="EX44" i="10"/>
  <c r="ET44" i="10"/>
  <c r="ES44" i="10"/>
  <c r="EQ44" i="10"/>
  <c r="EP44" i="10"/>
  <c r="EO44" i="10"/>
  <c r="EC44" i="10"/>
  <c r="CX44" i="10"/>
  <c r="CW44" i="10"/>
  <c r="CV44" i="10"/>
  <c r="CT44" i="10"/>
  <c r="CQ44" i="10"/>
  <c r="CP44" i="10"/>
  <c r="CO44" i="10"/>
  <c r="CK44" i="10"/>
  <c r="CJ44" i="10"/>
  <c r="CH44" i="10"/>
  <c r="CG44" i="10"/>
  <c r="CF44" i="10"/>
  <c r="BT44" i="10"/>
  <c r="BM44" i="10"/>
  <c r="GE44" i="10" s="1"/>
  <c r="AO44" i="10"/>
  <c r="AN44" i="10"/>
  <c r="AM44" i="10"/>
  <c r="AL44" i="10"/>
  <c r="AK44" i="10"/>
  <c r="AH44" i="10"/>
  <c r="AG44" i="10"/>
  <c r="AF44" i="10"/>
  <c r="AB44" i="10"/>
  <c r="AA44" i="10"/>
  <c r="Y44" i="10"/>
  <c r="X44" i="10"/>
  <c r="W44" i="10"/>
  <c r="V44" i="10"/>
  <c r="A44" i="10"/>
  <c r="B44" i="10" s="1"/>
  <c r="IU43" i="10"/>
  <c r="HP43" i="10"/>
  <c r="HO43" i="10"/>
  <c r="HN43" i="10"/>
  <c r="HL43" i="10"/>
  <c r="HI43" i="10"/>
  <c r="HH43" i="10"/>
  <c r="HG43" i="10"/>
  <c r="HC43" i="10"/>
  <c r="HB43" i="10"/>
  <c r="GZ43" i="10"/>
  <c r="GY43" i="10"/>
  <c r="GX43" i="10"/>
  <c r="GL43" i="10"/>
  <c r="FG43" i="10"/>
  <c r="FF43" i="10"/>
  <c r="FE43" i="10"/>
  <c r="FC43" i="10"/>
  <c r="EZ43" i="10"/>
  <c r="EY43" i="10"/>
  <c r="EX43" i="10"/>
  <c r="ET43" i="10"/>
  <c r="ES43" i="10"/>
  <c r="EQ43" i="10"/>
  <c r="EP43" i="10"/>
  <c r="EO43" i="10"/>
  <c r="EC43" i="10"/>
  <c r="CX43" i="10"/>
  <c r="CW43" i="10"/>
  <c r="CV43" i="10"/>
  <c r="CT43" i="10"/>
  <c r="CQ43" i="10"/>
  <c r="CP43" i="10"/>
  <c r="CO43" i="10"/>
  <c r="CK43" i="10"/>
  <c r="CJ43" i="10"/>
  <c r="CH43" i="10"/>
  <c r="CG43" i="10"/>
  <c r="CF43" i="10"/>
  <c r="BT43" i="10"/>
  <c r="BM43" i="10"/>
  <c r="GE43" i="10" s="1"/>
  <c r="AO43" i="10"/>
  <c r="AN43" i="10"/>
  <c r="AM43" i="10"/>
  <c r="AL43" i="10"/>
  <c r="AK43" i="10"/>
  <c r="AH43" i="10"/>
  <c r="AG43" i="10"/>
  <c r="AF43" i="10"/>
  <c r="AB43" i="10"/>
  <c r="AA43" i="10"/>
  <c r="Y43" i="10"/>
  <c r="X43" i="10"/>
  <c r="W43" i="10"/>
  <c r="V43" i="10"/>
  <c r="A43" i="10"/>
  <c r="B43" i="10" s="1"/>
  <c r="IU42" i="10"/>
  <c r="HP42" i="10"/>
  <c r="HO42" i="10"/>
  <c r="HN42" i="10"/>
  <c r="HL42" i="10"/>
  <c r="HI42" i="10"/>
  <c r="HH42" i="10"/>
  <c r="HG42" i="10"/>
  <c r="HC42" i="10"/>
  <c r="HB42" i="10"/>
  <c r="GZ42" i="10"/>
  <c r="GY42" i="10"/>
  <c r="GX42" i="10"/>
  <c r="GL42" i="10"/>
  <c r="FG42" i="10"/>
  <c r="FF42" i="10"/>
  <c r="FE42" i="10"/>
  <c r="FC42" i="10"/>
  <c r="EZ42" i="10"/>
  <c r="EY42" i="10"/>
  <c r="EX42" i="10"/>
  <c r="ET42" i="10"/>
  <c r="ES42" i="10"/>
  <c r="EQ42" i="10"/>
  <c r="EP42" i="10"/>
  <c r="EO42" i="10"/>
  <c r="EC42" i="10"/>
  <c r="CX42" i="10"/>
  <c r="CW42" i="10"/>
  <c r="CV42" i="10"/>
  <c r="CT42" i="10"/>
  <c r="CQ42" i="10"/>
  <c r="CP42" i="10"/>
  <c r="CO42" i="10"/>
  <c r="CK42" i="10"/>
  <c r="CJ42" i="10"/>
  <c r="CH42" i="10"/>
  <c r="CG42" i="10"/>
  <c r="CF42" i="10"/>
  <c r="BT42" i="10"/>
  <c r="BM42" i="10"/>
  <c r="GE42" i="10" s="1"/>
  <c r="AO42" i="10"/>
  <c r="AN42" i="10"/>
  <c r="AM42" i="10"/>
  <c r="AL42" i="10"/>
  <c r="AK42" i="10"/>
  <c r="AH42" i="10"/>
  <c r="AG42" i="10"/>
  <c r="AF42" i="10"/>
  <c r="AB42" i="10"/>
  <c r="AA42" i="10"/>
  <c r="Y42" i="10"/>
  <c r="X42" i="10"/>
  <c r="W42" i="10"/>
  <c r="V42" i="10"/>
  <c r="A42" i="10"/>
  <c r="B42" i="10" s="1"/>
  <c r="IU41" i="10"/>
  <c r="HP41" i="10"/>
  <c r="HO41" i="10"/>
  <c r="HN41" i="10"/>
  <c r="HL41" i="10"/>
  <c r="HI41" i="10"/>
  <c r="HH41" i="10"/>
  <c r="HG41" i="10"/>
  <c r="HC41" i="10"/>
  <c r="HB41" i="10"/>
  <c r="GZ41" i="10"/>
  <c r="GY41" i="10"/>
  <c r="GX41" i="10"/>
  <c r="GL41" i="10"/>
  <c r="FG41" i="10"/>
  <c r="FF41" i="10"/>
  <c r="FE41" i="10"/>
  <c r="FC41" i="10"/>
  <c r="EZ41" i="10"/>
  <c r="EY41" i="10"/>
  <c r="EX41" i="10"/>
  <c r="ET41" i="10"/>
  <c r="ES41" i="10"/>
  <c r="EQ41" i="10"/>
  <c r="EP41" i="10"/>
  <c r="EO41" i="10"/>
  <c r="EC41" i="10"/>
  <c r="CX41" i="10"/>
  <c r="CW41" i="10"/>
  <c r="CV41" i="10"/>
  <c r="CT41" i="10"/>
  <c r="CQ41" i="10"/>
  <c r="CP41" i="10"/>
  <c r="CO41" i="10"/>
  <c r="CK41" i="10"/>
  <c r="CJ41" i="10"/>
  <c r="CH41" i="10"/>
  <c r="CG41" i="10"/>
  <c r="CF41" i="10"/>
  <c r="BT41" i="10"/>
  <c r="BM41" i="10"/>
  <c r="GE41" i="10" s="1"/>
  <c r="AO41" i="10"/>
  <c r="AN41" i="10"/>
  <c r="AM41" i="10"/>
  <c r="AL41" i="10"/>
  <c r="AK41" i="10"/>
  <c r="AH41" i="10"/>
  <c r="AG41" i="10"/>
  <c r="AF41" i="10"/>
  <c r="AB41" i="10"/>
  <c r="AA41" i="10"/>
  <c r="Y41" i="10"/>
  <c r="X41" i="10"/>
  <c r="W41" i="10"/>
  <c r="V41" i="10"/>
  <c r="A41" i="10"/>
  <c r="B41" i="10" s="1"/>
  <c r="IU40" i="10"/>
  <c r="HP40" i="10"/>
  <c r="HO40" i="10"/>
  <c r="HN40" i="10"/>
  <c r="HL40" i="10"/>
  <c r="HI40" i="10"/>
  <c r="HH40" i="10"/>
  <c r="HG40" i="10"/>
  <c r="HC40" i="10"/>
  <c r="HB40" i="10"/>
  <c r="GZ40" i="10"/>
  <c r="GY40" i="10"/>
  <c r="GX40" i="10"/>
  <c r="GL40" i="10"/>
  <c r="FG40" i="10"/>
  <c r="FF40" i="10"/>
  <c r="FE40" i="10"/>
  <c r="FC40" i="10"/>
  <c r="EZ40" i="10"/>
  <c r="EY40" i="10"/>
  <c r="EX40" i="10"/>
  <c r="ET40" i="10"/>
  <c r="ES40" i="10"/>
  <c r="EQ40" i="10"/>
  <c r="EP40" i="10"/>
  <c r="EO40" i="10"/>
  <c r="EC40" i="10"/>
  <c r="CX40" i="10"/>
  <c r="CW40" i="10"/>
  <c r="CV40" i="10"/>
  <c r="CT40" i="10"/>
  <c r="CQ40" i="10"/>
  <c r="CP40" i="10"/>
  <c r="CO40" i="10"/>
  <c r="CK40" i="10"/>
  <c r="CJ40" i="10"/>
  <c r="CH40" i="10"/>
  <c r="CG40" i="10"/>
  <c r="CF40" i="10"/>
  <c r="BT40" i="10"/>
  <c r="BM40" i="10"/>
  <c r="GE40" i="10" s="1"/>
  <c r="AO40" i="10"/>
  <c r="AN40" i="10"/>
  <c r="AM40" i="10"/>
  <c r="AL40" i="10"/>
  <c r="AK40" i="10"/>
  <c r="AH40" i="10"/>
  <c r="AG40" i="10"/>
  <c r="AF40" i="10"/>
  <c r="AB40" i="10"/>
  <c r="AA40" i="10"/>
  <c r="Y40" i="10"/>
  <c r="X40" i="10"/>
  <c r="W40" i="10"/>
  <c r="V40" i="10"/>
  <c r="A40" i="10"/>
  <c r="B40" i="10" s="1"/>
  <c r="IU39" i="10"/>
  <c r="HP39" i="10"/>
  <c r="HO39" i="10"/>
  <c r="HN39" i="10"/>
  <c r="HL39" i="10"/>
  <c r="HI39" i="10"/>
  <c r="HH39" i="10"/>
  <c r="HG39" i="10"/>
  <c r="HC39" i="10"/>
  <c r="HB39" i="10"/>
  <c r="GZ39" i="10"/>
  <c r="GY39" i="10"/>
  <c r="GX39" i="10"/>
  <c r="GL39" i="10"/>
  <c r="FG39" i="10"/>
  <c r="FF39" i="10"/>
  <c r="FE39" i="10"/>
  <c r="FC39" i="10"/>
  <c r="EZ39" i="10"/>
  <c r="EY39" i="10"/>
  <c r="EX39" i="10"/>
  <c r="ET39" i="10"/>
  <c r="ES39" i="10"/>
  <c r="EQ39" i="10"/>
  <c r="EP39" i="10"/>
  <c r="EO39" i="10"/>
  <c r="EC39" i="10"/>
  <c r="CX39" i="10"/>
  <c r="CW39" i="10"/>
  <c r="CV39" i="10"/>
  <c r="CT39" i="10"/>
  <c r="CQ39" i="10"/>
  <c r="CP39" i="10"/>
  <c r="CO39" i="10"/>
  <c r="CK39" i="10"/>
  <c r="CJ39" i="10"/>
  <c r="CH39" i="10"/>
  <c r="CG39" i="10"/>
  <c r="CF39" i="10"/>
  <c r="BT39" i="10"/>
  <c r="BM39" i="10"/>
  <c r="GE39" i="10" s="1"/>
  <c r="AO39" i="10"/>
  <c r="AN39" i="10"/>
  <c r="AM39" i="10"/>
  <c r="AL39" i="10"/>
  <c r="AK39" i="10"/>
  <c r="AH39" i="10"/>
  <c r="AG39" i="10"/>
  <c r="AF39" i="10"/>
  <c r="AB39" i="10"/>
  <c r="AA39" i="10"/>
  <c r="Y39" i="10"/>
  <c r="X39" i="10"/>
  <c r="W39" i="10"/>
  <c r="V39" i="10"/>
  <c r="B39" i="10"/>
  <c r="A39" i="10"/>
  <c r="IU38" i="10"/>
  <c r="HP38" i="10"/>
  <c r="HO38" i="10"/>
  <c r="HN38" i="10"/>
  <c r="HL38" i="10"/>
  <c r="HI38" i="10"/>
  <c r="HH38" i="10"/>
  <c r="HG38" i="10"/>
  <c r="HC38" i="10"/>
  <c r="HB38" i="10"/>
  <c r="GZ38" i="10"/>
  <c r="GY38" i="10"/>
  <c r="GX38" i="10"/>
  <c r="GL38" i="10"/>
  <c r="FG38" i="10"/>
  <c r="FF38" i="10"/>
  <c r="FE38" i="10"/>
  <c r="FC38" i="10"/>
  <c r="EZ38" i="10"/>
  <c r="EY38" i="10"/>
  <c r="EX38" i="10"/>
  <c r="ET38" i="10"/>
  <c r="ES38" i="10"/>
  <c r="EQ38" i="10"/>
  <c r="EP38" i="10"/>
  <c r="EO38" i="10"/>
  <c r="EC38" i="10"/>
  <c r="CX38" i="10"/>
  <c r="CW38" i="10"/>
  <c r="CV38" i="10"/>
  <c r="CT38" i="10"/>
  <c r="CQ38" i="10"/>
  <c r="CP38" i="10"/>
  <c r="CO38" i="10"/>
  <c r="CK38" i="10"/>
  <c r="CJ38" i="10"/>
  <c r="CH38" i="10"/>
  <c r="CG38" i="10"/>
  <c r="CF38" i="10"/>
  <c r="BT38" i="10"/>
  <c r="BM38" i="10"/>
  <c r="GE38" i="10" s="1"/>
  <c r="AO38" i="10"/>
  <c r="AN38" i="10"/>
  <c r="AM38" i="10"/>
  <c r="AL38" i="10"/>
  <c r="AK38" i="10"/>
  <c r="AH38" i="10"/>
  <c r="AG38" i="10"/>
  <c r="AF38" i="10"/>
  <c r="AB38" i="10"/>
  <c r="AA38" i="10"/>
  <c r="Y38" i="10"/>
  <c r="X38" i="10"/>
  <c r="W38" i="10"/>
  <c r="V38" i="10"/>
  <c r="A38" i="10"/>
  <c r="B38" i="10" s="1"/>
  <c r="IU37" i="10"/>
  <c r="HP37" i="10"/>
  <c r="HO37" i="10"/>
  <c r="HN37" i="10"/>
  <c r="HL37" i="10"/>
  <c r="HI37" i="10"/>
  <c r="HH37" i="10"/>
  <c r="HG37" i="10"/>
  <c r="HC37" i="10"/>
  <c r="HB37" i="10"/>
  <c r="GZ37" i="10"/>
  <c r="GY37" i="10"/>
  <c r="GX37" i="10"/>
  <c r="GL37" i="10"/>
  <c r="FG37" i="10"/>
  <c r="FF37" i="10"/>
  <c r="FE37" i="10"/>
  <c r="FC37" i="10"/>
  <c r="EZ37" i="10"/>
  <c r="EY37" i="10"/>
  <c r="EX37" i="10"/>
  <c r="ET37" i="10"/>
  <c r="ES37" i="10"/>
  <c r="EQ37" i="10"/>
  <c r="EP37" i="10"/>
  <c r="EO37" i="10"/>
  <c r="EC37" i="10"/>
  <c r="CX37" i="10"/>
  <c r="CW37" i="10"/>
  <c r="CV37" i="10"/>
  <c r="CT37" i="10"/>
  <c r="CQ37" i="10"/>
  <c r="CP37" i="10"/>
  <c r="CO37" i="10"/>
  <c r="CK37" i="10"/>
  <c r="CJ37" i="10"/>
  <c r="CH37" i="10"/>
  <c r="CG37" i="10"/>
  <c r="CF37" i="10"/>
  <c r="BT37" i="10"/>
  <c r="BM37" i="10"/>
  <c r="GE37" i="10" s="1"/>
  <c r="AO37" i="10"/>
  <c r="AN37" i="10"/>
  <c r="AM37" i="10"/>
  <c r="AL37" i="10"/>
  <c r="AK37" i="10"/>
  <c r="AH37" i="10"/>
  <c r="AG37" i="10"/>
  <c r="AF37" i="10"/>
  <c r="AB37" i="10"/>
  <c r="AA37" i="10"/>
  <c r="Y37" i="10"/>
  <c r="X37" i="10"/>
  <c r="W37" i="10"/>
  <c r="V37" i="10"/>
  <c r="A37" i="10"/>
  <c r="B37" i="10" s="1"/>
  <c r="IU36" i="10"/>
  <c r="HP36" i="10"/>
  <c r="HO36" i="10"/>
  <c r="HN36" i="10"/>
  <c r="HL36" i="10"/>
  <c r="HI36" i="10"/>
  <c r="HH36" i="10"/>
  <c r="HG36" i="10"/>
  <c r="HC36" i="10"/>
  <c r="HB36" i="10"/>
  <c r="GZ36" i="10"/>
  <c r="GY36" i="10"/>
  <c r="GX36" i="10"/>
  <c r="GL36" i="10"/>
  <c r="FG36" i="10"/>
  <c r="FF36" i="10"/>
  <c r="FE36" i="10"/>
  <c r="FC36" i="10"/>
  <c r="EZ36" i="10"/>
  <c r="EY36" i="10"/>
  <c r="EX36" i="10"/>
  <c r="ET36" i="10"/>
  <c r="ES36" i="10"/>
  <c r="EQ36" i="10"/>
  <c r="EP36" i="10"/>
  <c r="EO36" i="10"/>
  <c r="EC36" i="10"/>
  <c r="CX36" i="10"/>
  <c r="CW36" i="10"/>
  <c r="CV36" i="10"/>
  <c r="CT36" i="10"/>
  <c r="CQ36" i="10"/>
  <c r="CP36" i="10"/>
  <c r="CO36" i="10"/>
  <c r="CK36" i="10"/>
  <c r="CJ36" i="10"/>
  <c r="CH36" i="10"/>
  <c r="CG36" i="10"/>
  <c r="CF36" i="10"/>
  <c r="BT36" i="10"/>
  <c r="BM36" i="10"/>
  <c r="AO36" i="10"/>
  <c r="AN36" i="10"/>
  <c r="AM36" i="10"/>
  <c r="AL36" i="10"/>
  <c r="AK36" i="10"/>
  <c r="AH36" i="10"/>
  <c r="AG36" i="10"/>
  <c r="AF36" i="10"/>
  <c r="AB36" i="10"/>
  <c r="AA36" i="10"/>
  <c r="Y36" i="10"/>
  <c r="X36" i="10"/>
  <c r="W36" i="10"/>
  <c r="V36" i="10"/>
  <c r="B36" i="10"/>
  <c r="A36" i="10"/>
  <c r="IU35" i="10"/>
  <c r="HP35" i="10"/>
  <c r="HO35" i="10"/>
  <c r="HN35" i="10"/>
  <c r="HL35" i="10"/>
  <c r="HI35" i="10"/>
  <c r="HH35" i="10"/>
  <c r="HG35" i="10"/>
  <c r="HC35" i="10"/>
  <c r="HB35" i="10"/>
  <c r="GZ35" i="10"/>
  <c r="GY35" i="10"/>
  <c r="GX35" i="10"/>
  <c r="GL35" i="10"/>
  <c r="FG35" i="10"/>
  <c r="FF35" i="10"/>
  <c r="FE35" i="10"/>
  <c r="FC35" i="10"/>
  <c r="EZ35" i="10"/>
  <c r="EY35" i="10"/>
  <c r="EX35" i="10"/>
  <c r="ET35" i="10"/>
  <c r="ES35" i="10"/>
  <c r="EQ35" i="10"/>
  <c r="EP35" i="10"/>
  <c r="EO35" i="10"/>
  <c r="EC35" i="10"/>
  <c r="CX35" i="10"/>
  <c r="CW35" i="10"/>
  <c r="CV35" i="10"/>
  <c r="CT35" i="10"/>
  <c r="CQ35" i="10"/>
  <c r="CP35" i="10"/>
  <c r="CO35" i="10"/>
  <c r="CK35" i="10"/>
  <c r="CJ35" i="10"/>
  <c r="CH35" i="10"/>
  <c r="CG35" i="10"/>
  <c r="CF35" i="10"/>
  <c r="BT35" i="10"/>
  <c r="BM35" i="10"/>
  <c r="GE35" i="10" s="1"/>
  <c r="AO35" i="10"/>
  <c r="AN35" i="10"/>
  <c r="AM35" i="10"/>
  <c r="AL35" i="10"/>
  <c r="AK35" i="10"/>
  <c r="AH35" i="10"/>
  <c r="AG35" i="10"/>
  <c r="AF35" i="10"/>
  <c r="AB35" i="10"/>
  <c r="AA35" i="10"/>
  <c r="Y35" i="10"/>
  <c r="X35" i="10"/>
  <c r="W35" i="10"/>
  <c r="V35" i="10"/>
  <c r="A35" i="10"/>
  <c r="B35" i="10" s="1"/>
  <c r="IU34" i="10"/>
  <c r="HP34" i="10"/>
  <c r="HO34" i="10"/>
  <c r="HN34" i="10"/>
  <c r="HL34" i="10"/>
  <c r="HI34" i="10"/>
  <c r="HH34" i="10"/>
  <c r="HG34" i="10"/>
  <c r="HC34" i="10"/>
  <c r="HB34" i="10"/>
  <c r="GZ34" i="10"/>
  <c r="GY34" i="10"/>
  <c r="GX34" i="10"/>
  <c r="GL34" i="10"/>
  <c r="FG34" i="10"/>
  <c r="FF34" i="10"/>
  <c r="FE34" i="10"/>
  <c r="FC34" i="10"/>
  <c r="EZ34" i="10"/>
  <c r="EY34" i="10"/>
  <c r="EX34" i="10"/>
  <c r="ET34" i="10"/>
  <c r="ES34" i="10"/>
  <c r="EQ34" i="10"/>
  <c r="EP34" i="10"/>
  <c r="EO34" i="10"/>
  <c r="EC34" i="10"/>
  <c r="CX34" i="10"/>
  <c r="CW34" i="10"/>
  <c r="CV34" i="10"/>
  <c r="CT34" i="10"/>
  <c r="CQ34" i="10"/>
  <c r="CP34" i="10"/>
  <c r="CO34" i="10"/>
  <c r="CK34" i="10"/>
  <c r="CJ34" i="10"/>
  <c r="CH34" i="10"/>
  <c r="CG34" i="10"/>
  <c r="CF34" i="10"/>
  <c r="BT34" i="10"/>
  <c r="BM34" i="10"/>
  <c r="GE34" i="10" s="1"/>
  <c r="AO34" i="10"/>
  <c r="AN34" i="10"/>
  <c r="AM34" i="10"/>
  <c r="AL34" i="10"/>
  <c r="AK34" i="10"/>
  <c r="AH34" i="10"/>
  <c r="AG34" i="10"/>
  <c r="AF34" i="10"/>
  <c r="AB34" i="10"/>
  <c r="AA34" i="10"/>
  <c r="Y34" i="10"/>
  <c r="X34" i="10"/>
  <c r="W34" i="10"/>
  <c r="V34" i="10"/>
  <c r="A34" i="10"/>
  <c r="B34" i="10" s="1"/>
  <c r="IU33" i="10"/>
  <c r="HP33" i="10"/>
  <c r="HO33" i="10"/>
  <c r="HN33" i="10"/>
  <c r="HL33" i="10"/>
  <c r="HI33" i="10"/>
  <c r="HH33" i="10"/>
  <c r="HG33" i="10"/>
  <c r="HC33" i="10"/>
  <c r="HB33" i="10"/>
  <c r="GZ33" i="10"/>
  <c r="GY33" i="10"/>
  <c r="GX33" i="10"/>
  <c r="GL33" i="10"/>
  <c r="FG33" i="10"/>
  <c r="FF33" i="10"/>
  <c r="FE33" i="10"/>
  <c r="FC33" i="10"/>
  <c r="EZ33" i="10"/>
  <c r="EY33" i="10"/>
  <c r="EX33" i="10"/>
  <c r="ET33" i="10"/>
  <c r="ES33" i="10"/>
  <c r="EQ33" i="10"/>
  <c r="EP33" i="10"/>
  <c r="EO33" i="10"/>
  <c r="EC33" i="10"/>
  <c r="CX33" i="10"/>
  <c r="CW33" i="10"/>
  <c r="CV33" i="10"/>
  <c r="CT33" i="10"/>
  <c r="CQ33" i="10"/>
  <c r="CP33" i="10"/>
  <c r="CO33" i="10"/>
  <c r="CK33" i="10"/>
  <c r="CJ33" i="10"/>
  <c r="CH33" i="10"/>
  <c r="CG33" i="10"/>
  <c r="CF33" i="10"/>
  <c r="BT33" i="10"/>
  <c r="BM33" i="10"/>
  <c r="GE33" i="10" s="1"/>
  <c r="AO33" i="10"/>
  <c r="AN33" i="10"/>
  <c r="AM33" i="10"/>
  <c r="AL33" i="10"/>
  <c r="AK33" i="10"/>
  <c r="AH33" i="10"/>
  <c r="AG33" i="10"/>
  <c r="AF33" i="10"/>
  <c r="AB33" i="10"/>
  <c r="AA33" i="10"/>
  <c r="Y33" i="10"/>
  <c r="X33" i="10"/>
  <c r="W33" i="10"/>
  <c r="V33" i="10"/>
  <c r="A33" i="10"/>
  <c r="B33" i="10" s="1"/>
  <c r="IU32" i="10"/>
  <c r="HP32" i="10"/>
  <c r="HO32" i="10"/>
  <c r="HN32" i="10"/>
  <c r="HL32" i="10"/>
  <c r="HI32" i="10"/>
  <c r="HH32" i="10"/>
  <c r="HG32" i="10"/>
  <c r="HC32" i="10"/>
  <c r="HB32" i="10"/>
  <c r="GZ32" i="10"/>
  <c r="GY32" i="10"/>
  <c r="GX32" i="10"/>
  <c r="GL32" i="10"/>
  <c r="FG32" i="10"/>
  <c r="FF32" i="10"/>
  <c r="FE32" i="10"/>
  <c r="FC32" i="10"/>
  <c r="EZ32" i="10"/>
  <c r="EY32" i="10"/>
  <c r="EX32" i="10"/>
  <c r="ET32" i="10"/>
  <c r="ES32" i="10"/>
  <c r="EQ32" i="10"/>
  <c r="EP32" i="10"/>
  <c r="EO32" i="10"/>
  <c r="EC32" i="10"/>
  <c r="CX32" i="10"/>
  <c r="CW32" i="10"/>
  <c r="CV32" i="10"/>
  <c r="CT32" i="10"/>
  <c r="CQ32" i="10"/>
  <c r="CP32" i="10"/>
  <c r="CO32" i="10"/>
  <c r="CK32" i="10"/>
  <c r="CJ32" i="10"/>
  <c r="CH32" i="10"/>
  <c r="CG32" i="10"/>
  <c r="CF32" i="10"/>
  <c r="BT32" i="10"/>
  <c r="BM32" i="10"/>
  <c r="GE32" i="10" s="1"/>
  <c r="AO32" i="10"/>
  <c r="AN32" i="10"/>
  <c r="AM32" i="10"/>
  <c r="AL32" i="10"/>
  <c r="AK32" i="10"/>
  <c r="AH32" i="10"/>
  <c r="AG32" i="10"/>
  <c r="AF32" i="10"/>
  <c r="AB32" i="10"/>
  <c r="AA32" i="10"/>
  <c r="Y32" i="10"/>
  <c r="X32" i="10"/>
  <c r="W32" i="10"/>
  <c r="V32" i="10"/>
  <c r="A32" i="10"/>
  <c r="B32" i="10" s="1"/>
  <c r="IU31" i="10"/>
  <c r="HP31" i="10"/>
  <c r="HO31" i="10"/>
  <c r="HN31" i="10"/>
  <c r="HL31" i="10"/>
  <c r="HI31" i="10"/>
  <c r="HH31" i="10"/>
  <c r="HG31" i="10"/>
  <c r="HC31" i="10"/>
  <c r="HB31" i="10"/>
  <c r="GZ31" i="10"/>
  <c r="GY31" i="10"/>
  <c r="GX31" i="10"/>
  <c r="GL31" i="10"/>
  <c r="FG31" i="10"/>
  <c r="FF31" i="10"/>
  <c r="FE31" i="10"/>
  <c r="FC31" i="10"/>
  <c r="EZ31" i="10"/>
  <c r="EY31" i="10"/>
  <c r="EX31" i="10"/>
  <c r="ET31" i="10"/>
  <c r="ES31" i="10"/>
  <c r="EQ31" i="10"/>
  <c r="EP31" i="10"/>
  <c r="EO31" i="10"/>
  <c r="EC31" i="10"/>
  <c r="CX31" i="10"/>
  <c r="CW31" i="10"/>
  <c r="CV31" i="10"/>
  <c r="CT31" i="10"/>
  <c r="CQ31" i="10"/>
  <c r="CP31" i="10"/>
  <c r="CO31" i="10"/>
  <c r="CK31" i="10"/>
  <c r="CJ31" i="10"/>
  <c r="CH31" i="10"/>
  <c r="CG31" i="10"/>
  <c r="CF31" i="10"/>
  <c r="BT31" i="10"/>
  <c r="BM31" i="10"/>
  <c r="GE31" i="10" s="1"/>
  <c r="AO31" i="10"/>
  <c r="AN31" i="10"/>
  <c r="AM31" i="10"/>
  <c r="AL31" i="10"/>
  <c r="AK31" i="10"/>
  <c r="AH31" i="10"/>
  <c r="AG31" i="10"/>
  <c r="AF31" i="10"/>
  <c r="AB31" i="10"/>
  <c r="AA31" i="10"/>
  <c r="Y31" i="10"/>
  <c r="X31" i="10"/>
  <c r="W31" i="10"/>
  <c r="V31" i="10"/>
  <c r="B31" i="10"/>
  <c r="A31" i="10"/>
  <c r="IU30" i="10"/>
  <c r="HP30" i="10"/>
  <c r="HO30" i="10"/>
  <c r="HN30" i="10"/>
  <c r="HL30" i="10"/>
  <c r="HI30" i="10"/>
  <c r="HH30" i="10"/>
  <c r="HG30" i="10"/>
  <c r="HC30" i="10"/>
  <c r="HB30" i="10"/>
  <c r="GZ30" i="10"/>
  <c r="GY30" i="10"/>
  <c r="GX30" i="10"/>
  <c r="GL30" i="10"/>
  <c r="FG30" i="10"/>
  <c r="FF30" i="10"/>
  <c r="FE30" i="10"/>
  <c r="FC30" i="10"/>
  <c r="EZ30" i="10"/>
  <c r="EY30" i="10"/>
  <c r="EX30" i="10"/>
  <c r="ET30" i="10"/>
  <c r="ES30" i="10"/>
  <c r="EQ30" i="10"/>
  <c r="EP30" i="10"/>
  <c r="EO30" i="10"/>
  <c r="EC30" i="10"/>
  <c r="CX30" i="10"/>
  <c r="CW30" i="10"/>
  <c r="CV30" i="10"/>
  <c r="CT30" i="10"/>
  <c r="CQ30" i="10"/>
  <c r="CP30" i="10"/>
  <c r="CO30" i="10"/>
  <c r="CK30" i="10"/>
  <c r="CJ30" i="10"/>
  <c r="CH30" i="10"/>
  <c r="CG30" i="10"/>
  <c r="CF30" i="10"/>
  <c r="BT30" i="10"/>
  <c r="BM30" i="10"/>
  <c r="GE30" i="10" s="1"/>
  <c r="AO30" i="10"/>
  <c r="AN30" i="10"/>
  <c r="AM30" i="10"/>
  <c r="AL30" i="10"/>
  <c r="AK30" i="10"/>
  <c r="AH30" i="10"/>
  <c r="AG30" i="10"/>
  <c r="AF30" i="10"/>
  <c r="AB30" i="10"/>
  <c r="AA30" i="10"/>
  <c r="Y30" i="10"/>
  <c r="X30" i="10"/>
  <c r="W30" i="10"/>
  <c r="V30" i="10"/>
  <c r="A30" i="10"/>
  <c r="B30" i="10" s="1"/>
  <c r="IU29" i="10"/>
  <c r="HP29" i="10"/>
  <c r="HO29" i="10"/>
  <c r="HN29" i="10"/>
  <c r="HL29" i="10"/>
  <c r="HI29" i="10"/>
  <c r="HH29" i="10"/>
  <c r="HG29" i="10"/>
  <c r="HC29" i="10"/>
  <c r="HB29" i="10"/>
  <c r="GZ29" i="10"/>
  <c r="GY29" i="10"/>
  <c r="GX29" i="10"/>
  <c r="GL29" i="10"/>
  <c r="FG29" i="10"/>
  <c r="FF29" i="10"/>
  <c r="FE29" i="10"/>
  <c r="FC29" i="10"/>
  <c r="EZ29" i="10"/>
  <c r="EY29" i="10"/>
  <c r="EX29" i="10"/>
  <c r="ET29" i="10"/>
  <c r="ES29" i="10"/>
  <c r="EQ29" i="10"/>
  <c r="EP29" i="10"/>
  <c r="EO29" i="10"/>
  <c r="EC29" i="10"/>
  <c r="CX29" i="10"/>
  <c r="CW29" i="10"/>
  <c r="CV29" i="10"/>
  <c r="CT29" i="10"/>
  <c r="CQ29" i="10"/>
  <c r="CP29" i="10"/>
  <c r="CO29" i="10"/>
  <c r="CK29" i="10"/>
  <c r="CJ29" i="10"/>
  <c r="CH29" i="10"/>
  <c r="CG29" i="10"/>
  <c r="CF29" i="10"/>
  <c r="BT29" i="10"/>
  <c r="BM29" i="10"/>
  <c r="GE29" i="10" s="1"/>
  <c r="AO29" i="10"/>
  <c r="AN29" i="10"/>
  <c r="AM29" i="10"/>
  <c r="AL29" i="10"/>
  <c r="AK29" i="10"/>
  <c r="AH29" i="10"/>
  <c r="AG29" i="10"/>
  <c r="AF29" i="10"/>
  <c r="AB29" i="10"/>
  <c r="AA29" i="10"/>
  <c r="Y29" i="10"/>
  <c r="X29" i="10"/>
  <c r="W29" i="10"/>
  <c r="V29" i="10"/>
  <c r="A29" i="10"/>
  <c r="B29" i="10" s="1"/>
  <c r="IU28" i="10"/>
  <c r="HP28" i="10"/>
  <c r="HO28" i="10"/>
  <c r="HN28" i="10"/>
  <c r="HL28" i="10"/>
  <c r="HI28" i="10"/>
  <c r="HH28" i="10"/>
  <c r="HG28" i="10"/>
  <c r="HC28" i="10"/>
  <c r="HB28" i="10"/>
  <c r="GZ28" i="10"/>
  <c r="GY28" i="10"/>
  <c r="GX28" i="10"/>
  <c r="GL28" i="10"/>
  <c r="FG28" i="10"/>
  <c r="FF28" i="10"/>
  <c r="FE28" i="10"/>
  <c r="FC28" i="10"/>
  <c r="EZ28" i="10"/>
  <c r="EY28" i="10"/>
  <c r="EX28" i="10"/>
  <c r="ET28" i="10"/>
  <c r="ES28" i="10"/>
  <c r="EQ28" i="10"/>
  <c r="EP28" i="10"/>
  <c r="EO28" i="10"/>
  <c r="EC28" i="10"/>
  <c r="CX28" i="10"/>
  <c r="CW28" i="10"/>
  <c r="CV28" i="10"/>
  <c r="CT28" i="10"/>
  <c r="CQ28" i="10"/>
  <c r="CP28" i="10"/>
  <c r="CO28" i="10"/>
  <c r="CK28" i="10"/>
  <c r="CJ28" i="10"/>
  <c r="CH28" i="10"/>
  <c r="CG28" i="10"/>
  <c r="CF28" i="10"/>
  <c r="BT28" i="10"/>
  <c r="BM28" i="10"/>
  <c r="GE28" i="10" s="1"/>
  <c r="AO28" i="10"/>
  <c r="AN28" i="10"/>
  <c r="AM28" i="10"/>
  <c r="AL28" i="10"/>
  <c r="AK28" i="10"/>
  <c r="AH28" i="10"/>
  <c r="AG28" i="10"/>
  <c r="AF28" i="10"/>
  <c r="AB28" i="10"/>
  <c r="AA28" i="10"/>
  <c r="Y28" i="10"/>
  <c r="X28" i="10"/>
  <c r="W28" i="10"/>
  <c r="V28" i="10"/>
  <c r="A28" i="10"/>
  <c r="B28" i="10" s="1"/>
  <c r="IU27" i="10"/>
  <c r="HP27" i="10"/>
  <c r="HO27" i="10"/>
  <c r="HN27" i="10"/>
  <c r="HL27" i="10"/>
  <c r="HI27" i="10"/>
  <c r="HH27" i="10"/>
  <c r="HG27" i="10"/>
  <c r="HC27" i="10"/>
  <c r="HB27" i="10"/>
  <c r="GZ27" i="10"/>
  <c r="GY27" i="10"/>
  <c r="GX27" i="10"/>
  <c r="GL27" i="10"/>
  <c r="FG27" i="10"/>
  <c r="FF27" i="10"/>
  <c r="FE27" i="10"/>
  <c r="FC27" i="10"/>
  <c r="EZ27" i="10"/>
  <c r="EY27" i="10"/>
  <c r="EX27" i="10"/>
  <c r="ET27" i="10"/>
  <c r="ES27" i="10"/>
  <c r="EQ27" i="10"/>
  <c r="EP27" i="10"/>
  <c r="EO27" i="10"/>
  <c r="EC27" i="10"/>
  <c r="CX27" i="10"/>
  <c r="CW27" i="10"/>
  <c r="CV27" i="10"/>
  <c r="CT27" i="10"/>
  <c r="CQ27" i="10"/>
  <c r="CP27" i="10"/>
  <c r="CO27" i="10"/>
  <c r="CK27" i="10"/>
  <c r="CJ27" i="10"/>
  <c r="CH27" i="10"/>
  <c r="CG27" i="10"/>
  <c r="CF27" i="10"/>
  <c r="BT27" i="10"/>
  <c r="BM27" i="10"/>
  <c r="GE27" i="10" s="1"/>
  <c r="AO27" i="10"/>
  <c r="AN27" i="10"/>
  <c r="AM27" i="10"/>
  <c r="AL27" i="10"/>
  <c r="AK27" i="10"/>
  <c r="AH27" i="10"/>
  <c r="AG27" i="10"/>
  <c r="AF27" i="10"/>
  <c r="AB27" i="10"/>
  <c r="AA27" i="10"/>
  <c r="Y27" i="10"/>
  <c r="X27" i="10"/>
  <c r="W27" i="10"/>
  <c r="V27" i="10"/>
  <c r="B27" i="10"/>
  <c r="A27" i="10"/>
  <c r="IU26" i="10"/>
  <c r="HP26" i="10"/>
  <c r="HO26" i="10"/>
  <c r="HN26" i="10"/>
  <c r="HL26" i="10"/>
  <c r="HI26" i="10"/>
  <c r="HH26" i="10"/>
  <c r="HG26" i="10"/>
  <c r="HC26" i="10"/>
  <c r="HB26" i="10"/>
  <c r="GZ26" i="10"/>
  <c r="GY26" i="10"/>
  <c r="GX26" i="10"/>
  <c r="GL26" i="10"/>
  <c r="FG26" i="10"/>
  <c r="FF26" i="10"/>
  <c r="FE26" i="10"/>
  <c r="FC26" i="10"/>
  <c r="EZ26" i="10"/>
  <c r="EY26" i="10"/>
  <c r="EX26" i="10"/>
  <c r="ET26" i="10"/>
  <c r="ES26" i="10"/>
  <c r="EQ26" i="10"/>
  <c r="EP26" i="10"/>
  <c r="EO26" i="10"/>
  <c r="EC26" i="10"/>
  <c r="CX26" i="10"/>
  <c r="CW26" i="10"/>
  <c r="CV26" i="10"/>
  <c r="CT26" i="10"/>
  <c r="CQ26" i="10"/>
  <c r="CP26" i="10"/>
  <c r="CO26" i="10"/>
  <c r="CK26" i="10"/>
  <c r="CJ26" i="10"/>
  <c r="CH26" i="10"/>
  <c r="CG26" i="10"/>
  <c r="CF26" i="10"/>
  <c r="BT26" i="10"/>
  <c r="BM26" i="10"/>
  <c r="GE26" i="10" s="1"/>
  <c r="AO26" i="10"/>
  <c r="AN26" i="10"/>
  <c r="AM26" i="10"/>
  <c r="AL26" i="10"/>
  <c r="AK26" i="10"/>
  <c r="AH26" i="10"/>
  <c r="AG26" i="10"/>
  <c r="AF26" i="10"/>
  <c r="AB26" i="10"/>
  <c r="AA26" i="10"/>
  <c r="Y26" i="10"/>
  <c r="X26" i="10"/>
  <c r="W26" i="10"/>
  <c r="V26" i="10"/>
  <c r="A26" i="10"/>
  <c r="B26" i="10" s="1"/>
  <c r="IU25" i="10"/>
  <c r="HP25" i="10"/>
  <c r="HO25" i="10"/>
  <c r="HN25" i="10"/>
  <c r="HL25" i="10"/>
  <c r="HI25" i="10"/>
  <c r="HH25" i="10"/>
  <c r="HG25" i="10"/>
  <c r="HC25" i="10"/>
  <c r="HB25" i="10"/>
  <c r="GZ25" i="10"/>
  <c r="GY25" i="10"/>
  <c r="GX25" i="10"/>
  <c r="GL25" i="10"/>
  <c r="FG25" i="10"/>
  <c r="FF25" i="10"/>
  <c r="FE25" i="10"/>
  <c r="FC25" i="10"/>
  <c r="EZ25" i="10"/>
  <c r="EY25" i="10"/>
  <c r="EX25" i="10"/>
  <c r="ET25" i="10"/>
  <c r="ES25" i="10"/>
  <c r="EQ25" i="10"/>
  <c r="EP25" i="10"/>
  <c r="EO25" i="10"/>
  <c r="EC25" i="10"/>
  <c r="CX25" i="10"/>
  <c r="CW25" i="10"/>
  <c r="CV25" i="10"/>
  <c r="CT25" i="10"/>
  <c r="CQ25" i="10"/>
  <c r="CP25" i="10"/>
  <c r="CO25" i="10"/>
  <c r="CK25" i="10"/>
  <c r="CJ25" i="10"/>
  <c r="CH25" i="10"/>
  <c r="CG25" i="10"/>
  <c r="CF25" i="10"/>
  <c r="BT25" i="10"/>
  <c r="BM25" i="10"/>
  <c r="GE25" i="10" s="1"/>
  <c r="AO25" i="10"/>
  <c r="AN25" i="10"/>
  <c r="AM25" i="10"/>
  <c r="AL25" i="10"/>
  <c r="AK25" i="10"/>
  <c r="AH25" i="10"/>
  <c r="AG25" i="10"/>
  <c r="AF25" i="10"/>
  <c r="AB25" i="10"/>
  <c r="AA25" i="10"/>
  <c r="Y25" i="10"/>
  <c r="X25" i="10"/>
  <c r="W25" i="10"/>
  <c r="V25" i="10"/>
  <c r="A25" i="10"/>
  <c r="B25" i="10" s="1"/>
  <c r="IU24" i="10"/>
  <c r="HP24" i="10"/>
  <c r="HO24" i="10"/>
  <c r="HN24" i="10"/>
  <c r="HL24" i="10"/>
  <c r="HI24" i="10"/>
  <c r="HH24" i="10"/>
  <c r="HG24" i="10"/>
  <c r="HC24" i="10"/>
  <c r="HB24" i="10"/>
  <c r="GZ24" i="10"/>
  <c r="GY24" i="10"/>
  <c r="GX24" i="10"/>
  <c r="GL24" i="10"/>
  <c r="FG24" i="10"/>
  <c r="FF24" i="10"/>
  <c r="FE24" i="10"/>
  <c r="FC24" i="10"/>
  <c r="EZ24" i="10"/>
  <c r="EY24" i="10"/>
  <c r="EX24" i="10"/>
  <c r="ET24" i="10"/>
  <c r="ES24" i="10"/>
  <c r="EQ24" i="10"/>
  <c r="EP24" i="10"/>
  <c r="EO24" i="10"/>
  <c r="EC24" i="10"/>
  <c r="CX24" i="10"/>
  <c r="CW24" i="10"/>
  <c r="CV24" i="10"/>
  <c r="CT24" i="10"/>
  <c r="CQ24" i="10"/>
  <c r="CP24" i="10"/>
  <c r="CO24" i="10"/>
  <c r="CK24" i="10"/>
  <c r="CJ24" i="10"/>
  <c r="CH24" i="10"/>
  <c r="CG24" i="10"/>
  <c r="CF24" i="10"/>
  <c r="BT24" i="10"/>
  <c r="BM24" i="10"/>
  <c r="AO24" i="10"/>
  <c r="AN24" i="10"/>
  <c r="AM24" i="10"/>
  <c r="AL24" i="10"/>
  <c r="AK24" i="10"/>
  <c r="AH24" i="10"/>
  <c r="AG24" i="10"/>
  <c r="AF24" i="10"/>
  <c r="AB24" i="10"/>
  <c r="AA24" i="10"/>
  <c r="Y24" i="10"/>
  <c r="X24" i="10"/>
  <c r="W24" i="10"/>
  <c r="V24" i="10"/>
  <c r="A24" i="10"/>
  <c r="B24" i="10" s="1"/>
  <c r="IU23" i="10"/>
  <c r="HP23" i="10"/>
  <c r="HO23" i="10"/>
  <c r="HN23" i="10"/>
  <c r="HL23" i="10"/>
  <c r="HI23" i="10"/>
  <c r="HH23" i="10"/>
  <c r="HG23" i="10"/>
  <c r="HC23" i="10"/>
  <c r="HB23" i="10"/>
  <c r="GZ23" i="10"/>
  <c r="GY23" i="10"/>
  <c r="GX23" i="10"/>
  <c r="GL23" i="10"/>
  <c r="FG23" i="10"/>
  <c r="FF23" i="10"/>
  <c r="FE23" i="10"/>
  <c r="FC23" i="10"/>
  <c r="EZ23" i="10"/>
  <c r="EY23" i="10"/>
  <c r="EX23" i="10"/>
  <c r="ET23" i="10"/>
  <c r="ES23" i="10"/>
  <c r="EQ23" i="10"/>
  <c r="EP23" i="10"/>
  <c r="EO23" i="10"/>
  <c r="EC23" i="10"/>
  <c r="CX23" i="10"/>
  <c r="CW23" i="10"/>
  <c r="CV23" i="10"/>
  <c r="CT23" i="10"/>
  <c r="CQ23" i="10"/>
  <c r="CP23" i="10"/>
  <c r="CO23" i="10"/>
  <c r="CK23" i="10"/>
  <c r="CJ23" i="10"/>
  <c r="CH23" i="10"/>
  <c r="CG23" i="10"/>
  <c r="CF23" i="10"/>
  <c r="BT23" i="10"/>
  <c r="BM23" i="10"/>
  <c r="GE23" i="10" s="1"/>
  <c r="AO23" i="10"/>
  <c r="AN23" i="10"/>
  <c r="AM23" i="10"/>
  <c r="AL23" i="10"/>
  <c r="AK23" i="10"/>
  <c r="AH23" i="10"/>
  <c r="AG23" i="10"/>
  <c r="AF23" i="10"/>
  <c r="AB23" i="10"/>
  <c r="AA23" i="10"/>
  <c r="Y23" i="10"/>
  <c r="X23" i="10"/>
  <c r="W23" i="10"/>
  <c r="V23" i="10"/>
  <c r="A23" i="10"/>
  <c r="B23" i="10" s="1"/>
  <c r="IU22" i="10"/>
  <c r="HP22" i="10"/>
  <c r="HO22" i="10"/>
  <c r="HN22" i="10"/>
  <c r="HL22" i="10"/>
  <c r="HI22" i="10"/>
  <c r="HH22" i="10"/>
  <c r="HG22" i="10"/>
  <c r="HC22" i="10"/>
  <c r="HB22" i="10"/>
  <c r="GZ22" i="10"/>
  <c r="GY22" i="10"/>
  <c r="GX22" i="10"/>
  <c r="GL22" i="10"/>
  <c r="FG22" i="10"/>
  <c r="FF22" i="10"/>
  <c r="FE22" i="10"/>
  <c r="FC22" i="10"/>
  <c r="EZ22" i="10"/>
  <c r="EY22" i="10"/>
  <c r="EX22" i="10"/>
  <c r="ET22" i="10"/>
  <c r="ES22" i="10"/>
  <c r="EQ22" i="10"/>
  <c r="EP22" i="10"/>
  <c r="EO22" i="10"/>
  <c r="EC22" i="10"/>
  <c r="CX22" i="10"/>
  <c r="CW22" i="10"/>
  <c r="CV22" i="10"/>
  <c r="CT22" i="10"/>
  <c r="CQ22" i="10"/>
  <c r="CP22" i="10"/>
  <c r="CO22" i="10"/>
  <c r="CK22" i="10"/>
  <c r="CJ22" i="10"/>
  <c r="CH22" i="10"/>
  <c r="CG22" i="10"/>
  <c r="CF22" i="10"/>
  <c r="BT22" i="10"/>
  <c r="BM22" i="10"/>
  <c r="GE22" i="10" s="1"/>
  <c r="AO22" i="10"/>
  <c r="AN22" i="10"/>
  <c r="AM22" i="10"/>
  <c r="AL22" i="10"/>
  <c r="AK22" i="10"/>
  <c r="AH22" i="10"/>
  <c r="AG22" i="10"/>
  <c r="AF22" i="10"/>
  <c r="AB22" i="10"/>
  <c r="AA22" i="10"/>
  <c r="Y22" i="10"/>
  <c r="X22" i="10"/>
  <c r="W22" i="10"/>
  <c r="V22" i="10"/>
  <c r="A22" i="10"/>
  <c r="B22" i="10" s="1"/>
  <c r="IU21" i="10"/>
  <c r="HP21" i="10"/>
  <c r="HO21" i="10"/>
  <c r="HN21" i="10"/>
  <c r="HL21" i="10"/>
  <c r="HI21" i="10"/>
  <c r="HH21" i="10"/>
  <c r="HG21" i="10"/>
  <c r="HC21" i="10"/>
  <c r="HB21" i="10"/>
  <c r="GZ21" i="10"/>
  <c r="GY21" i="10"/>
  <c r="GX21" i="10"/>
  <c r="GL21" i="10"/>
  <c r="FG21" i="10"/>
  <c r="FF21" i="10"/>
  <c r="FE21" i="10"/>
  <c r="FC21" i="10"/>
  <c r="EZ21" i="10"/>
  <c r="EY21" i="10"/>
  <c r="EX21" i="10"/>
  <c r="ET21" i="10"/>
  <c r="ES21" i="10"/>
  <c r="EQ21" i="10"/>
  <c r="EP21" i="10"/>
  <c r="EO21" i="10"/>
  <c r="EC21" i="10"/>
  <c r="CX21" i="10"/>
  <c r="CW21" i="10"/>
  <c r="CV21" i="10"/>
  <c r="CT21" i="10"/>
  <c r="CQ21" i="10"/>
  <c r="CP21" i="10"/>
  <c r="CO21" i="10"/>
  <c r="CK21" i="10"/>
  <c r="CJ21" i="10"/>
  <c r="CH21" i="10"/>
  <c r="CG21" i="10"/>
  <c r="CF21" i="10"/>
  <c r="BT21" i="10"/>
  <c r="BM21" i="10"/>
  <c r="GE21" i="10" s="1"/>
  <c r="AO21" i="10"/>
  <c r="AN21" i="10"/>
  <c r="AM21" i="10"/>
  <c r="AL21" i="10"/>
  <c r="AK21" i="10"/>
  <c r="AH21" i="10"/>
  <c r="AG21" i="10"/>
  <c r="AF21" i="10"/>
  <c r="AB21" i="10"/>
  <c r="AA21" i="10"/>
  <c r="Y21" i="10"/>
  <c r="X21" i="10"/>
  <c r="W21" i="10"/>
  <c r="V21" i="10"/>
  <c r="A21" i="10"/>
  <c r="B21" i="10" s="1"/>
  <c r="IU20" i="10"/>
  <c r="HP20" i="10"/>
  <c r="HO20" i="10"/>
  <c r="HN20" i="10"/>
  <c r="HL20" i="10"/>
  <c r="HI20" i="10"/>
  <c r="HH20" i="10"/>
  <c r="HG20" i="10"/>
  <c r="HC20" i="10"/>
  <c r="HB20" i="10"/>
  <c r="GZ20" i="10"/>
  <c r="GY20" i="10"/>
  <c r="GX20" i="10"/>
  <c r="GL20" i="10"/>
  <c r="FG20" i="10"/>
  <c r="FF20" i="10"/>
  <c r="FE20" i="10"/>
  <c r="FC20" i="10"/>
  <c r="EZ20" i="10"/>
  <c r="EY20" i="10"/>
  <c r="EX20" i="10"/>
  <c r="ET20" i="10"/>
  <c r="ES20" i="10"/>
  <c r="EQ20" i="10"/>
  <c r="EP20" i="10"/>
  <c r="EO20" i="10"/>
  <c r="EC20" i="10"/>
  <c r="CX20" i="10"/>
  <c r="CW20" i="10"/>
  <c r="CV20" i="10"/>
  <c r="CT20" i="10"/>
  <c r="CQ20" i="10"/>
  <c r="CP20" i="10"/>
  <c r="CO20" i="10"/>
  <c r="CK20" i="10"/>
  <c r="CJ20" i="10"/>
  <c r="CH20" i="10"/>
  <c r="CG20" i="10"/>
  <c r="CF20" i="10"/>
  <c r="BT20" i="10"/>
  <c r="BM20" i="10"/>
  <c r="GE20" i="10" s="1"/>
  <c r="AO20" i="10"/>
  <c r="AN20" i="10"/>
  <c r="AM20" i="10"/>
  <c r="AL20" i="10"/>
  <c r="AK20" i="10"/>
  <c r="AH20" i="10"/>
  <c r="AG20" i="10"/>
  <c r="AF20" i="10"/>
  <c r="AB20" i="10"/>
  <c r="AA20" i="10"/>
  <c r="Y20" i="10"/>
  <c r="X20" i="10"/>
  <c r="W20" i="10"/>
  <c r="V20" i="10"/>
  <c r="A20" i="10"/>
  <c r="B20" i="10" s="1"/>
  <c r="IU19" i="10"/>
  <c r="HP19" i="10"/>
  <c r="HO19" i="10"/>
  <c r="HN19" i="10"/>
  <c r="HL19" i="10"/>
  <c r="HI19" i="10"/>
  <c r="HH19" i="10"/>
  <c r="HG19" i="10"/>
  <c r="HC19" i="10"/>
  <c r="HB19" i="10"/>
  <c r="GZ19" i="10"/>
  <c r="GY19" i="10"/>
  <c r="GX19" i="10"/>
  <c r="GL19" i="10"/>
  <c r="FG19" i="10"/>
  <c r="FF19" i="10"/>
  <c r="FE19" i="10"/>
  <c r="FC19" i="10"/>
  <c r="EZ19" i="10"/>
  <c r="EY19" i="10"/>
  <c r="EX19" i="10"/>
  <c r="ET19" i="10"/>
  <c r="ES19" i="10"/>
  <c r="EQ19" i="10"/>
  <c r="EP19" i="10"/>
  <c r="EO19" i="10"/>
  <c r="EC19" i="10"/>
  <c r="CX19" i="10"/>
  <c r="CW19" i="10"/>
  <c r="CV19" i="10"/>
  <c r="CT19" i="10"/>
  <c r="CQ19" i="10"/>
  <c r="CP19" i="10"/>
  <c r="CO19" i="10"/>
  <c r="CK19" i="10"/>
  <c r="CJ19" i="10"/>
  <c r="CH19" i="10"/>
  <c r="CG19" i="10"/>
  <c r="CF19" i="10"/>
  <c r="BT19" i="10"/>
  <c r="BM19" i="10"/>
  <c r="GE19" i="10" s="1"/>
  <c r="AO19" i="10"/>
  <c r="AN19" i="10"/>
  <c r="AM19" i="10"/>
  <c r="AL19" i="10"/>
  <c r="AK19" i="10"/>
  <c r="AH19" i="10"/>
  <c r="AG19" i="10"/>
  <c r="AF19" i="10"/>
  <c r="AB19" i="10"/>
  <c r="AA19" i="10"/>
  <c r="Y19" i="10"/>
  <c r="X19" i="10"/>
  <c r="W19" i="10"/>
  <c r="V19" i="10"/>
  <c r="A19" i="10"/>
  <c r="B19" i="10" s="1"/>
  <c r="IU18" i="10"/>
  <c r="HP18" i="10"/>
  <c r="HO18" i="10"/>
  <c r="HN18" i="10"/>
  <c r="HL18" i="10"/>
  <c r="HI18" i="10"/>
  <c r="HH18" i="10"/>
  <c r="HG18" i="10"/>
  <c r="HC18" i="10"/>
  <c r="HB18" i="10"/>
  <c r="GZ18" i="10"/>
  <c r="GY18" i="10"/>
  <c r="GX18" i="10"/>
  <c r="GL18" i="10"/>
  <c r="FG18" i="10"/>
  <c r="FF18" i="10"/>
  <c r="FE18" i="10"/>
  <c r="FC18" i="10"/>
  <c r="EZ18" i="10"/>
  <c r="EY18" i="10"/>
  <c r="EX18" i="10"/>
  <c r="ET18" i="10"/>
  <c r="ES18" i="10"/>
  <c r="EQ18" i="10"/>
  <c r="EP18" i="10"/>
  <c r="EO18" i="10"/>
  <c r="EC18" i="10"/>
  <c r="CX18" i="10"/>
  <c r="CW18" i="10"/>
  <c r="CV18" i="10"/>
  <c r="CT18" i="10"/>
  <c r="CQ18" i="10"/>
  <c r="CP18" i="10"/>
  <c r="CO18" i="10"/>
  <c r="CK18" i="10"/>
  <c r="CJ18" i="10"/>
  <c r="CH18" i="10"/>
  <c r="CG18" i="10"/>
  <c r="CF18" i="10"/>
  <c r="BT18" i="10"/>
  <c r="BM18" i="10"/>
  <c r="GE18" i="10" s="1"/>
  <c r="AO18" i="10"/>
  <c r="AN18" i="10"/>
  <c r="AM18" i="10"/>
  <c r="AL18" i="10"/>
  <c r="AK18" i="10"/>
  <c r="AH18" i="10"/>
  <c r="AG18" i="10"/>
  <c r="AF18" i="10"/>
  <c r="AB18" i="10"/>
  <c r="AA18" i="10"/>
  <c r="Y18" i="10"/>
  <c r="X18" i="10"/>
  <c r="W18" i="10"/>
  <c r="V18" i="10"/>
  <c r="A18" i="10"/>
  <c r="B18" i="10" s="1"/>
  <c r="IU17" i="10"/>
  <c r="HP17" i="10"/>
  <c r="HO17" i="10"/>
  <c r="HN17" i="10"/>
  <c r="HL17" i="10"/>
  <c r="HI17" i="10"/>
  <c r="HH17" i="10"/>
  <c r="HG17" i="10"/>
  <c r="HC17" i="10"/>
  <c r="HB17" i="10"/>
  <c r="GZ17" i="10"/>
  <c r="GY17" i="10"/>
  <c r="GX17" i="10"/>
  <c r="GL17" i="10"/>
  <c r="FG17" i="10"/>
  <c r="FF17" i="10"/>
  <c r="FE17" i="10"/>
  <c r="FC17" i="10"/>
  <c r="EZ17" i="10"/>
  <c r="EY17" i="10"/>
  <c r="EX17" i="10"/>
  <c r="ET17" i="10"/>
  <c r="ES17" i="10"/>
  <c r="EQ17" i="10"/>
  <c r="EP17" i="10"/>
  <c r="EO17" i="10"/>
  <c r="EC17" i="10"/>
  <c r="CX17" i="10"/>
  <c r="CW17" i="10"/>
  <c r="CV17" i="10"/>
  <c r="CT17" i="10"/>
  <c r="CQ17" i="10"/>
  <c r="CP17" i="10"/>
  <c r="CO17" i="10"/>
  <c r="CK17" i="10"/>
  <c r="CJ17" i="10"/>
  <c r="CH17" i="10"/>
  <c r="CG17" i="10"/>
  <c r="CF17" i="10"/>
  <c r="BT17" i="10"/>
  <c r="BM17" i="10"/>
  <c r="GE17" i="10" s="1"/>
  <c r="AO17" i="10"/>
  <c r="AN17" i="10"/>
  <c r="AM17" i="10"/>
  <c r="AL17" i="10"/>
  <c r="AK17" i="10"/>
  <c r="AH17" i="10"/>
  <c r="AG17" i="10"/>
  <c r="AF17" i="10"/>
  <c r="AB17" i="10"/>
  <c r="AA17" i="10"/>
  <c r="Y17" i="10"/>
  <c r="X17" i="10"/>
  <c r="W17" i="10"/>
  <c r="V17" i="10"/>
  <c r="A17" i="10"/>
  <c r="B17" i="10" s="1"/>
  <c r="IU16" i="10"/>
  <c r="HP16" i="10"/>
  <c r="HO16" i="10"/>
  <c r="HN16" i="10"/>
  <c r="HL16" i="10"/>
  <c r="HI16" i="10"/>
  <c r="HH16" i="10"/>
  <c r="HG16" i="10"/>
  <c r="HC16" i="10"/>
  <c r="HB16" i="10"/>
  <c r="GZ16" i="10"/>
  <c r="GY16" i="10"/>
  <c r="GX16" i="10"/>
  <c r="GL16" i="10"/>
  <c r="FG16" i="10"/>
  <c r="FF16" i="10"/>
  <c r="FE16" i="10"/>
  <c r="FC16" i="10"/>
  <c r="EZ16" i="10"/>
  <c r="EY16" i="10"/>
  <c r="EX16" i="10"/>
  <c r="ET16" i="10"/>
  <c r="ES16" i="10"/>
  <c r="EQ16" i="10"/>
  <c r="EP16" i="10"/>
  <c r="EO16" i="10"/>
  <c r="EC16" i="10"/>
  <c r="CX16" i="10"/>
  <c r="CW16" i="10"/>
  <c r="CV16" i="10"/>
  <c r="CT16" i="10"/>
  <c r="CQ16" i="10"/>
  <c r="CP16" i="10"/>
  <c r="CO16" i="10"/>
  <c r="CK16" i="10"/>
  <c r="CJ16" i="10"/>
  <c r="CH16" i="10"/>
  <c r="CG16" i="10"/>
  <c r="CF16" i="10"/>
  <c r="BT16" i="10"/>
  <c r="BM16" i="10"/>
  <c r="AO16" i="10"/>
  <c r="AN16" i="10"/>
  <c r="AM16" i="10"/>
  <c r="AL16" i="10"/>
  <c r="AK16" i="10"/>
  <c r="AH16" i="10"/>
  <c r="AG16" i="10"/>
  <c r="AF16" i="10"/>
  <c r="AB16" i="10"/>
  <c r="AA16" i="10"/>
  <c r="Y16" i="10"/>
  <c r="X16" i="10"/>
  <c r="W16" i="10"/>
  <c r="V16" i="10"/>
  <c r="A16" i="10"/>
  <c r="B16" i="10" s="1"/>
  <c r="IY2" i="10"/>
  <c r="IG2" i="10"/>
  <c r="GP2" i="10"/>
  <c r="GO2" i="10"/>
  <c r="GN2" i="10"/>
  <c r="GA2" i="10"/>
  <c r="FQ2" i="10"/>
  <c r="EF2" i="10"/>
  <c r="EE2" i="10"/>
  <c r="DX2" i="10"/>
  <c r="DP2" i="10"/>
  <c r="DO2" i="10"/>
  <c r="IX2" i="10"/>
  <c r="IW2" i="10"/>
  <c r="IP2" i="10"/>
  <c r="IJ2" i="10"/>
  <c r="IH2" i="10"/>
  <c r="HZ2" i="10"/>
  <c r="FY2" i="10"/>
  <c r="FX2" i="10"/>
  <c r="EG2" i="10"/>
  <c r="DR2" i="10"/>
  <c r="DH2" i="10"/>
  <c r="B79" i="7"/>
  <c r="BY29" i="10" s="1"/>
  <c r="E68" i="7"/>
  <c r="D68" i="7"/>
  <c r="H59" i="6" s="1"/>
  <c r="B68" i="7"/>
  <c r="F59" i="6" s="1"/>
  <c r="G62" i="7"/>
  <c r="E59" i="7"/>
  <c r="I52" i="6" s="1"/>
  <c r="D59" i="7"/>
  <c r="B59" i="7"/>
  <c r="G54" i="7"/>
  <c r="K45" i="6" s="1"/>
  <c r="G46" i="7"/>
  <c r="G37" i="7"/>
  <c r="B32" i="7"/>
  <c r="F24" i="6" s="1"/>
  <c r="B31" i="7"/>
  <c r="E30" i="7"/>
  <c r="I27" i="6" s="1"/>
  <c r="D30" i="7"/>
  <c r="H27" i="6" s="1"/>
  <c r="B30" i="7"/>
  <c r="F27" i="6" s="1"/>
  <c r="E28" i="7"/>
  <c r="D28" i="7"/>
  <c r="G25" i="7"/>
  <c r="K22" i="6" s="1"/>
  <c r="E23" i="7"/>
  <c r="I21" i="6" s="1"/>
  <c r="D23" i="7"/>
  <c r="H21" i="6" s="1"/>
  <c r="B22" i="7"/>
  <c r="F20" i="6" s="1"/>
  <c r="E16" i="7"/>
  <c r="D16" i="7"/>
  <c r="H15" i="6" s="1"/>
  <c r="G14" i="7"/>
  <c r="E13" i="7"/>
  <c r="I14" i="19" s="1"/>
  <c r="D13" i="7"/>
  <c r="H12" i="6" s="1"/>
  <c r="B12" i="7"/>
  <c r="F11" i="6" s="1"/>
  <c r="P86" i="6" s="1"/>
  <c r="E11" i="7"/>
  <c r="I10" i="6" s="1"/>
  <c r="D11" i="7"/>
  <c r="B11" i="7"/>
  <c r="AQ4" i="18"/>
  <c r="AP4" i="18"/>
  <c r="AO4" i="18"/>
  <c r="AN4" i="18"/>
  <c r="P108" i="6"/>
  <c r="Q103" i="6"/>
  <c r="Q105" i="6" s="1"/>
  <c r="P91" i="6"/>
  <c r="P87" i="6"/>
  <c r="F69" i="6"/>
  <c r="F68" i="6"/>
  <c r="F67" i="6"/>
  <c r="F66" i="6"/>
  <c r="F65" i="6"/>
  <c r="K59" i="6"/>
  <c r="K58" i="6"/>
  <c r="K54" i="6"/>
  <c r="K53" i="6"/>
  <c r="K52" i="6"/>
  <c r="K51" i="6"/>
  <c r="K50" i="6"/>
  <c r="K42" i="6"/>
  <c r="K41" i="6"/>
  <c r="K40" i="6"/>
  <c r="K39" i="6"/>
  <c r="K38" i="6"/>
  <c r="K36" i="6"/>
  <c r="K35" i="6"/>
  <c r="K34" i="6"/>
  <c r="K31" i="6"/>
  <c r="K29" i="6"/>
  <c r="K28" i="6"/>
  <c r="K27" i="6"/>
  <c r="K26" i="6"/>
  <c r="K25" i="6"/>
  <c r="K21" i="6"/>
  <c r="K20" i="6"/>
  <c r="K19" i="6"/>
  <c r="K18" i="6"/>
  <c r="K17" i="6"/>
  <c r="K16" i="6"/>
  <c r="K15" i="6"/>
  <c r="K14" i="6"/>
  <c r="K13" i="6"/>
  <c r="K12" i="6"/>
  <c r="K11" i="6"/>
  <c r="K10" i="6"/>
  <c r="K9" i="6"/>
  <c r="K8" i="6"/>
  <c r="BG101" i="10" l="1"/>
  <c r="BI101" i="10" s="1"/>
  <c r="BV101" i="10" s="1"/>
  <c r="BW101" i="10" s="1"/>
  <c r="BX101" i="10" s="1"/>
  <c r="BG103" i="10"/>
  <c r="BI103" i="10" s="1"/>
  <c r="BV103" i="10" s="1"/>
  <c r="BW103" i="10" s="1"/>
  <c r="BX103" i="10" s="1"/>
  <c r="F12" i="18"/>
  <c r="E12" i="18"/>
  <c r="F13" i="18"/>
  <c r="E13" i="18"/>
  <c r="F14" i="18"/>
  <c r="E14" i="18"/>
  <c r="F15" i="18"/>
  <c r="E15" i="18"/>
  <c r="F16" i="18"/>
  <c r="E16" i="18"/>
  <c r="F17" i="18"/>
  <c r="E17" i="18"/>
  <c r="F18" i="18"/>
  <c r="E18" i="18"/>
  <c r="F19" i="18"/>
  <c r="E19" i="18"/>
  <c r="D12" i="18"/>
  <c r="C12" i="18"/>
  <c r="G12" i="18" s="1"/>
  <c r="D13" i="18"/>
  <c r="C13" i="18"/>
  <c r="D14" i="18"/>
  <c r="C14" i="18"/>
  <c r="D15" i="18"/>
  <c r="C15" i="18"/>
  <c r="D16" i="18"/>
  <c r="C16" i="18"/>
  <c r="D17" i="18"/>
  <c r="C17" i="18"/>
  <c r="D18" i="18"/>
  <c r="C18" i="18"/>
  <c r="D19" i="18"/>
  <c r="C19" i="18"/>
  <c r="BF104" i="10"/>
  <c r="AY104" i="10"/>
  <c r="C20" i="18"/>
  <c r="D20" i="18"/>
  <c r="E20" i="18"/>
  <c r="F20" i="18"/>
  <c r="A97" i="17"/>
  <c r="AM97" i="17"/>
  <c r="AM96" i="17"/>
  <c r="A96" i="17"/>
  <c r="N95" i="17"/>
  <c r="BD105" i="10" s="1"/>
  <c r="AD95" i="17"/>
  <c r="AV105" i="10" s="1"/>
  <c r="AH95" i="17"/>
  <c r="BB105" i="10" s="1"/>
  <c r="O95" i="17"/>
  <c r="AE95" i="17"/>
  <c r="AW105" i="10" s="1"/>
  <c r="R95" i="17"/>
  <c r="P95" i="17"/>
  <c r="AF95" i="17"/>
  <c r="BA105" i="10" s="1"/>
  <c r="B95" i="17"/>
  <c r="Q95" i="17"/>
  <c r="AG95" i="17"/>
  <c r="AZ105" i="10" s="1"/>
  <c r="C95" i="17"/>
  <c r="S95" i="17"/>
  <c r="AI95" i="17"/>
  <c r="BC105" i="10" s="1"/>
  <c r="T95" i="17"/>
  <c r="J95" i="17"/>
  <c r="D95" i="17"/>
  <c r="AJ95" i="17"/>
  <c r="BQ105" i="10" s="1"/>
  <c r="E95" i="17"/>
  <c r="U95" i="17"/>
  <c r="F95" i="17"/>
  <c r="V95" i="17"/>
  <c r="BE105" i="10" s="1"/>
  <c r="Z95" i="17"/>
  <c r="BR105" i="10" s="1"/>
  <c r="G95" i="17"/>
  <c r="W95" i="17"/>
  <c r="L95" i="17"/>
  <c r="AC95" i="17"/>
  <c r="AU105" i="10" s="1"/>
  <c r="H95" i="17"/>
  <c r="X95" i="17"/>
  <c r="I95" i="17"/>
  <c r="Y95" i="17"/>
  <c r="BP105" i="10" s="1"/>
  <c r="K95" i="17"/>
  <c r="AA95" i="17"/>
  <c r="BS105" i="10" s="1"/>
  <c r="AB95" i="17"/>
  <c r="AX105" i="10" s="1"/>
  <c r="M95" i="17"/>
  <c r="GE16" i="10"/>
  <c r="BM5" i="10"/>
  <c r="BM6" i="10"/>
  <c r="BM4" i="10"/>
  <c r="V4" i="10"/>
  <c r="V5" i="10"/>
  <c r="V6" i="10"/>
  <c r="AL4" i="10"/>
  <c r="AL5" i="10"/>
  <c r="AL6" i="10"/>
  <c r="BT4" i="10"/>
  <c r="BT5" i="10"/>
  <c r="BT6" i="10"/>
  <c r="AN4" i="10"/>
  <c r="AN5" i="10"/>
  <c r="AN6" i="10"/>
  <c r="AB6" i="10"/>
  <c r="AB5" i="10"/>
  <c r="AB4" i="10"/>
  <c r="C1" i="4"/>
  <c r="B9" i="7" s="1"/>
  <c r="F8" i="6" s="1"/>
  <c r="P84" i="6" s="1"/>
  <c r="C2" i="4"/>
  <c r="E9" i="7" s="1"/>
  <c r="I8" i="6" s="1"/>
  <c r="C3" i="4"/>
  <c r="D9" i="7" s="1"/>
  <c r="O16" i="10" s="1"/>
  <c r="D2" i="4"/>
  <c r="E60" i="7" s="1"/>
  <c r="I50" i="6" s="1"/>
  <c r="D1" i="4"/>
  <c r="B60" i="7" s="1"/>
  <c r="F50" i="6" s="1"/>
  <c r="P105" i="6" s="1"/>
  <c r="D3" i="4"/>
  <c r="D60" i="7" s="1"/>
  <c r="H50" i="6" s="1"/>
  <c r="AK4" i="10"/>
  <c r="AK6" i="10"/>
  <c r="AK5" i="10"/>
  <c r="AA5" i="10"/>
  <c r="AA4" i="10"/>
  <c r="AA6" i="10"/>
  <c r="AH5" i="10"/>
  <c r="AH4" i="10"/>
  <c r="AH6" i="10"/>
  <c r="W6" i="10"/>
  <c r="W5" i="10"/>
  <c r="W4" i="10"/>
  <c r="AF5" i="10"/>
  <c r="AF4" i="10"/>
  <c r="AF6" i="10"/>
  <c r="X6" i="10"/>
  <c r="X4" i="10"/>
  <c r="X5" i="10"/>
  <c r="AM5" i="10"/>
  <c r="AM6" i="10"/>
  <c r="AM4" i="10"/>
  <c r="AG4" i="10"/>
  <c r="AG5" i="10"/>
  <c r="AG6" i="10"/>
  <c r="G1" i="4"/>
  <c r="B19" i="7" s="1"/>
  <c r="F17" i="6" s="1"/>
  <c r="G2" i="4"/>
  <c r="E19" i="7" s="1"/>
  <c r="I17" i="6" s="1"/>
  <c r="G3" i="4"/>
  <c r="D19" i="7" s="1"/>
  <c r="H17" i="6" s="1"/>
  <c r="F2" i="4"/>
  <c r="E18" i="7" s="1"/>
  <c r="I18" i="19" s="1"/>
  <c r="F3" i="4"/>
  <c r="D18" i="7" s="1"/>
  <c r="H16" i="6" s="1"/>
  <c r="F1" i="4"/>
  <c r="B18" i="7" s="1"/>
  <c r="M24" i="10" s="1"/>
  <c r="E1" i="4"/>
  <c r="B61" i="7" s="1"/>
  <c r="F53" i="6" s="1"/>
  <c r="E2" i="4"/>
  <c r="E61" i="7" s="1"/>
  <c r="I55" i="19" s="1"/>
  <c r="E3" i="4"/>
  <c r="D61" i="7" s="1"/>
  <c r="H53" i="6" s="1"/>
  <c r="Y4" i="10"/>
  <c r="Y5" i="10"/>
  <c r="Y6" i="10"/>
  <c r="AO6" i="10"/>
  <c r="AO5" i="10"/>
  <c r="AO4" i="10"/>
  <c r="I1" i="4"/>
  <c r="B33" i="7" s="1"/>
  <c r="F29" i="6" s="1"/>
  <c r="I2" i="4"/>
  <c r="E33" i="7" s="1"/>
  <c r="P37" i="10" s="1"/>
  <c r="I3" i="4"/>
  <c r="D33" i="7" s="1"/>
  <c r="H2" i="4"/>
  <c r="E20" i="7" s="1"/>
  <c r="I20" i="19" s="1"/>
  <c r="H1" i="4"/>
  <c r="B20" i="7" s="1"/>
  <c r="F18" i="6" s="1"/>
  <c r="H3" i="4"/>
  <c r="D20" i="7" s="1"/>
  <c r="H20" i="19" s="1"/>
  <c r="B1" i="4"/>
  <c r="B58" i="7" s="1"/>
  <c r="F51" i="6" s="1"/>
  <c r="P112" i="6" s="1"/>
  <c r="B3" i="4"/>
  <c r="D58" i="7" s="1"/>
  <c r="H51" i="6" s="1"/>
  <c r="B2" i="4"/>
  <c r="E58" i="7" s="1"/>
  <c r="I51" i="6" s="1"/>
  <c r="EC6" i="10"/>
  <c r="EC4" i="10"/>
  <c r="EC5" i="10"/>
  <c r="CW5" i="10"/>
  <c r="CW6" i="10"/>
  <c r="CW4" i="10"/>
  <c r="CK5" i="10"/>
  <c r="CK4" i="10"/>
  <c r="CK6" i="10"/>
  <c r="K2" i="4"/>
  <c r="K3" i="4"/>
  <c r="K1" i="4"/>
  <c r="L2" i="4"/>
  <c r="L3" i="4"/>
  <c r="L1" i="4"/>
  <c r="CT4" i="10"/>
  <c r="CT5" i="10"/>
  <c r="CT6" i="10"/>
  <c r="CJ6" i="10"/>
  <c r="CJ5" i="10"/>
  <c r="CJ4" i="10"/>
  <c r="CQ6" i="10"/>
  <c r="CQ5" i="10"/>
  <c r="CQ4" i="10"/>
  <c r="CF4" i="10"/>
  <c r="CF5" i="10"/>
  <c r="CF6" i="10"/>
  <c r="CO4" i="10"/>
  <c r="CO5" i="10"/>
  <c r="CO6" i="10"/>
  <c r="CG5" i="10"/>
  <c r="CG4" i="10"/>
  <c r="CG6" i="10"/>
  <c r="CV4" i="10"/>
  <c r="CV6" i="10"/>
  <c r="CV5" i="10"/>
  <c r="CP5" i="10"/>
  <c r="CP4" i="10"/>
  <c r="CP6" i="10"/>
  <c r="O1" i="4"/>
  <c r="O2" i="4"/>
  <c r="O3" i="4"/>
  <c r="N2" i="4"/>
  <c r="N3" i="4"/>
  <c r="N1" i="4"/>
  <c r="M1" i="4"/>
  <c r="M2" i="4"/>
  <c r="M3" i="4"/>
  <c r="CH6" i="10"/>
  <c r="CH4" i="10"/>
  <c r="CH5" i="10"/>
  <c r="CX5" i="10"/>
  <c r="CX6" i="10"/>
  <c r="CX4" i="10"/>
  <c r="Q1" i="4"/>
  <c r="Q2" i="4"/>
  <c r="Q3" i="4"/>
  <c r="P1" i="4"/>
  <c r="P2" i="4"/>
  <c r="P3" i="4"/>
  <c r="J3" i="4"/>
  <c r="J2" i="4"/>
  <c r="J1" i="4"/>
  <c r="GL4" i="10"/>
  <c r="GL6" i="10"/>
  <c r="GL5" i="10"/>
  <c r="FF5" i="10"/>
  <c r="FF4" i="10"/>
  <c r="FF6" i="10"/>
  <c r="ET6" i="10"/>
  <c r="ET5" i="10"/>
  <c r="ET4" i="10"/>
  <c r="S1" i="4"/>
  <c r="S3" i="4"/>
  <c r="S2" i="4"/>
  <c r="T2" i="4"/>
  <c r="T3" i="4"/>
  <c r="T1" i="4"/>
  <c r="FC4" i="10"/>
  <c r="FC5" i="10"/>
  <c r="FC6" i="10"/>
  <c r="ES6" i="10"/>
  <c r="ES4" i="10"/>
  <c r="ES5" i="10"/>
  <c r="EZ6" i="10"/>
  <c r="EZ4" i="10"/>
  <c r="EZ5" i="10"/>
  <c r="EO5" i="10"/>
  <c r="EO6" i="10"/>
  <c r="EO4" i="10"/>
  <c r="EX6" i="10"/>
  <c r="EX4" i="10"/>
  <c r="EX5" i="10"/>
  <c r="EP4" i="10"/>
  <c r="EP5" i="10"/>
  <c r="EP6" i="10"/>
  <c r="FE6" i="10"/>
  <c r="FE5" i="10"/>
  <c r="FE4" i="10"/>
  <c r="EY6" i="10"/>
  <c r="EY5" i="10"/>
  <c r="EY4" i="10"/>
  <c r="W3" i="4"/>
  <c r="W2" i="4"/>
  <c r="W1" i="4"/>
  <c r="V3" i="4"/>
  <c r="V1" i="4"/>
  <c r="V2" i="4"/>
  <c r="U3" i="4"/>
  <c r="U1" i="4"/>
  <c r="U2" i="4"/>
  <c r="EQ5" i="10"/>
  <c r="EQ4" i="10"/>
  <c r="EQ6" i="10"/>
  <c r="FG5" i="10"/>
  <c r="FG4" i="10"/>
  <c r="FG6" i="10"/>
  <c r="Y3" i="4"/>
  <c r="Y2" i="4"/>
  <c r="Y1" i="4"/>
  <c r="X1" i="4"/>
  <c r="X3" i="4"/>
  <c r="X2" i="4"/>
  <c r="R2" i="4"/>
  <c r="R3" i="4"/>
  <c r="R1" i="4"/>
  <c r="IU5" i="10"/>
  <c r="IU4" i="10"/>
  <c r="IU6" i="10"/>
  <c r="HO6" i="10"/>
  <c r="HO5" i="10"/>
  <c r="HO4" i="10"/>
  <c r="HC6" i="10"/>
  <c r="HC5" i="10"/>
  <c r="HC4" i="10"/>
  <c r="AA1" i="4"/>
  <c r="AA3" i="4"/>
  <c r="AA2" i="4"/>
  <c r="AB3" i="4"/>
  <c r="AB1" i="4"/>
  <c r="AB2" i="4"/>
  <c r="HL4" i="10"/>
  <c r="HL6" i="10"/>
  <c r="HL5" i="10"/>
  <c r="HB5" i="10"/>
  <c r="HB4" i="10"/>
  <c r="HB6" i="10"/>
  <c r="HI5" i="10"/>
  <c r="HI6" i="10"/>
  <c r="HI4" i="10"/>
  <c r="GX5" i="10"/>
  <c r="GX6" i="10"/>
  <c r="GX4" i="10"/>
  <c r="HG5" i="10"/>
  <c r="HG6" i="10"/>
  <c r="HG4" i="10"/>
  <c r="GY4" i="10"/>
  <c r="GY5" i="10"/>
  <c r="GY6" i="10"/>
  <c r="HN5" i="10"/>
  <c r="HN6" i="10"/>
  <c r="HN4" i="10"/>
  <c r="HH4" i="10"/>
  <c r="HH5" i="10"/>
  <c r="HH6" i="10"/>
  <c r="AE3" i="4"/>
  <c r="AE1" i="4"/>
  <c r="AE2" i="4"/>
  <c r="AD3" i="4"/>
  <c r="AD1" i="4"/>
  <c r="AD2" i="4"/>
  <c r="AC3" i="4"/>
  <c r="AC1" i="4"/>
  <c r="AC2" i="4"/>
  <c r="GZ6" i="10"/>
  <c r="GZ5" i="10"/>
  <c r="GZ4" i="10"/>
  <c r="HP6" i="10"/>
  <c r="HP5" i="10"/>
  <c r="HP4" i="10"/>
  <c r="AG3" i="4"/>
  <c r="AG1" i="4"/>
  <c r="AG2" i="4"/>
  <c r="AF3" i="4"/>
  <c r="AF1" i="4"/>
  <c r="AF2" i="4"/>
  <c r="Z3" i="4"/>
  <c r="Z2" i="4"/>
  <c r="Z1" i="4"/>
  <c r="AI8" i="17"/>
  <c r="S8" i="17"/>
  <c r="Y8" i="17"/>
  <c r="AJ8" i="17"/>
  <c r="BQ18" i="10" s="1"/>
  <c r="C8" i="17"/>
  <c r="I8" i="17"/>
  <c r="T8" i="17"/>
  <c r="D8" i="17"/>
  <c r="AE8" i="17"/>
  <c r="AW18" i="10" s="1"/>
  <c r="U8" i="17"/>
  <c r="E8" i="17"/>
  <c r="V8" i="17"/>
  <c r="BE18" i="10" s="1"/>
  <c r="F8" i="17"/>
  <c r="AG8" i="17"/>
  <c r="W8" i="17"/>
  <c r="G8" i="17"/>
  <c r="X8" i="17"/>
  <c r="B8" i="17"/>
  <c r="AB8" i="17"/>
  <c r="AX18" i="10" s="1"/>
  <c r="H8" i="17"/>
  <c r="O8" i="17"/>
  <c r="L8" i="17"/>
  <c r="AC8" i="17"/>
  <c r="AU18" i="10" s="1"/>
  <c r="R8" i="17"/>
  <c r="M8" i="17"/>
  <c r="AH8" i="17"/>
  <c r="BB18" i="10" s="1"/>
  <c r="Z8" i="17"/>
  <c r="AD8" i="17"/>
  <c r="AV18" i="10" s="1"/>
  <c r="AF8" i="17"/>
  <c r="BA18" i="10" s="1"/>
  <c r="N8" i="17"/>
  <c r="J8" i="17"/>
  <c r="Q8" i="17"/>
  <c r="AA8" i="17"/>
  <c r="BS18" i="10" s="1"/>
  <c r="K8" i="17"/>
  <c r="P8" i="17"/>
  <c r="AL10" i="17"/>
  <c r="A9" i="17"/>
  <c r="AM9" i="17"/>
  <c r="IL16" i="10"/>
  <c r="GC16" i="10"/>
  <c r="GF16" i="10"/>
  <c r="FH16" i="10"/>
  <c r="FI16" i="10" s="1"/>
  <c r="AE16" i="10"/>
  <c r="AP16" i="10"/>
  <c r="AR16" i="10" s="1"/>
  <c r="DU16" i="10"/>
  <c r="BL16" i="10"/>
  <c r="F19" i="6"/>
  <c r="I12" i="6"/>
  <c r="F14" i="19"/>
  <c r="F12" i="6"/>
  <c r="H11" i="19"/>
  <c r="H9" i="6"/>
  <c r="BK16" i="10"/>
  <c r="DT16" i="10"/>
  <c r="EM16" i="10"/>
  <c r="E11" i="18" s="1"/>
  <c r="ER69" i="10"/>
  <c r="GV16" i="10"/>
  <c r="C11" i="18" s="1"/>
  <c r="HA32" i="10"/>
  <c r="BY22" i="10"/>
  <c r="ER98" i="10"/>
  <c r="DW16" i="10"/>
  <c r="IO16" i="10"/>
  <c r="BY72" i="10"/>
  <c r="P20" i="10"/>
  <c r="F70" i="6"/>
  <c r="G26" i="7"/>
  <c r="K23" i="6" s="1"/>
  <c r="BY40" i="10"/>
  <c r="BY95" i="10"/>
  <c r="CI21" i="10"/>
  <c r="CI89" i="10"/>
  <c r="AD16" i="10"/>
  <c r="Z51" i="10"/>
  <c r="U16" i="10"/>
  <c r="F11" i="18" s="1"/>
  <c r="M27" i="10"/>
  <c r="Z69" i="10"/>
  <c r="Z75" i="10"/>
  <c r="Z64" i="10"/>
  <c r="Z23" i="10"/>
  <c r="Z48" i="10"/>
  <c r="AC16" i="10"/>
  <c r="AI17" i="10"/>
  <c r="AI26" i="10"/>
  <c r="AI28" i="10"/>
  <c r="AI30" i="10"/>
  <c r="AI67" i="10"/>
  <c r="AI84" i="10"/>
  <c r="BO17" i="10"/>
  <c r="BO23" i="10"/>
  <c r="BO24" i="10"/>
  <c r="BO31" i="10"/>
  <c r="BO41" i="10"/>
  <c r="BO43" i="10"/>
  <c r="BO70" i="10"/>
  <c r="BO76" i="10"/>
  <c r="BO90" i="10"/>
  <c r="BN16" i="10"/>
  <c r="AR91" i="10"/>
  <c r="AQ97" i="10"/>
  <c r="BO75" i="10"/>
  <c r="BO71" i="10"/>
  <c r="Z24" i="10"/>
  <c r="Z35" i="10"/>
  <c r="Z25" i="10"/>
  <c r="Z30" i="10"/>
  <c r="Z45" i="10"/>
  <c r="Z61" i="10"/>
  <c r="Z54" i="10"/>
  <c r="AR88" i="10"/>
  <c r="AR83" i="10"/>
  <c r="AR74" i="10"/>
  <c r="AR98" i="10"/>
  <c r="AR28" i="10"/>
  <c r="AQ49" i="10"/>
  <c r="AQ54" i="10"/>
  <c r="AR63" i="10"/>
  <c r="AQ64" i="10"/>
  <c r="AQ67" i="10"/>
  <c r="AR68" i="10"/>
  <c r="AQ83" i="10"/>
  <c r="AR84" i="10"/>
  <c r="AQ96" i="10"/>
  <c r="AR26" i="10"/>
  <c r="AQ71" i="10"/>
  <c r="AR35" i="10"/>
  <c r="AR32" i="10"/>
  <c r="AQ92" i="10"/>
  <c r="AQ74" i="10"/>
  <c r="AR55" i="10"/>
  <c r="AR59" i="10"/>
  <c r="AQ73" i="10"/>
  <c r="BO51" i="10"/>
  <c r="BO61" i="10"/>
  <c r="BO85" i="10"/>
  <c r="BO48" i="10"/>
  <c r="BO66" i="10"/>
  <c r="BO67" i="10"/>
  <c r="BO40" i="10"/>
  <c r="BO33" i="10"/>
  <c r="BO81" i="10"/>
  <c r="BL18" i="10"/>
  <c r="BO26" i="10"/>
  <c r="BO28" i="10"/>
  <c r="BO36" i="10"/>
  <c r="BO42" i="10"/>
  <c r="BO60" i="10"/>
  <c r="CI95" i="10"/>
  <c r="CD16" i="10"/>
  <c r="D11" i="18" s="1"/>
  <c r="CI23" i="10"/>
  <c r="CI51" i="10"/>
  <c r="CI30" i="10"/>
  <c r="CZ96" i="10"/>
  <c r="CI42" i="10"/>
  <c r="CI44" i="10"/>
  <c r="CI50" i="10"/>
  <c r="CI85" i="10"/>
  <c r="CI47" i="10"/>
  <c r="CR79" i="10"/>
  <c r="CM16" i="10"/>
  <c r="CL16" i="10"/>
  <c r="CR39" i="10"/>
  <c r="CR49" i="10"/>
  <c r="CR76" i="10"/>
  <c r="CR82" i="10"/>
  <c r="CR91" i="10"/>
  <c r="CR99" i="10"/>
  <c r="CZ98" i="10"/>
  <c r="DA63" i="10"/>
  <c r="CZ26" i="10"/>
  <c r="DA77" i="10"/>
  <c r="DA84" i="10"/>
  <c r="CZ87" i="10"/>
  <c r="DA91" i="10"/>
  <c r="CI36" i="10"/>
  <c r="CI94" i="10"/>
  <c r="CI59" i="10"/>
  <c r="DA47" i="10"/>
  <c r="CZ42" i="10"/>
  <c r="CZ31" i="10"/>
  <c r="DA32" i="10"/>
  <c r="DA35" i="10"/>
  <c r="CZ45" i="10"/>
  <c r="CZ50" i="10"/>
  <c r="CZ53" i="10"/>
  <c r="CZ57" i="10"/>
  <c r="DA62" i="10"/>
  <c r="DA19" i="10"/>
  <c r="DA34" i="10"/>
  <c r="CZ65" i="10"/>
  <c r="CZ51" i="10"/>
  <c r="DA45" i="10"/>
  <c r="CZ48" i="10"/>
  <c r="CZ89" i="10"/>
  <c r="CZ94" i="10"/>
  <c r="CY16" i="10"/>
  <c r="CZ25" i="10"/>
  <c r="DA50" i="10"/>
  <c r="CR62" i="10"/>
  <c r="CR87" i="10"/>
  <c r="CR89" i="10"/>
  <c r="ER55" i="10"/>
  <c r="ER61" i="10"/>
  <c r="ER91" i="10"/>
  <c r="ER33" i="10"/>
  <c r="ER84" i="10"/>
  <c r="ER27" i="10"/>
  <c r="ER41" i="10"/>
  <c r="ER53" i="10"/>
  <c r="ER99" i="10"/>
  <c r="ER73" i="10"/>
  <c r="ER86" i="10"/>
  <c r="ER94" i="10"/>
  <c r="ER29" i="10"/>
  <c r="ER81" i="10"/>
  <c r="ER46" i="10"/>
  <c r="ER74" i="10"/>
  <c r="FJ94" i="10"/>
  <c r="EU16" i="10"/>
  <c r="FA53" i="10"/>
  <c r="EV16" i="10"/>
  <c r="FA23" i="10"/>
  <c r="FA37" i="10"/>
  <c r="FA46" i="10"/>
  <c r="FA93" i="10"/>
  <c r="FA95" i="10"/>
  <c r="GG49" i="10"/>
  <c r="GG57" i="10"/>
  <c r="GG78" i="10"/>
  <c r="GG83" i="10"/>
  <c r="ER45" i="10"/>
  <c r="ER48" i="10"/>
  <c r="ER17" i="10"/>
  <c r="ER21" i="10"/>
  <c r="ER47" i="10"/>
  <c r="ER42" i="10"/>
  <c r="ER87" i="10"/>
  <c r="ER59" i="10"/>
  <c r="ER65" i="10"/>
  <c r="ER68" i="10"/>
  <c r="FA41" i="10"/>
  <c r="FA42" i="10"/>
  <c r="FJ96" i="10"/>
  <c r="FI19" i="10"/>
  <c r="FI20" i="10"/>
  <c r="FI33" i="10"/>
  <c r="FI34" i="10"/>
  <c r="FJ37" i="10"/>
  <c r="FI40" i="10"/>
  <c r="FI42" i="10"/>
  <c r="FI45" i="10"/>
  <c r="FI49" i="10"/>
  <c r="FJ53" i="10"/>
  <c r="FJ58" i="10"/>
  <c r="FI62" i="10"/>
  <c r="FI65" i="10"/>
  <c r="FI84" i="10"/>
  <c r="FJ22" i="10"/>
  <c r="FJ17" i="10"/>
  <c r="FI17" i="10"/>
  <c r="FI74" i="10"/>
  <c r="FA39" i="10"/>
  <c r="GG92" i="10"/>
  <c r="GG84" i="10"/>
  <c r="GG82" i="10"/>
  <c r="GD16" i="10"/>
  <c r="GG27" i="10"/>
  <c r="GG26" i="10"/>
  <c r="GG87" i="10"/>
  <c r="GG63" i="10"/>
  <c r="HA28" i="10"/>
  <c r="HA84" i="10"/>
  <c r="HA23" i="10"/>
  <c r="HA78" i="10"/>
  <c r="HA80" i="10"/>
  <c r="HA93" i="10"/>
  <c r="HA29" i="10"/>
  <c r="HA43" i="10"/>
  <c r="HA53" i="10"/>
  <c r="HA85" i="10"/>
  <c r="HA70" i="10"/>
  <c r="HA75" i="10"/>
  <c r="HA20" i="10"/>
  <c r="HA40" i="10"/>
  <c r="HS28" i="10"/>
  <c r="HS54" i="10"/>
  <c r="HS69" i="10"/>
  <c r="HJ90" i="10"/>
  <c r="HE16" i="10"/>
  <c r="HD16" i="10"/>
  <c r="HJ21" i="10"/>
  <c r="HJ24" i="10"/>
  <c r="HJ43" i="10"/>
  <c r="HJ50" i="10"/>
  <c r="HJ58" i="10"/>
  <c r="HJ67" i="10"/>
  <c r="HJ80" i="10"/>
  <c r="HJ85" i="10"/>
  <c r="HJ93" i="10"/>
  <c r="HJ95" i="10"/>
  <c r="HR97" i="10"/>
  <c r="HS91" i="10"/>
  <c r="HR86" i="10"/>
  <c r="HS64" i="10"/>
  <c r="HS80" i="10"/>
  <c r="HA63" i="10"/>
  <c r="HA89" i="10"/>
  <c r="HA90" i="10"/>
  <c r="HA98" i="10"/>
  <c r="HA36" i="10"/>
  <c r="HA33" i="10"/>
  <c r="HA50" i="10"/>
  <c r="HA30" i="10"/>
  <c r="HA76" i="10"/>
  <c r="HA18" i="10"/>
  <c r="HA31" i="10"/>
  <c r="HJ49" i="10"/>
  <c r="HJ91" i="10"/>
  <c r="HJ70" i="10"/>
  <c r="HR71" i="10"/>
  <c r="HS94" i="10"/>
  <c r="HR94" i="10"/>
  <c r="HR83" i="10"/>
  <c r="HR23" i="10"/>
  <c r="HS47" i="10"/>
  <c r="HR48" i="10"/>
  <c r="HS32" i="10"/>
  <c r="HS60" i="10"/>
  <c r="HQ16" i="10"/>
  <c r="HS26" i="10"/>
  <c r="HS44" i="10"/>
  <c r="HR60" i="10"/>
  <c r="HS70" i="10"/>
  <c r="HS19" i="10"/>
  <c r="HR36" i="10"/>
  <c r="HS39" i="10"/>
  <c r="HR95" i="10"/>
  <c r="HR19" i="10"/>
  <c r="HS85" i="10"/>
  <c r="HS89" i="10"/>
  <c r="HR99" i="10"/>
  <c r="HR75" i="10"/>
  <c r="HR89" i="10"/>
  <c r="HJ27" i="10"/>
  <c r="HJ69" i="10"/>
  <c r="HJ44" i="10"/>
  <c r="HJ89" i="10"/>
  <c r="IM16" i="10"/>
  <c r="AW17" i="10"/>
  <c r="BA17" i="10"/>
  <c r="BB17" i="10"/>
  <c r="BP17" i="10"/>
  <c r="BC17" i="10"/>
  <c r="BR17" i="10"/>
  <c r="BQ17" i="10"/>
  <c r="BS17" i="10"/>
  <c r="HS58" i="10"/>
  <c r="HR30" i="10"/>
  <c r="HR46" i="10"/>
  <c r="HR18" i="10"/>
  <c r="HR53" i="10"/>
  <c r="HJ71" i="10"/>
  <c r="HR73" i="10"/>
  <c r="HA88" i="10"/>
  <c r="HA94" i="10"/>
  <c r="HF16" i="10"/>
  <c r="HR21" i="10"/>
  <c r="HR26" i="10"/>
  <c r="HR27" i="10"/>
  <c r="HJ30" i="10"/>
  <c r="HR39" i="10"/>
  <c r="HR41" i="10"/>
  <c r="HJ47" i="10"/>
  <c r="HA49" i="10"/>
  <c r="HA51" i="10"/>
  <c r="HJ53" i="10"/>
  <c r="HS62" i="10"/>
  <c r="HR64" i="10"/>
  <c r="HA65" i="10"/>
  <c r="HJ68" i="10"/>
  <c r="HA71" i="10"/>
  <c r="HR91" i="10"/>
  <c r="HA92" i="10"/>
  <c r="HJ64" i="10"/>
  <c r="HA67" i="10"/>
  <c r="HR70" i="10"/>
  <c r="HJ98" i="10"/>
  <c r="HS68" i="10"/>
  <c r="HJ76" i="10"/>
  <c r="HA21" i="10"/>
  <c r="HS21" i="10"/>
  <c r="HJ22" i="10"/>
  <c r="HA25" i="10"/>
  <c r="HA38" i="10"/>
  <c r="HJ56" i="10"/>
  <c r="HA58" i="10"/>
  <c r="HA59" i="10"/>
  <c r="HJ62" i="10"/>
  <c r="HA64" i="10"/>
  <c r="HR69" i="10"/>
  <c r="HA73" i="10"/>
  <c r="HR85" i="10"/>
  <c r="HJ38" i="10"/>
  <c r="HS18" i="10"/>
  <c r="HA24" i="10"/>
  <c r="HA26" i="10"/>
  <c r="HR28" i="10"/>
  <c r="HJ29" i="10"/>
  <c r="HR29" i="10"/>
  <c r="HJ40" i="10"/>
  <c r="HA41" i="10"/>
  <c r="HA46" i="10"/>
  <c r="HJ48" i="10"/>
  <c r="HR54" i="10"/>
  <c r="HJ86" i="10"/>
  <c r="HS90" i="10"/>
  <c r="HS22" i="10"/>
  <c r="HJ23" i="10"/>
  <c r="HR17" i="10"/>
  <c r="HA19" i="10"/>
  <c r="HR25" i="10"/>
  <c r="HS36" i="10"/>
  <c r="HJ54" i="10"/>
  <c r="HR59" i="10"/>
  <c r="HA60" i="10"/>
  <c r="HJ61" i="10"/>
  <c r="HR61" i="10"/>
  <c r="HA69" i="10"/>
  <c r="HJ78" i="10"/>
  <c r="HA81" i="10"/>
  <c r="HA86" i="10"/>
  <c r="HS86" i="10"/>
  <c r="HR92" i="10"/>
  <c r="HR93" i="10"/>
  <c r="HA96" i="10"/>
  <c r="HA97" i="10"/>
  <c r="HJ99" i="10"/>
  <c r="HS30" i="10"/>
  <c r="HA37" i="10"/>
  <c r="HS38" i="10"/>
  <c r="HA56" i="10"/>
  <c r="HJ57" i="10"/>
  <c r="HJ65" i="10"/>
  <c r="HA72" i="10"/>
  <c r="HS75" i="10"/>
  <c r="HS76" i="10"/>
  <c r="HR78" i="10"/>
  <c r="HA83" i="10"/>
  <c r="HJ94" i="10"/>
  <c r="FI71" i="10"/>
  <c r="FI76" i="10"/>
  <c r="FI89" i="10"/>
  <c r="FI48" i="10"/>
  <c r="FJ48" i="10"/>
  <c r="FI46" i="10"/>
  <c r="FJ46" i="10"/>
  <c r="FJ69" i="10"/>
  <c r="FI91" i="10"/>
  <c r="FI85" i="10"/>
  <c r="FI77" i="10"/>
  <c r="FI22" i="10"/>
  <c r="FA48" i="10"/>
  <c r="GG56" i="10"/>
  <c r="ER25" i="10"/>
  <c r="FA28" i="10"/>
  <c r="FI28" i="10"/>
  <c r="FJ29" i="10"/>
  <c r="FI32" i="10"/>
  <c r="FJ38" i="10"/>
  <c r="GG41" i="10"/>
  <c r="FA49" i="10"/>
  <c r="GG50" i="10"/>
  <c r="ER58" i="10"/>
  <c r="FJ64" i="10"/>
  <c r="FI92" i="10"/>
  <c r="FI54" i="10"/>
  <c r="FI23" i="10"/>
  <c r="FA29" i="10"/>
  <c r="ER30" i="10"/>
  <c r="FA31" i="10"/>
  <c r="FI31" i="10"/>
  <c r="FJ33" i="10"/>
  <c r="FI38" i="10"/>
  <c r="ER39" i="10"/>
  <c r="FJ43" i="10"/>
  <c r="ER52" i="10"/>
  <c r="ER54" i="10"/>
  <c r="FA64" i="10"/>
  <c r="FJ68" i="10"/>
  <c r="FI69" i="10"/>
  <c r="FI79" i="10"/>
  <c r="FA96" i="10"/>
  <c r="FA99" i="10"/>
  <c r="GG21" i="10"/>
  <c r="ER36" i="10"/>
  <c r="ER51" i="10"/>
  <c r="ER76" i="10"/>
  <c r="EW16" i="10"/>
  <c r="FJ21" i="10"/>
  <c r="ER22" i="10"/>
  <c r="FA33" i="10"/>
  <c r="FJ34" i="10"/>
  <c r="FJ35" i="10"/>
  <c r="FI36" i="10"/>
  <c r="FA43" i="10"/>
  <c r="FI56" i="10"/>
  <c r="ER63" i="10"/>
  <c r="ER72" i="10"/>
  <c r="GG80" i="10"/>
  <c r="FA97" i="10"/>
  <c r="FJ97" i="10"/>
  <c r="FI39" i="10"/>
  <c r="FJ55" i="10"/>
  <c r="ER62" i="10"/>
  <c r="FI86" i="10"/>
  <c r="FJ18" i="10"/>
  <c r="ER20" i="10"/>
  <c r="FI26" i="10"/>
  <c r="FI27" i="10"/>
  <c r="ER28" i="10"/>
  <c r="GG31" i="10"/>
  <c r="ER32" i="10"/>
  <c r="FA35" i="10"/>
  <c r="GG38" i="10"/>
  <c r="FA44" i="10"/>
  <c r="GG44" i="10"/>
  <c r="FJ45" i="10"/>
  <c r="GG46" i="10"/>
  <c r="FJ50" i="10"/>
  <c r="FA56" i="10"/>
  <c r="FA58" i="10"/>
  <c r="FA59" i="10"/>
  <c r="FJ65" i="10"/>
  <c r="ER66" i="10"/>
  <c r="FJ67" i="10"/>
  <c r="FI82" i="10"/>
  <c r="ER92" i="10"/>
  <c r="ER93" i="10"/>
  <c r="ER95" i="10"/>
  <c r="FJ91" i="10"/>
  <c r="GG22" i="10"/>
  <c r="ER38" i="10"/>
  <c r="ER40" i="10"/>
  <c r="ER44" i="10"/>
  <c r="FI47" i="10"/>
  <c r="FA50" i="10"/>
  <c r="GG60" i="10"/>
  <c r="GG66" i="10"/>
  <c r="FA67" i="10"/>
  <c r="GG69" i="10"/>
  <c r="ER79" i="10"/>
  <c r="FI81" i="10"/>
  <c r="ER82" i="10"/>
  <c r="ER96" i="10"/>
  <c r="ER97" i="10"/>
  <c r="FI87" i="10"/>
  <c r="FA21" i="10"/>
  <c r="FI25" i="10"/>
  <c r="ER26" i="10"/>
  <c r="ER34" i="10"/>
  <c r="GG37" i="10"/>
  <c r="ER37" i="10"/>
  <c r="ER43" i="10"/>
  <c r="FA45" i="10"/>
  <c r="FI52" i="10"/>
  <c r="FA55" i="10"/>
  <c r="FA69" i="10"/>
  <c r="FI73" i="10"/>
  <c r="ER75" i="10"/>
  <c r="FI80" i="10"/>
  <c r="FA81" i="10"/>
  <c r="ER89" i="10"/>
  <c r="FJ89" i="10"/>
  <c r="CR64" i="10"/>
  <c r="CR93" i="10"/>
  <c r="CR54" i="10"/>
  <c r="CI70" i="10"/>
  <c r="CR23" i="10"/>
  <c r="CR24" i="10"/>
  <c r="DA27" i="10"/>
  <c r="CZ27" i="10"/>
  <c r="CR29" i="10"/>
  <c r="CR30" i="10"/>
  <c r="CZ30" i="10"/>
  <c r="CI38" i="10"/>
  <c r="DA40" i="10"/>
  <c r="DA41" i="10"/>
  <c r="CZ41" i="10"/>
  <c r="CR45" i="10"/>
  <c r="CI76" i="10"/>
  <c r="CI82" i="10"/>
  <c r="CI87" i="10"/>
  <c r="CR98" i="10"/>
  <c r="CR18" i="10"/>
  <c r="CR19" i="10"/>
  <c r="DA30" i="10"/>
  <c r="CI32" i="10"/>
  <c r="CR35" i="10"/>
  <c r="CZ36" i="10"/>
  <c r="CR42" i="10"/>
  <c r="CR44" i="10"/>
  <c r="CI45" i="10"/>
  <c r="DA53" i="10"/>
  <c r="CR63" i="10"/>
  <c r="CZ69" i="10"/>
  <c r="CR70" i="10"/>
  <c r="CR85" i="10"/>
  <c r="DA89" i="10"/>
  <c r="CI91" i="10"/>
  <c r="CI92" i="10"/>
  <c r="DA96" i="10"/>
  <c r="CR97" i="10"/>
  <c r="CZ97" i="10"/>
  <c r="CI98" i="10"/>
  <c r="CN16" i="10"/>
  <c r="CI17" i="10"/>
  <c r="CR20" i="10"/>
  <c r="CZ23" i="10"/>
  <c r="DA24" i="10"/>
  <c r="CZ29" i="10"/>
  <c r="CI33" i="10"/>
  <c r="CR38" i="10"/>
  <c r="CI41" i="10"/>
  <c r="DA51" i="10"/>
  <c r="CI52" i="10"/>
  <c r="CR57" i="10"/>
  <c r="CI72" i="10"/>
  <c r="CI73" i="10"/>
  <c r="CZ76" i="10"/>
  <c r="CI86" i="10"/>
  <c r="CR90" i="10"/>
  <c r="CZ90" i="10"/>
  <c r="CZ91" i="10"/>
  <c r="DA94" i="10"/>
  <c r="CZ24" i="10"/>
  <c r="CI26" i="10"/>
  <c r="CI29" i="10"/>
  <c r="DA31" i="10"/>
  <c r="DA36" i="10"/>
  <c r="CZ38" i="10"/>
  <c r="DA42" i="10"/>
  <c r="CR43" i="10"/>
  <c r="CZ56" i="10"/>
  <c r="CR67" i="10"/>
  <c r="CZ67" i="10"/>
  <c r="DA70" i="10"/>
  <c r="CZ70" i="10"/>
  <c r="CR73" i="10"/>
  <c r="CZ74" i="10"/>
  <c r="DA76" i="10"/>
  <c r="DA79" i="10"/>
  <c r="CI81" i="10"/>
  <c r="CR83" i="10"/>
  <c r="CZ83" i="10"/>
  <c r="CZ84" i="10"/>
  <c r="CZ86" i="10"/>
  <c r="CZ92" i="10"/>
  <c r="CZ93" i="10"/>
  <c r="CI99" i="10"/>
  <c r="CI18" i="10"/>
  <c r="CZ21" i="10"/>
  <c r="CR27" i="10"/>
  <c r="CZ32" i="10"/>
  <c r="DA38" i="10"/>
  <c r="CZ43" i="10"/>
  <c r="CI57" i="10"/>
  <c r="CZ64" i="10"/>
  <c r="CI65" i="10"/>
  <c r="CI66" i="10"/>
  <c r="CR77" i="10"/>
  <c r="CR80" i="10"/>
  <c r="CZ80" i="10"/>
  <c r="CR81" i="10"/>
  <c r="CR86" i="10"/>
  <c r="DA88" i="10"/>
  <c r="CZ66" i="10"/>
  <c r="CR92" i="10"/>
  <c r="DA98" i="10"/>
  <c r="CR33" i="10"/>
  <c r="CI35" i="10"/>
  <c r="CZ54" i="10"/>
  <c r="CZ59" i="10"/>
  <c r="CZ22" i="10"/>
  <c r="DA23" i="10"/>
  <c r="CI24" i="10"/>
  <c r="CI28" i="10"/>
  <c r="CI31" i="10"/>
  <c r="CR58" i="10"/>
  <c r="CI62" i="10"/>
  <c r="DA86" i="10"/>
  <c r="H22" i="19"/>
  <c r="H20" i="6"/>
  <c r="AQ38" i="10"/>
  <c r="AR23" i="10"/>
  <c r="AI27" i="10"/>
  <c r="I17" i="19"/>
  <c r="I15" i="6"/>
  <c r="AI32" i="10"/>
  <c r="F16" i="19"/>
  <c r="F14" i="6"/>
  <c r="P90" i="6" s="1"/>
  <c r="AR48" i="10"/>
  <c r="AI58" i="10"/>
  <c r="GE72" i="10"/>
  <c r="GG72" i="10" s="1"/>
  <c r="BO72" i="10"/>
  <c r="AR31" i="10"/>
  <c r="AR37" i="10"/>
  <c r="H16" i="19"/>
  <c r="H14" i="6"/>
  <c r="I13" i="19"/>
  <c r="I11" i="6"/>
  <c r="AR19" i="10"/>
  <c r="BO19" i="10"/>
  <c r="AI37" i="10"/>
  <c r="AQ43" i="10"/>
  <c r="AQ50" i="10"/>
  <c r="AQ53" i="10"/>
  <c r="AI74" i="10"/>
  <c r="AI46" i="10"/>
  <c r="Z63" i="10"/>
  <c r="AI82" i="10"/>
  <c r="AQ27" i="10"/>
  <c r="AQ25" i="10"/>
  <c r="F11" i="19"/>
  <c r="F9" i="6"/>
  <c r="AI64" i="10"/>
  <c r="AI71" i="10"/>
  <c r="AQ22" i="10"/>
  <c r="AI53" i="10"/>
  <c r="AI78" i="10"/>
  <c r="AR78" i="10"/>
  <c r="GE91" i="10"/>
  <c r="GG91" i="10" s="1"/>
  <c r="BO91" i="10"/>
  <c r="AI99" i="10"/>
  <c r="AQ69" i="10"/>
  <c r="AR36" i="10"/>
  <c r="AQ46" i="10"/>
  <c r="Z49" i="10"/>
  <c r="AI63" i="10"/>
  <c r="BO77" i="10"/>
  <c r="AI95" i="10"/>
  <c r="AR75" i="10"/>
  <c r="GG19" i="10"/>
  <c r="Z21" i="10"/>
  <c r="GG23" i="10"/>
  <c r="AR24" i="10"/>
  <c r="AQ30" i="10"/>
  <c r="AQ32" i="10"/>
  <c r="AQ37" i="10"/>
  <c r="AI42" i="10"/>
  <c r="AQ51" i="10"/>
  <c r="AR60" i="10"/>
  <c r="Z66" i="10"/>
  <c r="AR67" i="10"/>
  <c r="GG70" i="10"/>
  <c r="AQ76" i="10"/>
  <c r="AR80" i="10"/>
  <c r="BO80" i="10"/>
  <c r="BO82" i="10"/>
  <c r="AI83" i="10"/>
  <c r="AI94" i="10"/>
  <c r="AQ94" i="10"/>
  <c r="Z95" i="10"/>
  <c r="AI96" i="10"/>
  <c r="AR97" i="10"/>
  <c r="AQ26" i="10"/>
  <c r="BO21" i="10"/>
  <c r="Z34" i="10"/>
  <c r="AQ40" i="10"/>
  <c r="Z44" i="10"/>
  <c r="BO46" i="10"/>
  <c r="DA49" i="10"/>
  <c r="AI52" i="10"/>
  <c r="Z55" i="10"/>
  <c r="AQ58" i="10"/>
  <c r="AQ59" i="10"/>
  <c r="GG59" i="10"/>
  <c r="AI65" i="10"/>
  <c r="AQ65" i="10"/>
  <c r="AQ72" i="10"/>
  <c r="BO73" i="10"/>
  <c r="BO74" i="10"/>
  <c r="GG74" i="10"/>
  <c r="GG75" i="10"/>
  <c r="GG77" i="10"/>
  <c r="BO78" i="10"/>
  <c r="GG85" i="10"/>
  <c r="Z94" i="10"/>
  <c r="AI97" i="10"/>
  <c r="DA99" i="10"/>
  <c r="Z19" i="10"/>
  <c r="Z20" i="10"/>
  <c r="Z22" i="10"/>
  <c r="Z28" i="10"/>
  <c r="BO29" i="10"/>
  <c r="BO35" i="10"/>
  <c r="BO37" i="10"/>
  <c r="AQ39" i="10"/>
  <c r="BO44" i="10"/>
  <c r="AQ45" i="10"/>
  <c r="DA46" i="10"/>
  <c r="AR49" i="10"/>
  <c r="Z52" i="10"/>
  <c r="Z58" i="10"/>
  <c r="AI61" i="10"/>
  <c r="GG62" i="10"/>
  <c r="AR64" i="10"/>
  <c r="GG68" i="10"/>
  <c r="AI69" i="10"/>
  <c r="Z70" i="10"/>
  <c r="GG71" i="10"/>
  <c r="AQ84" i="10"/>
  <c r="Z96" i="10"/>
  <c r="BO39" i="10"/>
  <c r="AR42" i="10"/>
  <c r="AR20" i="10"/>
  <c r="AI31" i="10"/>
  <c r="AQ35" i="10"/>
  <c r="GG42" i="10"/>
  <c r="GG48" i="10"/>
  <c r="AR50" i="10"/>
  <c r="BO52" i="10"/>
  <c r="AI54" i="10"/>
  <c r="AR57" i="10"/>
  <c r="CI77" i="10"/>
  <c r="AQ87" i="10"/>
  <c r="AI89" i="10"/>
  <c r="GG90" i="10"/>
  <c r="Z97" i="10"/>
  <c r="BO98" i="10"/>
  <c r="BO38" i="10"/>
  <c r="AI40" i="10"/>
  <c r="AR66" i="10"/>
  <c r="AR70" i="10"/>
  <c r="AI76" i="10"/>
  <c r="BO22" i="10"/>
  <c r="AQ28" i="10"/>
  <c r="Z29" i="10"/>
  <c r="GG29" i="10"/>
  <c r="BO30" i="10"/>
  <c r="Z37" i="10"/>
  <c r="Z40" i="10"/>
  <c r="BO55" i="10"/>
  <c r="AR76" i="10"/>
  <c r="AQ78" i="10"/>
  <c r="AI81" i="10"/>
  <c r="DA82" i="10"/>
  <c r="CI84" i="10"/>
  <c r="AI86" i="10"/>
  <c r="BO86" i="10"/>
  <c r="AI87" i="10"/>
  <c r="BO87" i="10"/>
  <c r="AQ88" i="10"/>
  <c r="AI93" i="10"/>
  <c r="BO94" i="10"/>
  <c r="AU17" i="10"/>
  <c r="FI44" i="10"/>
  <c r="FJ44" i="10"/>
  <c r="BS16" i="10"/>
  <c r="AX17" i="10"/>
  <c r="F52" i="6"/>
  <c r="H27" i="19"/>
  <c r="O33" i="10"/>
  <c r="H25" i="6"/>
  <c r="HJ19" i="10"/>
  <c r="HJ34" i="10"/>
  <c r="FI59" i="10"/>
  <c r="FJ59" i="10"/>
  <c r="BO69" i="10"/>
  <c r="ER31" i="10"/>
  <c r="I16" i="19"/>
  <c r="P22" i="10"/>
  <c r="I14" i="6"/>
  <c r="FA22" i="10"/>
  <c r="H12" i="19"/>
  <c r="O18" i="10"/>
  <c r="H10" i="6"/>
  <c r="E5" i="19"/>
  <c r="AQ17" i="10"/>
  <c r="DA17" i="10"/>
  <c r="HJ18" i="10"/>
  <c r="AI22" i="10"/>
  <c r="FI29" i="10"/>
  <c r="AR40" i="10"/>
  <c r="HS40" i="10"/>
  <c r="FJ41" i="10"/>
  <c r="FI41" i="10"/>
  <c r="DA43" i="10"/>
  <c r="AR43" i="10"/>
  <c r="AQ52" i="10"/>
  <c r="AR52" i="10"/>
  <c r="H61" i="19"/>
  <c r="O67" i="10"/>
  <c r="I61" i="19"/>
  <c r="P67" i="10"/>
  <c r="H30" i="19"/>
  <c r="O36" i="10"/>
  <c r="F12" i="19"/>
  <c r="M18" i="10"/>
  <c r="F10" i="6"/>
  <c r="ER18" i="10"/>
  <c r="HJ20" i="10"/>
  <c r="H23" i="19"/>
  <c r="O29" i="10"/>
  <c r="H28" i="19"/>
  <c r="O34" i="10"/>
  <c r="F26" i="19"/>
  <c r="M32" i="10"/>
  <c r="HA17" i="10"/>
  <c r="AQ18" i="10"/>
  <c r="HJ28" i="10"/>
  <c r="F13" i="19"/>
  <c r="M19" i="10"/>
  <c r="F17" i="19"/>
  <c r="M23" i="10"/>
  <c r="H21" i="19"/>
  <c r="O27" i="10"/>
  <c r="CR17" i="10"/>
  <c r="GG54" i="10"/>
  <c r="F54" i="19"/>
  <c r="M60" i="10"/>
  <c r="F30" i="19"/>
  <c r="M36" i="10"/>
  <c r="F28" i="6"/>
  <c r="H54" i="19"/>
  <c r="O60" i="10"/>
  <c r="CI19" i="10"/>
  <c r="AI20" i="10"/>
  <c r="CI27" i="10"/>
  <c r="AQ47" i="10"/>
  <c r="AR47" i="10"/>
  <c r="H52" i="6"/>
  <c r="I59" i="6"/>
  <c r="I27" i="19"/>
  <c r="P33" i="10"/>
  <c r="I25" i="6"/>
  <c r="F23" i="19"/>
  <c r="M29" i="10"/>
  <c r="G55" i="7"/>
  <c r="K46" i="6" s="1"/>
  <c r="F21" i="6"/>
  <c r="H26" i="6"/>
  <c r="FA18" i="10"/>
  <c r="BO20" i="10"/>
  <c r="AQ21" i="10"/>
  <c r="AR21" i="10"/>
  <c r="BO25" i="10"/>
  <c r="ER19" i="10"/>
  <c r="FJ24" i="10"/>
  <c r="FI24" i="10"/>
  <c r="HS31" i="10"/>
  <c r="HR31" i="10"/>
  <c r="CZ33" i="10"/>
  <c r="CR34" i="10"/>
  <c r="HS35" i="10"/>
  <c r="HR35" i="10"/>
  <c r="GG39" i="10"/>
  <c r="DA85" i="10"/>
  <c r="CZ85" i="10"/>
  <c r="I12" i="19"/>
  <c r="P18" i="10"/>
  <c r="I23" i="19"/>
  <c r="P29" i="10"/>
  <c r="F28" i="19"/>
  <c r="M34" i="10"/>
  <c r="I30" i="19"/>
  <c r="P36" i="10"/>
  <c r="I54" i="19"/>
  <c r="P60" i="10"/>
  <c r="CI16" i="10"/>
  <c r="BY17" i="10"/>
  <c r="CZ17" i="10"/>
  <c r="FI18" i="10"/>
  <c r="M20" i="10"/>
  <c r="DA22" i="10"/>
  <c r="HJ31" i="10"/>
  <c r="CR32" i="10"/>
  <c r="HA39" i="10"/>
  <c r="HJ45" i="10"/>
  <c r="HS45" i="10"/>
  <c r="HS51" i="10"/>
  <c r="HR51" i="10"/>
  <c r="AR81" i="10"/>
  <c r="AQ81" i="10"/>
  <c r="HS84" i="10"/>
  <c r="HR84" i="10"/>
  <c r="AR86" i="10"/>
  <c r="AQ86" i="10"/>
  <c r="H13" i="19"/>
  <c r="O19" i="10"/>
  <c r="Z17" i="10"/>
  <c r="GG17" i="10"/>
  <c r="HS17" i="10"/>
  <c r="CR37" i="10"/>
  <c r="F22" i="19"/>
  <c r="M28" i="10"/>
  <c r="F29" i="19"/>
  <c r="M35" i="10"/>
  <c r="M17" i="10"/>
  <c r="FA17" i="10"/>
  <c r="DA18" i="10"/>
  <c r="CZ18" i="10"/>
  <c r="FJ19" i="10"/>
  <c r="AQ20" i="10"/>
  <c r="CR21" i="10"/>
  <c r="FI21" i="10"/>
  <c r="P23" i="10"/>
  <c r="AI23" i="10"/>
  <c r="GE24" i="10"/>
  <c r="GG24" i="10" s="1"/>
  <c r="AR25" i="10"/>
  <c r="HJ26" i="10"/>
  <c r="O28" i="10"/>
  <c r="CR28" i="10"/>
  <c r="DA28" i="10"/>
  <c r="CZ28" i="10"/>
  <c r="AR29" i="10"/>
  <c r="FJ30" i="10"/>
  <c r="HS33" i="10"/>
  <c r="AR34" i="10"/>
  <c r="AQ36" i="10"/>
  <c r="BY43" i="10"/>
  <c r="AR44" i="10"/>
  <c r="DA44" i="10"/>
  <c r="FJ51" i="10"/>
  <c r="FI51" i="10"/>
  <c r="HA54" i="10"/>
  <c r="BO65" i="10"/>
  <c r="GE65" i="10"/>
  <c r="GG65" i="10" s="1"/>
  <c r="FI99" i="10"/>
  <c r="FJ99" i="10"/>
  <c r="AQ24" i="10"/>
  <c r="H17" i="19"/>
  <c r="O23" i="10"/>
  <c r="I21" i="19"/>
  <c r="P27" i="10"/>
  <c r="I28" i="19"/>
  <c r="P34" i="10"/>
  <c r="G56" i="7"/>
  <c r="CR22" i="10"/>
  <c r="FI63" i="10"/>
  <c r="FJ63" i="10"/>
  <c r="I26" i="19"/>
  <c r="P32" i="10"/>
  <c r="H29" i="19"/>
  <c r="O35" i="10"/>
  <c r="DA16" i="10"/>
  <c r="O17" i="10"/>
  <c r="HJ17" i="10"/>
  <c r="AI18" i="10"/>
  <c r="P19" i="10"/>
  <c r="AI19" i="10"/>
  <c r="M22" i="10"/>
  <c r="AI29" i="10"/>
  <c r="DA29" i="10"/>
  <c r="AI33" i="10"/>
  <c r="DA33" i="10"/>
  <c r="HR33" i="10"/>
  <c r="AI39" i="10"/>
  <c r="GG40" i="10"/>
  <c r="FJ42" i="10"/>
  <c r="AR46" i="10"/>
  <c r="GE53" i="10"/>
  <c r="GG53" i="10" s="1"/>
  <c r="BO53" i="10"/>
  <c r="H26" i="19"/>
  <c r="O32" i="10"/>
  <c r="AR18" i="10"/>
  <c r="GG20" i="10"/>
  <c r="I11" i="19"/>
  <c r="P17" i="10"/>
  <c r="H14" i="19"/>
  <c r="O20" i="10"/>
  <c r="I22" i="19"/>
  <c r="P28" i="10"/>
  <c r="F27" i="19"/>
  <c r="M33" i="10"/>
  <c r="I29" i="19"/>
  <c r="P35" i="10"/>
  <c r="F61" i="19"/>
  <c r="M67" i="10"/>
  <c r="BY93" i="10"/>
  <c r="BY92" i="10"/>
  <c r="BY87" i="10"/>
  <c r="BY74" i="10"/>
  <c r="BY64" i="10"/>
  <c r="BY54" i="10"/>
  <c r="BY50" i="10"/>
  <c r="BY98" i="10"/>
  <c r="BY84" i="10"/>
  <c r="BY79" i="10"/>
  <c r="BY70" i="10"/>
  <c r="BY67" i="10"/>
  <c r="BY57" i="10"/>
  <c r="BY89" i="10"/>
  <c r="BY96" i="10"/>
  <c r="BY82" i="10"/>
  <c r="BY81" i="10"/>
  <c r="BY68" i="10"/>
  <c r="BY65" i="10"/>
  <c r="BY56" i="10"/>
  <c r="BY55" i="10"/>
  <c r="BY99" i="10"/>
  <c r="BY97" i="10"/>
  <c r="BY86" i="10"/>
  <c r="BY73" i="10"/>
  <c r="BY63" i="10"/>
  <c r="BY62" i="10"/>
  <c r="BY39" i="10"/>
  <c r="BY35" i="10"/>
  <c r="BY88" i="10"/>
  <c r="BY77" i="10"/>
  <c r="BY48" i="10"/>
  <c r="BY83" i="10"/>
  <c r="BY59" i="10"/>
  <c r="BY90" i="10"/>
  <c r="BY76" i="10"/>
  <c r="BY75" i="10"/>
  <c r="BY91" i="10"/>
  <c r="BY61" i="10"/>
  <c r="BY47" i="10"/>
  <c r="BY46" i="10"/>
  <c r="BY45" i="10"/>
  <c r="BY42" i="10"/>
  <c r="BY37" i="10"/>
  <c r="BY23" i="10"/>
  <c r="BY53" i="10"/>
  <c r="BY85" i="10"/>
  <c r="BY80" i="10"/>
  <c r="BY78" i="10"/>
  <c r="BY41" i="10"/>
  <c r="BY30" i="10"/>
  <c r="BY28" i="10"/>
  <c r="BY66" i="10"/>
  <c r="BY58" i="10"/>
  <c r="BY32" i="10"/>
  <c r="BY27" i="10"/>
  <c r="BY24" i="10"/>
  <c r="BY60" i="10"/>
  <c r="BY52" i="10"/>
  <c r="BY44" i="10"/>
  <c r="BY38" i="10"/>
  <c r="BY94" i="10"/>
  <c r="BY71" i="10"/>
  <c r="BY34" i="10"/>
  <c r="BY49" i="10"/>
  <c r="BY31" i="10"/>
  <c r="BY26" i="10"/>
  <c r="BY21" i="10"/>
  <c r="BY16" i="10"/>
  <c r="BY36" i="10"/>
  <c r="BY25" i="10"/>
  <c r="BY20" i="10"/>
  <c r="BY69" i="10"/>
  <c r="BY19" i="10"/>
  <c r="BY51" i="10"/>
  <c r="BY33" i="10"/>
  <c r="BY18" i="10"/>
  <c r="AR17" i="10"/>
  <c r="Z18" i="10"/>
  <c r="CZ19" i="10"/>
  <c r="FA19" i="10"/>
  <c r="DA20" i="10"/>
  <c r="FA20" i="10"/>
  <c r="FJ20" i="10"/>
  <c r="HR20" i="10"/>
  <c r="HS20" i="10"/>
  <c r="DA21" i="10"/>
  <c r="O22" i="10"/>
  <c r="AR22" i="10"/>
  <c r="AQ23" i="10"/>
  <c r="FA24" i="10"/>
  <c r="HS24" i="10"/>
  <c r="HR24" i="10"/>
  <c r="FJ28" i="10"/>
  <c r="HJ32" i="10"/>
  <c r="AQ34" i="10"/>
  <c r="FA34" i="10"/>
  <c r="FA36" i="10"/>
  <c r="CZ37" i="10"/>
  <c r="HJ37" i="10"/>
  <c r="HR37" i="10"/>
  <c r="Z39" i="10"/>
  <c r="CR46" i="10"/>
  <c r="GG64" i="10"/>
  <c r="FI66" i="10"/>
  <c r="FJ66" i="10"/>
  <c r="HS88" i="10"/>
  <c r="HR88" i="10"/>
  <c r="GG18" i="10"/>
  <c r="FJ23" i="10"/>
  <c r="AI24" i="10"/>
  <c r="FA25" i="10"/>
  <c r="FJ25" i="10"/>
  <c r="Z27" i="10"/>
  <c r="AR30" i="10"/>
  <c r="FA30" i="10"/>
  <c r="FI30" i="10"/>
  <c r="Z33" i="10"/>
  <c r="HJ33" i="10"/>
  <c r="AI34" i="10"/>
  <c r="BO34" i="10"/>
  <c r="HA34" i="10"/>
  <c r="GG35" i="10"/>
  <c r="FI37" i="10"/>
  <c r="Z38" i="10"/>
  <c r="HR38" i="10"/>
  <c r="GG43" i="10"/>
  <c r="HA44" i="10"/>
  <c r="AR45" i="10"/>
  <c r="CZ52" i="10"/>
  <c r="CI55" i="10"/>
  <c r="CZ58" i="10"/>
  <c r="AR82" i="10"/>
  <c r="AQ82" i="10"/>
  <c r="AQ19" i="10"/>
  <c r="CI20" i="10"/>
  <c r="ER24" i="10"/>
  <c r="AI25" i="10"/>
  <c r="DA25" i="10"/>
  <c r="AR27" i="10"/>
  <c r="FJ27" i="10"/>
  <c r="HS27" i="10"/>
  <c r="AQ31" i="10"/>
  <c r="FJ32" i="10"/>
  <c r="CI34" i="10"/>
  <c r="CZ35" i="10"/>
  <c r="CR36" i="10"/>
  <c r="GE36" i="10"/>
  <c r="GG36" i="10" s="1"/>
  <c r="CZ39" i="10"/>
  <c r="AI41" i="10"/>
  <c r="Z43" i="10"/>
  <c r="AI43" i="10"/>
  <c r="HR43" i="10"/>
  <c r="HS43" i="10"/>
  <c r="BO50" i="10"/>
  <c r="HR50" i="10"/>
  <c r="HS50" i="10"/>
  <c r="Z56" i="10"/>
  <c r="FA60" i="10"/>
  <c r="GG61" i="10"/>
  <c r="Z72" i="10"/>
  <c r="CZ20" i="10"/>
  <c r="AI21" i="10"/>
  <c r="HR22" i="10"/>
  <c r="HS23" i="10"/>
  <c r="DA26" i="10"/>
  <c r="CR26" i="10"/>
  <c r="BO27" i="10"/>
  <c r="FA27" i="10"/>
  <c r="FB27" i="10" s="1"/>
  <c r="GG30" i="10"/>
  <c r="Z31" i="10"/>
  <c r="CR31" i="10"/>
  <c r="FJ31" i="10"/>
  <c r="GG33" i="10"/>
  <c r="GG34" i="10"/>
  <c r="HA35" i="10"/>
  <c r="HJ39" i="10"/>
  <c r="HA42" i="10"/>
  <c r="AI45" i="10"/>
  <c r="BO45" i="10"/>
  <c r="CI46" i="10"/>
  <c r="Z46" i="10"/>
  <c r="FA47" i="10"/>
  <c r="AI51" i="10"/>
  <c r="FA63" i="10"/>
  <c r="GE88" i="10"/>
  <c r="GG88" i="10" s="1"/>
  <c r="BO88" i="10"/>
  <c r="CI22" i="10"/>
  <c r="HA22" i="10"/>
  <c r="CI25" i="10"/>
  <c r="GG25" i="10"/>
  <c r="Z26" i="10"/>
  <c r="HA27" i="10"/>
  <c r="HS29" i="10"/>
  <c r="Z32" i="10"/>
  <c r="BO32" i="10"/>
  <c r="FA32" i="10"/>
  <c r="HR32" i="10"/>
  <c r="AR33" i="10"/>
  <c r="Z36" i="10"/>
  <c r="FJ36" i="10"/>
  <c r="HJ36" i="10"/>
  <c r="CI37" i="10"/>
  <c r="HS37" i="10"/>
  <c r="AR38" i="10"/>
  <c r="FA38" i="10"/>
  <c r="DA39" i="10"/>
  <c r="CZ40" i="10"/>
  <c r="HS41" i="10"/>
  <c r="FI43" i="10"/>
  <c r="ER23" i="10"/>
  <c r="AQ29" i="10"/>
  <c r="AQ33" i="10"/>
  <c r="CZ34" i="10"/>
  <c r="AI35" i="10"/>
  <c r="CI39" i="10"/>
  <c r="FJ39" i="10"/>
  <c r="CI40" i="10"/>
  <c r="HJ41" i="10"/>
  <c r="CI43" i="10"/>
  <c r="HA45" i="10"/>
  <c r="FJ47" i="10"/>
  <c r="BO49" i="10"/>
  <c r="HJ51" i="10"/>
  <c r="ER56" i="10"/>
  <c r="HR57" i="10"/>
  <c r="HS57" i="10"/>
  <c r="FI72" i="10"/>
  <c r="HJ74" i="10"/>
  <c r="HR74" i="10"/>
  <c r="CI80" i="10"/>
  <c r="CR94" i="10"/>
  <c r="HJ25" i="10"/>
  <c r="HS25" i="10"/>
  <c r="FI35" i="10"/>
  <c r="AI36" i="10"/>
  <c r="AI38" i="10"/>
  <c r="Z41" i="10"/>
  <c r="AQ41" i="10"/>
  <c r="Z42" i="10"/>
  <c r="AQ44" i="10"/>
  <c r="CZ44" i="10"/>
  <c r="HJ46" i="10"/>
  <c r="BO47" i="10"/>
  <c r="CR48" i="10"/>
  <c r="FJ49" i="10"/>
  <c r="DA57" i="10"/>
  <c r="FA61" i="10"/>
  <c r="FI61" i="10"/>
  <c r="FJ61" i="10"/>
  <c r="HS65" i="10"/>
  <c r="HR65" i="10"/>
  <c r="HS67" i="10"/>
  <c r="HR67" i="10"/>
  <c r="HS79" i="10"/>
  <c r="HR79" i="10"/>
  <c r="FA26" i="10"/>
  <c r="FB26" i="10" s="1"/>
  <c r="FJ26" i="10"/>
  <c r="HS34" i="10"/>
  <c r="DA37" i="10"/>
  <c r="HJ42" i="10"/>
  <c r="HS42" i="10"/>
  <c r="AI44" i="10"/>
  <c r="CR47" i="10"/>
  <c r="HR47" i="10"/>
  <c r="Z53" i="10"/>
  <c r="AR54" i="10"/>
  <c r="DA54" i="10"/>
  <c r="FI55" i="10"/>
  <c r="DA59" i="10"/>
  <c r="HJ60" i="10"/>
  <c r="CR61" i="10"/>
  <c r="DA61" i="10"/>
  <c r="AR62" i="10"/>
  <c r="HR62" i="10"/>
  <c r="AI70" i="10"/>
  <c r="AQ70" i="10"/>
  <c r="ER83" i="10"/>
  <c r="DA87" i="10"/>
  <c r="AR87" i="10"/>
  <c r="CR25" i="10"/>
  <c r="GG28" i="10"/>
  <c r="GG32" i="10"/>
  <c r="HR34" i="10"/>
  <c r="HJ35" i="10"/>
  <c r="AR39" i="10"/>
  <c r="CR40" i="10"/>
  <c r="FA40" i="10"/>
  <c r="FJ40" i="10"/>
  <c r="CR41" i="10"/>
  <c r="AQ42" i="10"/>
  <c r="HR42" i="10"/>
  <c r="HR45" i="10"/>
  <c r="AI47" i="10"/>
  <c r="HA47" i="10"/>
  <c r="AI48" i="10"/>
  <c r="HA48" i="10"/>
  <c r="Z50" i="10"/>
  <c r="AI50" i="10"/>
  <c r="CR51" i="10"/>
  <c r="FJ56" i="10"/>
  <c r="AQ57" i="10"/>
  <c r="FI60" i="10"/>
  <c r="AQ63" i="10"/>
  <c r="HR66" i="10"/>
  <c r="FA68" i="10"/>
  <c r="CI69" i="10"/>
  <c r="FA70" i="10"/>
  <c r="FJ70" i="10"/>
  <c r="CR72" i="10"/>
  <c r="AQ79" i="10"/>
  <c r="AR79" i="10"/>
  <c r="HA55" i="10"/>
  <c r="CI56" i="10"/>
  <c r="AI57" i="10"/>
  <c r="Z65" i="10"/>
  <c r="HJ66" i="10"/>
  <c r="HS66" i="10"/>
  <c r="HR68" i="10"/>
  <c r="HS71" i="10"/>
  <c r="FA73" i="10"/>
  <c r="CI75" i="10"/>
  <c r="HJ84" i="10"/>
  <c r="HA91" i="10"/>
  <c r="CR95" i="10"/>
  <c r="GG95" i="10"/>
  <c r="HS95" i="10"/>
  <c r="FA52" i="10"/>
  <c r="HA52" i="10"/>
  <c r="CI53" i="10"/>
  <c r="AR58" i="10"/>
  <c r="DA58" i="10"/>
  <c r="BO58" i="10"/>
  <c r="GE58" i="10"/>
  <c r="GG58" i="10" s="1"/>
  <c r="AI59" i="10"/>
  <c r="CI60" i="10"/>
  <c r="AR61" i="10"/>
  <c r="AQ61" i="10"/>
  <c r="HS63" i="10"/>
  <c r="FI64" i="10"/>
  <c r="DA66" i="10"/>
  <c r="FI67" i="10"/>
  <c r="CZ68" i="10"/>
  <c r="FI68" i="10"/>
  <c r="Z71" i="10"/>
  <c r="FA71" i="10"/>
  <c r="CI74" i="10"/>
  <c r="FA76" i="10"/>
  <c r="CZ79" i="10"/>
  <c r="DA81" i="10"/>
  <c r="CI88" i="10"/>
  <c r="FI96" i="10"/>
  <c r="HR44" i="10"/>
  <c r="HS46" i="10"/>
  <c r="GG47" i="10"/>
  <c r="CI48" i="10"/>
  <c r="AI49" i="10"/>
  <c r="ER49" i="10"/>
  <c r="HS49" i="10"/>
  <c r="ER50" i="10"/>
  <c r="FA51" i="10"/>
  <c r="FB51" i="10" s="1"/>
  <c r="HS53" i="10"/>
  <c r="FA54" i="10"/>
  <c r="FB54" i="10" s="1"/>
  <c r="FJ54" i="10"/>
  <c r="AR56" i="10"/>
  <c r="BO56" i="10"/>
  <c r="ER57" i="10"/>
  <c r="CI58" i="10"/>
  <c r="Z59" i="10"/>
  <c r="ER60" i="10"/>
  <c r="BO62" i="10"/>
  <c r="HA62" i="10"/>
  <c r="FA66" i="10"/>
  <c r="CI68" i="10"/>
  <c r="AQ68" i="10"/>
  <c r="CI71" i="10"/>
  <c r="CZ72" i="10"/>
  <c r="CR75" i="10"/>
  <c r="CZ75" i="10"/>
  <c r="CI78" i="10"/>
  <c r="AI79" i="10"/>
  <c r="HA79" i="10"/>
  <c r="HJ81" i="10"/>
  <c r="AQ85" i="10"/>
  <c r="HJ87" i="10"/>
  <c r="HR87" i="10"/>
  <c r="FI88" i="10"/>
  <c r="AR90" i="10"/>
  <c r="AQ93" i="10"/>
  <c r="AR93" i="10"/>
  <c r="HR49" i="10"/>
  <c r="CR52" i="10"/>
  <c r="CS52" i="10" s="1"/>
  <c r="GG55" i="10"/>
  <c r="HS56" i="10"/>
  <c r="HR56" i="10"/>
  <c r="HA57" i="10"/>
  <c r="CR60" i="10"/>
  <c r="CZ60" i="10"/>
  <c r="FA65" i="10"/>
  <c r="FB65" i="10" s="1"/>
  <c r="AI66" i="10"/>
  <c r="AQ66" i="10"/>
  <c r="CR69" i="10"/>
  <c r="DA69" i="10"/>
  <c r="ER71" i="10"/>
  <c r="HJ77" i="10"/>
  <c r="HR77" i="10"/>
  <c r="CI79" i="10"/>
  <c r="FA80" i="10"/>
  <c r="HS81" i="10"/>
  <c r="HR81" i="10"/>
  <c r="Z85" i="10"/>
  <c r="AR89" i="10"/>
  <c r="AQ89" i="10"/>
  <c r="DA90" i="10"/>
  <c r="AR95" i="10"/>
  <c r="AQ95" i="10"/>
  <c r="FI97" i="10"/>
  <c r="HS98" i="10"/>
  <c r="HR98" i="10"/>
  <c r="ER35" i="10"/>
  <c r="HR40" i="10"/>
  <c r="CZ46" i="10"/>
  <c r="CZ47" i="10"/>
  <c r="DA48" i="10"/>
  <c r="HS48" i="10"/>
  <c r="CI49" i="10"/>
  <c r="CZ49" i="10"/>
  <c r="FI58" i="10"/>
  <c r="HR58" i="10"/>
  <c r="CI61" i="10"/>
  <c r="CZ61" i="10"/>
  <c r="HS61" i="10"/>
  <c r="FJ62" i="10"/>
  <c r="DA64" i="10"/>
  <c r="BO64" i="10"/>
  <c r="DA67" i="10"/>
  <c r="ER67" i="10"/>
  <c r="BO68" i="10"/>
  <c r="ER70" i="10"/>
  <c r="AR71" i="10"/>
  <c r="AI73" i="10"/>
  <c r="AR73" i="10"/>
  <c r="GG73" i="10"/>
  <c r="HS73" i="10"/>
  <c r="DA74" i="10"/>
  <c r="HJ75" i="10"/>
  <c r="GG76" i="10"/>
  <c r="AI77" i="10"/>
  <c r="AQ77" i="10"/>
  <c r="ER78" i="10"/>
  <c r="AI80" i="10"/>
  <c r="DA80" i="10"/>
  <c r="HA82" i="10"/>
  <c r="HS83" i="10"/>
  <c r="CR84" i="10"/>
  <c r="FJ85" i="10"/>
  <c r="GG89" i="10"/>
  <c r="AI90" i="10"/>
  <c r="AQ90" i="10"/>
  <c r="AI91" i="10"/>
  <c r="Z92" i="10"/>
  <c r="AI92" i="10"/>
  <c r="CI93" i="10"/>
  <c r="HS93" i="10"/>
  <c r="FA94" i="10"/>
  <c r="BO95" i="10"/>
  <c r="CI96" i="10"/>
  <c r="AI98" i="10"/>
  <c r="GG99" i="10"/>
  <c r="BO63" i="10"/>
  <c r="CI64" i="10"/>
  <c r="Z67" i="10"/>
  <c r="AI68" i="10"/>
  <c r="DA68" i="10"/>
  <c r="HA68" i="10"/>
  <c r="DA71" i="10"/>
  <c r="AR72" i="10"/>
  <c r="DA73" i="10"/>
  <c r="Z77" i="10"/>
  <c r="ER77" i="10"/>
  <c r="FJ90" i="10"/>
  <c r="HJ92" i="10"/>
  <c r="HR96" i="10"/>
  <c r="HS96" i="10"/>
  <c r="FJ98" i="10"/>
  <c r="FI98" i="10"/>
  <c r="AR41" i="10"/>
  <c r="AR51" i="10"/>
  <c r="GG51" i="10"/>
  <c r="GG52" i="10"/>
  <c r="HS52" i="10"/>
  <c r="CI54" i="10"/>
  <c r="BO54" i="10"/>
  <c r="AI55" i="10"/>
  <c r="DA56" i="10"/>
  <c r="FA57" i="10"/>
  <c r="FJ57" i="10"/>
  <c r="CR59" i="10"/>
  <c r="HJ59" i="10"/>
  <c r="AI60" i="10"/>
  <c r="AI62" i="10"/>
  <c r="FA62" i="10"/>
  <c r="CI63" i="10"/>
  <c r="AR65" i="10"/>
  <c r="CI67" i="10"/>
  <c r="GG67" i="10"/>
  <c r="DA72" i="10"/>
  <c r="HJ73" i="10"/>
  <c r="CR74" i="10"/>
  <c r="DA75" i="10"/>
  <c r="HR76" i="10"/>
  <c r="CZ77" i="10"/>
  <c r="DA78" i="10"/>
  <c r="CR78" i="10"/>
  <c r="CZ78" i="10"/>
  <c r="ER80" i="10"/>
  <c r="GG81" i="10"/>
  <c r="CZ82" i="10"/>
  <c r="HS82" i="10"/>
  <c r="HJ83" i="10"/>
  <c r="HK83" i="10" s="1"/>
  <c r="GG86" i="10"/>
  <c r="AI88" i="10"/>
  <c r="HJ88" i="10"/>
  <c r="CI90" i="10"/>
  <c r="FA90" i="10"/>
  <c r="FI90" i="10"/>
  <c r="AQ91" i="10"/>
  <c r="FJ93" i="10"/>
  <c r="DA95" i="10"/>
  <c r="FJ95" i="10"/>
  <c r="FI95" i="10"/>
  <c r="AR96" i="10"/>
  <c r="HJ97" i="10"/>
  <c r="GG98" i="10"/>
  <c r="AR99" i="10"/>
  <c r="AQ99" i="10"/>
  <c r="Z47" i="10"/>
  <c r="FJ52" i="10"/>
  <c r="HJ52" i="10"/>
  <c r="CR53" i="10"/>
  <c r="FI53" i="10"/>
  <c r="AQ55" i="10"/>
  <c r="CR55" i="10"/>
  <c r="CZ55" i="10"/>
  <c r="HR55" i="10"/>
  <c r="AI56" i="10"/>
  <c r="AQ56" i="10"/>
  <c r="CR56" i="10"/>
  <c r="Z57" i="10"/>
  <c r="BO57" i="10"/>
  <c r="DA60" i="10"/>
  <c r="CZ62" i="10"/>
  <c r="HJ63" i="10"/>
  <c r="DA65" i="10"/>
  <c r="CR65" i="10"/>
  <c r="Z68" i="10"/>
  <c r="CZ71" i="10"/>
  <c r="HR72" i="10"/>
  <c r="FJ73" i="10"/>
  <c r="HS74" i="10"/>
  <c r="AI75" i="10"/>
  <c r="AQ75" i="10"/>
  <c r="Z78" i="10"/>
  <c r="HS78" i="10"/>
  <c r="FJ79" i="10"/>
  <c r="GG79" i="10"/>
  <c r="HJ79" i="10"/>
  <c r="BO83" i="10"/>
  <c r="BO84" i="10"/>
  <c r="FJ86" i="10"/>
  <c r="HS87" i="10"/>
  <c r="Z88" i="10"/>
  <c r="FA88" i="10"/>
  <c r="FJ88" i="10"/>
  <c r="FA89" i="10"/>
  <c r="GG94" i="10"/>
  <c r="HJ96" i="10"/>
  <c r="HK96" i="10" s="1"/>
  <c r="CR50" i="10"/>
  <c r="GG45" i="10"/>
  <c r="AQ48" i="10"/>
  <c r="DA52" i="10"/>
  <c r="HR52" i="10"/>
  <c r="AR53" i="10"/>
  <c r="BO59" i="10"/>
  <c r="Z60" i="10"/>
  <c r="AQ60" i="10"/>
  <c r="HA61" i="10"/>
  <c r="CZ63" i="10"/>
  <c r="ER64" i="10"/>
  <c r="HA66" i="10"/>
  <c r="AR69" i="10"/>
  <c r="CR71" i="10"/>
  <c r="FJ71" i="10"/>
  <c r="CZ73" i="10"/>
  <c r="Z74" i="10"/>
  <c r="HA77" i="10"/>
  <c r="FJ80" i="10"/>
  <c r="FJ81" i="10"/>
  <c r="FA85" i="10"/>
  <c r="FA86" i="10"/>
  <c r="ER88" i="10"/>
  <c r="Z90" i="10"/>
  <c r="HR90" i="10"/>
  <c r="BO92" i="10"/>
  <c r="Z99" i="10"/>
  <c r="CZ99" i="10"/>
  <c r="HS72" i="10"/>
  <c r="HA74" i="10"/>
  <c r="FA75" i="10"/>
  <c r="FJ75" i="10"/>
  <c r="FJ76" i="10"/>
  <c r="FA78" i="10"/>
  <c r="FJ78" i="10"/>
  <c r="FA79" i="10"/>
  <c r="HJ82" i="10"/>
  <c r="Z83" i="10"/>
  <c r="DA83" i="10"/>
  <c r="FA83" i="10"/>
  <c r="FJ83" i="10"/>
  <c r="FJ84" i="10"/>
  <c r="AI85" i="10"/>
  <c r="AR85" i="10"/>
  <c r="Z86" i="10"/>
  <c r="Z87" i="10"/>
  <c r="CR88" i="10"/>
  <c r="CZ88" i="10"/>
  <c r="BO89" i="10"/>
  <c r="ER90" i="10"/>
  <c r="AR92" i="10"/>
  <c r="GG93" i="10"/>
  <c r="CZ95" i="10"/>
  <c r="CR96" i="10"/>
  <c r="HS97" i="10"/>
  <c r="BO99" i="10"/>
  <c r="FI50" i="10"/>
  <c r="DA55" i="10"/>
  <c r="HJ55" i="10"/>
  <c r="HS55" i="10"/>
  <c r="FI57" i="10"/>
  <c r="HS59" i="10"/>
  <c r="FJ60" i="10"/>
  <c r="Z62" i="10"/>
  <c r="AQ62" i="10"/>
  <c r="HR63" i="10"/>
  <c r="CR66" i="10"/>
  <c r="CR68" i="10"/>
  <c r="FI70" i="10"/>
  <c r="AI72" i="10"/>
  <c r="HJ72" i="10"/>
  <c r="Z73" i="10"/>
  <c r="FI75" i="10"/>
  <c r="AR77" i="10"/>
  <c r="HS77" i="10"/>
  <c r="FI78" i="10"/>
  <c r="BO79" i="10"/>
  <c r="Z80" i="10"/>
  <c r="AQ80" i="10"/>
  <c r="HR80" i="10"/>
  <c r="Z81" i="10"/>
  <c r="CZ81" i="10"/>
  <c r="Z82" i="10"/>
  <c r="HR82" i="10"/>
  <c r="CI83" i="10"/>
  <c r="FI83" i="10"/>
  <c r="FA84" i="10"/>
  <c r="ER85" i="10"/>
  <c r="HA87" i="10"/>
  <c r="FA91" i="10"/>
  <c r="DA92" i="10"/>
  <c r="HS92" i="10"/>
  <c r="Z93" i="10"/>
  <c r="DA93" i="10"/>
  <c r="FI94" i="10"/>
  <c r="DA97" i="10"/>
  <c r="Z98" i="10"/>
  <c r="AQ98" i="10"/>
  <c r="HS99" i="10"/>
  <c r="Z91" i="10"/>
  <c r="HA95" i="10"/>
  <c r="CI97" i="10"/>
  <c r="FA98" i="10"/>
  <c r="FA74" i="10"/>
  <c r="FJ74" i="10"/>
  <c r="Z76" i="10"/>
  <c r="FA87" i="10"/>
  <c r="FJ87" i="10"/>
  <c r="Z89" i="10"/>
  <c r="FA92" i="10"/>
  <c r="FJ92" i="10"/>
  <c r="GG97" i="10"/>
  <c r="HA99" i="10"/>
  <c r="FA72" i="10"/>
  <c r="FJ72" i="10"/>
  <c r="FA77" i="10"/>
  <c r="FJ77" i="10"/>
  <c r="Z79" i="10"/>
  <c r="FA82" i="10"/>
  <c r="FJ82" i="10"/>
  <c r="Z84" i="10"/>
  <c r="FI93" i="10"/>
  <c r="AR94" i="10"/>
  <c r="BO96" i="10"/>
  <c r="GG96" i="10"/>
  <c r="BO93" i="10"/>
  <c r="BO97" i="10"/>
  <c r="L50" i="19"/>
  <c r="L51" i="19" s="1"/>
  <c r="AJ25" i="10" l="1"/>
  <c r="AJ48" i="10"/>
  <c r="AJ71" i="10"/>
  <c r="FJ16" i="10"/>
  <c r="CS64" i="10"/>
  <c r="G17" i="18"/>
  <c r="FB69" i="10"/>
  <c r="BG104" i="10"/>
  <c r="BI104" i="10" s="1"/>
  <c r="BV104" i="10" s="1"/>
  <c r="BW104" i="10" s="1"/>
  <c r="BX104" i="10" s="1"/>
  <c r="AY105" i="10"/>
  <c r="BF105" i="10"/>
  <c r="FB84" i="10"/>
  <c r="FK84" i="10" s="1"/>
  <c r="AJ45" i="10"/>
  <c r="AS45" i="10" s="1"/>
  <c r="AJ89" i="10"/>
  <c r="AS89" i="10" s="1"/>
  <c r="AJ29" i="10"/>
  <c r="AS29" i="10" s="1"/>
  <c r="B34" i="7"/>
  <c r="B36" i="7" s="1"/>
  <c r="F30" i="6"/>
  <c r="F31" i="6" s="1"/>
  <c r="C21" i="18"/>
  <c r="D21" i="18"/>
  <c r="E21" i="18"/>
  <c r="F21" i="18"/>
  <c r="G96" i="17"/>
  <c r="W96" i="17"/>
  <c r="U96" i="17"/>
  <c r="H96" i="17"/>
  <c r="X96" i="17"/>
  <c r="AA96" i="17"/>
  <c r="BS106" i="10" s="1"/>
  <c r="D96" i="17"/>
  <c r="I96" i="17"/>
  <c r="Y96" i="17"/>
  <c r="BP106" i="10" s="1"/>
  <c r="J96" i="17"/>
  <c r="Z96" i="17"/>
  <c r="BR106" i="10" s="1"/>
  <c r="K96" i="17"/>
  <c r="L96" i="17"/>
  <c r="AB96" i="17"/>
  <c r="AX106" i="10" s="1"/>
  <c r="M96" i="17"/>
  <c r="AC96" i="17"/>
  <c r="AU106" i="10" s="1"/>
  <c r="S96" i="17"/>
  <c r="N96" i="17"/>
  <c r="BD106" i="10" s="1"/>
  <c r="AD96" i="17"/>
  <c r="AV106" i="10" s="1"/>
  <c r="O96" i="17"/>
  <c r="AE96" i="17"/>
  <c r="AW106" i="10" s="1"/>
  <c r="AF96" i="17"/>
  <c r="BA106" i="10" s="1"/>
  <c r="R96" i="17"/>
  <c r="E96" i="17"/>
  <c r="F96" i="17"/>
  <c r="P96" i="17"/>
  <c r="Q96" i="17"/>
  <c r="B96" i="17"/>
  <c r="C96" i="17"/>
  <c r="AG96" i="17"/>
  <c r="AZ106" i="10" s="1"/>
  <c r="V96" i="17"/>
  <c r="BE106" i="10" s="1"/>
  <c r="AH96" i="17"/>
  <c r="BB106" i="10" s="1"/>
  <c r="AI96" i="17"/>
  <c r="BC106" i="10" s="1"/>
  <c r="AJ96" i="17"/>
  <c r="BQ106" i="10" s="1"/>
  <c r="T96" i="17"/>
  <c r="GE4" i="10"/>
  <c r="GE5" i="10"/>
  <c r="GE6" i="10"/>
  <c r="AJ64" i="10"/>
  <c r="AS64" i="10" s="1"/>
  <c r="CS47" i="10"/>
  <c r="DB47" i="10" s="1"/>
  <c r="AJ75" i="10"/>
  <c r="AS75" i="10" s="1"/>
  <c r="AJ84" i="10"/>
  <c r="AS84" i="10" s="1"/>
  <c r="Z16" i="10"/>
  <c r="Z6" i="10" s="1"/>
  <c r="U6" i="10"/>
  <c r="U5" i="10"/>
  <c r="U4" i="10"/>
  <c r="BK4" i="10"/>
  <c r="BK6" i="10"/>
  <c r="BK5" i="10"/>
  <c r="AD6" i="10"/>
  <c r="AD4" i="10"/>
  <c r="AD5" i="10"/>
  <c r="AC6" i="10"/>
  <c r="AC4" i="10"/>
  <c r="AC5" i="10"/>
  <c r="BN4" i="10"/>
  <c r="BN5" i="10"/>
  <c r="BN6" i="10"/>
  <c r="AJ67" i="10"/>
  <c r="AS67" i="10" s="1"/>
  <c r="AR4" i="10"/>
  <c r="AR2" i="10" s="1"/>
  <c r="AR6" i="10"/>
  <c r="AR5" i="10"/>
  <c r="AP4" i="10"/>
  <c r="AP6" i="10"/>
  <c r="AP5" i="10"/>
  <c r="AQ16" i="10"/>
  <c r="AE4" i="10"/>
  <c r="AE6" i="10"/>
  <c r="AE5" i="10"/>
  <c r="BL5" i="10"/>
  <c r="BL6" i="10"/>
  <c r="BL4" i="10"/>
  <c r="CD4" i="10"/>
  <c r="CD5" i="10"/>
  <c r="CD6" i="10"/>
  <c r="DT4" i="10"/>
  <c r="DT5" i="10"/>
  <c r="DT6" i="10"/>
  <c r="CS63" i="10"/>
  <c r="DB63" i="10" s="1"/>
  <c r="CS20" i="10"/>
  <c r="DB20" i="10" s="1"/>
  <c r="CM5" i="10"/>
  <c r="CM4" i="10"/>
  <c r="CM6" i="10"/>
  <c r="CL5" i="10"/>
  <c r="CL6" i="10"/>
  <c r="CL4" i="10"/>
  <c r="DW6" i="10"/>
  <c r="DW4" i="10"/>
  <c r="DW5" i="10"/>
  <c r="CI6" i="10"/>
  <c r="CI4" i="10"/>
  <c r="CI2" i="10" s="1"/>
  <c r="CI5" i="10"/>
  <c r="CS66" i="10"/>
  <c r="DB66" i="10" s="1"/>
  <c r="CS54" i="10"/>
  <c r="DB54" i="10" s="1"/>
  <c r="CZ16" i="10"/>
  <c r="CY4" i="10"/>
  <c r="CY5" i="10"/>
  <c r="CY6" i="10"/>
  <c r="DA4" i="10"/>
  <c r="DA2" i="10" s="1"/>
  <c r="DA5" i="10"/>
  <c r="DA6" i="10"/>
  <c r="CN6" i="10"/>
  <c r="CN5" i="10"/>
  <c r="CN4" i="10"/>
  <c r="DU4" i="10"/>
  <c r="DU6" i="10"/>
  <c r="DU5" i="10"/>
  <c r="FB66" i="10"/>
  <c r="FK66" i="10" s="1"/>
  <c r="EM6" i="10"/>
  <c r="EM4" i="10"/>
  <c r="EM5" i="10"/>
  <c r="GC4" i="10"/>
  <c r="GC6" i="10"/>
  <c r="GC5" i="10"/>
  <c r="FB20" i="10"/>
  <c r="EV6" i="10"/>
  <c r="EV5" i="10"/>
  <c r="EV4" i="10"/>
  <c r="EU6" i="10"/>
  <c r="EU5" i="10"/>
  <c r="EU4" i="10"/>
  <c r="GF5" i="10"/>
  <c r="GF6" i="10"/>
  <c r="GF4" i="10"/>
  <c r="FI6" i="10"/>
  <c r="FI4" i="10"/>
  <c r="FI2" i="10" s="1"/>
  <c r="FI5" i="10"/>
  <c r="FJ4" i="10"/>
  <c r="FJ2" i="10" s="1"/>
  <c r="FJ5" i="10"/>
  <c r="FJ6" i="10"/>
  <c r="FH6" i="10"/>
  <c r="FH4" i="10"/>
  <c r="FH5" i="10"/>
  <c r="EW4" i="10"/>
  <c r="EW5" i="10"/>
  <c r="EW6" i="10"/>
  <c r="GD6" i="10"/>
  <c r="GD5" i="10"/>
  <c r="GD4" i="10"/>
  <c r="GV4" i="10"/>
  <c r="GV6" i="10"/>
  <c r="GV5" i="10"/>
  <c r="IL4" i="10"/>
  <c r="IL6" i="10"/>
  <c r="IL5" i="10"/>
  <c r="HE4" i="10"/>
  <c r="HE5" i="10"/>
  <c r="HE6" i="10"/>
  <c r="HD4" i="10"/>
  <c r="HD5" i="10"/>
  <c r="HD6" i="10"/>
  <c r="IO6" i="10"/>
  <c r="IO5" i="10"/>
  <c r="IO4" i="10"/>
  <c r="HK88" i="10"/>
  <c r="HT88" i="10" s="1"/>
  <c r="HK32" i="10"/>
  <c r="HT32" i="10" s="1"/>
  <c r="HS16" i="10"/>
  <c r="HQ4" i="10"/>
  <c r="HQ6" i="10"/>
  <c r="HQ5" i="10"/>
  <c r="HF6" i="10"/>
  <c r="HF4" i="10"/>
  <c r="HF5" i="10"/>
  <c r="IM5" i="10"/>
  <c r="IM6" i="10"/>
  <c r="IM4" i="10"/>
  <c r="BD18" i="10"/>
  <c r="AZ18" i="10"/>
  <c r="BP18" i="10"/>
  <c r="BR18" i="10"/>
  <c r="V9" i="17"/>
  <c r="BE19" i="10" s="1"/>
  <c r="AG9" i="17"/>
  <c r="AZ19" i="10" s="1"/>
  <c r="F9" i="17"/>
  <c r="Q9" i="17"/>
  <c r="AH9" i="17"/>
  <c r="BB19" i="10" s="1"/>
  <c r="R9" i="17"/>
  <c r="B9" i="17"/>
  <c r="AI9" i="17"/>
  <c r="BC19" i="10" s="1"/>
  <c r="AC9" i="17"/>
  <c r="AU19" i="10" s="1"/>
  <c r="S9" i="17"/>
  <c r="AJ9" i="17"/>
  <c r="BQ19" i="10" s="1"/>
  <c r="C9" i="17"/>
  <c r="AD9" i="17"/>
  <c r="AV19" i="10" s="1"/>
  <c r="T9" i="17"/>
  <c r="D9" i="17"/>
  <c r="AE9" i="17"/>
  <c r="AW19" i="10" s="1"/>
  <c r="U9" i="17"/>
  <c r="E9" i="17"/>
  <c r="L9" i="17"/>
  <c r="I9" i="17"/>
  <c r="Z9" i="17"/>
  <c r="BR19" i="10" s="1"/>
  <c r="J9" i="17"/>
  <c r="AF9" i="17"/>
  <c r="BA19" i="10" s="1"/>
  <c r="AA9" i="17"/>
  <c r="BS19" i="10" s="1"/>
  <c r="P9" i="17"/>
  <c r="K9" i="17"/>
  <c r="W9" i="17"/>
  <c r="G9" i="17"/>
  <c r="AB9" i="17"/>
  <c r="AX19" i="10" s="1"/>
  <c r="Y9" i="17"/>
  <c r="BP19" i="10" s="1"/>
  <c r="X9" i="17"/>
  <c r="H9" i="17"/>
  <c r="O9" i="17"/>
  <c r="N9" i="17"/>
  <c r="BD19" i="10" s="1"/>
  <c r="M9" i="17"/>
  <c r="AL11" i="17"/>
  <c r="A10" i="17"/>
  <c r="AM10" i="17"/>
  <c r="CS58" i="10"/>
  <c r="DB58" i="10" s="1"/>
  <c r="BO18" i="10"/>
  <c r="CS50" i="10"/>
  <c r="DB50" i="10" s="1"/>
  <c r="BO16" i="10"/>
  <c r="O25" i="10"/>
  <c r="H19" i="19"/>
  <c r="M59" i="10"/>
  <c r="H10" i="19"/>
  <c r="P16" i="10"/>
  <c r="I10" i="19"/>
  <c r="BD16" i="10"/>
  <c r="BR16" i="10"/>
  <c r="BQ16" i="10"/>
  <c r="BE16" i="10"/>
  <c r="BA16" i="10"/>
  <c r="AW16" i="10"/>
  <c r="AV16" i="10"/>
  <c r="AU16" i="10"/>
  <c r="BB16" i="10"/>
  <c r="AX16" i="10"/>
  <c r="BC16" i="10"/>
  <c r="O58" i="10"/>
  <c r="H52" i="19"/>
  <c r="P25" i="10"/>
  <c r="I19" i="19"/>
  <c r="FB36" i="10"/>
  <c r="FK36" i="10" s="1"/>
  <c r="HK33" i="10"/>
  <c r="HT33" i="10" s="1"/>
  <c r="CS31" i="10"/>
  <c r="DB31" i="10" s="1"/>
  <c r="FB48" i="10"/>
  <c r="FK48" i="10" s="1"/>
  <c r="FB98" i="10"/>
  <c r="FK98" i="10" s="1"/>
  <c r="AJ24" i="10"/>
  <c r="AS24" i="10" s="1"/>
  <c r="AJ44" i="10"/>
  <c r="AS44" i="10" s="1"/>
  <c r="CS95" i="10"/>
  <c r="DB95" i="10" s="1"/>
  <c r="O61" i="10"/>
  <c r="CS28" i="10"/>
  <c r="DB28" i="10" s="1"/>
  <c r="CS90" i="10"/>
  <c r="DB90" i="10" s="1"/>
  <c r="HK73" i="10"/>
  <c r="HT73" i="10" s="1"/>
  <c r="HK41" i="10"/>
  <c r="HT41" i="10" s="1"/>
  <c r="HK84" i="10"/>
  <c r="HT84" i="10" s="1"/>
  <c r="FB86" i="10"/>
  <c r="FK86" i="10" s="1"/>
  <c r="FB61" i="10"/>
  <c r="FK61" i="10" s="1"/>
  <c r="FB47" i="10"/>
  <c r="FK47" i="10" s="1"/>
  <c r="FB75" i="10"/>
  <c r="FK75" i="10" s="1"/>
  <c r="FB23" i="10"/>
  <c r="FK23" i="10" s="1"/>
  <c r="CS51" i="10"/>
  <c r="DB51" i="10" s="1"/>
  <c r="CS97" i="10"/>
  <c r="DB97" i="10" s="1"/>
  <c r="H55" i="19"/>
  <c r="AJ76" i="10"/>
  <c r="AS76" i="10" s="1"/>
  <c r="AJ51" i="10"/>
  <c r="AS51" i="10" s="1"/>
  <c r="AJ65" i="10"/>
  <c r="AS65" i="10" s="1"/>
  <c r="I53" i="19"/>
  <c r="FA16" i="10"/>
  <c r="FB29" i="10"/>
  <c r="FK29" i="10" s="1"/>
  <c r="HK36" i="10"/>
  <c r="HT36" i="10" s="1"/>
  <c r="HK97" i="10"/>
  <c r="HT97" i="10" s="1"/>
  <c r="FB87" i="10"/>
  <c r="FK87" i="10" s="1"/>
  <c r="FB91" i="10"/>
  <c r="FK91" i="10" s="1"/>
  <c r="M16" i="10"/>
  <c r="M21" i="10" s="1"/>
  <c r="I53" i="6"/>
  <c r="P61" i="10"/>
  <c r="F16" i="6"/>
  <c r="F22" i="6" s="1"/>
  <c r="F18" i="19"/>
  <c r="M58" i="10"/>
  <c r="I16" i="6"/>
  <c r="CS45" i="10"/>
  <c r="DB45" i="10" s="1"/>
  <c r="CS19" i="10"/>
  <c r="DB19" i="10" s="1"/>
  <c r="CS99" i="10"/>
  <c r="DB99" i="10" s="1"/>
  <c r="FB55" i="10"/>
  <c r="FK55" i="10" s="1"/>
  <c r="FB44" i="10"/>
  <c r="FK44" i="10" s="1"/>
  <c r="HK60" i="10"/>
  <c r="HT60" i="10" s="1"/>
  <c r="HA16" i="10"/>
  <c r="HK48" i="10"/>
  <c r="HT48" i="10" s="1"/>
  <c r="B14" i="7"/>
  <c r="F10" i="19"/>
  <c r="F15" i="19" s="1"/>
  <c r="AJ23" i="10"/>
  <c r="AS23" i="10" s="1"/>
  <c r="AJ21" i="10"/>
  <c r="AS21" i="10" s="1"/>
  <c r="I31" i="19"/>
  <c r="AJ58" i="10"/>
  <c r="AS58" i="10" s="1"/>
  <c r="AJ20" i="10"/>
  <c r="AS20" i="10" s="1"/>
  <c r="I18" i="6"/>
  <c r="H18" i="6"/>
  <c r="O26" i="10"/>
  <c r="CS93" i="10"/>
  <c r="DB93" i="10" s="1"/>
  <c r="CS89" i="10"/>
  <c r="DB89" i="10" s="1"/>
  <c r="CS37" i="10"/>
  <c r="DB37" i="10" s="1"/>
  <c r="FB52" i="10"/>
  <c r="FK52" i="10" s="1"/>
  <c r="FB39" i="10"/>
  <c r="FK39" i="10" s="1"/>
  <c r="FB81" i="10"/>
  <c r="FK81" i="10" s="1"/>
  <c r="FK69" i="10"/>
  <c r="FB93" i="10"/>
  <c r="FK93" i="10" s="1"/>
  <c r="HK28" i="10"/>
  <c r="HT28" i="10" s="1"/>
  <c r="HK25" i="10"/>
  <c r="HT25" i="10" s="1"/>
  <c r="HK76" i="10"/>
  <c r="HT76" i="10" s="1"/>
  <c r="HK37" i="10"/>
  <c r="HT37" i="10" s="1"/>
  <c r="HK23" i="10"/>
  <c r="HT23" i="10" s="1"/>
  <c r="HK71" i="10"/>
  <c r="HT71" i="10" s="1"/>
  <c r="HK49" i="10"/>
  <c r="HT49" i="10" s="1"/>
  <c r="HK63" i="10"/>
  <c r="HT63" i="10" s="1"/>
  <c r="HK46" i="10"/>
  <c r="HT46" i="10" s="1"/>
  <c r="HK54" i="10"/>
  <c r="HT54" i="10" s="1"/>
  <c r="ER16" i="10"/>
  <c r="CS79" i="10"/>
  <c r="DB79" i="10" s="1"/>
  <c r="CS49" i="10"/>
  <c r="DB49" i="10" s="1"/>
  <c r="AJ83" i="10"/>
  <c r="AS83" i="10" s="1"/>
  <c r="AJ66" i="10"/>
  <c r="AS66" i="10" s="1"/>
  <c r="M37" i="10"/>
  <c r="M38" i="10" s="1"/>
  <c r="M39" i="10" s="1"/>
  <c r="O24" i="10"/>
  <c r="P24" i="10"/>
  <c r="AJ27" i="10"/>
  <c r="AS27" i="10" s="1"/>
  <c r="H18" i="19"/>
  <c r="AI16" i="10"/>
  <c r="M25" i="10"/>
  <c r="H8" i="6"/>
  <c r="F31" i="19"/>
  <c r="F32" i="19" s="1"/>
  <c r="F33" i="19" s="1"/>
  <c r="F19" i="19"/>
  <c r="CS85" i="10"/>
  <c r="DB85" i="10" s="1"/>
  <c r="B25" i="7"/>
  <c r="AJ35" i="10"/>
  <c r="AS35" i="10" s="1"/>
  <c r="I52" i="19"/>
  <c r="F52" i="19"/>
  <c r="P58" i="10"/>
  <c r="AJ96" i="10"/>
  <c r="AS96" i="10" s="1"/>
  <c r="AJ82" i="10"/>
  <c r="AS82" i="10" s="1"/>
  <c r="M61" i="10"/>
  <c r="F55" i="19"/>
  <c r="O59" i="10"/>
  <c r="AJ70" i="10"/>
  <c r="AS70" i="10" s="1"/>
  <c r="AJ55" i="10"/>
  <c r="AS55" i="10" s="1"/>
  <c r="I29" i="6"/>
  <c r="H53" i="19"/>
  <c r="CS43" i="10"/>
  <c r="DB43" i="10" s="1"/>
  <c r="CS39" i="10"/>
  <c r="DB39" i="10" s="1"/>
  <c r="CS32" i="10"/>
  <c r="DB32" i="10" s="1"/>
  <c r="CS36" i="10"/>
  <c r="DB36" i="10" s="1"/>
  <c r="CS94" i="10"/>
  <c r="DB94" i="10" s="1"/>
  <c r="CS81" i="10"/>
  <c r="DB81" i="10" s="1"/>
  <c r="CS59" i="10"/>
  <c r="DB59" i="10" s="1"/>
  <c r="CS26" i="10"/>
  <c r="DB26" i="10" s="1"/>
  <c r="H14" i="18"/>
  <c r="I14" i="18" s="1"/>
  <c r="CS76" i="10"/>
  <c r="DB76" i="10" s="1"/>
  <c r="CS80" i="10"/>
  <c r="DB80" i="10" s="1"/>
  <c r="CS82" i="10"/>
  <c r="DB82" i="10" s="1"/>
  <c r="CS21" i="10"/>
  <c r="DB21" i="10" s="1"/>
  <c r="CS41" i="10"/>
  <c r="DB41" i="10" s="1"/>
  <c r="CS83" i="10"/>
  <c r="DB83" i="10" s="1"/>
  <c r="CR16" i="10"/>
  <c r="FB45" i="10"/>
  <c r="FK45" i="10" s="1"/>
  <c r="FB33" i="10"/>
  <c r="FK33" i="10" s="1"/>
  <c r="FB95" i="10"/>
  <c r="FK95" i="10" s="1"/>
  <c r="FB41" i="10"/>
  <c r="FK41" i="10" s="1"/>
  <c r="FB42" i="10"/>
  <c r="FK42" i="10" s="1"/>
  <c r="G20" i="18"/>
  <c r="FB82" i="10"/>
  <c r="FK82" i="10" s="1"/>
  <c r="HK44" i="10"/>
  <c r="HT44" i="10" s="1"/>
  <c r="H12" i="18"/>
  <c r="I12" i="18" s="1"/>
  <c r="HK21" i="10"/>
  <c r="HT21" i="10" s="1"/>
  <c r="HK29" i="10"/>
  <c r="HT29" i="10" s="1"/>
  <c r="HK19" i="10"/>
  <c r="HT19" i="10" s="1"/>
  <c r="G19" i="18"/>
  <c r="H19" i="18"/>
  <c r="I19" i="18" s="1"/>
  <c r="H15" i="18"/>
  <c r="I15" i="18" s="1"/>
  <c r="H20" i="18"/>
  <c r="I20" i="18" s="1"/>
  <c r="HK53" i="10"/>
  <c r="HT53" i="10" s="1"/>
  <c r="HK43" i="10"/>
  <c r="HT43" i="10" s="1"/>
  <c r="HJ16" i="10"/>
  <c r="AY18" i="10"/>
  <c r="CS61" i="10"/>
  <c r="DB61" i="10" s="1"/>
  <c r="CS27" i="10"/>
  <c r="DB27" i="10" s="1"/>
  <c r="G38" i="7"/>
  <c r="K32" i="6" s="1"/>
  <c r="P26" i="10"/>
  <c r="AJ30" i="10"/>
  <c r="AS30" i="10" s="1"/>
  <c r="AJ86" i="10"/>
  <c r="AS86" i="10" s="1"/>
  <c r="AJ78" i="10"/>
  <c r="AS78" i="10" s="1"/>
  <c r="AJ22" i="10"/>
  <c r="AS22" i="10" s="1"/>
  <c r="AJ95" i="10"/>
  <c r="AS95" i="10" s="1"/>
  <c r="AJ54" i="10"/>
  <c r="AS54" i="10" s="1"/>
  <c r="AJ69" i="10"/>
  <c r="AS69" i="10" s="1"/>
  <c r="AJ94" i="10"/>
  <c r="AS94" i="10" s="1"/>
  <c r="AJ61" i="10"/>
  <c r="AS61" i="10" s="1"/>
  <c r="AJ63" i="10"/>
  <c r="AS63" i="10" s="1"/>
  <c r="AJ19" i="10"/>
  <c r="AS19" i="10" s="1"/>
  <c r="AJ37" i="10"/>
  <c r="AS37" i="10" s="1"/>
  <c r="AJ93" i="10"/>
  <c r="AS93" i="10" s="1"/>
  <c r="AJ17" i="10"/>
  <c r="AS17" i="10" s="1"/>
  <c r="AJ81" i="10"/>
  <c r="AS81" i="10" s="1"/>
  <c r="AJ74" i="10"/>
  <c r="AS74" i="10" s="1"/>
  <c r="AJ99" i="10"/>
  <c r="AS99" i="10" s="1"/>
  <c r="AJ31" i="10"/>
  <c r="AS31" i="10" s="1"/>
  <c r="AJ28" i="10"/>
  <c r="AS28" i="10" s="1"/>
  <c r="AJ53" i="10"/>
  <c r="AS53" i="10" s="1"/>
  <c r="AJ46" i="10"/>
  <c r="AS46" i="10" s="1"/>
  <c r="AJ32" i="10"/>
  <c r="AS32" i="10" s="1"/>
  <c r="AJ26" i="10"/>
  <c r="AS26" i="10" s="1"/>
  <c r="P59" i="10"/>
  <c r="B62" i="7"/>
  <c r="AJ91" i="10"/>
  <c r="AS91" i="10" s="1"/>
  <c r="AJ52" i="10"/>
  <c r="AS52" i="10" s="1"/>
  <c r="AJ68" i="10"/>
  <c r="AS68" i="10" s="1"/>
  <c r="AJ40" i="10"/>
  <c r="AS40" i="10" s="1"/>
  <c r="AJ80" i="10"/>
  <c r="AS80" i="10" s="1"/>
  <c r="AJ38" i="10"/>
  <c r="AS38" i="10" s="1"/>
  <c r="CS23" i="10"/>
  <c r="DB23" i="10" s="1"/>
  <c r="CS30" i="10"/>
  <c r="DB30" i="10" s="1"/>
  <c r="CS44" i="10"/>
  <c r="DB44" i="10" s="1"/>
  <c r="CS42" i="10"/>
  <c r="DB42" i="10" s="1"/>
  <c r="CS67" i="10"/>
  <c r="DB67" i="10" s="1"/>
  <c r="CS86" i="10"/>
  <c r="DB86" i="10" s="1"/>
  <c r="CS57" i="10"/>
  <c r="DB57" i="10" s="1"/>
  <c r="CS17" i="10"/>
  <c r="DB17" i="10" s="1"/>
  <c r="CS92" i="10"/>
  <c r="DB92" i="10" s="1"/>
  <c r="CS35" i="10"/>
  <c r="DB35" i="10" s="1"/>
  <c r="CS98" i="10"/>
  <c r="DB98" i="10" s="1"/>
  <c r="CS77" i="10"/>
  <c r="DB77" i="10" s="1"/>
  <c r="CS40" i="10"/>
  <c r="DB40" i="10" s="1"/>
  <c r="CS91" i="10"/>
  <c r="DB91" i="10" s="1"/>
  <c r="CS87" i="10"/>
  <c r="DB87" i="10" s="1"/>
  <c r="CS34" i="10"/>
  <c r="DB34" i="10" s="1"/>
  <c r="CS24" i="10"/>
  <c r="DB24" i="10" s="1"/>
  <c r="CS38" i="10"/>
  <c r="DB38" i="10" s="1"/>
  <c r="CS62" i="10"/>
  <c r="DB62" i="10" s="1"/>
  <c r="CS29" i="10"/>
  <c r="DB29" i="10" s="1"/>
  <c r="CS69" i="10"/>
  <c r="DB69" i="10" s="1"/>
  <c r="CS72" i="10"/>
  <c r="DB72" i="10" s="1"/>
  <c r="CS70" i="10"/>
  <c r="DB70" i="10" s="1"/>
  <c r="CS18" i="10"/>
  <c r="DB18" i="10" s="1"/>
  <c r="FB49" i="10"/>
  <c r="FK49" i="10" s="1"/>
  <c r="FB62" i="10"/>
  <c r="FK62" i="10" s="1"/>
  <c r="FB63" i="10"/>
  <c r="FK63" i="10" s="1"/>
  <c r="FB28" i="10"/>
  <c r="FK28" i="10" s="1"/>
  <c r="FB17" i="10"/>
  <c r="FK17" i="10" s="1"/>
  <c r="FB73" i="10"/>
  <c r="FK73" i="10" s="1"/>
  <c r="FB22" i="10"/>
  <c r="FK22" i="10" s="1"/>
  <c r="FB72" i="10"/>
  <c r="FK72" i="10" s="1"/>
  <c r="FB74" i="10"/>
  <c r="FK74" i="10" s="1"/>
  <c r="FB21" i="10"/>
  <c r="FK21" i="10" s="1"/>
  <c r="FB53" i="10"/>
  <c r="FK53" i="10" s="1"/>
  <c r="FB32" i="10"/>
  <c r="FK32" i="10" s="1"/>
  <c r="FB89" i="10"/>
  <c r="FK89" i="10" s="1"/>
  <c r="FB92" i="10"/>
  <c r="FK92" i="10" s="1"/>
  <c r="FB94" i="10"/>
  <c r="FK94" i="10" s="1"/>
  <c r="FB68" i="10"/>
  <c r="FK68" i="10" s="1"/>
  <c r="FB25" i="10"/>
  <c r="FK25" i="10" s="1"/>
  <c r="FB34" i="10"/>
  <c r="FK34" i="10" s="1"/>
  <c r="FB30" i="10"/>
  <c r="FK30" i="10" s="1"/>
  <c r="FB64" i="10"/>
  <c r="FK64" i="10" s="1"/>
  <c r="FB60" i="10"/>
  <c r="FK60" i="10" s="1"/>
  <c r="FB59" i="10"/>
  <c r="FK59" i="10" s="1"/>
  <c r="FB46" i="10"/>
  <c r="FK46" i="10" s="1"/>
  <c r="FB37" i="10"/>
  <c r="FK37" i="10" s="1"/>
  <c r="FB79" i="10"/>
  <c r="FK79" i="10" s="1"/>
  <c r="FB99" i="10"/>
  <c r="FK99" i="10" s="1"/>
  <c r="FB96" i="10"/>
  <c r="FK96" i="10" s="1"/>
  <c r="FB40" i="10"/>
  <c r="FK40" i="10" s="1"/>
  <c r="FB50" i="10"/>
  <c r="FK50" i="10" s="1"/>
  <c r="FB67" i="10"/>
  <c r="FK67" i="10" s="1"/>
  <c r="FB43" i="10"/>
  <c r="FK43" i="10" s="1"/>
  <c r="GG16" i="10"/>
  <c r="FB58" i="10"/>
  <c r="FK58" i="10" s="1"/>
  <c r="FB97" i="10"/>
  <c r="FK97" i="10" s="1"/>
  <c r="FB77" i="10"/>
  <c r="FK77" i="10" s="1"/>
  <c r="FB56" i="10"/>
  <c r="FK56" i="10" s="1"/>
  <c r="FB35" i="10"/>
  <c r="FK35" i="10" s="1"/>
  <c r="FB31" i="10"/>
  <c r="FK31" i="10" s="1"/>
  <c r="FK65" i="10"/>
  <c r="FB83" i="10"/>
  <c r="FK83" i="10" s="1"/>
  <c r="FB38" i="10"/>
  <c r="FK38" i="10" s="1"/>
  <c r="HK47" i="10"/>
  <c r="HT47" i="10" s="1"/>
  <c r="HK90" i="10"/>
  <c r="HT90" i="10" s="1"/>
  <c r="HK58" i="10"/>
  <c r="HT58" i="10" s="1"/>
  <c r="HK78" i="10"/>
  <c r="HT78" i="10" s="1"/>
  <c r="HK65" i="10"/>
  <c r="HT65" i="10" s="1"/>
  <c r="HK89" i="10"/>
  <c r="HT89" i="10" s="1"/>
  <c r="HK40" i="10"/>
  <c r="HT40" i="10" s="1"/>
  <c r="HK93" i="10"/>
  <c r="HT93" i="10" s="1"/>
  <c r="HK30" i="10"/>
  <c r="HT30" i="10" s="1"/>
  <c r="HK92" i="10"/>
  <c r="HT92" i="10" s="1"/>
  <c r="HK51" i="10"/>
  <c r="HT51" i="10" s="1"/>
  <c r="HK20" i="10"/>
  <c r="HT20" i="10" s="1"/>
  <c r="HK98" i="10"/>
  <c r="HT98" i="10" s="1"/>
  <c r="HK26" i="10"/>
  <c r="HT26" i="10" s="1"/>
  <c r="HK75" i="10"/>
  <c r="HT75" i="10" s="1"/>
  <c r="HK31" i="10"/>
  <c r="HT31" i="10" s="1"/>
  <c r="HK18" i="10"/>
  <c r="HT18" i="10" s="1"/>
  <c r="HK80" i="10"/>
  <c r="HT80" i="10" s="1"/>
  <c r="HK67" i="10"/>
  <c r="HT67" i="10" s="1"/>
  <c r="HK70" i="10"/>
  <c r="HT70" i="10" s="1"/>
  <c r="HK86" i="10"/>
  <c r="HT86" i="10" s="1"/>
  <c r="HK85" i="10"/>
  <c r="HT85" i="10" s="1"/>
  <c r="HK91" i="10"/>
  <c r="HT91" i="10" s="1"/>
  <c r="HK95" i="10"/>
  <c r="HT95" i="10" s="1"/>
  <c r="HK24" i="10"/>
  <c r="HT24" i="10" s="1"/>
  <c r="HK61" i="10"/>
  <c r="HT61" i="10" s="1"/>
  <c r="HK56" i="10"/>
  <c r="HT56" i="10" s="1"/>
  <c r="HK22" i="10"/>
  <c r="HT22" i="10" s="1"/>
  <c r="HK50" i="10"/>
  <c r="HT50" i="10" s="1"/>
  <c r="HK27" i="10"/>
  <c r="HT27" i="10" s="1"/>
  <c r="HR16" i="10"/>
  <c r="HK72" i="10"/>
  <c r="HT72" i="10" s="1"/>
  <c r="HK81" i="10"/>
  <c r="HT81" i="10" s="1"/>
  <c r="HK66" i="10"/>
  <c r="HT66" i="10" s="1"/>
  <c r="HK62" i="10"/>
  <c r="HT62" i="10" s="1"/>
  <c r="HK69" i="10"/>
  <c r="HT69" i="10" s="1"/>
  <c r="HK45" i="10"/>
  <c r="HT45" i="10" s="1"/>
  <c r="HK99" i="10"/>
  <c r="HT99" i="10" s="1"/>
  <c r="HK94" i="10"/>
  <c r="HT94" i="10" s="1"/>
  <c r="HK57" i="10"/>
  <c r="HT57" i="10" s="1"/>
  <c r="HK87" i="10"/>
  <c r="HT87" i="10" s="1"/>
  <c r="HK55" i="10"/>
  <c r="HT55" i="10" s="1"/>
  <c r="HK38" i="10"/>
  <c r="HT38" i="10" s="1"/>
  <c r="HK82" i="10"/>
  <c r="HT82" i="10" s="1"/>
  <c r="HK64" i="10"/>
  <c r="HT64" i="10" s="1"/>
  <c r="HK59" i="10"/>
  <c r="HT59" i="10" s="1"/>
  <c r="HK68" i="10"/>
  <c r="HT68" i="10" s="1"/>
  <c r="FK54" i="10"/>
  <c r="G18" i="18"/>
  <c r="FB76" i="10"/>
  <c r="FK76" i="10" s="1"/>
  <c r="CS65" i="10"/>
  <c r="DB65" i="10" s="1"/>
  <c r="CS84" i="10"/>
  <c r="DB84" i="10" s="1"/>
  <c r="CS56" i="10"/>
  <c r="DB56" i="10" s="1"/>
  <c r="G16" i="18"/>
  <c r="CS33" i="10"/>
  <c r="DB33" i="10" s="1"/>
  <c r="CS60" i="10"/>
  <c r="DB60" i="10" s="1"/>
  <c r="CS46" i="10"/>
  <c r="DB46" i="10" s="1"/>
  <c r="CS73" i="10"/>
  <c r="DB73" i="10" s="1"/>
  <c r="CS74" i="10"/>
  <c r="DB74" i="10" s="1"/>
  <c r="H31" i="19"/>
  <c r="H29" i="6"/>
  <c r="AS48" i="10"/>
  <c r="AJ42" i="10"/>
  <c r="AS42" i="10" s="1"/>
  <c r="G14" i="18"/>
  <c r="G15" i="18"/>
  <c r="O37" i="10"/>
  <c r="AJ97" i="10"/>
  <c r="AS97" i="10" s="1"/>
  <c r="AJ49" i="10"/>
  <c r="AS49" i="10" s="1"/>
  <c r="AJ41" i="10"/>
  <c r="AS41" i="10" s="1"/>
  <c r="AJ72" i="10"/>
  <c r="AS72" i="10" s="1"/>
  <c r="F53" i="19"/>
  <c r="F54" i="6"/>
  <c r="AJ88" i="10"/>
  <c r="AS88" i="10" s="1"/>
  <c r="DB64" i="10"/>
  <c r="AJ85" i="10"/>
  <c r="AS85" i="10" s="1"/>
  <c r="AJ34" i="10"/>
  <c r="AS34" i="10" s="1"/>
  <c r="M26" i="10"/>
  <c r="G13" i="18"/>
  <c r="AJ79" i="10"/>
  <c r="AS79" i="10" s="1"/>
  <c r="AJ87" i="10"/>
  <c r="AS87" i="10" s="1"/>
  <c r="AS71" i="10"/>
  <c r="AJ33" i="10"/>
  <c r="AS33" i="10" s="1"/>
  <c r="F20" i="19"/>
  <c r="AJ60" i="10"/>
  <c r="AS60" i="10" s="1"/>
  <c r="FB78" i="10"/>
  <c r="FK78" i="10" s="1"/>
  <c r="HK52" i="10"/>
  <c r="HT52" i="10" s="1"/>
  <c r="AV17" i="10"/>
  <c r="L64" i="19"/>
  <c r="L66" i="19"/>
  <c r="L72" i="19" s="1"/>
  <c r="AJ98" i="10"/>
  <c r="AS98" i="10" s="1"/>
  <c r="AJ92" i="10"/>
  <c r="AS92" i="10" s="1"/>
  <c r="CS48" i="10"/>
  <c r="DB48" i="10" s="1"/>
  <c r="CS88" i="10"/>
  <c r="DB88" i="10" s="1"/>
  <c r="HK42" i="10"/>
  <c r="HT42" i="10" s="1"/>
  <c r="AJ39" i="10"/>
  <c r="AS39" i="10" s="1"/>
  <c r="H17" i="18"/>
  <c r="I17" i="18" s="1"/>
  <c r="HK17" i="10"/>
  <c r="HT17" i="10" s="1"/>
  <c r="FK27" i="10"/>
  <c r="FB18" i="10"/>
  <c r="FK18" i="10" s="1"/>
  <c r="CS96" i="10"/>
  <c r="DB96" i="10" s="1"/>
  <c r="BE17" i="10"/>
  <c r="FB85" i="10"/>
  <c r="FK85" i="10" s="1"/>
  <c r="HT83" i="10"/>
  <c r="FB70" i="10"/>
  <c r="FK70" i="10" s="1"/>
  <c r="FB71" i="10"/>
  <c r="FK71" i="10" s="1"/>
  <c r="CS71" i="10"/>
  <c r="DB71" i="10" s="1"/>
  <c r="AJ50" i="10"/>
  <c r="AS50" i="10" s="1"/>
  <c r="CS22" i="10"/>
  <c r="DB22" i="10" s="1"/>
  <c r="AJ43" i="10"/>
  <c r="AS43" i="10" s="1"/>
  <c r="G70" i="7"/>
  <c r="K48" i="6"/>
  <c r="HK77" i="10"/>
  <c r="HT77" i="10" s="1"/>
  <c r="HK79" i="10"/>
  <c r="HT79" i="10" s="1"/>
  <c r="AJ36" i="10"/>
  <c r="AS36" i="10" s="1"/>
  <c r="FB19" i="10"/>
  <c r="FK19" i="10" s="1"/>
  <c r="H18" i="18"/>
  <c r="I18" i="18" s="1"/>
  <c r="AJ73" i="10"/>
  <c r="AS73" i="10" s="1"/>
  <c r="HK74" i="10"/>
  <c r="HT74" i="10" s="1"/>
  <c r="DB52" i="10"/>
  <c r="HT96" i="10"/>
  <c r="AJ77" i="10"/>
  <c r="AS77" i="10" s="1"/>
  <c r="AJ59" i="10"/>
  <c r="AS59" i="10" s="1"/>
  <c r="CS75" i="10"/>
  <c r="DB75" i="10" s="1"/>
  <c r="AJ56" i="10"/>
  <c r="AS56" i="10" s="1"/>
  <c r="FB24" i="10"/>
  <c r="FK24" i="10" s="1"/>
  <c r="AJ18" i="10"/>
  <c r="AS18" i="10" s="1"/>
  <c r="AS25" i="10"/>
  <c r="H16" i="18"/>
  <c r="I16" i="18" s="1"/>
  <c r="BD17" i="10"/>
  <c r="AJ47" i="10"/>
  <c r="AS47" i="10" s="1"/>
  <c r="BC18" i="10"/>
  <c r="AZ16" i="10"/>
  <c r="AJ62" i="10"/>
  <c r="AS62" i="10" s="1"/>
  <c r="FB90" i="10"/>
  <c r="FK90" i="10" s="1"/>
  <c r="AJ90" i="10"/>
  <c r="AS90" i="10" s="1"/>
  <c r="AJ57" i="10"/>
  <c r="AS57" i="10" s="1"/>
  <c r="CS68" i="10"/>
  <c r="DB68" i="10" s="1"/>
  <c r="HK35" i="10"/>
  <c r="HT35" i="10" s="1"/>
  <c r="H13" i="18"/>
  <c r="I13" i="18" s="1"/>
  <c r="BP16" i="10"/>
  <c r="FB88" i="10"/>
  <c r="FK88" i="10" s="1"/>
  <c r="FB80" i="10"/>
  <c r="FK80" i="10" s="1"/>
  <c r="CS78" i="10"/>
  <c r="DB78" i="10" s="1"/>
  <c r="FB57" i="10"/>
  <c r="FK57" i="10" s="1"/>
  <c r="CS53" i="10"/>
  <c r="DB53" i="10" s="1"/>
  <c r="FK26" i="10"/>
  <c r="CS25" i="10"/>
  <c r="DB25" i="10" s="1"/>
  <c r="CS55" i="10"/>
  <c r="DB55" i="10" s="1"/>
  <c r="HK34" i="10"/>
  <c r="HT34" i="10" s="1"/>
  <c r="FK20" i="10"/>
  <c r="FK51" i="10"/>
  <c r="HK39" i="10"/>
  <c r="HT39" i="10" s="1"/>
  <c r="P85" i="6"/>
  <c r="F13" i="6"/>
  <c r="Z4" i="10" l="1"/>
  <c r="Z2" i="10" s="1"/>
  <c r="Z5" i="10"/>
  <c r="B37" i="7"/>
  <c r="BG105" i="10"/>
  <c r="BI105" i="10" s="1"/>
  <c r="BV105" i="10" s="1"/>
  <c r="BW105" i="10" s="1"/>
  <c r="BX105" i="10" s="1"/>
  <c r="G21" i="18"/>
  <c r="H21" i="18"/>
  <c r="I21" i="18" s="1"/>
  <c r="BF106" i="10"/>
  <c r="AY106" i="10"/>
  <c r="C22" i="18"/>
  <c r="D22" i="18"/>
  <c r="E22" i="18"/>
  <c r="F22" i="18"/>
  <c r="AQ4" i="10"/>
  <c r="AQ2" i="10" s="1"/>
  <c r="AQ6" i="10"/>
  <c r="AQ5" i="10"/>
  <c r="AJ16" i="10"/>
  <c r="AI4" i="10"/>
  <c r="AI2" i="10" s="1"/>
  <c r="AI6" i="10"/>
  <c r="AI5" i="10"/>
  <c r="BO5" i="10"/>
  <c r="BO6" i="10"/>
  <c r="BO4" i="10"/>
  <c r="BO2" i="10" s="1"/>
  <c r="CZ4" i="10"/>
  <c r="CZ2" i="10" s="1"/>
  <c r="CZ5" i="10"/>
  <c r="CZ6" i="10"/>
  <c r="CR6" i="10"/>
  <c r="CR5" i="10"/>
  <c r="CR4" i="10"/>
  <c r="CR2" i="10" s="1"/>
  <c r="ER5" i="10"/>
  <c r="ER4" i="10"/>
  <c r="ER2" i="10" s="1"/>
  <c r="ER6" i="10"/>
  <c r="FA4" i="10"/>
  <c r="FA2" i="10" s="1"/>
  <c r="FA5" i="10"/>
  <c r="FA6" i="10"/>
  <c r="GG6" i="10"/>
  <c r="GG5" i="10"/>
  <c r="GG4" i="10"/>
  <c r="GG2" i="10" s="1"/>
  <c r="HA6" i="10"/>
  <c r="HA5" i="10"/>
  <c r="HA4" i="10"/>
  <c r="HA2" i="10" s="1"/>
  <c r="HR4" i="10"/>
  <c r="HR2" i="10" s="1"/>
  <c r="HR6" i="10"/>
  <c r="HR5" i="10"/>
  <c r="HS4" i="10"/>
  <c r="HS2" i="10" s="1"/>
  <c r="HS6" i="10"/>
  <c r="HS5" i="10"/>
  <c r="HJ6" i="10"/>
  <c r="HJ4" i="10"/>
  <c r="HJ2" i="10" s="1"/>
  <c r="HJ5" i="10"/>
  <c r="AY19" i="10"/>
  <c r="AE10" i="17"/>
  <c r="O10" i="17"/>
  <c r="I10" i="17"/>
  <c r="AF10" i="17"/>
  <c r="P10" i="17"/>
  <c r="J10" i="17"/>
  <c r="AG10" i="17"/>
  <c r="AZ20" i="10" s="1"/>
  <c r="AA10" i="17"/>
  <c r="BS20" i="10" s="1"/>
  <c r="Q10" i="17"/>
  <c r="AH10" i="17"/>
  <c r="AB10" i="17"/>
  <c r="AX20" i="10" s="1"/>
  <c r="R10" i="17"/>
  <c r="B10" i="17"/>
  <c r="AI10" i="17"/>
  <c r="G10" i="17"/>
  <c r="AC10" i="17"/>
  <c r="X10" i="17"/>
  <c r="H10" i="17"/>
  <c r="AJ10" i="17"/>
  <c r="M10" i="17"/>
  <c r="S10" i="17"/>
  <c r="T10" i="17"/>
  <c r="D10" i="17"/>
  <c r="C10" i="17"/>
  <c r="Y10" i="17"/>
  <c r="BP20" i="10" s="1"/>
  <c r="W10" i="17"/>
  <c r="U10" i="17"/>
  <c r="E10" i="17"/>
  <c r="AD10" i="17"/>
  <c r="AV20" i="10" s="1"/>
  <c r="N10" i="17"/>
  <c r="BD20" i="10" s="1"/>
  <c r="L10" i="17"/>
  <c r="K10" i="17"/>
  <c r="Z10" i="17"/>
  <c r="BR20" i="10" s="1"/>
  <c r="V10" i="17"/>
  <c r="F10" i="17"/>
  <c r="AL12" i="17"/>
  <c r="A11" i="17"/>
  <c r="AM11" i="17"/>
  <c r="AY16" i="10"/>
  <c r="M62" i="10"/>
  <c r="H11" i="18"/>
  <c r="F24" i="19"/>
  <c r="F25" i="19" s="1"/>
  <c r="F34" i="19" s="1"/>
  <c r="M30" i="10"/>
  <c r="M31" i="10" s="1"/>
  <c r="M40" i="10" s="1"/>
  <c r="B26" i="7"/>
  <c r="B38" i="7" s="1"/>
  <c r="CS16" i="10"/>
  <c r="FB16" i="10"/>
  <c r="G11" i="18"/>
  <c r="F23" i="6"/>
  <c r="F32" i="6" s="1"/>
  <c r="F56" i="19"/>
  <c r="HK16" i="10"/>
  <c r="G71" i="7"/>
  <c r="K63" i="6" s="1"/>
  <c r="K62" i="6"/>
  <c r="BF16" i="10"/>
  <c r="AY17" i="10"/>
  <c r="BF19" i="10"/>
  <c r="BF18" i="10"/>
  <c r="BG18" i="10" s="1"/>
  <c r="BI18" i="10" s="1"/>
  <c r="BV18" i="10" s="1"/>
  <c r="BW18" i="10" s="1"/>
  <c r="BX18" i="10" s="1"/>
  <c r="BF17" i="10"/>
  <c r="BG106" i="10" l="1"/>
  <c r="BI106" i="10" s="1"/>
  <c r="BV106" i="10" s="1"/>
  <c r="BW106" i="10" s="1"/>
  <c r="BX106" i="10" s="1"/>
  <c r="F23" i="18"/>
  <c r="C23" i="18"/>
  <c r="D23" i="18"/>
  <c r="E23" i="18"/>
  <c r="H22" i="18"/>
  <c r="I22" i="18" s="1"/>
  <c r="G22" i="18"/>
  <c r="AS16" i="10"/>
  <c r="AJ4" i="10"/>
  <c r="AJ2" i="10" s="1"/>
  <c r="AJ6" i="10"/>
  <c r="AJ5" i="10"/>
  <c r="CS6" i="10"/>
  <c r="CS5" i="10"/>
  <c r="CS4" i="10"/>
  <c r="CS2" i="10" s="1"/>
  <c r="FK16" i="10"/>
  <c r="FB4" i="10"/>
  <c r="FB2" i="10" s="1"/>
  <c r="FB5" i="10"/>
  <c r="FB6" i="10"/>
  <c r="BG19" i="10"/>
  <c r="BI19" i="10" s="1"/>
  <c r="BV19" i="10" s="1"/>
  <c r="BW19" i="10" s="1"/>
  <c r="BX19" i="10" s="1"/>
  <c r="HT16" i="10"/>
  <c r="HK4" i="10"/>
  <c r="HK2" i="10" s="1"/>
  <c r="HK5" i="10"/>
  <c r="HK6" i="10"/>
  <c r="BA20" i="10"/>
  <c r="BQ20" i="10"/>
  <c r="BE20" i="10"/>
  <c r="AW20" i="10"/>
  <c r="AU20" i="10"/>
  <c r="BC20" i="10"/>
  <c r="BB20" i="10"/>
  <c r="AB11" i="17"/>
  <c r="L11" i="17"/>
  <c r="AC11" i="17"/>
  <c r="W11" i="17"/>
  <c r="M11" i="17"/>
  <c r="G11" i="17"/>
  <c r="AD11" i="17"/>
  <c r="N11" i="17"/>
  <c r="H11" i="17"/>
  <c r="AE11" i="17"/>
  <c r="AW21" i="10" s="1"/>
  <c r="Y11" i="17"/>
  <c r="O11" i="17"/>
  <c r="I11" i="17"/>
  <c r="AF11" i="17"/>
  <c r="BA21" i="10" s="1"/>
  <c r="J11" i="17"/>
  <c r="P11" i="17"/>
  <c r="U11" i="17"/>
  <c r="D11" i="17"/>
  <c r="Z11" i="17"/>
  <c r="E11" i="17"/>
  <c r="AG11" i="17"/>
  <c r="Q11" i="17"/>
  <c r="S11" i="17"/>
  <c r="AH11" i="17"/>
  <c r="R11" i="17"/>
  <c r="B11" i="17"/>
  <c r="AA11" i="17"/>
  <c r="BS21" i="10" s="1"/>
  <c r="AI11" i="17"/>
  <c r="BC21" i="10" s="1"/>
  <c r="K11" i="17"/>
  <c r="X11" i="17"/>
  <c r="C11" i="17"/>
  <c r="V11" i="17"/>
  <c r="BE21" i="10" s="1"/>
  <c r="AJ11" i="17"/>
  <c r="BQ21" i="10" s="1"/>
  <c r="F11" i="17"/>
  <c r="T11" i="17"/>
  <c r="AL13" i="17"/>
  <c r="A12" i="17"/>
  <c r="AM12" i="17"/>
  <c r="I11" i="18"/>
  <c r="DB16" i="10"/>
  <c r="BG17" i="10"/>
  <c r="BI17" i="10" s="1"/>
  <c r="BV17" i="10" s="1"/>
  <c r="BW17" i="10" s="1"/>
  <c r="BX17" i="10" s="1"/>
  <c r="BG16" i="10"/>
  <c r="H23" i="18" l="1"/>
  <c r="I23" i="18" s="1"/>
  <c r="G23" i="18"/>
  <c r="C24" i="18"/>
  <c r="D24" i="18"/>
  <c r="E24" i="18"/>
  <c r="F24" i="18"/>
  <c r="AS5" i="10"/>
  <c r="AS4" i="10"/>
  <c r="AS2" i="10" s="1"/>
  <c r="AS6" i="10"/>
  <c r="DB6" i="10"/>
  <c r="DB5" i="10"/>
  <c r="DB4" i="10"/>
  <c r="DB2" i="10" s="1"/>
  <c r="FK6" i="10"/>
  <c r="FK4" i="10"/>
  <c r="FK2" i="10" s="1"/>
  <c r="FK5" i="10"/>
  <c r="HT5" i="10"/>
  <c r="HT6" i="10"/>
  <c r="HT4" i="10"/>
  <c r="HT2" i="10" s="1"/>
  <c r="BF20" i="10"/>
  <c r="AY20" i="10"/>
  <c r="BB21" i="10"/>
  <c r="BD21" i="10"/>
  <c r="AV21" i="10"/>
  <c r="BP21" i="10"/>
  <c r="BR21" i="10"/>
  <c r="AU21" i="10"/>
  <c r="AZ21" i="10"/>
  <c r="AX21" i="10"/>
  <c r="AJ12" i="17"/>
  <c r="BQ22" i="10" s="1"/>
  <c r="Z12" i="17"/>
  <c r="T12" i="17"/>
  <c r="J12" i="17"/>
  <c r="AA12" i="17"/>
  <c r="U12" i="17"/>
  <c r="K12" i="17"/>
  <c r="E12" i="17"/>
  <c r="AB12" i="17"/>
  <c r="L12" i="17"/>
  <c r="F12" i="17"/>
  <c r="W12" i="17"/>
  <c r="AC12" i="17"/>
  <c r="G12" i="17"/>
  <c r="M12" i="17"/>
  <c r="H12" i="17"/>
  <c r="N12" i="17"/>
  <c r="S12" i="17"/>
  <c r="AE12" i="17"/>
  <c r="O12" i="17"/>
  <c r="AD12" i="17"/>
  <c r="Y12" i="17"/>
  <c r="I12" i="17"/>
  <c r="AF12" i="17"/>
  <c r="X12" i="17"/>
  <c r="P12" i="17"/>
  <c r="AI12" i="17"/>
  <c r="BC22" i="10" s="1"/>
  <c r="AG12" i="17"/>
  <c r="AZ22" i="10" s="1"/>
  <c r="R12" i="17"/>
  <c r="V12" i="17"/>
  <c r="BE22" i="10" s="1"/>
  <c r="D12" i="17"/>
  <c r="C12" i="17"/>
  <c r="Q12" i="17"/>
  <c r="B12" i="17"/>
  <c r="AH12" i="17"/>
  <c r="AL14" i="17"/>
  <c r="A13" i="17"/>
  <c r="AM13" i="17"/>
  <c r="BI16" i="10"/>
  <c r="C25" i="18" l="1"/>
  <c r="D25" i="18"/>
  <c r="E25" i="18"/>
  <c r="F25" i="18"/>
  <c r="H24" i="18"/>
  <c r="G24" i="18"/>
  <c r="AW22" i="10"/>
  <c r="BF21" i="10"/>
  <c r="BG20" i="10"/>
  <c r="BP22" i="10"/>
  <c r="BS22" i="10"/>
  <c r="BR22" i="10"/>
  <c r="AU22" i="10"/>
  <c r="AV22" i="10"/>
  <c r="BD22" i="10"/>
  <c r="BB22" i="10"/>
  <c r="AX22" i="10"/>
  <c r="AY21" i="10"/>
  <c r="BA22" i="10"/>
  <c r="G13" i="17"/>
  <c r="AH13" i="17"/>
  <c r="BB23" i="10" s="1"/>
  <c r="X13" i="17"/>
  <c r="R13" i="17"/>
  <c r="H13" i="17"/>
  <c r="AI13" i="17"/>
  <c r="BC23" i="10" s="1"/>
  <c r="B13" i="17"/>
  <c r="Y13" i="17"/>
  <c r="BP23" i="10" s="1"/>
  <c r="S13" i="17"/>
  <c r="I13" i="17"/>
  <c r="C13" i="17"/>
  <c r="AJ13" i="17"/>
  <c r="T13" i="17"/>
  <c r="Z13" i="17"/>
  <c r="BR23" i="10" s="1"/>
  <c r="D13" i="17"/>
  <c r="J13" i="17"/>
  <c r="U13" i="17"/>
  <c r="E13" i="17"/>
  <c r="V13" i="17"/>
  <c r="Q13" i="17"/>
  <c r="AB13" i="17"/>
  <c r="L13" i="17"/>
  <c r="F13" i="17"/>
  <c r="AC13" i="17"/>
  <c r="AU23" i="10" s="1"/>
  <c r="M13" i="17"/>
  <c r="AD13" i="17"/>
  <c r="AV23" i="10" s="1"/>
  <c r="W13" i="17"/>
  <c r="AF13" i="17"/>
  <c r="BA23" i="10" s="1"/>
  <c r="P13" i="17"/>
  <c r="AG13" i="17"/>
  <c r="N13" i="17"/>
  <c r="BD23" i="10" s="1"/>
  <c r="AE13" i="17"/>
  <c r="K13" i="17"/>
  <c r="O13" i="17"/>
  <c r="AA13" i="17"/>
  <c r="BS23" i="10" s="1"/>
  <c r="AL15" i="17"/>
  <c r="A14" i="17"/>
  <c r="AM14" i="17"/>
  <c r="BV16" i="10"/>
  <c r="BF22" i="10" l="1"/>
  <c r="I24" i="18"/>
  <c r="C26" i="18"/>
  <c r="D26" i="18"/>
  <c r="E26" i="18"/>
  <c r="F26" i="18"/>
  <c r="H25" i="18"/>
  <c r="I25" i="18" s="1"/>
  <c r="G25" i="18"/>
  <c r="AX23" i="10"/>
  <c r="BE23" i="10"/>
  <c r="BG21" i="10"/>
  <c r="BI21" i="10" s="1"/>
  <c r="BV21" i="10" s="1"/>
  <c r="BW21" i="10" s="1"/>
  <c r="BX21" i="10" s="1"/>
  <c r="BI20" i="10"/>
  <c r="BQ23" i="10"/>
  <c r="AW23" i="10"/>
  <c r="AZ23" i="10"/>
  <c r="AY22" i="10"/>
  <c r="B14" i="17"/>
  <c r="E14" i="17"/>
  <c r="AF14" i="17"/>
  <c r="BA24" i="10" s="1"/>
  <c r="V14" i="17"/>
  <c r="BE24" i="10" s="1"/>
  <c r="P14" i="17"/>
  <c r="F14" i="17"/>
  <c r="AG14" i="17"/>
  <c r="AZ24" i="10" s="1"/>
  <c r="Q14" i="17"/>
  <c r="W14" i="17"/>
  <c r="G14" i="17"/>
  <c r="AH14" i="17"/>
  <c r="BB24" i="10" s="1"/>
  <c r="R14" i="17"/>
  <c r="AI14" i="17"/>
  <c r="BC24" i="10" s="1"/>
  <c r="C14" i="17"/>
  <c r="AJ14" i="17"/>
  <c r="T14" i="17"/>
  <c r="I14" i="17"/>
  <c r="L14" i="17"/>
  <c r="Y14" i="17"/>
  <c r="BP24" i="10" s="1"/>
  <c r="S14" i="17"/>
  <c r="Z14" i="17"/>
  <c r="J14" i="17"/>
  <c r="AC14" i="17"/>
  <c r="D14" i="17"/>
  <c r="M14" i="17"/>
  <c r="AA14" i="17"/>
  <c r="BS24" i="10" s="1"/>
  <c r="O14" i="17"/>
  <c r="AD14" i="17"/>
  <c r="AV24" i="10" s="1"/>
  <c r="K14" i="17"/>
  <c r="N14" i="17"/>
  <c r="BD24" i="10" s="1"/>
  <c r="AE14" i="17"/>
  <c r="AW24" i="10" s="1"/>
  <c r="AB14" i="17"/>
  <c r="AX24" i="10" s="1"/>
  <c r="X14" i="17"/>
  <c r="H14" i="17"/>
  <c r="U14" i="17"/>
  <c r="AL16" i="17"/>
  <c r="A15" i="17"/>
  <c r="AM15" i="17"/>
  <c r="BW16" i="10"/>
  <c r="BG22" i="10" l="1"/>
  <c r="BI22" i="10" s="1"/>
  <c r="BV22" i="10" s="1"/>
  <c r="BW22" i="10" s="1"/>
  <c r="BX22" i="10" s="1"/>
  <c r="H26" i="18"/>
  <c r="I26" i="18" s="1"/>
  <c r="G26" i="18"/>
  <c r="F27" i="18"/>
  <c r="C27" i="18"/>
  <c r="D27" i="18"/>
  <c r="E27" i="18"/>
  <c r="BF23" i="10"/>
  <c r="AU24" i="10"/>
  <c r="AY23" i="10"/>
  <c r="BF24" i="10"/>
  <c r="BR24" i="10"/>
  <c r="BV20" i="10"/>
  <c r="BQ24" i="10"/>
  <c r="C15" i="17"/>
  <c r="AD15" i="17"/>
  <c r="AV25" i="10" s="1"/>
  <c r="AJ15" i="17"/>
  <c r="BQ25" i="10" s="1"/>
  <c r="N15" i="17"/>
  <c r="BD25" i="10" s="1"/>
  <c r="T15" i="17"/>
  <c r="D15" i="17"/>
  <c r="AE15" i="17"/>
  <c r="AW25" i="10" s="1"/>
  <c r="O15" i="17"/>
  <c r="AF15" i="17"/>
  <c r="P15" i="17"/>
  <c r="AG15" i="17"/>
  <c r="Q15" i="17"/>
  <c r="K15" i="17"/>
  <c r="AH15" i="17"/>
  <c r="BB25" i="10" s="1"/>
  <c r="R15" i="17"/>
  <c r="W15" i="17"/>
  <c r="G15" i="17"/>
  <c r="Z15" i="17"/>
  <c r="BR25" i="10" s="1"/>
  <c r="J15" i="17"/>
  <c r="X15" i="17"/>
  <c r="M15" i="17"/>
  <c r="H15" i="17"/>
  <c r="AA15" i="17"/>
  <c r="BS25" i="10" s="1"/>
  <c r="E15" i="17"/>
  <c r="AB15" i="17"/>
  <c r="AX25" i="10" s="1"/>
  <c r="Y15" i="17"/>
  <c r="BP25" i="10" s="1"/>
  <c r="L15" i="17"/>
  <c r="I15" i="17"/>
  <c r="AI15" i="17"/>
  <c r="BC25" i="10" s="1"/>
  <c r="AC15" i="17"/>
  <c r="U15" i="17"/>
  <c r="F15" i="17"/>
  <c r="S15" i="17"/>
  <c r="B15" i="17"/>
  <c r="V15" i="17"/>
  <c r="BE25" i="10" s="1"/>
  <c r="AL17" i="17"/>
  <c r="A16" i="17"/>
  <c r="AM16" i="17"/>
  <c r="BX16" i="10"/>
  <c r="H27" i="18" l="1"/>
  <c r="I27" i="18" s="1"/>
  <c r="G27" i="18"/>
  <c r="C28" i="18"/>
  <c r="D28" i="18"/>
  <c r="E28" i="18"/>
  <c r="F28" i="18"/>
  <c r="BG23" i="10"/>
  <c r="BA25" i="10"/>
  <c r="BW20" i="10"/>
  <c r="AU25" i="10"/>
  <c r="AY25" i="10" s="1"/>
  <c r="AY24" i="10"/>
  <c r="BG24" i="10" s="1"/>
  <c r="BI24" i="10" s="1"/>
  <c r="BV24" i="10" s="1"/>
  <c r="BW24" i="10" s="1"/>
  <c r="BX24" i="10" s="1"/>
  <c r="AZ25" i="10"/>
  <c r="AG16" i="17"/>
  <c r="AZ26" i="10" s="1"/>
  <c r="K16" i="17"/>
  <c r="Q16" i="17"/>
  <c r="AB16" i="17"/>
  <c r="AX26" i="10" s="1"/>
  <c r="L16" i="17"/>
  <c r="AC16" i="17"/>
  <c r="AU26" i="10" s="1"/>
  <c r="M16" i="17"/>
  <c r="G16" i="17"/>
  <c r="AD16" i="17"/>
  <c r="AV26" i="10" s="1"/>
  <c r="N16" i="17"/>
  <c r="BD26" i="10" s="1"/>
  <c r="AE16" i="17"/>
  <c r="AW26" i="10" s="1"/>
  <c r="O16" i="17"/>
  <c r="I16" i="17"/>
  <c r="AF16" i="17"/>
  <c r="BA26" i="10" s="1"/>
  <c r="P16" i="17"/>
  <c r="AA16" i="17"/>
  <c r="BS26" i="10" s="1"/>
  <c r="D16" i="17"/>
  <c r="E16" i="17"/>
  <c r="W16" i="17"/>
  <c r="U16" i="17"/>
  <c r="X16" i="17"/>
  <c r="B16" i="17"/>
  <c r="H16" i="17"/>
  <c r="V16" i="17"/>
  <c r="BE26" i="10" s="1"/>
  <c r="Y16" i="17"/>
  <c r="BP26" i="10" s="1"/>
  <c r="F16" i="17"/>
  <c r="AH16" i="17"/>
  <c r="BB26" i="10" s="1"/>
  <c r="R16" i="17"/>
  <c r="Z16" i="17"/>
  <c r="BR26" i="10" s="1"/>
  <c r="AI16" i="17"/>
  <c r="BC26" i="10" s="1"/>
  <c r="J16" i="17"/>
  <c r="S16" i="17"/>
  <c r="T16" i="17"/>
  <c r="C16" i="17"/>
  <c r="AJ16" i="17"/>
  <c r="BQ26" i="10" s="1"/>
  <c r="AL18" i="17"/>
  <c r="A17" i="17"/>
  <c r="AM17" i="17"/>
  <c r="H28" i="18" l="1"/>
  <c r="C29" i="18"/>
  <c r="D29" i="18"/>
  <c r="E29" i="18"/>
  <c r="F29" i="18"/>
  <c r="G28" i="18"/>
  <c r="BF26" i="10"/>
  <c r="BX20" i="10"/>
  <c r="BI23" i="10"/>
  <c r="BF25" i="10"/>
  <c r="AY26" i="10"/>
  <c r="Y17" i="17"/>
  <c r="BP27" i="10" s="1"/>
  <c r="I17" i="17"/>
  <c r="Z17" i="17"/>
  <c r="BR27" i="10" s="1"/>
  <c r="T17" i="17"/>
  <c r="J17" i="17"/>
  <c r="AA17" i="17"/>
  <c r="BS27" i="10" s="1"/>
  <c r="U17" i="17"/>
  <c r="K17" i="17"/>
  <c r="E17" i="17"/>
  <c r="AB17" i="17"/>
  <c r="AX27" i="10" s="1"/>
  <c r="L17" i="17"/>
  <c r="F17" i="17"/>
  <c r="AC17" i="17"/>
  <c r="AU27" i="10" s="1"/>
  <c r="M17" i="17"/>
  <c r="G17" i="17"/>
  <c r="AJ17" i="17"/>
  <c r="BQ27" i="10" s="1"/>
  <c r="R17" i="17"/>
  <c r="X17" i="17"/>
  <c r="D17" i="17"/>
  <c r="B17" i="17"/>
  <c r="S17" i="17"/>
  <c r="AD17" i="17"/>
  <c r="AV27" i="10" s="1"/>
  <c r="AI17" i="17"/>
  <c r="BC27" i="10" s="1"/>
  <c r="N17" i="17"/>
  <c r="BD27" i="10" s="1"/>
  <c r="C17" i="17"/>
  <c r="AE17" i="17"/>
  <c r="AW27" i="10" s="1"/>
  <c r="V17" i="17"/>
  <c r="BE27" i="10" s="1"/>
  <c r="O17" i="17"/>
  <c r="W17" i="17"/>
  <c r="AF17" i="17"/>
  <c r="BA27" i="10" s="1"/>
  <c r="AH17" i="17"/>
  <c r="BB27" i="10" s="1"/>
  <c r="P17" i="17"/>
  <c r="AG17" i="17"/>
  <c r="AZ27" i="10" s="1"/>
  <c r="Q17" i="17"/>
  <c r="H17" i="17"/>
  <c r="AL19" i="17"/>
  <c r="A18" i="17"/>
  <c r="AM18" i="17"/>
  <c r="H29" i="18" l="1"/>
  <c r="I29" i="18" s="1"/>
  <c r="G29" i="18"/>
  <c r="C30" i="18"/>
  <c r="D30" i="18"/>
  <c r="E30" i="18"/>
  <c r="F30" i="18"/>
  <c r="I28" i="18"/>
  <c r="BG26" i="10"/>
  <c r="BI26" i="10" s="1"/>
  <c r="BV26" i="10" s="1"/>
  <c r="BW26" i="10" s="1"/>
  <c r="BX26" i="10" s="1"/>
  <c r="BG25" i="10"/>
  <c r="BV23" i="10"/>
  <c r="BF27" i="10"/>
  <c r="AY27" i="10"/>
  <c r="W18" i="17"/>
  <c r="G18" i="17"/>
  <c r="AH18" i="17"/>
  <c r="BB28" i="10" s="1"/>
  <c r="X18" i="17"/>
  <c r="R18" i="17"/>
  <c r="H18" i="17"/>
  <c r="Y18" i="17"/>
  <c r="BP28" i="10" s="1"/>
  <c r="S18" i="17"/>
  <c r="I18" i="17"/>
  <c r="AJ18" i="17"/>
  <c r="BQ28" i="10" s="1"/>
  <c r="C18" i="17"/>
  <c r="Z18" i="17"/>
  <c r="BR28" i="10" s="1"/>
  <c r="T18" i="17"/>
  <c r="J18" i="17"/>
  <c r="D18" i="17"/>
  <c r="U18" i="17"/>
  <c r="AA18" i="17"/>
  <c r="BS28" i="10" s="1"/>
  <c r="K18" i="17"/>
  <c r="AF18" i="17"/>
  <c r="BA28" i="10" s="1"/>
  <c r="B18" i="17"/>
  <c r="AD18" i="17"/>
  <c r="AV28" i="10" s="1"/>
  <c r="P18" i="17"/>
  <c r="AG18" i="17"/>
  <c r="AZ28" i="10" s="1"/>
  <c r="AB18" i="17"/>
  <c r="AX28" i="10" s="1"/>
  <c r="L18" i="17"/>
  <c r="AI18" i="17"/>
  <c r="BC28" i="10" s="1"/>
  <c r="V18" i="17"/>
  <c r="BE28" i="10" s="1"/>
  <c r="AC18" i="17"/>
  <c r="AU28" i="10" s="1"/>
  <c r="M18" i="17"/>
  <c r="F18" i="17"/>
  <c r="N18" i="17"/>
  <c r="BD28" i="10" s="1"/>
  <c r="E18" i="17"/>
  <c r="AE18" i="17"/>
  <c r="AW28" i="10" s="1"/>
  <c r="O18" i="17"/>
  <c r="Q18" i="17"/>
  <c r="AL20" i="17"/>
  <c r="A19" i="17"/>
  <c r="AM19" i="17"/>
  <c r="BG27" i="10" l="1"/>
  <c r="BI27" i="10" s="1"/>
  <c r="BV27" i="10" s="1"/>
  <c r="BW27" i="10" s="1"/>
  <c r="BX27" i="10" s="1"/>
  <c r="H30" i="18"/>
  <c r="G30" i="18"/>
  <c r="F31" i="18"/>
  <c r="C31" i="18"/>
  <c r="D31" i="18"/>
  <c r="E31" i="18"/>
  <c r="AY28" i="10"/>
  <c r="BI25" i="10"/>
  <c r="BF28" i="10"/>
  <c r="BW23" i="10"/>
  <c r="D19" i="17"/>
  <c r="AE19" i="17"/>
  <c r="AW29" i="10" s="1"/>
  <c r="U19" i="17"/>
  <c r="O19" i="17"/>
  <c r="E19" i="17"/>
  <c r="AF19" i="17"/>
  <c r="BA29" i="10" s="1"/>
  <c r="V19" i="17"/>
  <c r="BE29" i="10" s="1"/>
  <c r="P19" i="17"/>
  <c r="F19" i="17"/>
  <c r="W19" i="17"/>
  <c r="Q19" i="17"/>
  <c r="G19" i="17"/>
  <c r="AH19" i="17"/>
  <c r="BB29" i="10" s="1"/>
  <c r="R19" i="17"/>
  <c r="X19" i="17"/>
  <c r="H19" i="17"/>
  <c r="AI19" i="17"/>
  <c r="BC29" i="10" s="1"/>
  <c r="Y19" i="17"/>
  <c r="BP29" i="10" s="1"/>
  <c r="AJ19" i="17"/>
  <c r="BQ29" i="10" s="1"/>
  <c r="I19" i="17"/>
  <c r="T19" i="17"/>
  <c r="M19" i="17"/>
  <c r="S19" i="17"/>
  <c r="Z19" i="17"/>
  <c r="BR29" i="10" s="1"/>
  <c r="AC19" i="17"/>
  <c r="AU29" i="10" s="1"/>
  <c r="C19" i="17"/>
  <c r="AG19" i="17"/>
  <c r="AZ29" i="10" s="1"/>
  <c r="J19" i="17"/>
  <c r="AA19" i="17"/>
  <c r="BS29" i="10" s="1"/>
  <c r="K19" i="17"/>
  <c r="AB19" i="17"/>
  <c r="AX29" i="10" s="1"/>
  <c r="B19" i="17"/>
  <c r="AD19" i="17"/>
  <c r="AV29" i="10" s="1"/>
  <c r="L19" i="17"/>
  <c r="N19" i="17"/>
  <c r="BD29" i="10" s="1"/>
  <c r="AL21" i="17"/>
  <c r="A20" i="17"/>
  <c r="AM20" i="17"/>
  <c r="H31" i="18" l="1"/>
  <c r="I31" i="18" s="1"/>
  <c r="G31" i="18"/>
  <c r="C32" i="18"/>
  <c r="D32" i="18"/>
  <c r="E32" i="18"/>
  <c r="F32" i="18"/>
  <c r="I30" i="18"/>
  <c r="BF29" i="10"/>
  <c r="AY29" i="10"/>
  <c r="BV25" i="10"/>
  <c r="BX23" i="10"/>
  <c r="BG28" i="10"/>
  <c r="R20" i="17"/>
  <c r="L20" i="17"/>
  <c r="AI20" i="17"/>
  <c r="BC30" i="10" s="1"/>
  <c r="B20" i="17"/>
  <c r="AC20" i="17"/>
  <c r="AU30" i="10" s="1"/>
  <c r="S20" i="17"/>
  <c r="M20" i="17"/>
  <c r="AJ20" i="17"/>
  <c r="BQ30" i="10" s="1"/>
  <c r="C20" i="17"/>
  <c r="AD20" i="17"/>
  <c r="AV30" i="10" s="1"/>
  <c r="T20" i="17"/>
  <c r="N20" i="17"/>
  <c r="BD30" i="10" s="1"/>
  <c r="D20" i="17"/>
  <c r="AE20" i="17"/>
  <c r="AW30" i="10" s="1"/>
  <c r="O20" i="17"/>
  <c r="U20" i="17"/>
  <c r="E20" i="17"/>
  <c r="AF20" i="17"/>
  <c r="BA30" i="10" s="1"/>
  <c r="AG20" i="17"/>
  <c r="AZ30" i="10" s="1"/>
  <c r="Q20" i="17"/>
  <c r="G20" i="17"/>
  <c r="AA20" i="17"/>
  <c r="BS30" i="10" s="1"/>
  <c r="AB20" i="17"/>
  <c r="AX30" i="10" s="1"/>
  <c r="W20" i="17"/>
  <c r="P20" i="17"/>
  <c r="AH20" i="17"/>
  <c r="BB30" i="10" s="1"/>
  <c r="X20" i="17"/>
  <c r="H20" i="17"/>
  <c r="I20" i="17"/>
  <c r="Y20" i="17"/>
  <c r="BP30" i="10" s="1"/>
  <c r="V20" i="17"/>
  <c r="BE30" i="10" s="1"/>
  <c r="K20" i="17"/>
  <c r="Z20" i="17"/>
  <c r="BR30" i="10" s="1"/>
  <c r="J20" i="17"/>
  <c r="F20" i="17"/>
  <c r="AL22" i="17"/>
  <c r="A21" i="17"/>
  <c r="AM21" i="17"/>
  <c r="BG29" i="10" l="1"/>
  <c r="BI29" i="10" s="1"/>
  <c r="BV29" i="10" s="1"/>
  <c r="BW29" i="10" s="1"/>
  <c r="BX29" i="10" s="1"/>
  <c r="C33" i="18"/>
  <c r="D33" i="18"/>
  <c r="E33" i="18"/>
  <c r="F33" i="18"/>
  <c r="H32" i="18"/>
  <c r="G32" i="18"/>
  <c r="BF30" i="10"/>
  <c r="BI28" i="10"/>
  <c r="BW25" i="10"/>
  <c r="AY30" i="10"/>
  <c r="P21" i="17"/>
  <c r="J21" i="17"/>
  <c r="AG21" i="17"/>
  <c r="AZ31" i="10" s="1"/>
  <c r="AA21" i="17"/>
  <c r="BS31" i="10" s="1"/>
  <c r="Q21" i="17"/>
  <c r="K21" i="17"/>
  <c r="AB21" i="17"/>
  <c r="AX31" i="10" s="1"/>
  <c r="AH21" i="17"/>
  <c r="BB31" i="10" s="1"/>
  <c r="L21" i="17"/>
  <c r="R21" i="17"/>
  <c r="B21" i="17"/>
  <c r="AC21" i="17"/>
  <c r="AU31" i="10" s="1"/>
  <c r="M21" i="17"/>
  <c r="N21" i="17"/>
  <c r="BD31" i="10" s="1"/>
  <c r="AE21" i="17"/>
  <c r="AW31" i="10" s="1"/>
  <c r="Y21" i="17"/>
  <c r="BP31" i="10" s="1"/>
  <c r="T21" i="17"/>
  <c r="I21" i="17"/>
  <c r="D21" i="17"/>
  <c r="Z21" i="17"/>
  <c r="BR31" i="10" s="1"/>
  <c r="O21" i="17"/>
  <c r="U21" i="17"/>
  <c r="E21" i="17"/>
  <c r="V21" i="17"/>
  <c r="BE31" i="10" s="1"/>
  <c r="AJ21" i="17"/>
  <c r="BQ31" i="10" s="1"/>
  <c r="X21" i="17"/>
  <c r="F21" i="17"/>
  <c r="H21" i="17"/>
  <c r="AF21" i="17"/>
  <c r="BA31" i="10" s="1"/>
  <c r="W21" i="17"/>
  <c r="G21" i="17"/>
  <c r="AI21" i="17"/>
  <c r="BC31" i="10" s="1"/>
  <c r="S21" i="17"/>
  <c r="C21" i="17"/>
  <c r="AD21" i="17"/>
  <c r="AV31" i="10" s="1"/>
  <c r="AL23" i="17"/>
  <c r="A22" i="17"/>
  <c r="AM22" i="17"/>
  <c r="BG30" i="10" l="1"/>
  <c r="BI30" i="10" s="1"/>
  <c r="BV30" i="10" s="1"/>
  <c r="BW30" i="10" s="1"/>
  <c r="BX30" i="10" s="1"/>
  <c r="C34" i="18"/>
  <c r="D34" i="18"/>
  <c r="E34" i="18"/>
  <c r="F34" i="18"/>
  <c r="H33" i="18"/>
  <c r="I33" i="18" s="1"/>
  <c r="I32" i="18"/>
  <c r="G33" i="18"/>
  <c r="BF31" i="10"/>
  <c r="AY31" i="10"/>
  <c r="BX25" i="10"/>
  <c r="BV28" i="10"/>
  <c r="N22" i="17"/>
  <c r="BD32" i="10" s="1"/>
  <c r="H22" i="17"/>
  <c r="Y22" i="17"/>
  <c r="BP32" i="10" s="1"/>
  <c r="AE22" i="17"/>
  <c r="AW32" i="10" s="1"/>
  <c r="I22" i="17"/>
  <c r="O22" i="17"/>
  <c r="Z22" i="17"/>
  <c r="BR32" i="10" s="1"/>
  <c r="J22" i="17"/>
  <c r="AA22" i="17"/>
  <c r="BS32" i="10" s="1"/>
  <c r="K22" i="17"/>
  <c r="AB22" i="17"/>
  <c r="AX32" i="10" s="1"/>
  <c r="V22" i="17"/>
  <c r="BE32" i="10" s="1"/>
  <c r="L22" i="17"/>
  <c r="AC22" i="17"/>
  <c r="AU32" i="10" s="1"/>
  <c r="W22" i="17"/>
  <c r="AH22" i="17"/>
  <c r="BB32" i="10" s="1"/>
  <c r="B22" i="17"/>
  <c r="G22" i="17"/>
  <c r="R22" i="17"/>
  <c r="X22" i="17"/>
  <c r="AI22" i="17"/>
  <c r="BC32" i="10" s="1"/>
  <c r="S22" i="17"/>
  <c r="Q22" i="17"/>
  <c r="U22" i="17"/>
  <c r="C22" i="17"/>
  <c r="E22" i="17"/>
  <c r="AJ22" i="17"/>
  <c r="BQ32" i="10" s="1"/>
  <c r="F22" i="17"/>
  <c r="T22" i="17"/>
  <c r="M22" i="17"/>
  <c r="D22" i="17"/>
  <c r="AF22" i="17"/>
  <c r="BA32" i="10" s="1"/>
  <c r="P22" i="17"/>
  <c r="AG22" i="17"/>
  <c r="AZ32" i="10" s="1"/>
  <c r="AD22" i="17"/>
  <c r="AV32" i="10" s="1"/>
  <c r="AL24" i="17"/>
  <c r="A23" i="17"/>
  <c r="AM23" i="17"/>
  <c r="H34" i="18" l="1"/>
  <c r="I34" i="18" s="1"/>
  <c r="G34" i="18"/>
  <c r="C35" i="18"/>
  <c r="D35" i="18"/>
  <c r="E35" i="18"/>
  <c r="F35" i="18"/>
  <c r="BG31" i="10"/>
  <c r="BI31" i="10" s="1"/>
  <c r="BV31" i="10" s="1"/>
  <c r="BW31" i="10" s="1"/>
  <c r="BX31" i="10" s="1"/>
  <c r="BF32" i="10"/>
  <c r="BW28" i="10"/>
  <c r="AY32" i="10"/>
  <c r="AC23" i="17"/>
  <c r="AU33" i="10" s="1"/>
  <c r="V23" i="17"/>
  <c r="BE33" i="10" s="1"/>
  <c r="AB23" i="17"/>
  <c r="AX33" i="10" s="1"/>
  <c r="F23" i="17"/>
  <c r="L23" i="17"/>
  <c r="W23" i="17"/>
  <c r="G23" i="17"/>
  <c r="X23" i="17"/>
  <c r="R23" i="17"/>
  <c r="H23" i="17"/>
  <c r="Y23" i="17"/>
  <c r="BP33" i="10" s="1"/>
  <c r="S23" i="17"/>
  <c r="I23" i="17"/>
  <c r="Z23" i="17"/>
  <c r="BR33" i="10" s="1"/>
  <c r="T23" i="17"/>
  <c r="J23" i="17"/>
  <c r="AA23" i="17"/>
  <c r="BS33" i="10" s="1"/>
  <c r="D23" i="17"/>
  <c r="O23" i="17"/>
  <c r="AF23" i="17"/>
  <c r="BA33" i="10" s="1"/>
  <c r="U23" i="17"/>
  <c r="AG23" i="17"/>
  <c r="AZ33" i="10" s="1"/>
  <c r="E23" i="17"/>
  <c r="P23" i="17"/>
  <c r="AI23" i="17"/>
  <c r="BC33" i="10" s="1"/>
  <c r="C23" i="17"/>
  <c r="B23" i="17"/>
  <c r="AH23" i="17"/>
  <c r="BB33" i="10" s="1"/>
  <c r="Q23" i="17"/>
  <c r="M23" i="17"/>
  <c r="AD23" i="17"/>
  <c r="AV33" i="10" s="1"/>
  <c r="AE23" i="17"/>
  <c r="AW33" i="10" s="1"/>
  <c r="K23" i="17"/>
  <c r="N23" i="17"/>
  <c r="BD33" i="10" s="1"/>
  <c r="AJ23" i="17"/>
  <c r="BQ33" i="10" s="1"/>
  <c r="AL25" i="17"/>
  <c r="A24" i="17"/>
  <c r="AM24" i="17"/>
  <c r="BG32" i="10" l="1"/>
  <c r="BI32" i="10" s="1"/>
  <c r="BV32" i="10" s="1"/>
  <c r="BW32" i="10" s="1"/>
  <c r="BX32" i="10" s="1"/>
  <c r="H35" i="18"/>
  <c r="I35" i="18" s="1"/>
  <c r="G35" i="18"/>
  <c r="C36" i="18"/>
  <c r="D36" i="18"/>
  <c r="E36" i="18"/>
  <c r="F36" i="18"/>
  <c r="AY33" i="10"/>
  <c r="BX28" i="10"/>
  <c r="BF33" i="10"/>
  <c r="BG33" i="10" s="1"/>
  <c r="BI33" i="10" s="1"/>
  <c r="BV33" i="10" s="1"/>
  <c r="BW33" i="10" s="1"/>
  <c r="BX33" i="10" s="1"/>
  <c r="J24" i="17"/>
  <c r="Z24" i="17"/>
  <c r="BR34" i="10" s="1"/>
  <c r="K24" i="17"/>
  <c r="V24" i="17"/>
  <c r="BE34" i="10" s="1"/>
  <c r="E24" i="17"/>
  <c r="AH24" i="17"/>
  <c r="BB34" i="10" s="1"/>
  <c r="W24" i="17"/>
  <c r="F24" i="17"/>
  <c r="AI24" i="17"/>
  <c r="BC34" i="10" s="1"/>
  <c r="X24" i="17"/>
  <c r="R24" i="17"/>
  <c r="G24" i="17"/>
  <c r="Y24" i="17"/>
  <c r="BP34" i="10" s="1"/>
  <c r="S24" i="17"/>
  <c r="H24" i="17"/>
  <c r="AA24" i="17"/>
  <c r="BS34" i="10" s="1"/>
  <c r="T24" i="17"/>
  <c r="I24" i="17"/>
  <c r="AF24" i="17"/>
  <c r="BA34" i="10" s="1"/>
  <c r="AB24" i="17"/>
  <c r="AX34" i="10" s="1"/>
  <c r="C24" i="17"/>
  <c r="O24" i="17"/>
  <c r="B24" i="17"/>
  <c r="M24" i="17"/>
  <c r="N24" i="17"/>
  <c r="BD34" i="10" s="1"/>
  <c r="Q24" i="17"/>
  <c r="AG24" i="17"/>
  <c r="AZ34" i="10" s="1"/>
  <c r="P24" i="17"/>
  <c r="AC24" i="17"/>
  <c r="AU34" i="10" s="1"/>
  <c r="AJ24" i="17"/>
  <c r="BQ34" i="10" s="1"/>
  <c r="L24" i="17"/>
  <c r="AD24" i="17"/>
  <c r="AV34" i="10" s="1"/>
  <c r="U24" i="17"/>
  <c r="D24" i="17"/>
  <c r="AE24" i="17"/>
  <c r="AW34" i="10" s="1"/>
  <c r="AL26" i="17"/>
  <c r="A25" i="17"/>
  <c r="AM25" i="17"/>
  <c r="C37" i="18" l="1"/>
  <c r="D37" i="18"/>
  <c r="E37" i="18"/>
  <c r="F37" i="18"/>
  <c r="H36" i="18"/>
  <c r="I36" i="18" s="1"/>
  <c r="G36" i="18"/>
  <c r="AY34" i="10"/>
  <c r="BF34" i="10"/>
  <c r="W25" i="17"/>
  <c r="D25" i="17"/>
  <c r="V25" i="17"/>
  <c r="BE35" i="10" s="1"/>
  <c r="E25" i="17"/>
  <c r="AH25" i="17"/>
  <c r="BB35" i="10" s="1"/>
  <c r="G25" i="17"/>
  <c r="X25" i="17"/>
  <c r="F25" i="17"/>
  <c r="AI25" i="17"/>
  <c r="BC35" i="10" s="1"/>
  <c r="Y25" i="17"/>
  <c r="BP35" i="10" s="1"/>
  <c r="R25" i="17"/>
  <c r="H25" i="17"/>
  <c r="AJ25" i="17"/>
  <c r="BQ35" i="10" s="1"/>
  <c r="Z25" i="17"/>
  <c r="BR35" i="10" s="1"/>
  <c r="S25" i="17"/>
  <c r="I25" i="17"/>
  <c r="AA25" i="17"/>
  <c r="BS35" i="10" s="1"/>
  <c r="J25" i="17"/>
  <c r="B25" i="17"/>
  <c r="AG25" i="17"/>
  <c r="AZ35" i="10" s="1"/>
  <c r="AF25" i="17"/>
  <c r="BA35" i="10" s="1"/>
  <c r="AB25" i="17"/>
  <c r="AX35" i="10" s="1"/>
  <c r="U25" i="17"/>
  <c r="P25" i="17"/>
  <c r="O25" i="17"/>
  <c r="K25" i="17"/>
  <c r="AC25" i="17"/>
  <c r="AU35" i="10" s="1"/>
  <c r="L25" i="17"/>
  <c r="T25" i="17"/>
  <c r="AE25" i="17"/>
  <c r="AW35" i="10" s="1"/>
  <c r="C25" i="17"/>
  <c r="AD25" i="17"/>
  <c r="AV35" i="10" s="1"/>
  <c r="Q25" i="17"/>
  <c r="M25" i="17"/>
  <c r="N25" i="17"/>
  <c r="BD35" i="10" s="1"/>
  <c r="AL27" i="17"/>
  <c r="A26" i="17"/>
  <c r="AM26" i="17"/>
  <c r="BG34" i="10" l="1"/>
  <c r="BI34" i="10" s="1"/>
  <c r="BV34" i="10" s="1"/>
  <c r="BW34" i="10" s="1"/>
  <c r="BX34" i="10" s="1"/>
  <c r="C38" i="18"/>
  <c r="D38" i="18"/>
  <c r="E38" i="18"/>
  <c r="F38" i="18"/>
  <c r="H37" i="18"/>
  <c r="I37" i="18" s="1"/>
  <c r="G37" i="18"/>
  <c r="AY35" i="10"/>
  <c r="BF35" i="10"/>
  <c r="AJ26" i="17"/>
  <c r="BQ36" i="10" s="1"/>
  <c r="T26" i="17"/>
  <c r="D26" i="17"/>
  <c r="V26" i="17"/>
  <c r="BE36" i="10" s="1"/>
  <c r="E26" i="17"/>
  <c r="AH26" i="17"/>
  <c r="BB36" i="10" s="1"/>
  <c r="W26" i="17"/>
  <c r="P26" i="17"/>
  <c r="F26" i="17"/>
  <c r="AI26" i="17"/>
  <c r="BC36" i="10" s="1"/>
  <c r="X26" i="17"/>
  <c r="G26" i="17"/>
  <c r="Y26" i="17"/>
  <c r="BP36" i="10" s="1"/>
  <c r="R26" i="17"/>
  <c r="H26" i="17"/>
  <c r="AE26" i="17"/>
  <c r="AW36" i="10" s="1"/>
  <c r="Z26" i="17"/>
  <c r="BR36" i="10" s="1"/>
  <c r="B26" i="17"/>
  <c r="I26" i="17"/>
  <c r="U26" i="17"/>
  <c r="O26" i="17"/>
  <c r="N26" i="17"/>
  <c r="BD36" i="10" s="1"/>
  <c r="C26" i="17"/>
  <c r="AA26" i="17"/>
  <c r="BS36" i="10" s="1"/>
  <c r="L26" i="17"/>
  <c r="J26" i="17"/>
  <c r="AF26" i="17"/>
  <c r="BA36" i="10" s="1"/>
  <c r="AB26" i="17"/>
  <c r="AX36" i="10" s="1"/>
  <c r="K26" i="17"/>
  <c r="S26" i="17"/>
  <c r="AC26" i="17"/>
  <c r="AU36" i="10" s="1"/>
  <c r="AG26" i="17"/>
  <c r="AZ36" i="10" s="1"/>
  <c r="AD26" i="17"/>
  <c r="AV36" i="10" s="1"/>
  <c r="Q26" i="17"/>
  <c r="M26" i="17"/>
  <c r="AL28" i="17"/>
  <c r="A27" i="17"/>
  <c r="AM27" i="17"/>
  <c r="F39" i="18" l="1"/>
  <c r="C39" i="18"/>
  <c r="D39" i="18"/>
  <c r="E39" i="18"/>
  <c r="H38" i="18"/>
  <c r="I38" i="18" s="1"/>
  <c r="G38" i="18"/>
  <c r="BG35" i="10"/>
  <c r="BI35" i="10" s="1"/>
  <c r="BV35" i="10" s="1"/>
  <c r="BW35" i="10" s="1"/>
  <c r="BX35" i="10" s="1"/>
  <c r="AY36" i="10"/>
  <c r="BF36" i="10"/>
  <c r="AF27" i="17"/>
  <c r="BA37" i="10" s="1"/>
  <c r="AH27" i="17"/>
  <c r="BB37" i="10" s="1"/>
  <c r="R27" i="17"/>
  <c r="AG27" i="17"/>
  <c r="AZ37" i="10" s="1"/>
  <c r="Q27" i="17"/>
  <c r="Y27" i="17"/>
  <c r="BP37" i="10" s="1"/>
  <c r="S27" i="17"/>
  <c r="F27" i="17"/>
  <c r="Z27" i="17"/>
  <c r="BR37" i="10" s="1"/>
  <c r="T27" i="17"/>
  <c r="G27" i="17"/>
  <c r="AA27" i="17"/>
  <c r="BS37" i="10" s="1"/>
  <c r="H27" i="17"/>
  <c r="B27" i="17"/>
  <c r="O27" i="17"/>
  <c r="AB27" i="17"/>
  <c r="AX37" i="10" s="1"/>
  <c r="V27" i="17"/>
  <c r="BE37" i="10" s="1"/>
  <c r="L27" i="17"/>
  <c r="AC27" i="17"/>
  <c r="AU37" i="10" s="1"/>
  <c r="C27" i="17"/>
  <c r="I27" i="17"/>
  <c r="W27" i="17"/>
  <c r="J27" i="17"/>
  <c r="P27" i="17"/>
  <c r="AE27" i="17"/>
  <c r="AW37" i="10" s="1"/>
  <c r="AJ27" i="17"/>
  <c r="BQ37" i="10" s="1"/>
  <c r="K27" i="17"/>
  <c r="U27" i="17"/>
  <c r="D27" i="17"/>
  <c r="M27" i="17"/>
  <c r="E27" i="17"/>
  <c r="AI27" i="17"/>
  <c r="BC37" i="10" s="1"/>
  <c r="AD27" i="17"/>
  <c r="AV37" i="10" s="1"/>
  <c r="N27" i="17"/>
  <c r="BD37" i="10" s="1"/>
  <c r="X27" i="17"/>
  <c r="AL29" i="17"/>
  <c r="A28" i="17"/>
  <c r="AM28" i="17"/>
  <c r="H39" i="18" l="1"/>
  <c r="I39" i="18" s="1"/>
  <c r="BG36" i="10"/>
  <c r="BI36" i="10" s="1"/>
  <c r="BV36" i="10" s="1"/>
  <c r="BW36" i="10" s="1"/>
  <c r="BX36" i="10" s="1"/>
  <c r="G39" i="18"/>
  <c r="C40" i="18"/>
  <c r="D40" i="18"/>
  <c r="E40" i="18"/>
  <c r="F40" i="18"/>
  <c r="BF37" i="10"/>
  <c r="AY37" i="10"/>
  <c r="AC28" i="17"/>
  <c r="AU38" i="10" s="1"/>
  <c r="M28" i="17"/>
  <c r="AB28" i="17"/>
  <c r="AX38" i="10" s="1"/>
  <c r="AE28" i="17"/>
  <c r="AW38" i="10" s="1"/>
  <c r="O28" i="17"/>
  <c r="AD28" i="17"/>
  <c r="AV38" i="10" s="1"/>
  <c r="N28" i="17"/>
  <c r="BD38" i="10" s="1"/>
  <c r="K28" i="17"/>
  <c r="D28" i="17"/>
  <c r="AA28" i="17"/>
  <c r="BS38" i="10" s="1"/>
  <c r="L28" i="17"/>
  <c r="E28" i="17"/>
  <c r="AF28" i="17"/>
  <c r="BA38" i="10" s="1"/>
  <c r="P28" i="17"/>
  <c r="F28" i="17"/>
  <c r="Z28" i="17"/>
  <c r="BR38" i="10" s="1"/>
  <c r="Y28" i="17"/>
  <c r="BP38" i="10" s="1"/>
  <c r="AG28" i="17"/>
  <c r="AZ38" i="10" s="1"/>
  <c r="I28" i="17"/>
  <c r="G28" i="17"/>
  <c r="Q28" i="17"/>
  <c r="AH28" i="17"/>
  <c r="BB38" i="10" s="1"/>
  <c r="AI28" i="17"/>
  <c r="BC38" i="10" s="1"/>
  <c r="R28" i="17"/>
  <c r="S28" i="17"/>
  <c r="AJ28" i="17"/>
  <c r="BQ38" i="10" s="1"/>
  <c r="H28" i="17"/>
  <c r="T28" i="17"/>
  <c r="U28" i="17"/>
  <c r="X28" i="17"/>
  <c r="B28" i="17"/>
  <c r="J28" i="17"/>
  <c r="W28" i="17"/>
  <c r="C28" i="17"/>
  <c r="V28" i="17"/>
  <c r="BE38" i="10" s="1"/>
  <c r="AL30" i="17"/>
  <c r="A29" i="17"/>
  <c r="AM29" i="17"/>
  <c r="C41" i="18" l="1"/>
  <c r="D41" i="18"/>
  <c r="E41" i="18"/>
  <c r="F41" i="18"/>
  <c r="H40" i="18"/>
  <c r="I40" i="18" s="1"/>
  <c r="G40" i="18"/>
  <c r="BG37" i="10"/>
  <c r="BI37" i="10" s="1"/>
  <c r="BV37" i="10" s="1"/>
  <c r="BW37" i="10" s="1"/>
  <c r="BX37" i="10" s="1"/>
  <c r="AY38" i="10"/>
  <c r="BF38" i="10"/>
  <c r="I29" i="17"/>
  <c r="AB29" i="17"/>
  <c r="AX39" i="10" s="1"/>
  <c r="L29" i="17"/>
  <c r="AA29" i="17"/>
  <c r="BS39" i="10" s="1"/>
  <c r="K29" i="17"/>
  <c r="J29" i="17"/>
  <c r="Y29" i="17"/>
  <c r="BP39" i="10" s="1"/>
  <c r="H29" i="17"/>
  <c r="AH29" i="17"/>
  <c r="BB39" i="10" s="1"/>
  <c r="T29" i="17"/>
  <c r="B29" i="17"/>
  <c r="AI29" i="17"/>
  <c r="BC39" i="10" s="1"/>
  <c r="AC29" i="17"/>
  <c r="AU39" i="10" s="1"/>
  <c r="C29" i="17"/>
  <c r="Q29" i="17"/>
  <c r="W29" i="17"/>
  <c r="V29" i="17"/>
  <c r="BE39" i="10" s="1"/>
  <c r="G29" i="17"/>
  <c r="F29" i="17"/>
  <c r="AD29" i="17"/>
  <c r="AV39" i="10" s="1"/>
  <c r="AJ29" i="17"/>
  <c r="BQ39" i="10" s="1"/>
  <c r="D29" i="17"/>
  <c r="U29" i="17"/>
  <c r="AE29" i="17"/>
  <c r="AW39" i="10" s="1"/>
  <c r="X29" i="17"/>
  <c r="E29" i="17"/>
  <c r="AF29" i="17"/>
  <c r="BA39" i="10" s="1"/>
  <c r="Z29" i="17"/>
  <c r="BR39" i="10" s="1"/>
  <c r="N29" i="17"/>
  <c r="BD39" i="10" s="1"/>
  <c r="AG29" i="17"/>
  <c r="AZ39" i="10" s="1"/>
  <c r="O29" i="17"/>
  <c r="P29" i="17"/>
  <c r="S29" i="17"/>
  <c r="R29" i="17"/>
  <c r="M29" i="17"/>
  <c r="AL31" i="17"/>
  <c r="A30" i="17"/>
  <c r="AM30" i="17"/>
  <c r="C42" i="18" l="1"/>
  <c r="D42" i="18"/>
  <c r="E42" i="18"/>
  <c r="F42" i="18"/>
  <c r="H41" i="18"/>
  <c r="I41" i="18" s="1"/>
  <c r="G41" i="18"/>
  <c r="BG38" i="10"/>
  <c r="BI38" i="10" s="1"/>
  <c r="BV38" i="10" s="1"/>
  <c r="BW38" i="10" s="1"/>
  <c r="BX38" i="10" s="1"/>
  <c r="AY39" i="10"/>
  <c r="BF39" i="10"/>
  <c r="Y30" i="17"/>
  <c r="BP40" i="10" s="1"/>
  <c r="I30" i="17"/>
  <c r="X30" i="17"/>
  <c r="H30" i="17"/>
  <c r="W30" i="17"/>
  <c r="G30" i="17"/>
  <c r="V30" i="17"/>
  <c r="BE40" i="10" s="1"/>
  <c r="AJ30" i="17"/>
  <c r="BQ40" i="10" s="1"/>
  <c r="AI30" i="17"/>
  <c r="BC40" i="10" s="1"/>
  <c r="AA30" i="17"/>
  <c r="BS40" i="10" s="1"/>
  <c r="T30" i="17"/>
  <c r="S30" i="17"/>
  <c r="D30" i="17"/>
  <c r="C30" i="17"/>
  <c r="AE30" i="17"/>
  <c r="AW40" i="10" s="1"/>
  <c r="AB30" i="17"/>
  <c r="AX40" i="10" s="1"/>
  <c r="AH30" i="17"/>
  <c r="BB40" i="10" s="1"/>
  <c r="O30" i="17"/>
  <c r="R30" i="17"/>
  <c r="F30" i="17"/>
  <c r="U30" i="17"/>
  <c r="B30" i="17"/>
  <c r="AC30" i="17"/>
  <c r="AU40" i="10" s="1"/>
  <c r="E30" i="17"/>
  <c r="AD30" i="17"/>
  <c r="AV40" i="10" s="1"/>
  <c r="AF30" i="17"/>
  <c r="BA40" i="10" s="1"/>
  <c r="K30" i="17"/>
  <c r="L30" i="17"/>
  <c r="M30" i="17"/>
  <c r="AG30" i="17"/>
  <c r="AZ40" i="10" s="1"/>
  <c r="P30" i="17"/>
  <c r="Q30" i="17"/>
  <c r="Z30" i="17"/>
  <c r="BR40" i="10" s="1"/>
  <c r="N30" i="17"/>
  <c r="BD40" i="10" s="1"/>
  <c r="J30" i="17"/>
  <c r="AL32" i="17"/>
  <c r="A31" i="17"/>
  <c r="AM31" i="17"/>
  <c r="F43" i="18" l="1"/>
  <c r="C43" i="18"/>
  <c r="D43" i="18"/>
  <c r="E43" i="18"/>
  <c r="H42" i="18"/>
  <c r="I42" i="18" s="1"/>
  <c r="G42" i="18"/>
  <c r="BG39" i="10"/>
  <c r="BI39" i="10" s="1"/>
  <c r="BV39" i="10" s="1"/>
  <c r="BW39" i="10" s="1"/>
  <c r="BX39" i="10" s="1"/>
  <c r="BF40" i="10"/>
  <c r="AY40" i="10"/>
  <c r="U31" i="17"/>
  <c r="E31" i="17"/>
  <c r="AJ31" i="17"/>
  <c r="BQ41" i="10" s="1"/>
  <c r="AH31" i="17"/>
  <c r="BB41" i="10" s="1"/>
  <c r="D31" i="17"/>
  <c r="S31" i="17"/>
  <c r="B31" i="17"/>
  <c r="C31" i="17"/>
  <c r="F31" i="17"/>
  <c r="Q31" i="17"/>
  <c r="P31" i="17"/>
  <c r="Z31" i="17"/>
  <c r="BR41" i="10" s="1"/>
  <c r="G31" i="17"/>
  <c r="AB31" i="17"/>
  <c r="AX41" i="10" s="1"/>
  <c r="AE31" i="17"/>
  <c r="AW41" i="10" s="1"/>
  <c r="L31" i="17"/>
  <c r="AA31" i="17"/>
  <c r="BS41" i="10" s="1"/>
  <c r="O31" i="17"/>
  <c r="H31" i="17"/>
  <c r="AI31" i="17"/>
  <c r="BC41" i="10" s="1"/>
  <c r="R31" i="17"/>
  <c r="AC31" i="17"/>
  <c r="AU41" i="10" s="1"/>
  <c r="AD31" i="17"/>
  <c r="AV41" i="10" s="1"/>
  <c r="T31" i="17"/>
  <c r="K31" i="17"/>
  <c r="AG31" i="17"/>
  <c r="AZ41" i="10" s="1"/>
  <c r="M31" i="17"/>
  <c r="J31" i="17"/>
  <c r="X31" i="17"/>
  <c r="W31" i="17"/>
  <c r="V31" i="17"/>
  <c r="BE41" i="10" s="1"/>
  <c r="Y31" i="17"/>
  <c r="BP41" i="10" s="1"/>
  <c r="N31" i="17"/>
  <c r="BD41" i="10" s="1"/>
  <c r="I31" i="17"/>
  <c r="AF31" i="17"/>
  <c r="BA41" i="10" s="1"/>
  <c r="AL33" i="17"/>
  <c r="A32" i="17"/>
  <c r="AM32" i="17"/>
  <c r="H43" i="18" l="1"/>
  <c r="I43" i="18" s="1"/>
  <c r="G43" i="18"/>
  <c r="C44" i="18"/>
  <c r="D44" i="18"/>
  <c r="E44" i="18"/>
  <c r="F44" i="18"/>
  <c r="BG40" i="10"/>
  <c r="BI40" i="10" s="1"/>
  <c r="BV40" i="10" s="1"/>
  <c r="BW40" i="10" s="1"/>
  <c r="BX40" i="10" s="1"/>
  <c r="BF41" i="10"/>
  <c r="AY41" i="10"/>
  <c r="AG32" i="17"/>
  <c r="AZ42" i="10" s="1"/>
  <c r="AE32" i="17"/>
  <c r="AW42" i="10" s="1"/>
  <c r="Q32" i="17"/>
  <c r="AF32" i="17"/>
  <c r="BA42" i="10" s="1"/>
  <c r="O32" i="17"/>
  <c r="P32" i="17"/>
  <c r="AI32" i="17"/>
  <c r="BC42" i="10" s="1"/>
  <c r="S32" i="17"/>
  <c r="C32" i="17"/>
  <c r="AH32" i="17"/>
  <c r="BB42" i="10" s="1"/>
  <c r="B32" i="17"/>
  <c r="AA32" i="17"/>
  <c r="BS42" i="10" s="1"/>
  <c r="Y32" i="17"/>
  <c r="BP42" i="10" s="1"/>
  <c r="F32" i="17"/>
  <c r="AB32" i="17"/>
  <c r="AX42" i="10" s="1"/>
  <c r="K32" i="17"/>
  <c r="I32" i="17"/>
  <c r="L32" i="17"/>
  <c r="R32" i="17"/>
  <c r="W32" i="17"/>
  <c r="T32" i="17"/>
  <c r="G32" i="17"/>
  <c r="Z32" i="17"/>
  <c r="BR42" i="10" s="1"/>
  <c r="J32" i="17"/>
  <c r="X32" i="17"/>
  <c r="D32" i="17"/>
  <c r="AD32" i="17"/>
  <c r="AV42" i="10" s="1"/>
  <c r="AC32" i="17"/>
  <c r="AU42" i="10" s="1"/>
  <c r="H32" i="17"/>
  <c r="N32" i="17"/>
  <c r="BD42" i="10" s="1"/>
  <c r="AJ32" i="17"/>
  <c r="BQ42" i="10" s="1"/>
  <c r="U32" i="17"/>
  <c r="V32" i="17"/>
  <c r="BE42" i="10" s="1"/>
  <c r="E32" i="17"/>
  <c r="M32" i="17"/>
  <c r="AL34" i="17"/>
  <c r="A33" i="17"/>
  <c r="AM33" i="17"/>
  <c r="H44" i="18" l="1"/>
  <c r="I44" i="18" s="1"/>
  <c r="C45" i="18"/>
  <c r="D45" i="18"/>
  <c r="E45" i="18"/>
  <c r="F45" i="18"/>
  <c r="G44" i="18"/>
  <c r="BG41" i="10"/>
  <c r="BI41" i="10" s="1"/>
  <c r="BV41" i="10" s="1"/>
  <c r="BW41" i="10" s="1"/>
  <c r="BX41" i="10" s="1"/>
  <c r="AY42" i="10"/>
  <c r="BF42" i="10"/>
  <c r="AA33" i="17"/>
  <c r="BS43" i="10" s="1"/>
  <c r="AD33" i="17"/>
  <c r="AV43" i="10" s="1"/>
  <c r="AB33" i="17"/>
  <c r="AX43" i="10" s="1"/>
  <c r="N33" i="17"/>
  <c r="BD43" i="10" s="1"/>
  <c r="AC33" i="17"/>
  <c r="AU43" i="10" s="1"/>
  <c r="L33" i="17"/>
  <c r="M33" i="17"/>
  <c r="AF33" i="17"/>
  <c r="BA43" i="10" s="1"/>
  <c r="P33" i="17"/>
  <c r="AE33" i="17"/>
  <c r="AW43" i="10" s="1"/>
  <c r="O33" i="17"/>
  <c r="I33" i="17"/>
  <c r="AJ33" i="17"/>
  <c r="BQ43" i="10" s="1"/>
  <c r="T33" i="17"/>
  <c r="D33" i="17"/>
  <c r="W33" i="17"/>
  <c r="G33" i="17"/>
  <c r="AH33" i="17"/>
  <c r="BB43" i="10" s="1"/>
  <c r="U33" i="17"/>
  <c r="R33" i="17"/>
  <c r="Z33" i="17"/>
  <c r="BR43" i="10" s="1"/>
  <c r="E33" i="17"/>
  <c r="B33" i="17"/>
  <c r="AG33" i="17"/>
  <c r="AZ43" i="10" s="1"/>
  <c r="K33" i="17"/>
  <c r="J33" i="17"/>
  <c r="X33" i="17"/>
  <c r="H33" i="17"/>
  <c r="V33" i="17"/>
  <c r="BE43" i="10" s="1"/>
  <c r="F33" i="17"/>
  <c r="Q33" i="17"/>
  <c r="C33" i="17"/>
  <c r="AI33" i="17"/>
  <c r="BC43" i="10" s="1"/>
  <c r="Y33" i="17"/>
  <c r="BP43" i="10" s="1"/>
  <c r="S33" i="17"/>
  <c r="AL35" i="17"/>
  <c r="A34" i="17"/>
  <c r="AM34" i="17"/>
  <c r="BG42" i="10" l="1"/>
  <c r="BI42" i="10" s="1"/>
  <c r="BV42" i="10" s="1"/>
  <c r="BW42" i="10" s="1"/>
  <c r="BX42" i="10" s="1"/>
  <c r="H45" i="18"/>
  <c r="I45" i="18" s="1"/>
  <c r="G45" i="18"/>
  <c r="C46" i="18"/>
  <c r="D46" i="18"/>
  <c r="E46" i="18"/>
  <c r="F46" i="18"/>
  <c r="AY43" i="10"/>
  <c r="BF43" i="10"/>
  <c r="X34" i="17"/>
  <c r="AA34" i="17"/>
  <c r="BS44" i="10" s="1"/>
  <c r="Y34" i="17"/>
  <c r="BP44" i="10" s="1"/>
  <c r="H34" i="17"/>
  <c r="K34" i="17"/>
  <c r="Z34" i="17"/>
  <c r="BR44" i="10" s="1"/>
  <c r="I34" i="17"/>
  <c r="J34" i="17"/>
  <c r="AC34" i="17"/>
  <c r="AU44" i="10" s="1"/>
  <c r="M34" i="17"/>
  <c r="AB34" i="17"/>
  <c r="AX44" i="10" s="1"/>
  <c r="L34" i="17"/>
  <c r="Q34" i="17"/>
  <c r="P34" i="17"/>
  <c r="AJ34" i="17"/>
  <c r="BQ44" i="10" s="1"/>
  <c r="T34" i="17"/>
  <c r="D34" i="17"/>
  <c r="AD34" i="17"/>
  <c r="AV44" i="10" s="1"/>
  <c r="AH34" i="17"/>
  <c r="BB44" i="10" s="1"/>
  <c r="AE34" i="17"/>
  <c r="AW44" i="10" s="1"/>
  <c r="R34" i="17"/>
  <c r="O34" i="17"/>
  <c r="AF34" i="17"/>
  <c r="BA44" i="10" s="1"/>
  <c r="W34" i="17"/>
  <c r="B34" i="17"/>
  <c r="G34" i="17"/>
  <c r="AI34" i="17"/>
  <c r="BC44" i="10" s="1"/>
  <c r="U34" i="17"/>
  <c r="S34" i="17"/>
  <c r="V34" i="17"/>
  <c r="BE44" i="10" s="1"/>
  <c r="E34" i="17"/>
  <c r="C34" i="17"/>
  <c r="AG34" i="17"/>
  <c r="AZ44" i="10" s="1"/>
  <c r="F34" i="17"/>
  <c r="N34" i="17"/>
  <c r="BD44" i="10" s="1"/>
  <c r="AL36" i="17"/>
  <c r="A35" i="17"/>
  <c r="AM35" i="17"/>
  <c r="BG43" i="10" l="1"/>
  <c r="BI43" i="10" s="1"/>
  <c r="BV43" i="10" s="1"/>
  <c r="BW43" i="10" s="1"/>
  <c r="BX43" i="10" s="1"/>
  <c r="H46" i="18"/>
  <c r="I46" i="18" s="1"/>
  <c r="G46" i="18"/>
  <c r="F47" i="18"/>
  <c r="C47" i="18"/>
  <c r="D47" i="18"/>
  <c r="E47" i="18"/>
  <c r="AY44" i="10"/>
  <c r="BF44" i="10"/>
  <c r="X35" i="17"/>
  <c r="V35" i="17"/>
  <c r="BE45" i="10" s="1"/>
  <c r="E35" i="17"/>
  <c r="H35" i="17"/>
  <c r="W35" i="17"/>
  <c r="F35" i="17"/>
  <c r="G35" i="17"/>
  <c r="Z35" i="17"/>
  <c r="BR45" i="10" s="1"/>
  <c r="J35" i="17"/>
  <c r="Y35" i="17"/>
  <c r="BP45" i="10" s="1"/>
  <c r="I35" i="17"/>
  <c r="AG35" i="17"/>
  <c r="AZ45" i="10" s="1"/>
  <c r="Q35" i="17"/>
  <c r="AC35" i="17"/>
  <c r="AU45" i="10" s="1"/>
  <c r="AE35" i="17"/>
  <c r="AW45" i="10" s="1"/>
  <c r="AB35" i="17"/>
  <c r="AX45" i="10" s="1"/>
  <c r="AJ35" i="17"/>
  <c r="BQ45" i="10" s="1"/>
  <c r="O35" i="17"/>
  <c r="L35" i="17"/>
  <c r="T35" i="17"/>
  <c r="D35" i="17"/>
  <c r="AH35" i="17"/>
  <c r="BB45" i="10" s="1"/>
  <c r="AF35" i="17"/>
  <c r="BA45" i="10" s="1"/>
  <c r="AI35" i="17"/>
  <c r="BC45" i="10" s="1"/>
  <c r="R35" i="17"/>
  <c r="P35" i="17"/>
  <c r="U35" i="17"/>
  <c r="S35" i="17"/>
  <c r="B35" i="17"/>
  <c r="K35" i="17"/>
  <c r="C35" i="17"/>
  <c r="AD35" i="17"/>
  <c r="AV45" i="10" s="1"/>
  <c r="M35" i="17"/>
  <c r="N35" i="17"/>
  <c r="BD45" i="10" s="1"/>
  <c r="AA35" i="17"/>
  <c r="BS45" i="10" s="1"/>
  <c r="BG44" i="10"/>
  <c r="BI44" i="10" s="1"/>
  <c r="BV44" i="10" s="1"/>
  <c r="BW44" i="10" s="1"/>
  <c r="BX44" i="10" s="1"/>
  <c r="AL37" i="17"/>
  <c r="A36" i="17"/>
  <c r="AM36" i="17"/>
  <c r="H47" i="18" l="1"/>
  <c r="I47" i="18" s="1"/>
  <c r="AY45" i="10"/>
  <c r="G47" i="18"/>
  <c r="C48" i="18"/>
  <c r="D48" i="18"/>
  <c r="E48" i="18"/>
  <c r="F48" i="18"/>
  <c r="BF45" i="10"/>
  <c r="BG45" i="10" s="1"/>
  <c r="BI45" i="10" s="1"/>
  <c r="BV45" i="10" s="1"/>
  <c r="BW45" i="10" s="1"/>
  <c r="BX45" i="10" s="1"/>
  <c r="E36" i="17"/>
  <c r="T36" i="17"/>
  <c r="C36" i="17"/>
  <c r="D36" i="17"/>
  <c r="W36" i="17"/>
  <c r="G36" i="17"/>
  <c r="V36" i="17"/>
  <c r="BE46" i="10" s="1"/>
  <c r="F36" i="17"/>
  <c r="U36" i="17"/>
  <c r="AJ36" i="17"/>
  <c r="BQ46" i="10" s="1"/>
  <c r="S36" i="17"/>
  <c r="B36" i="17"/>
  <c r="N36" i="17"/>
  <c r="BD46" i="10" s="1"/>
  <c r="AB36" i="17"/>
  <c r="AX46" i="10" s="1"/>
  <c r="Y36" i="17"/>
  <c r="BP46" i="10" s="1"/>
  <c r="AG36" i="17"/>
  <c r="AZ46" i="10" s="1"/>
  <c r="L36" i="17"/>
  <c r="I36" i="17"/>
  <c r="AI36" i="17"/>
  <c r="BC46" i="10" s="1"/>
  <c r="Q36" i="17"/>
  <c r="AE36" i="17"/>
  <c r="AW46" i="10" s="1"/>
  <c r="AC36" i="17"/>
  <c r="AU46" i="10" s="1"/>
  <c r="AF36" i="17"/>
  <c r="BA46" i="10" s="1"/>
  <c r="O36" i="17"/>
  <c r="M36" i="17"/>
  <c r="AH36" i="17"/>
  <c r="BB46" i="10" s="1"/>
  <c r="P36" i="17"/>
  <c r="R36" i="17"/>
  <c r="AA36" i="17"/>
  <c r="BS46" i="10" s="1"/>
  <c r="K36" i="17"/>
  <c r="X36" i="17"/>
  <c r="Z36" i="17"/>
  <c r="BR46" i="10" s="1"/>
  <c r="AD36" i="17"/>
  <c r="AV46" i="10" s="1"/>
  <c r="H36" i="17"/>
  <c r="J36" i="17"/>
  <c r="AL38" i="17"/>
  <c r="A37" i="17"/>
  <c r="AM37" i="17"/>
  <c r="C49" i="18" l="1"/>
  <c r="D49" i="18"/>
  <c r="E49" i="18"/>
  <c r="F49" i="18"/>
  <c r="H48" i="18"/>
  <c r="I48" i="18" s="1"/>
  <c r="G48" i="18"/>
  <c r="AY46" i="10"/>
  <c r="BF46" i="10"/>
  <c r="AJ37" i="17"/>
  <c r="BQ47" i="10" s="1"/>
  <c r="T37" i="17"/>
  <c r="D37" i="17"/>
  <c r="AI37" i="17"/>
  <c r="BC47" i="10" s="1"/>
  <c r="S37" i="17"/>
  <c r="C37" i="17"/>
  <c r="AE37" i="17"/>
  <c r="AW47" i="10" s="1"/>
  <c r="AH37" i="17"/>
  <c r="BB47" i="10" s="1"/>
  <c r="R37" i="17"/>
  <c r="AG37" i="17"/>
  <c r="AZ47" i="10" s="1"/>
  <c r="Y37" i="17"/>
  <c r="BP47" i="10" s="1"/>
  <c r="V37" i="17"/>
  <c r="BE47" i="10" s="1"/>
  <c r="AD37" i="17"/>
  <c r="AV47" i="10" s="1"/>
  <c r="I37" i="17"/>
  <c r="F37" i="17"/>
  <c r="AF37" i="17"/>
  <c r="BA47" i="10" s="1"/>
  <c r="N37" i="17"/>
  <c r="BD47" i="10" s="1"/>
  <c r="P37" i="17"/>
  <c r="Q37" i="17"/>
  <c r="AB37" i="17"/>
  <c r="AX47" i="10" s="1"/>
  <c r="Z37" i="17"/>
  <c r="BR47" i="10" s="1"/>
  <c r="AC37" i="17"/>
  <c r="AU47" i="10" s="1"/>
  <c r="L37" i="17"/>
  <c r="J37" i="17"/>
  <c r="M37" i="17"/>
  <c r="G37" i="17"/>
  <c r="O37" i="17"/>
  <c r="X37" i="17"/>
  <c r="H37" i="17"/>
  <c r="B37" i="17"/>
  <c r="AA37" i="17"/>
  <c r="BS47" i="10" s="1"/>
  <c r="U37" i="17"/>
  <c r="K37" i="17"/>
  <c r="W37" i="17"/>
  <c r="E37" i="17"/>
  <c r="BG46" i="10"/>
  <c r="BI46" i="10" s="1"/>
  <c r="BV46" i="10" s="1"/>
  <c r="BW46" i="10" s="1"/>
  <c r="BX46" i="10" s="1"/>
  <c r="AL39" i="17"/>
  <c r="A38" i="17"/>
  <c r="AM38" i="17"/>
  <c r="C50" i="18" l="1"/>
  <c r="D50" i="18"/>
  <c r="E50" i="18"/>
  <c r="F50" i="18"/>
  <c r="H49" i="18"/>
  <c r="I49" i="18" s="1"/>
  <c r="G49" i="18"/>
  <c r="BF47" i="10"/>
  <c r="AY47" i="10"/>
  <c r="AF38" i="17"/>
  <c r="BA48" i="10" s="1"/>
  <c r="P38" i="17"/>
  <c r="AB38" i="17"/>
  <c r="AX48" i="10" s="1"/>
  <c r="O38" i="17"/>
  <c r="AD38" i="17"/>
  <c r="AV48" i="10" s="1"/>
  <c r="M38" i="17"/>
  <c r="N38" i="17"/>
  <c r="BD48" i="10" s="1"/>
  <c r="Q38" i="17"/>
  <c r="AA38" i="17"/>
  <c r="BS48" i="10" s="1"/>
  <c r="F38" i="17"/>
  <c r="C38" i="17"/>
  <c r="K38" i="17"/>
  <c r="D38" i="17"/>
  <c r="AC38" i="17"/>
  <c r="AU48" i="10" s="1"/>
  <c r="Y38" i="17"/>
  <c r="BP48" i="10" s="1"/>
  <c r="W38" i="17"/>
  <c r="Z38" i="17"/>
  <c r="BR48" i="10" s="1"/>
  <c r="I38" i="17"/>
  <c r="G38" i="17"/>
  <c r="R38" i="17"/>
  <c r="J38" i="17"/>
  <c r="L38" i="17"/>
  <c r="U38" i="17"/>
  <c r="T38" i="17"/>
  <c r="E38" i="17"/>
  <c r="AE38" i="17"/>
  <c r="AW48" i="10" s="1"/>
  <c r="AH38" i="17"/>
  <c r="BB48" i="10" s="1"/>
  <c r="X38" i="17"/>
  <c r="H38" i="17"/>
  <c r="AJ38" i="17"/>
  <c r="BQ48" i="10" s="1"/>
  <c r="AG38" i="17"/>
  <c r="AZ48" i="10" s="1"/>
  <c r="V38" i="17"/>
  <c r="BE48" i="10" s="1"/>
  <c r="AI38" i="17"/>
  <c r="BC48" i="10" s="1"/>
  <c r="S38" i="17"/>
  <c r="B38" i="17"/>
  <c r="AL40" i="17"/>
  <c r="A39" i="17"/>
  <c r="AM39" i="17"/>
  <c r="H50" i="18" l="1"/>
  <c r="I50" i="18" s="1"/>
  <c r="G50" i="18"/>
  <c r="F51" i="18"/>
  <c r="C51" i="18"/>
  <c r="D51" i="18"/>
  <c r="E51" i="18"/>
  <c r="BF48" i="10"/>
  <c r="AY48" i="10"/>
  <c r="BG47" i="10"/>
  <c r="BI47" i="10" s="1"/>
  <c r="BV47" i="10" s="1"/>
  <c r="BW47" i="10" s="1"/>
  <c r="BX47" i="10" s="1"/>
  <c r="Y39" i="17"/>
  <c r="BP49" i="10" s="1"/>
  <c r="AB39" i="17"/>
  <c r="AX49" i="10" s="1"/>
  <c r="Z39" i="17"/>
  <c r="BR49" i="10" s="1"/>
  <c r="L39" i="17"/>
  <c r="AA39" i="17"/>
  <c r="BS49" i="10" s="1"/>
  <c r="J39" i="17"/>
  <c r="AD39" i="17"/>
  <c r="AV49" i="10" s="1"/>
  <c r="N39" i="17"/>
  <c r="BD49" i="10" s="1"/>
  <c r="M39" i="17"/>
  <c r="AJ39" i="17"/>
  <c r="BQ49" i="10" s="1"/>
  <c r="V39" i="17"/>
  <c r="BE49" i="10" s="1"/>
  <c r="T39" i="17"/>
  <c r="W39" i="17"/>
  <c r="F39" i="17"/>
  <c r="D39" i="17"/>
  <c r="Q39" i="17"/>
  <c r="AC39" i="17"/>
  <c r="AU49" i="10" s="1"/>
  <c r="G39" i="17"/>
  <c r="K39" i="17"/>
  <c r="AH39" i="17"/>
  <c r="BB49" i="10" s="1"/>
  <c r="R39" i="17"/>
  <c r="I39" i="17"/>
  <c r="B39" i="17"/>
  <c r="U39" i="17"/>
  <c r="E39" i="17"/>
  <c r="AI39" i="17"/>
  <c r="BC49" i="10" s="1"/>
  <c r="AF39" i="17"/>
  <c r="BA49" i="10" s="1"/>
  <c r="S39" i="17"/>
  <c r="P39" i="17"/>
  <c r="AE39" i="17"/>
  <c r="AW49" i="10" s="1"/>
  <c r="X39" i="17"/>
  <c r="C39" i="17"/>
  <c r="O39" i="17"/>
  <c r="H39" i="17"/>
  <c r="AG39" i="17"/>
  <c r="AZ49" i="10" s="1"/>
  <c r="AL41" i="17"/>
  <c r="A40" i="17"/>
  <c r="AM40" i="17"/>
  <c r="H51" i="18" l="1"/>
  <c r="I51" i="18" s="1"/>
  <c r="G51" i="18"/>
  <c r="C52" i="18"/>
  <c r="D52" i="18"/>
  <c r="E52" i="18"/>
  <c r="F52" i="18"/>
  <c r="AY49" i="10"/>
  <c r="BF49" i="10"/>
  <c r="BG48" i="10"/>
  <c r="BI48" i="10" s="1"/>
  <c r="BV48" i="10" s="1"/>
  <c r="BW48" i="10" s="1"/>
  <c r="BX48" i="10" s="1"/>
  <c r="V40" i="17"/>
  <c r="BE50" i="10" s="1"/>
  <c r="Y40" i="17"/>
  <c r="BP50" i="10" s="1"/>
  <c r="W40" i="17"/>
  <c r="F40" i="17"/>
  <c r="I40" i="17"/>
  <c r="X40" i="17"/>
  <c r="G40" i="17"/>
  <c r="H40" i="17"/>
  <c r="AA40" i="17"/>
  <c r="BS50" i="10" s="1"/>
  <c r="K40" i="17"/>
  <c r="Z40" i="17"/>
  <c r="BR50" i="10" s="1"/>
  <c r="J40" i="17"/>
  <c r="T40" i="17"/>
  <c r="C40" i="17"/>
  <c r="D40" i="17"/>
  <c r="AE40" i="17"/>
  <c r="AW50" i="10" s="1"/>
  <c r="O40" i="17"/>
  <c r="AH40" i="17"/>
  <c r="BB50" i="10" s="1"/>
  <c r="AD40" i="17"/>
  <c r="AV50" i="10" s="1"/>
  <c r="R40" i="17"/>
  <c r="B40" i="17"/>
  <c r="AF40" i="17"/>
  <c r="BA50" i="10" s="1"/>
  <c r="AC40" i="17"/>
  <c r="AU50" i="10" s="1"/>
  <c r="P40" i="17"/>
  <c r="M40" i="17"/>
  <c r="U40" i="17"/>
  <c r="E40" i="17"/>
  <c r="AG40" i="17"/>
  <c r="AZ50" i="10" s="1"/>
  <c r="L40" i="17"/>
  <c r="N40" i="17"/>
  <c r="BD50" i="10" s="1"/>
  <c r="Q40" i="17"/>
  <c r="AI40" i="17"/>
  <c r="BC50" i="10" s="1"/>
  <c r="AJ40" i="17"/>
  <c r="BQ50" i="10" s="1"/>
  <c r="AB40" i="17"/>
  <c r="AX50" i="10" s="1"/>
  <c r="S40" i="17"/>
  <c r="AL42" i="17"/>
  <c r="A41" i="17"/>
  <c r="AM41" i="17"/>
  <c r="AY50" i="10" l="1"/>
  <c r="C53" i="18"/>
  <c r="D53" i="18"/>
  <c r="E53" i="18"/>
  <c r="F53" i="18"/>
  <c r="H52" i="18"/>
  <c r="I52" i="18" s="1"/>
  <c r="G52" i="18"/>
  <c r="BG49" i="10"/>
  <c r="BI49" i="10" s="1"/>
  <c r="BV49" i="10" s="1"/>
  <c r="BW49" i="10" s="1"/>
  <c r="BX49" i="10" s="1"/>
  <c r="BF50" i="10"/>
  <c r="AI41" i="17"/>
  <c r="BC51" i="10" s="1"/>
  <c r="AJ41" i="17"/>
  <c r="BQ51" i="10" s="1"/>
  <c r="S41" i="17"/>
  <c r="V41" i="17"/>
  <c r="BE51" i="10" s="1"/>
  <c r="T41" i="17"/>
  <c r="C41" i="17"/>
  <c r="F41" i="17"/>
  <c r="U41" i="17"/>
  <c r="D41" i="17"/>
  <c r="E41" i="17"/>
  <c r="X41" i="17"/>
  <c r="H41" i="17"/>
  <c r="W41" i="17"/>
  <c r="G41" i="17"/>
  <c r="AB41" i="17"/>
  <c r="AX51" i="10" s="1"/>
  <c r="AA41" i="17"/>
  <c r="BS51" i="10" s="1"/>
  <c r="L41" i="17"/>
  <c r="AE41" i="17"/>
  <c r="AW51" i="10" s="1"/>
  <c r="O41" i="17"/>
  <c r="AC41" i="17"/>
  <c r="AU51" i="10" s="1"/>
  <c r="Z41" i="17"/>
  <c r="BR51" i="10" s="1"/>
  <c r="AH41" i="17"/>
  <c r="BB51" i="10" s="1"/>
  <c r="M41" i="17"/>
  <c r="J41" i="17"/>
  <c r="I41" i="17"/>
  <c r="R41" i="17"/>
  <c r="B41" i="17"/>
  <c r="K41" i="17"/>
  <c r="AF41" i="17"/>
  <c r="BA51" i="10" s="1"/>
  <c r="AD41" i="17"/>
  <c r="AV51" i="10" s="1"/>
  <c r="AG41" i="17"/>
  <c r="AZ51" i="10" s="1"/>
  <c r="P41" i="17"/>
  <c r="N41" i="17"/>
  <c r="BD51" i="10" s="1"/>
  <c r="Q41" i="17"/>
  <c r="Y41" i="17"/>
  <c r="BP51" i="10" s="1"/>
  <c r="AL43" i="17"/>
  <c r="A42" i="17"/>
  <c r="AM42" i="17"/>
  <c r="BG50" i="10" l="1"/>
  <c r="BI50" i="10" s="1"/>
  <c r="BV50" i="10" s="1"/>
  <c r="BW50" i="10" s="1"/>
  <c r="BX50" i="10" s="1"/>
  <c r="C54" i="18"/>
  <c r="D54" i="18"/>
  <c r="E54" i="18"/>
  <c r="F54" i="18"/>
  <c r="H53" i="18"/>
  <c r="I53" i="18" s="1"/>
  <c r="G53" i="18"/>
  <c r="BF51" i="10"/>
  <c r="AY51" i="10"/>
  <c r="AF42" i="17"/>
  <c r="BA52" i="10" s="1"/>
  <c r="AI42" i="17"/>
  <c r="BC52" i="10" s="1"/>
  <c r="AG42" i="17"/>
  <c r="AZ52" i="10" s="1"/>
  <c r="P42" i="17"/>
  <c r="S42" i="17"/>
  <c r="AH42" i="17"/>
  <c r="BB52" i="10" s="1"/>
  <c r="Q42" i="17"/>
  <c r="C42" i="17"/>
  <c r="R42" i="17"/>
  <c r="B42" i="17"/>
  <c r="U42" i="17"/>
  <c r="E42" i="17"/>
  <c r="AJ42" i="17"/>
  <c r="BQ52" i="10" s="1"/>
  <c r="T42" i="17"/>
  <c r="D42" i="17"/>
  <c r="AB42" i="17"/>
  <c r="AX52" i="10" s="1"/>
  <c r="L42" i="17"/>
  <c r="F42" i="17"/>
  <c r="Z42" i="17"/>
  <c r="BR52" i="10" s="1"/>
  <c r="W42" i="17"/>
  <c r="H42" i="17"/>
  <c r="AE42" i="17"/>
  <c r="AW52" i="10" s="1"/>
  <c r="J42" i="17"/>
  <c r="G42" i="17"/>
  <c r="O42" i="17"/>
  <c r="V42" i="17"/>
  <c r="BE52" i="10" s="1"/>
  <c r="AC42" i="17"/>
  <c r="AU52" i="10" s="1"/>
  <c r="AA42" i="17"/>
  <c r="BS52" i="10" s="1"/>
  <c r="AD42" i="17"/>
  <c r="AV52" i="10" s="1"/>
  <c r="M42" i="17"/>
  <c r="K42" i="17"/>
  <c r="X42" i="17"/>
  <c r="N42" i="17"/>
  <c r="BD52" i="10" s="1"/>
  <c r="Y42" i="17"/>
  <c r="BP52" i="10" s="1"/>
  <c r="I42" i="17"/>
  <c r="AL44" i="17"/>
  <c r="A43" i="17"/>
  <c r="AM43" i="17"/>
  <c r="C55" i="18" l="1"/>
  <c r="D55" i="18"/>
  <c r="F55" i="18"/>
  <c r="E55" i="18"/>
  <c r="H54" i="18"/>
  <c r="I54" i="18" s="1"/>
  <c r="G54" i="18"/>
  <c r="AY52" i="10"/>
  <c r="BF52" i="10"/>
  <c r="BG51" i="10"/>
  <c r="BI51" i="10" s="1"/>
  <c r="BV51" i="10" s="1"/>
  <c r="BW51" i="10" s="1"/>
  <c r="BX51" i="10" s="1"/>
  <c r="P43" i="17"/>
  <c r="AE43" i="17"/>
  <c r="AW53" i="10" s="1"/>
  <c r="N43" i="17"/>
  <c r="BD53" i="10" s="1"/>
  <c r="O43" i="17"/>
  <c r="AH43" i="17"/>
  <c r="BB53" i="10" s="1"/>
  <c r="R43" i="17"/>
  <c r="B43" i="17"/>
  <c r="AG43" i="17"/>
  <c r="AZ53" i="10" s="1"/>
  <c r="Q43" i="17"/>
  <c r="AF43" i="17"/>
  <c r="BA53" i="10" s="1"/>
  <c r="AD43" i="17"/>
  <c r="AV53" i="10" s="1"/>
  <c r="M43" i="17"/>
  <c r="Y43" i="17"/>
  <c r="BP53" i="10" s="1"/>
  <c r="I43" i="17"/>
  <c r="E43" i="17"/>
  <c r="AJ43" i="17"/>
  <c r="BQ53" i="10" s="1"/>
  <c r="W43" i="17"/>
  <c r="T43" i="17"/>
  <c r="AC43" i="17"/>
  <c r="AU53" i="10" s="1"/>
  <c r="AB43" i="17"/>
  <c r="AX53" i="10" s="1"/>
  <c r="G43" i="17"/>
  <c r="D43" i="17"/>
  <c r="L43" i="17"/>
  <c r="Z43" i="17"/>
  <c r="BR53" i="10" s="1"/>
  <c r="X43" i="17"/>
  <c r="AA43" i="17"/>
  <c r="BS53" i="10" s="1"/>
  <c r="J43" i="17"/>
  <c r="H43" i="17"/>
  <c r="K43" i="17"/>
  <c r="V43" i="17"/>
  <c r="BE53" i="10" s="1"/>
  <c r="F43" i="17"/>
  <c r="C43" i="17"/>
  <c r="S43" i="17"/>
  <c r="AI43" i="17"/>
  <c r="BC53" i="10" s="1"/>
  <c r="U43" i="17"/>
  <c r="AL45" i="17"/>
  <c r="A44" i="17"/>
  <c r="AM44" i="17"/>
  <c r="BG52" i="10" l="1"/>
  <c r="BI52" i="10" s="1"/>
  <c r="BV52" i="10" s="1"/>
  <c r="BW52" i="10" s="1"/>
  <c r="BX52" i="10" s="1"/>
  <c r="H55" i="18"/>
  <c r="I55" i="18" s="1"/>
  <c r="G55" i="18"/>
  <c r="C56" i="18"/>
  <c r="D56" i="18"/>
  <c r="E56" i="18"/>
  <c r="F56" i="18"/>
  <c r="BF53" i="10"/>
  <c r="AY53" i="10"/>
  <c r="AE44" i="17"/>
  <c r="AW54" i="10" s="1"/>
  <c r="O44" i="17"/>
  <c r="AD44" i="17"/>
  <c r="AV54" i="10" s="1"/>
  <c r="N44" i="17"/>
  <c r="BD54" i="10" s="1"/>
  <c r="AC44" i="17"/>
  <c r="AU54" i="10" s="1"/>
  <c r="L44" i="17"/>
  <c r="AA44" i="17"/>
  <c r="BS54" i="10" s="1"/>
  <c r="K44" i="17"/>
  <c r="AJ44" i="17"/>
  <c r="BQ54" i="10" s="1"/>
  <c r="AG44" i="17"/>
  <c r="AZ54" i="10" s="1"/>
  <c r="T44" i="17"/>
  <c r="Q44" i="17"/>
  <c r="AB44" i="17"/>
  <c r="AX54" i="10" s="1"/>
  <c r="Z44" i="17"/>
  <c r="BR54" i="10" s="1"/>
  <c r="Y44" i="17"/>
  <c r="BP54" i="10" s="1"/>
  <c r="D44" i="17"/>
  <c r="J44" i="17"/>
  <c r="I44" i="17"/>
  <c r="W44" i="17"/>
  <c r="U44" i="17"/>
  <c r="X44" i="17"/>
  <c r="G44" i="17"/>
  <c r="E44" i="17"/>
  <c r="H44" i="17"/>
  <c r="M44" i="17"/>
  <c r="AI44" i="17"/>
  <c r="BC54" i="10" s="1"/>
  <c r="S44" i="17"/>
  <c r="C44" i="17"/>
  <c r="B44" i="17"/>
  <c r="V44" i="17"/>
  <c r="BE54" i="10" s="1"/>
  <c r="AF44" i="17"/>
  <c r="BA54" i="10" s="1"/>
  <c r="F44" i="17"/>
  <c r="R44" i="17"/>
  <c r="P44" i="17"/>
  <c r="AH44" i="17"/>
  <c r="BB54" i="10" s="1"/>
  <c r="AL46" i="17"/>
  <c r="A45" i="17"/>
  <c r="AM45" i="17"/>
  <c r="C57" i="18" l="1"/>
  <c r="D57" i="18"/>
  <c r="E57" i="18"/>
  <c r="F57" i="18"/>
  <c r="H56" i="18"/>
  <c r="I56" i="18" s="1"/>
  <c r="G56" i="18"/>
  <c r="BF54" i="10"/>
  <c r="AY54" i="10"/>
  <c r="BG53" i="10"/>
  <c r="BI53" i="10" s="1"/>
  <c r="BV53" i="10" s="1"/>
  <c r="BW53" i="10" s="1"/>
  <c r="BX53" i="10" s="1"/>
  <c r="L45" i="17"/>
  <c r="AA45" i="17"/>
  <c r="BS55" i="10" s="1"/>
  <c r="K45" i="17"/>
  <c r="Z45" i="17"/>
  <c r="BR55" i="10" s="1"/>
  <c r="X45" i="17"/>
  <c r="G45" i="17"/>
  <c r="J45" i="17"/>
  <c r="Y45" i="17"/>
  <c r="BP55" i="10" s="1"/>
  <c r="I45" i="17"/>
  <c r="AB45" i="17"/>
  <c r="AX55" i="10" s="1"/>
  <c r="Q45" i="17"/>
  <c r="N45" i="17"/>
  <c r="BD55" i="10" s="1"/>
  <c r="V45" i="17"/>
  <c r="BE55" i="10" s="1"/>
  <c r="W45" i="17"/>
  <c r="F45" i="17"/>
  <c r="AC45" i="17"/>
  <c r="AU55" i="10" s="1"/>
  <c r="AJ45" i="17"/>
  <c r="BQ55" i="10" s="1"/>
  <c r="AH45" i="17"/>
  <c r="BB55" i="10" s="1"/>
  <c r="T45" i="17"/>
  <c r="R45" i="17"/>
  <c r="U45" i="17"/>
  <c r="D45" i="17"/>
  <c r="B45" i="17"/>
  <c r="AE45" i="17"/>
  <c r="AW55" i="10" s="1"/>
  <c r="E45" i="17"/>
  <c r="AF45" i="17"/>
  <c r="BA55" i="10" s="1"/>
  <c r="P45" i="17"/>
  <c r="AI45" i="17"/>
  <c r="BC55" i="10" s="1"/>
  <c r="S45" i="17"/>
  <c r="C45" i="17"/>
  <c r="O45" i="17"/>
  <c r="AG45" i="17"/>
  <c r="AZ55" i="10" s="1"/>
  <c r="AD45" i="17"/>
  <c r="AV55" i="10" s="1"/>
  <c r="M45" i="17"/>
  <c r="H45" i="17"/>
  <c r="AL47" i="17"/>
  <c r="A46" i="17"/>
  <c r="AM46" i="17"/>
  <c r="C58" i="18" l="1"/>
  <c r="D58" i="18"/>
  <c r="E58" i="18"/>
  <c r="F58" i="18"/>
  <c r="H57" i="18"/>
  <c r="I57" i="18" s="1"/>
  <c r="G57" i="18"/>
  <c r="BF55" i="10"/>
  <c r="AY55" i="10"/>
  <c r="BG54" i="10"/>
  <c r="BI54" i="10" s="1"/>
  <c r="BV54" i="10" s="1"/>
  <c r="BW54" i="10" s="1"/>
  <c r="BX54" i="10" s="1"/>
  <c r="H46" i="17"/>
  <c r="AJ46" i="17"/>
  <c r="BQ56" i="10" s="1"/>
  <c r="T46" i="17"/>
  <c r="W46" i="17"/>
  <c r="U46" i="17"/>
  <c r="D46" i="17"/>
  <c r="F46" i="17"/>
  <c r="Y46" i="17"/>
  <c r="BP56" i="10" s="1"/>
  <c r="X46" i="17"/>
  <c r="C46" i="17"/>
  <c r="AB46" i="17"/>
  <c r="AX56" i="10" s="1"/>
  <c r="AG46" i="17"/>
  <c r="AZ56" i="10" s="1"/>
  <c r="AE46" i="17"/>
  <c r="AW56" i="10" s="1"/>
  <c r="V46" i="17"/>
  <c r="BE56" i="10" s="1"/>
  <c r="AH46" i="17"/>
  <c r="BB56" i="10" s="1"/>
  <c r="Q46" i="17"/>
  <c r="O46" i="17"/>
  <c r="R46" i="17"/>
  <c r="B46" i="17"/>
  <c r="AC46" i="17"/>
  <c r="AU56" i="10" s="1"/>
  <c r="M46" i="17"/>
  <c r="G46" i="17"/>
  <c r="J46" i="17"/>
  <c r="AF46" i="17"/>
  <c r="BA56" i="10" s="1"/>
  <c r="P46" i="17"/>
  <c r="L46" i="17"/>
  <c r="Z46" i="17"/>
  <c r="BR56" i="10" s="1"/>
  <c r="I46" i="17"/>
  <c r="AD46" i="17"/>
  <c r="AV56" i="10" s="1"/>
  <c r="AA46" i="17"/>
  <c r="BS56" i="10" s="1"/>
  <c r="AI46" i="17"/>
  <c r="BC56" i="10" s="1"/>
  <c r="N46" i="17"/>
  <c r="BD56" i="10" s="1"/>
  <c r="S46" i="17"/>
  <c r="K46" i="17"/>
  <c r="E46" i="17"/>
  <c r="AL48" i="17"/>
  <c r="A47" i="17"/>
  <c r="AM47" i="17"/>
  <c r="C59" i="18" l="1"/>
  <c r="D59" i="18"/>
  <c r="E59" i="18"/>
  <c r="F59" i="18"/>
  <c r="H58" i="18"/>
  <c r="I58" i="18" s="1"/>
  <c r="G58" i="18"/>
  <c r="BG55" i="10"/>
  <c r="BI55" i="10" s="1"/>
  <c r="BV55" i="10" s="1"/>
  <c r="BW55" i="10" s="1"/>
  <c r="BX55" i="10" s="1"/>
  <c r="BF56" i="10"/>
  <c r="AY56" i="10"/>
  <c r="AG47" i="17"/>
  <c r="AZ57" i="10" s="1"/>
  <c r="AJ47" i="17"/>
  <c r="BQ57" i="10" s="1"/>
  <c r="AH47" i="17"/>
  <c r="BB57" i="10" s="1"/>
  <c r="Q47" i="17"/>
  <c r="T47" i="17"/>
  <c r="AI47" i="17"/>
  <c r="BC57" i="10" s="1"/>
  <c r="R47" i="17"/>
  <c r="D47" i="17"/>
  <c r="S47" i="17"/>
  <c r="B47" i="17"/>
  <c r="C47" i="17"/>
  <c r="V47" i="17"/>
  <c r="BE57" i="10" s="1"/>
  <c r="F47" i="17"/>
  <c r="U47" i="17"/>
  <c r="AE47" i="17"/>
  <c r="AW57" i="10" s="1"/>
  <c r="N47" i="17"/>
  <c r="BD57" i="10" s="1"/>
  <c r="L47" i="17"/>
  <c r="O47" i="17"/>
  <c r="E47" i="17"/>
  <c r="Z47" i="17"/>
  <c r="BR57" i="10" s="1"/>
  <c r="J47" i="17"/>
  <c r="AC47" i="17"/>
  <c r="AU57" i="10" s="1"/>
  <c r="M47" i="17"/>
  <c r="AA47" i="17"/>
  <c r="BS57" i="10" s="1"/>
  <c r="X47" i="17"/>
  <c r="AF47" i="17"/>
  <c r="BA57" i="10" s="1"/>
  <c r="K47" i="17"/>
  <c r="H47" i="17"/>
  <c r="P47" i="17"/>
  <c r="Y47" i="17"/>
  <c r="BP57" i="10" s="1"/>
  <c r="I47" i="17"/>
  <c r="G47" i="17"/>
  <c r="W47" i="17"/>
  <c r="AD47" i="17"/>
  <c r="AV57" i="10" s="1"/>
  <c r="AB47" i="17"/>
  <c r="AX57" i="10" s="1"/>
  <c r="AL49" i="17"/>
  <c r="A48" i="17"/>
  <c r="AM48" i="17"/>
  <c r="H59" i="18" l="1"/>
  <c r="I59" i="18" s="1"/>
  <c r="G59" i="18"/>
  <c r="C60" i="18"/>
  <c r="D60" i="18"/>
  <c r="E60" i="18"/>
  <c r="F60" i="18"/>
  <c r="BG56" i="10"/>
  <c r="BI56" i="10" s="1"/>
  <c r="BV56" i="10" s="1"/>
  <c r="BW56" i="10" s="1"/>
  <c r="BX56" i="10" s="1"/>
  <c r="AY57" i="10"/>
  <c r="BF57" i="10"/>
  <c r="AD48" i="17"/>
  <c r="AV58" i="10" s="1"/>
  <c r="AG48" i="17"/>
  <c r="AZ58" i="10" s="1"/>
  <c r="AE48" i="17"/>
  <c r="AW58" i="10" s="1"/>
  <c r="N48" i="17"/>
  <c r="BD58" i="10" s="1"/>
  <c r="Q48" i="17"/>
  <c r="AF48" i="17"/>
  <c r="BA58" i="10" s="1"/>
  <c r="O48" i="17"/>
  <c r="P48" i="17"/>
  <c r="AI48" i="17"/>
  <c r="BC58" i="10" s="1"/>
  <c r="S48" i="17"/>
  <c r="C48" i="17"/>
  <c r="AH48" i="17"/>
  <c r="BB58" i="10" s="1"/>
  <c r="R48" i="17"/>
  <c r="B48" i="17"/>
  <c r="W48" i="17"/>
  <c r="G48" i="17"/>
  <c r="F48" i="17"/>
  <c r="Z48" i="17"/>
  <c r="BR58" i="10" s="1"/>
  <c r="J48" i="17"/>
  <c r="T48" i="17"/>
  <c r="X48" i="17"/>
  <c r="U48" i="17"/>
  <c r="V48" i="17"/>
  <c r="BE58" i="10" s="1"/>
  <c r="AC48" i="17"/>
  <c r="AU58" i="10" s="1"/>
  <c r="H48" i="17"/>
  <c r="E48" i="17"/>
  <c r="M48" i="17"/>
  <c r="AJ48" i="17"/>
  <c r="BQ58" i="10" s="1"/>
  <c r="AA48" i="17"/>
  <c r="BS58" i="10" s="1"/>
  <c r="Y48" i="17"/>
  <c r="BP58" i="10" s="1"/>
  <c r="AB48" i="17"/>
  <c r="AX58" i="10" s="1"/>
  <c r="L48" i="17"/>
  <c r="D48" i="17"/>
  <c r="I48" i="17"/>
  <c r="K48" i="17"/>
  <c r="AL50" i="17"/>
  <c r="A49" i="17"/>
  <c r="AM49" i="17"/>
  <c r="BG57" i="10" l="1"/>
  <c r="BI57" i="10" s="1"/>
  <c r="BV57" i="10" s="1"/>
  <c r="BW57" i="10" s="1"/>
  <c r="BX57" i="10" s="1"/>
  <c r="H60" i="18"/>
  <c r="I60" i="18" s="1"/>
  <c r="C61" i="18"/>
  <c r="D61" i="18"/>
  <c r="E61" i="18"/>
  <c r="F61" i="18"/>
  <c r="G60" i="18"/>
  <c r="AY58" i="10"/>
  <c r="BF58" i="10"/>
  <c r="AA49" i="17"/>
  <c r="BS59" i="10" s="1"/>
  <c r="AD49" i="17"/>
  <c r="AV59" i="10" s="1"/>
  <c r="AB49" i="17"/>
  <c r="AX59" i="10" s="1"/>
  <c r="K49" i="17"/>
  <c r="N49" i="17"/>
  <c r="BD59" i="10" s="1"/>
  <c r="AC49" i="17"/>
  <c r="AU59" i="10" s="1"/>
  <c r="L49" i="17"/>
  <c r="M49" i="17"/>
  <c r="AF49" i="17"/>
  <c r="BA59" i="10" s="1"/>
  <c r="P49" i="17"/>
  <c r="AE49" i="17"/>
  <c r="AW59" i="10" s="1"/>
  <c r="O49" i="17"/>
  <c r="D49" i="17"/>
  <c r="Q49" i="17"/>
  <c r="W49" i="17"/>
  <c r="G49" i="17"/>
  <c r="S49" i="17"/>
  <c r="AH49" i="17"/>
  <c r="BB59" i="10" s="1"/>
  <c r="U49" i="17"/>
  <c r="R49" i="17"/>
  <c r="AG49" i="17"/>
  <c r="AZ59" i="10" s="1"/>
  <c r="Z49" i="17"/>
  <c r="BR59" i="10" s="1"/>
  <c r="E49" i="17"/>
  <c r="B49" i="17"/>
  <c r="J49" i="17"/>
  <c r="AI49" i="17"/>
  <c r="BC59" i="10" s="1"/>
  <c r="X49" i="17"/>
  <c r="V49" i="17"/>
  <c r="BE59" i="10" s="1"/>
  <c r="Y49" i="17"/>
  <c r="BP59" i="10" s="1"/>
  <c r="H49" i="17"/>
  <c r="F49" i="17"/>
  <c r="I49" i="17"/>
  <c r="AJ49" i="17"/>
  <c r="BQ59" i="10" s="1"/>
  <c r="T49" i="17"/>
  <c r="C49" i="17"/>
  <c r="AL51" i="17"/>
  <c r="A50" i="17"/>
  <c r="AM50" i="17"/>
  <c r="H61" i="18" l="1"/>
  <c r="I61" i="18" s="1"/>
  <c r="G61" i="18"/>
  <c r="C62" i="18"/>
  <c r="D62" i="18"/>
  <c r="E62" i="18"/>
  <c r="F62" i="18"/>
  <c r="BG58" i="10"/>
  <c r="BI58" i="10" s="1"/>
  <c r="BV58" i="10" s="1"/>
  <c r="BW58" i="10" s="1"/>
  <c r="BX58" i="10" s="1"/>
  <c r="BF59" i="10"/>
  <c r="AY59" i="10"/>
  <c r="AA50" i="17"/>
  <c r="BS60" i="10" s="1"/>
  <c r="Y50" i="17"/>
  <c r="BP60" i="10" s="1"/>
  <c r="H50" i="17"/>
  <c r="K50" i="17"/>
  <c r="Z50" i="17"/>
  <c r="BR60" i="10" s="1"/>
  <c r="I50" i="17"/>
  <c r="J50" i="17"/>
  <c r="AC50" i="17"/>
  <c r="AU60" i="10" s="1"/>
  <c r="M50" i="17"/>
  <c r="AB50" i="17"/>
  <c r="AX60" i="10" s="1"/>
  <c r="L50" i="17"/>
  <c r="X50" i="17"/>
  <c r="AJ50" i="17"/>
  <c r="BQ60" i="10" s="1"/>
  <c r="T50" i="17"/>
  <c r="D50" i="17"/>
  <c r="AH50" i="17"/>
  <c r="BB60" i="10" s="1"/>
  <c r="AE50" i="17"/>
  <c r="AW60" i="10" s="1"/>
  <c r="R50" i="17"/>
  <c r="O50" i="17"/>
  <c r="W50" i="17"/>
  <c r="B50" i="17"/>
  <c r="G50" i="17"/>
  <c r="AI50" i="17"/>
  <c r="BC60" i="10" s="1"/>
  <c r="U50" i="17"/>
  <c r="S50" i="17"/>
  <c r="V50" i="17"/>
  <c r="BE60" i="10" s="1"/>
  <c r="E50" i="17"/>
  <c r="C50" i="17"/>
  <c r="F50" i="17"/>
  <c r="N50" i="17"/>
  <c r="BD60" i="10" s="1"/>
  <c r="AG50" i="17"/>
  <c r="AZ60" i="10" s="1"/>
  <c r="Q50" i="17"/>
  <c r="P50" i="17"/>
  <c r="AD50" i="17"/>
  <c r="AV60" i="10" s="1"/>
  <c r="AF50" i="17"/>
  <c r="BA60" i="10" s="1"/>
  <c r="AL52" i="17"/>
  <c r="A51" i="17"/>
  <c r="AM51" i="17"/>
  <c r="H62" i="18" l="1"/>
  <c r="I62" i="18" s="1"/>
  <c r="G62" i="18"/>
  <c r="F63" i="18"/>
  <c r="C63" i="18"/>
  <c r="D63" i="18"/>
  <c r="E63" i="18"/>
  <c r="BG59" i="10"/>
  <c r="BI59" i="10" s="1"/>
  <c r="BV59" i="10" s="1"/>
  <c r="BW59" i="10" s="1"/>
  <c r="BX59" i="10" s="1"/>
  <c r="AY60" i="10"/>
  <c r="BF60" i="10"/>
  <c r="G51" i="17"/>
  <c r="Z51" i="17"/>
  <c r="BR61" i="10" s="1"/>
  <c r="J51" i="17"/>
  <c r="Y51" i="17"/>
  <c r="BP61" i="10" s="1"/>
  <c r="I51" i="17"/>
  <c r="H51" i="17"/>
  <c r="W51" i="17"/>
  <c r="F51" i="17"/>
  <c r="U51" i="17"/>
  <c r="E51" i="17"/>
  <c r="AE51" i="17"/>
  <c r="AW61" i="10" s="1"/>
  <c r="AB51" i="17"/>
  <c r="AX61" i="10" s="1"/>
  <c r="AJ51" i="17"/>
  <c r="BQ61" i="10" s="1"/>
  <c r="O51" i="17"/>
  <c r="L51" i="17"/>
  <c r="AC51" i="17"/>
  <c r="AU61" i="10" s="1"/>
  <c r="T51" i="17"/>
  <c r="D51" i="17"/>
  <c r="AH51" i="17"/>
  <c r="BB61" i="10" s="1"/>
  <c r="AF51" i="17"/>
  <c r="BA61" i="10" s="1"/>
  <c r="X51" i="17"/>
  <c r="AI51" i="17"/>
  <c r="BC61" i="10" s="1"/>
  <c r="R51" i="17"/>
  <c r="P51" i="17"/>
  <c r="S51" i="17"/>
  <c r="B51" i="17"/>
  <c r="C51" i="17"/>
  <c r="AD51" i="17"/>
  <c r="AV61" i="10" s="1"/>
  <c r="N51" i="17"/>
  <c r="BD61" i="10" s="1"/>
  <c r="V51" i="17"/>
  <c r="BE61" i="10" s="1"/>
  <c r="M51" i="17"/>
  <c r="AG51" i="17"/>
  <c r="AZ61" i="10" s="1"/>
  <c r="Q51" i="17"/>
  <c r="AA51" i="17"/>
  <c r="BS61" i="10" s="1"/>
  <c r="K51" i="17"/>
  <c r="AL53" i="17"/>
  <c r="A52" i="17"/>
  <c r="AM52" i="17"/>
  <c r="H63" i="18" l="1"/>
  <c r="I63" i="18" s="1"/>
  <c r="G63" i="18"/>
  <c r="C64" i="18"/>
  <c r="D64" i="18"/>
  <c r="E64" i="18"/>
  <c r="F64" i="18"/>
  <c r="BG60" i="10"/>
  <c r="BI60" i="10" s="1"/>
  <c r="BV60" i="10" s="1"/>
  <c r="BW60" i="10" s="1"/>
  <c r="BX60" i="10" s="1"/>
  <c r="AY61" i="10"/>
  <c r="BF61" i="10"/>
  <c r="W52" i="17"/>
  <c r="G52" i="17"/>
  <c r="V52" i="17"/>
  <c r="BE62" i="10" s="1"/>
  <c r="F52" i="17"/>
  <c r="AI52" i="17"/>
  <c r="BC62" i="10" s="1"/>
  <c r="R52" i="17"/>
  <c r="U52" i="17"/>
  <c r="AJ52" i="17"/>
  <c r="BQ62" i="10" s="1"/>
  <c r="E52" i="17"/>
  <c r="T52" i="17"/>
  <c r="AB52" i="17"/>
  <c r="AX62" i="10" s="1"/>
  <c r="Y52" i="17"/>
  <c r="BP62" i="10" s="1"/>
  <c r="D52" i="17"/>
  <c r="AG52" i="17"/>
  <c r="AZ62" i="10" s="1"/>
  <c r="L52" i="17"/>
  <c r="I52" i="17"/>
  <c r="Q52" i="17"/>
  <c r="AE52" i="17"/>
  <c r="AW62" i="10" s="1"/>
  <c r="AC52" i="17"/>
  <c r="AU62" i="10" s="1"/>
  <c r="AF52" i="17"/>
  <c r="BA62" i="10" s="1"/>
  <c r="O52" i="17"/>
  <c r="M52" i="17"/>
  <c r="P52" i="17"/>
  <c r="H52" i="17"/>
  <c r="AA52" i="17"/>
  <c r="BS62" i="10" s="1"/>
  <c r="K52" i="17"/>
  <c r="S52" i="17"/>
  <c r="C52" i="17"/>
  <c r="AD52" i="17"/>
  <c r="AV62" i="10" s="1"/>
  <c r="N52" i="17"/>
  <c r="BD62" i="10" s="1"/>
  <c r="AH52" i="17"/>
  <c r="BB62" i="10" s="1"/>
  <c r="B52" i="17"/>
  <c r="Z52" i="17"/>
  <c r="BR62" i="10" s="1"/>
  <c r="J52" i="17"/>
  <c r="X52" i="17"/>
  <c r="AL54" i="17"/>
  <c r="A53" i="17"/>
  <c r="AM53" i="17"/>
  <c r="C65" i="18" l="1"/>
  <c r="D65" i="18"/>
  <c r="E65" i="18"/>
  <c r="F65" i="18"/>
  <c r="H64" i="18"/>
  <c r="I64" i="18" s="1"/>
  <c r="G64" i="18"/>
  <c r="BG61" i="10"/>
  <c r="BI61" i="10" s="1"/>
  <c r="BV61" i="10" s="1"/>
  <c r="BW61" i="10" s="1"/>
  <c r="BX61" i="10" s="1"/>
  <c r="AY62" i="10"/>
  <c r="BF62" i="10"/>
  <c r="S53" i="17"/>
  <c r="C53" i="17"/>
  <c r="AJ53" i="17"/>
  <c r="BQ63" i="10" s="1"/>
  <c r="AG53" i="17"/>
  <c r="AZ63" i="10" s="1"/>
  <c r="AE53" i="17"/>
  <c r="AW63" i="10" s="1"/>
  <c r="AI53" i="17"/>
  <c r="BC63" i="10" s="1"/>
  <c r="AF53" i="17"/>
  <c r="BA63" i="10" s="1"/>
  <c r="O53" i="17"/>
  <c r="R53" i="17"/>
  <c r="B53" i="17"/>
  <c r="Q53" i="17"/>
  <c r="D53" i="17"/>
  <c r="AH53" i="17"/>
  <c r="BB63" i="10" s="1"/>
  <c r="N53" i="17"/>
  <c r="BD63" i="10" s="1"/>
  <c r="E53" i="17"/>
  <c r="AB53" i="17"/>
  <c r="AX63" i="10" s="1"/>
  <c r="Z53" i="17"/>
  <c r="BR63" i="10" s="1"/>
  <c r="AC53" i="17"/>
  <c r="AU63" i="10" s="1"/>
  <c r="L53" i="17"/>
  <c r="J53" i="17"/>
  <c r="G53" i="17"/>
  <c r="M53" i="17"/>
  <c r="X53" i="17"/>
  <c r="U53" i="17"/>
  <c r="H53" i="17"/>
  <c r="W53" i="17"/>
  <c r="P53" i="17"/>
  <c r="AA53" i="17"/>
  <c r="BS63" i="10" s="1"/>
  <c r="K53" i="17"/>
  <c r="T53" i="17"/>
  <c r="Y53" i="17"/>
  <c r="BP63" i="10" s="1"/>
  <c r="AD53" i="17"/>
  <c r="AV63" i="10" s="1"/>
  <c r="I53" i="17"/>
  <c r="V53" i="17"/>
  <c r="BE63" i="10" s="1"/>
  <c r="F53" i="17"/>
  <c r="AL55" i="17"/>
  <c r="A54" i="17"/>
  <c r="AM54" i="17"/>
  <c r="C66" i="18" l="1"/>
  <c r="D66" i="18"/>
  <c r="E66" i="18"/>
  <c r="F66" i="18"/>
  <c r="H65" i="18"/>
  <c r="I65" i="18" s="1"/>
  <c r="G65" i="18"/>
  <c r="BG62" i="10"/>
  <c r="BI62" i="10" s="1"/>
  <c r="BV62" i="10" s="1"/>
  <c r="BW62" i="10" s="1"/>
  <c r="BX62" i="10" s="1"/>
  <c r="BF63" i="10"/>
  <c r="AY63" i="10"/>
  <c r="AF54" i="17"/>
  <c r="BA64" i="10" s="1"/>
  <c r="AB54" i="17"/>
  <c r="AX64" i="10" s="1"/>
  <c r="AG54" i="17"/>
  <c r="AZ64" i="10" s="1"/>
  <c r="P54" i="17"/>
  <c r="L54" i="17"/>
  <c r="Q54" i="17"/>
  <c r="AD54" i="17"/>
  <c r="AV64" i="10" s="1"/>
  <c r="N54" i="17"/>
  <c r="BD64" i="10" s="1"/>
  <c r="R54" i="17"/>
  <c r="U54" i="17"/>
  <c r="S54" i="17"/>
  <c r="T54" i="17"/>
  <c r="W54" i="17"/>
  <c r="C54" i="17"/>
  <c r="B54" i="17"/>
  <c r="AI54" i="17"/>
  <c r="BC64" i="10" s="1"/>
  <c r="AE54" i="17"/>
  <c r="AW64" i="10" s="1"/>
  <c r="V54" i="17"/>
  <c r="BE64" i="10" s="1"/>
  <c r="AJ54" i="17"/>
  <c r="BQ64" i="10" s="1"/>
  <c r="K54" i="17"/>
  <c r="I54" i="17"/>
  <c r="M54" i="17"/>
  <c r="AA54" i="17"/>
  <c r="BS64" i="10" s="1"/>
  <c r="G54" i="17"/>
  <c r="AH54" i="17"/>
  <c r="BB64" i="10" s="1"/>
  <c r="J54" i="17"/>
  <c r="D54" i="17"/>
  <c r="AC54" i="17"/>
  <c r="AU64" i="10" s="1"/>
  <c r="Y54" i="17"/>
  <c r="BP64" i="10" s="1"/>
  <c r="H54" i="17"/>
  <c r="E54" i="17"/>
  <c r="F54" i="17"/>
  <c r="X54" i="17"/>
  <c r="O54" i="17"/>
  <c r="Z54" i="17"/>
  <c r="BR64" i="10" s="1"/>
  <c r="AL56" i="17"/>
  <c r="A55" i="17"/>
  <c r="AM55" i="17"/>
  <c r="H66" i="18" l="1"/>
  <c r="I66" i="18" s="1"/>
  <c r="G66" i="18"/>
  <c r="F67" i="18"/>
  <c r="C67" i="18"/>
  <c r="D67" i="18"/>
  <c r="E67" i="18"/>
  <c r="AY64" i="10"/>
  <c r="BF64" i="10"/>
  <c r="BG63" i="10"/>
  <c r="BI63" i="10" s="1"/>
  <c r="BV63" i="10" s="1"/>
  <c r="BW63" i="10" s="1"/>
  <c r="BX63" i="10" s="1"/>
  <c r="N55" i="17"/>
  <c r="BD65" i="10" s="1"/>
  <c r="AA55" i="17"/>
  <c r="BS65" i="10" s="1"/>
  <c r="Z55" i="17"/>
  <c r="BR65" i="10" s="1"/>
  <c r="K55" i="17"/>
  <c r="J55" i="17"/>
  <c r="X55" i="17"/>
  <c r="AF55" i="17"/>
  <c r="BA65" i="10" s="1"/>
  <c r="AB55" i="17"/>
  <c r="AX65" i="10" s="1"/>
  <c r="C55" i="17"/>
  <c r="F55" i="17"/>
  <c r="AE55" i="17"/>
  <c r="AW65" i="10" s="1"/>
  <c r="D55" i="17"/>
  <c r="E55" i="17"/>
  <c r="AH55" i="17"/>
  <c r="BB65" i="10" s="1"/>
  <c r="H55" i="17"/>
  <c r="AG55" i="17"/>
  <c r="AZ65" i="10" s="1"/>
  <c r="G55" i="17"/>
  <c r="AD55" i="17"/>
  <c r="AV65" i="10" s="1"/>
  <c r="M55" i="17"/>
  <c r="I55" i="17"/>
  <c r="Y55" i="17"/>
  <c r="BP65" i="10" s="1"/>
  <c r="V55" i="17"/>
  <c r="BE65" i="10" s="1"/>
  <c r="Q55" i="17"/>
  <c r="T55" i="17"/>
  <c r="AJ55" i="17"/>
  <c r="BQ65" i="10" s="1"/>
  <c r="R55" i="17"/>
  <c r="O55" i="17"/>
  <c r="W55" i="17"/>
  <c r="AC55" i="17"/>
  <c r="AU65" i="10" s="1"/>
  <c r="B55" i="17"/>
  <c r="AI55" i="17"/>
  <c r="BC65" i="10" s="1"/>
  <c r="P55" i="17"/>
  <c r="U55" i="17"/>
  <c r="L55" i="17"/>
  <c r="S55" i="17"/>
  <c r="BG64" i="10"/>
  <c r="BI64" i="10" s="1"/>
  <c r="BV64" i="10" s="1"/>
  <c r="BW64" i="10" s="1"/>
  <c r="BX64" i="10" s="1"/>
  <c r="AL57" i="17"/>
  <c r="A56" i="17"/>
  <c r="AM56" i="17"/>
  <c r="H67" i="18" l="1"/>
  <c r="I67" i="18" s="1"/>
  <c r="G67" i="18"/>
  <c r="C68" i="18"/>
  <c r="D68" i="18"/>
  <c r="E68" i="18"/>
  <c r="F68" i="18"/>
  <c r="AY65" i="10"/>
  <c r="BF65" i="10"/>
  <c r="H56" i="17"/>
  <c r="G56" i="17"/>
  <c r="B56" i="17"/>
  <c r="P56" i="17"/>
  <c r="T56" i="17"/>
  <c r="Q56" i="17"/>
  <c r="S56" i="17"/>
  <c r="Y56" i="17"/>
  <c r="BP66" i="10" s="1"/>
  <c r="U56" i="17"/>
  <c r="Z56" i="17"/>
  <c r="BR66" i="10" s="1"/>
  <c r="V56" i="17"/>
  <c r="BE66" i="10" s="1"/>
  <c r="AA56" i="17"/>
  <c r="BS66" i="10" s="1"/>
  <c r="J56" i="17"/>
  <c r="F56" i="17"/>
  <c r="X56" i="17"/>
  <c r="W56" i="17"/>
  <c r="R56" i="17"/>
  <c r="AE56" i="17"/>
  <c r="AW66" i="10" s="1"/>
  <c r="AH56" i="17"/>
  <c r="BB66" i="10" s="1"/>
  <c r="D56" i="17"/>
  <c r="AI56" i="17"/>
  <c r="BC66" i="10" s="1"/>
  <c r="L56" i="17"/>
  <c r="AD56" i="17"/>
  <c r="AV66" i="10" s="1"/>
  <c r="K56" i="17"/>
  <c r="AF56" i="17"/>
  <c r="BA66" i="10" s="1"/>
  <c r="AC56" i="17"/>
  <c r="AU66" i="10" s="1"/>
  <c r="E56" i="17"/>
  <c r="O56" i="17"/>
  <c r="AJ56" i="17"/>
  <c r="BQ66" i="10" s="1"/>
  <c r="AG56" i="17"/>
  <c r="AZ66" i="10" s="1"/>
  <c r="N56" i="17"/>
  <c r="BD66" i="10" s="1"/>
  <c r="AB56" i="17"/>
  <c r="AX66" i="10" s="1"/>
  <c r="C56" i="17"/>
  <c r="M56" i="17"/>
  <c r="I56" i="17"/>
  <c r="AL58" i="17"/>
  <c r="A57" i="17"/>
  <c r="AM57" i="17"/>
  <c r="BG65" i="10" l="1"/>
  <c r="BI65" i="10" s="1"/>
  <c r="BV65" i="10" s="1"/>
  <c r="BW65" i="10" s="1"/>
  <c r="BX65" i="10" s="1"/>
  <c r="C69" i="18"/>
  <c r="D69" i="18"/>
  <c r="E69" i="18"/>
  <c r="F69" i="18"/>
  <c r="H68" i="18"/>
  <c r="I68" i="18" s="1"/>
  <c r="G68" i="18"/>
  <c r="AY66" i="10"/>
  <c r="BF66" i="10"/>
  <c r="J57" i="17"/>
  <c r="M57" i="17"/>
  <c r="K57" i="17"/>
  <c r="AF57" i="17"/>
  <c r="BA67" i="10" s="1"/>
  <c r="L57" i="17"/>
  <c r="AH57" i="17"/>
  <c r="BB67" i="10" s="1"/>
  <c r="P57" i="17"/>
  <c r="AI57" i="17"/>
  <c r="BC67" i="10" s="1"/>
  <c r="R57" i="17"/>
  <c r="W57" i="17"/>
  <c r="S57" i="17"/>
  <c r="B57" i="17"/>
  <c r="N57" i="17"/>
  <c r="BD67" i="10" s="1"/>
  <c r="X57" i="17"/>
  <c r="G57" i="17"/>
  <c r="C57" i="17"/>
  <c r="H57" i="17"/>
  <c r="AJ57" i="17"/>
  <c r="BQ67" i="10" s="1"/>
  <c r="AE57" i="17"/>
  <c r="AW67" i="10" s="1"/>
  <c r="U57" i="17"/>
  <c r="T57" i="17"/>
  <c r="O57" i="17"/>
  <c r="Z57" i="17"/>
  <c r="BR67" i="10" s="1"/>
  <c r="AC57" i="17"/>
  <c r="AU67" i="10" s="1"/>
  <c r="E57" i="17"/>
  <c r="AA57" i="17"/>
  <c r="BS67" i="10" s="1"/>
  <c r="V57" i="17"/>
  <c r="BE67" i="10" s="1"/>
  <c r="Q57" i="17"/>
  <c r="I57" i="17"/>
  <c r="D57" i="17"/>
  <c r="AD57" i="17"/>
  <c r="AV67" i="10" s="1"/>
  <c r="AB57" i="17"/>
  <c r="AX67" i="10" s="1"/>
  <c r="AG57" i="17"/>
  <c r="AZ67" i="10" s="1"/>
  <c r="F57" i="17"/>
  <c r="Y57" i="17"/>
  <c r="BP67" i="10" s="1"/>
  <c r="AL59" i="17"/>
  <c r="A58" i="17"/>
  <c r="AM58" i="17"/>
  <c r="BG66" i="10" l="1"/>
  <c r="BI66" i="10" s="1"/>
  <c r="BV66" i="10" s="1"/>
  <c r="BW66" i="10" s="1"/>
  <c r="BX66" i="10" s="1"/>
  <c r="C70" i="18"/>
  <c r="D70" i="18"/>
  <c r="E70" i="18"/>
  <c r="F70" i="18"/>
  <c r="H69" i="18"/>
  <c r="I69" i="18" s="1"/>
  <c r="G69" i="18"/>
  <c r="BF67" i="10"/>
  <c r="AY67" i="10"/>
  <c r="F58" i="17"/>
  <c r="AC58" i="17"/>
  <c r="AU68" i="10" s="1"/>
  <c r="I58" i="17"/>
  <c r="G58" i="17"/>
  <c r="M58" i="17"/>
  <c r="H58" i="17"/>
  <c r="AI58" i="17"/>
  <c r="BC68" i="10" s="1"/>
  <c r="X58" i="17"/>
  <c r="S58" i="17"/>
  <c r="AE58" i="17"/>
  <c r="AW68" i="10" s="1"/>
  <c r="AJ58" i="17"/>
  <c r="BQ68" i="10" s="1"/>
  <c r="AF58" i="17"/>
  <c r="BA68" i="10" s="1"/>
  <c r="O58" i="17"/>
  <c r="K58" i="17"/>
  <c r="T58" i="17"/>
  <c r="P58" i="17"/>
  <c r="U58" i="17"/>
  <c r="D58" i="17"/>
  <c r="J58" i="17"/>
  <c r="E58" i="17"/>
  <c r="AH58" i="17"/>
  <c r="BB68" i="10" s="1"/>
  <c r="AG58" i="17"/>
  <c r="AZ68" i="10" s="1"/>
  <c r="AB58" i="17"/>
  <c r="AX68" i="10" s="1"/>
  <c r="R58" i="17"/>
  <c r="Q58" i="17"/>
  <c r="L58" i="17"/>
  <c r="B58" i="17"/>
  <c r="W58" i="17"/>
  <c r="AD58" i="17"/>
  <c r="AV68" i="10" s="1"/>
  <c r="Z58" i="17"/>
  <c r="BR68" i="10" s="1"/>
  <c r="V58" i="17"/>
  <c r="BE68" i="10" s="1"/>
  <c r="C58" i="17"/>
  <c r="AA58" i="17"/>
  <c r="BS68" i="10" s="1"/>
  <c r="N58" i="17"/>
  <c r="BD68" i="10" s="1"/>
  <c r="Y58" i="17"/>
  <c r="BP68" i="10" s="1"/>
  <c r="AL60" i="17"/>
  <c r="A59" i="17"/>
  <c r="AM59" i="17"/>
  <c r="BG67" i="10" l="1"/>
  <c r="BI67" i="10" s="1"/>
  <c r="BV67" i="10" s="1"/>
  <c r="BW67" i="10" s="1"/>
  <c r="BX67" i="10" s="1"/>
  <c r="F71" i="18"/>
  <c r="C71" i="18"/>
  <c r="D71" i="18"/>
  <c r="E71" i="18"/>
  <c r="H70" i="18"/>
  <c r="I70" i="18" s="1"/>
  <c r="G70" i="18"/>
  <c r="BF68" i="10"/>
  <c r="AY68" i="10"/>
  <c r="Z59" i="17"/>
  <c r="BR69" i="10" s="1"/>
  <c r="G59" i="17"/>
  <c r="J59" i="17"/>
  <c r="T59" i="17"/>
  <c r="H59" i="17"/>
  <c r="AF59" i="17"/>
  <c r="BA69" i="10" s="1"/>
  <c r="U59" i="17"/>
  <c r="S59" i="17"/>
  <c r="P59" i="17"/>
  <c r="AB59" i="17"/>
  <c r="AX69" i="10" s="1"/>
  <c r="E59" i="17"/>
  <c r="AG59" i="17"/>
  <c r="AZ69" i="10" s="1"/>
  <c r="AC59" i="17"/>
  <c r="AU69" i="10" s="1"/>
  <c r="L59" i="17"/>
  <c r="AH59" i="17"/>
  <c r="BB69" i="10" s="1"/>
  <c r="Q59" i="17"/>
  <c r="M59" i="17"/>
  <c r="W59" i="17"/>
  <c r="R59" i="17"/>
  <c r="B59" i="17"/>
  <c r="AE59" i="17"/>
  <c r="AW69" i="10" s="1"/>
  <c r="AD59" i="17"/>
  <c r="AV69" i="10" s="1"/>
  <c r="Y59" i="17"/>
  <c r="BP69" i="10" s="1"/>
  <c r="V59" i="17"/>
  <c r="BE69" i="10" s="1"/>
  <c r="O59" i="17"/>
  <c r="N59" i="17"/>
  <c r="BD69" i="10" s="1"/>
  <c r="I59" i="17"/>
  <c r="AA59" i="17"/>
  <c r="BS69" i="10" s="1"/>
  <c r="X59" i="17"/>
  <c r="AI59" i="17"/>
  <c r="BC69" i="10" s="1"/>
  <c r="AJ59" i="17"/>
  <c r="BQ69" i="10" s="1"/>
  <c r="F59" i="17"/>
  <c r="K59" i="17"/>
  <c r="C59" i="17"/>
  <c r="D59" i="17"/>
  <c r="AL61" i="17"/>
  <c r="A60" i="17"/>
  <c r="AM60" i="17"/>
  <c r="H71" i="18" l="1"/>
  <c r="I71" i="18" s="1"/>
  <c r="G71" i="18"/>
  <c r="C72" i="18"/>
  <c r="D72" i="18"/>
  <c r="E72" i="18"/>
  <c r="F72" i="18"/>
  <c r="AY69" i="10"/>
  <c r="BF69" i="10"/>
  <c r="BG68" i="10"/>
  <c r="BI68" i="10" s="1"/>
  <c r="BV68" i="10" s="1"/>
  <c r="BW68" i="10" s="1"/>
  <c r="BX68" i="10" s="1"/>
  <c r="G60" i="17"/>
  <c r="AH60" i="17"/>
  <c r="BB70" i="10" s="1"/>
  <c r="U60" i="17"/>
  <c r="AC60" i="17"/>
  <c r="AU70" i="10" s="1"/>
  <c r="R60" i="17"/>
  <c r="AI60" i="17"/>
  <c r="BC70" i="10" s="1"/>
  <c r="AF60" i="17"/>
  <c r="BA70" i="10" s="1"/>
  <c r="M60" i="17"/>
  <c r="Y60" i="17"/>
  <c r="BP70" i="10" s="1"/>
  <c r="B60" i="17"/>
  <c r="AG60" i="17"/>
  <c r="AZ70" i="10" s="1"/>
  <c r="AD60" i="17"/>
  <c r="AV70" i="10" s="1"/>
  <c r="Z60" i="17"/>
  <c r="BR70" i="10" s="1"/>
  <c r="I60" i="17"/>
  <c r="AE60" i="17"/>
  <c r="AW70" i="10" s="1"/>
  <c r="N60" i="17"/>
  <c r="BD70" i="10" s="1"/>
  <c r="J60" i="17"/>
  <c r="O60" i="17"/>
  <c r="AB60" i="17"/>
  <c r="AX70" i="10" s="1"/>
  <c r="AA60" i="17"/>
  <c r="BS70" i="10" s="1"/>
  <c r="V60" i="17"/>
  <c r="BE70" i="10" s="1"/>
  <c r="L60" i="17"/>
  <c r="K60" i="17"/>
  <c r="F60" i="17"/>
  <c r="AJ60" i="17"/>
  <c r="BQ70" i="10" s="1"/>
  <c r="X60" i="17"/>
  <c r="H60" i="17"/>
  <c r="W60" i="17"/>
  <c r="P60" i="17"/>
  <c r="D60" i="17"/>
  <c r="T60" i="17"/>
  <c r="Q60" i="17"/>
  <c r="E60" i="17"/>
  <c r="S60" i="17"/>
  <c r="C60" i="17"/>
  <c r="AL62" i="17"/>
  <c r="A61" i="17"/>
  <c r="AM61" i="17"/>
  <c r="C73" i="18" l="1"/>
  <c r="D73" i="18"/>
  <c r="E73" i="18"/>
  <c r="F73" i="18"/>
  <c r="H72" i="18"/>
  <c r="I72" i="18" s="1"/>
  <c r="G72" i="18"/>
  <c r="BG69" i="10"/>
  <c r="BI69" i="10" s="1"/>
  <c r="BV69" i="10" s="1"/>
  <c r="BW69" i="10" s="1"/>
  <c r="BX69" i="10" s="1"/>
  <c r="BF70" i="10"/>
  <c r="AY70" i="10"/>
  <c r="J61" i="17"/>
  <c r="V61" i="17"/>
  <c r="BE71" i="10" s="1"/>
  <c r="B61" i="17"/>
  <c r="AA61" i="17"/>
  <c r="BS71" i="10" s="1"/>
  <c r="W61" i="17"/>
  <c r="F61" i="17"/>
  <c r="AB61" i="17"/>
  <c r="AX71" i="10" s="1"/>
  <c r="K61" i="17"/>
  <c r="G61" i="17"/>
  <c r="L61" i="17"/>
  <c r="AI61" i="17"/>
  <c r="BC71" i="10" s="1"/>
  <c r="Y61" i="17"/>
  <c r="BP71" i="10" s="1"/>
  <c r="X61" i="17"/>
  <c r="S61" i="17"/>
  <c r="I61" i="17"/>
  <c r="H61" i="17"/>
  <c r="C61" i="17"/>
  <c r="M61" i="17"/>
  <c r="U61" i="17"/>
  <c r="E61" i="17"/>
  <c r="AJ61" i="17"/>
  <c r="BQ71" i="10" s="1"/>
  <c r="T61" i="17"/>
  <c r="Z61" i="17"/>
  <c r="BR71" i="10" s="1"/>
  <c r="R61" i="17"/>
  <c r="O61" i="17"/>
  <c r="AG61" i="17"/>
  <c r="AZ71" i="10" s="1"/>
  <c r="AD61" i="17"/>
  <c r="AV71" i="10" s="1"/>
  <c r="P61" i="17"/>
  <c r="AH61" i="17"/>
  <c r="BB71" i="10" s="1"/>
  <c r="AF61" i="17"/>
  <c r="BA71" i="10" s="1"/>
  <c r="N61" i="17"/>
  <c r="BD71" i="10" s="1"/>
  <c r="AE61" i="17"/>
  <c r="AW71" i="10" s="1"/>
  <c r="D61" i="17"/>
  <c r="AC61" i="17"/>
  <c r="AU71" i="10" s="1"/>
  <c r="Q61" i="17"/>
  <c r="AL63" i="17"/>
  <c r="A62" i="17"/>
  <c r="AM62" i="17"/>
  <c r="C74" i="18" l="1"/>
  <c r="D74" i="18"/>
  <c r="E74" i="18"/>
  <c r="F74" i="18"/>
  <c r="H73" i="18"/>
  <c r="I73" i="18" s="1"/>
  <c r="G73" i="18"/>
  <c r="BG70" i="10"/>
  <c r="BI70" i="10" s="1"/>
  <c r="BV70" i="10" s="1"/>
  <c r="BW70" i="10" s="1"/>
  <c r="BX70" i="10" s="1"/>
  <c r="AY71" i="10"/>
  <c r="BF71" i="10"/>
  <c r="Y62" i="17"/>
  <c r="BP72" i="10" s="1"/>
  <c r="H62" i="17"/>
  <c r="D62" i="17"/>
  <c r="AC62" i="17"/>
  <c r="AU72" i="10" s="1"/>
  <c r="Z62" i="17"/>
  <c r="BR72" i="10" s="1"/>
  <c r="I62" i="17"/>
  <c r="AF62" i="17"/>
  <c r="BA72" i="10" s="1"/>
  <c r="AA62" i="17"/>
  <c r="BS72" i="10" s="1"/>
  <c r="V62" i="17"/>
  <c r="BE72" i="10" s="1"/>
  <c r="U62" i="17"/>
  <c r="P62" i="17"/>
  <c r="F62" i="17"/>
  <c r="E62" i="17"/>
  <c r="AH62" i="17"/>
  <c r="BB72" i="10" s="1"/>
  <c r="AD62" i="17"/>
  <c r="AV72" i="10" s="1"/>
  <c r="R62" i="17"/>
  <c r="B62" i="17"/>
  <c r="AG62" i="17"/>
  <c r="AZ72" i="10" s="1"/>
  <c r="Q62" i="17"/>
  <c r="AE62" i="17"/>
  <c r="AW72" i="10" s="1"/>
  <c r="AB62" i="17"/>
  <c r="AX72" i="10" s="1"/>
  <c r="W62" i="17"/>
  <c r="AI62" i="17"/>
  <c r="BC72" i="10" s="1"/>
  <c r="O62" i="17"/>
  <c r="L62" i="17"/>
  <c r="X62" i="17"/>
  <c r="T62" i="17"/>
  <c r="C62" i="17"/>
  <c r="N62" i="17"/>
  <c r="BD72" i="10" s="1"/>
  <c r="G62" i="17"/>
  <c r="S62" i="17"/>
  <c r="M62" i="17"/>
  <c r="J62" i="17"/>
  <c r="K62" i="17"/>
  <c r="AJ62" i="17"/>
  <c r="BQ72" i="10" s="1"/>
  <c r="AL64" i="17"/>
  <c r="A63" i="17"/>
  <c r="AM63" i="17"/>
  <c r="H74" i="18" l="1"/>
  <c r="I74" i="18" s="1"/>
  <c r="G74" i="18"/>
  <c r="F75" i="18"/>
  <c r="C75" i="18"/>
  <c r="D75" i="18"/>
  <c r="E75" i="18"/>
  <c r="BG71" i="10"/>
  <c r="BI71" i="10" s="1"/>
  <c r="BV71" i="10" s="1"/>
  <c r="BW71" i="10" s="1"/>
  <c r="BX71" i="10" s="1"/>
  <c r="AY72" i="10"/>
  <c r="BF72" i="10"/>
  <c r="S63" i="17"/>
  <c r="R63" i="17"/>
  <c r="M63" i="17"/>
  <c r="C63" i="17"/>
  <c r="B63" i="17"/>
  <c r="AE63" i="17"/>
  <c r="AW73" i="10" s="1"/>
  <c r="G63" i="17"/>
  <c r="O63" i="17"/>
  <c r="AD63" i="17"/>
  <c r="AV73" i="10" s="1"/>
  <c r="N63" i="17"/>
  <c r="BD73" i="10" s="1"/>
  <c r="AJ63" i="17"/>
  <c r="BQ73" i="10" s="1"/>
  <c r="AB63" i="17"/>
  <c r="AX73" i="10" s="1"/>
  <c r="Y63" i="17"/>
  <c r="BP73" i="10" s="1"/>
  <c r="T63" i="17"/>
  <c r="AF63" i="17"/>
  <c r="BA73" i="10" s="1"/>
  <c r="L63" i="17"/>
  <c r="I63" i="17"/>
  <c r="D63" i="17"/>
  <c r="AG63" i="17"/>
  <c r="AZ73" i="10" s="1"/>
  <c r="P63" i="17"/>
  <c r="U63" i="17"/>
  <c r="Q63" i="17"/>
  <c r="F63" i="17"/>
  <c r="AI63" i="17"/>
  <c r="BC73" i="10" s="1"/>
  <c r="AH63" i="17"/>
  <c r="BB73" i="10" s="1"/>
  <c r="AC63" i="17"/>
  <c r="AU73" i="10" s="1"/>
  <c r="AA63" i="17"/>
  <c r="BS73" i="10" s="1"/>
  <c r="X63" i="17"/>
  <c r="J63" i="17"/>
  <c r="V63" i="17"/>
  <c r="BE73" i="10" s="1"/>
  <c r="Z63" i="17"/>
  <c r="BR73" i="10" s="1"/>
  <c r="E63" i="17"/>
  <c r="W63" i="17"/>
  <c r="H63" i="17"/>
  <c r="K63" i="17"/>
  <c r="AL65" i="17"/>
  <c r="A64" i="17"/>
  <c r="AM64" i="17"/>
  <c r="BG72" i="10" l="1"/>
  <c r="BI72" i="10" s="1"/>
  <c r="BV72" i="10" s="1"/>
  <c r="BW72" i="10" s="1"/>
  <c r="BX72" i="10" s="1"/>
  <c r="H75" i="18"/>
  <c r="I75" i="18" s="1"/>
  <c r="G75" i="18"/>
  <c r="C76" i="18"/>
  <c r="D76" i="18"/>
  <c r="E76" i="18"/>
  <c r="F76" i="18"/>
  <c r="AY73" i="10"/>
  <c r="BF73" i="10"/>
  <c r="U64" i="17"/>
  <c r="AB64" i="17"/>
  <c r="AX74" i="10" s="1"/>
  <c r="L64" i="17"/>
  <c r="AJ64" i="17"/>
  <c r="BQ74" i="10" s="1"/>
  <c r="X64" i="17"/>
  <c r="AA64" i="17"/>
  <c r="BS74" i="10" s="1"/>
  <c r="K64" i="17"/>
  <c r="AG64" i="17"/>
  <c r="AZ74" i="10" s="1"/>
  <c r="Y64" i="17"/>
  <c r="BP74" i="10" s="1"/>
  <c r="V64" i="17"/>
  <c r="BE74" i="10" s="1"/>
  <c r="Q64" i="17"/>
  <c r="AC64" i="17"/>
  <c r="AU74" i="10" s="1"/>
  <c r="I64" i="17"/>
  <c r="F64" i="17"/>
  <c r="AH64" i="17"/>
  <c r="BB74" i="10" s="1"/>
  <c r="AD64" i="17"/>
  <c r="AV74" i="10" s="1"/>
  <c r="M64" i="17"/>
  <c r="AI64" i="17"/>
  <c r="BC74" i="10" s="1"/>
  <c r="R64" i="17"/>
  <c r="N64" i="17"/>
  <c r="BD74" i="10" s="1"/>
  <c r="S64" i="17"/>
  <c r="B64" i="17"/>
  <c r="C64" i="17"/>
  <c r="AF64" i="17"/>
  <c r="BA74" i="10" s="1"/>
  <c r="AE64" i="17"/>
  <c r="AW74" i="10" s="1"/>
  <c r="Z64" i="17"/>
  <c r="BR74" i="10" s="1"/>
  <c r="W64" i="17"/>
  <c r="T64" i="17"/>
  <c r="J64" i="17"/>
  <c r="P64" i="17"/>
  <c r="G64" i="17"/>
  <c r="D64" i="17"/>
  <c r="E64" i="17"/>
  <c r="O64" i="17"/>
  <c r="H64" i="17"/>
  <c r="AL66" i="17"/>
  <c r="A65" i="17"/>
  <c r="AM65" i="17"/>
  <c r="H76" i="18" l="1"/>
  <c r="I76" i="18" s="1"/>
  <c r="C77" i="18"/>
  <c r="D77" i="18"/>
  <c r="E77" i="18"/>
  <c r="F77" i="18"/>
  <c r="G76" i="18"/>
  <c r="BG73" i="10"/>
  <c r="BI73" i="10" s="1"/>
  <c r="BV73" i="10" s="1"/>
  <c r="BW73" i="10" s="1"/>
  <c r="BX73" i="10" s="1"/>
  <c r="AY74" i="10"/>
  <c r="BF74" i="10"/>
  <c r="Y65" i="17"/>
  <c r="BP75" i="10" s="1"/>
  <c r="I65" i="17"/>
  <c r="X65" i="17"/>
  <c r="H65" i="17"/>
  <c r="AI65" i="17"/>
  <c r="BC75" i="10" s="1"/>
  <c r="AD65" i="17"/>
  <c r="AV75" i="10" s="1"/>
  <c r="V65" i="17"/>
  <c r="BE75" i="10" s="1"/>
  <c r="S65" i="17"/>
  <c r="N65" i="17"/>
  <c r="BD75" i="10" s="1"/>
  <c r="Z65" i="17"/>
  <c r="BR75" i="10" s="1"/>
  <c r="F65" i="17"/>
  <c r="C65" i="17"/>
  <c r="AE65" i="17"/>
  <c r="AW75" i="10" s="1"/>
  <c r="AA65" i="17"/>
  <c r="BS75" i="10" s="1"/>
  <c r="J65" i="17"/>
  <c r="AF65" i="17"/>
  <c r="BA75" i="10" s="1"/>
  <c r="O65" i="17"/>
  <c r="K65" i="17"/>
  <c r="P65" i="17"/>
  <c r="AC65" i="17"/>
  <c r="AU75" i="10" s="1"/>
  <c r="AB65" i="17"/>
  <c r="AX75" i="10" s="1"/>
  <c r="W65" i="17"/>
  <c r="M65" i="17"/>
  <c r="L65" i="17"/>
  <c r="G65" i="17"/>
  <c r="R65" i="17"/>
  <c r="D65" i="17"/>
  <c r="AJ65" i="17"/>
  <c r="BQ75" i="10" s="1"/>
  <c r="AG65" i="17"/>
  <c r="AZ75" i="10" s="1"/>
  <c r="T65" i="17"/>
  <c r="AH65" i="17"/>
  <c r="BB75" i="10" s="1"/>
  <c r="Q65" i="17"/>
  <c r="U65" i="17"/>
  <c r="E65" i="17"/>
  <c r="B65" i="17"/>
  <c r="AL67" i="17"/>
  <c r="A66" i="17"/>
  <c r="AM66" i="17"/>
  <c r="H77" i="18" l="1"/>
  <c r="I77" i="18" s="1"/>
  <c r="G77" i="18"/>
  <c r="C78" i="18"/>
  <c r="D78" i="18"/>
  <c r="E78" i="18"/>
  <c r="F78" i="18"/>
  <c r="BG74" i="10"/>
  <c r="BI74" i="10" s="1"/>
  <c r="BV74" i="10" s="1"/>
  <c r="BW74" i="10" s="1"/>
  <c r="BX74" i="10" s="1"/>
  <c r="BF75" i="10"/>
  <c r="AY75" i="10"/>
  <c r="U66" i="17"/>
  <c r="AD66" i="17"/>
  <c r="AV76" i="10" s="1"/>
  <c r="E66" i="17"/>
  <c r="AI66" i="17"/>
  <c r="BC76" i="10" s="1"/>
  <c r="AF66" i="17"/>
  <c r="BA76" i="10" s="1"/>
  <c r="AA66" i="17"/>
  <c r="BS76" i="10" s="1"/>
  <c r="S66" i="17"/>
  <c r="P66" i="17"/>
  <c r="R66" i="17"/>
  <c r="K66" i="17"/>
  <c r="W66" i="17"/>
  <c r="C66" i="17"/>
  <c r="AB66" i="17"/>
  <c r="AX76" i="10" s="1"/>
  <c r="X66" i="17"/>
  <c r="G66" i="17"/>
  <c r="AC66" i="17"/>
  <c r="AU76" i="10" s="1"/>
  <c r="L66" i="17"/>
  <c r="H66" i="17"/>
  <c r="M66" i="17"/>
  <c r="AJ66" i="17"/>
  <c r="BQ76" i="10" s="1"/>
  <c r="Z66" i="17"/>
  <c r="BR76" i="10" s="1"/>
  <c r="Y66" i="17"/>
  <c r="BP76" i="10" s="1"/>
  <c r="T66" i="17"/>
  <c r="J66" i="17"/>
  <c r="I66" i="17"/>
  <c r="D66" i="17"/>
  <c r="F66" i="17"/>
  <c r="O66" i="17"/>
  <c r="AH66" i="17"/>
  <c r="BB76" i="10" s="1"/>
  <c r="AG66" i="17"/>
  <c r="AZ76" i="10" s="1"/>
  <c r="Q66" i="17"/>
  <c r="V66" i="17"/>
  <c r="BE76" i="10" s="1"/>
  <c r="N66" i="17"/>
  <c r="BD76" i="10" s="1"/>
  <c r="B66" i="17"/>
  <c r="AE66" i="17"/>
  <c r="AW76" i="10" s="1"/>
  <c r="AL68" i="17"/>
  <c r="A67" i="17"/>
  <c r="AM67" i="17"/>
  <c r="BG75" i="10" l="1"/>
  <c r="BI75" i="10" s="1"/>
  <c r="BV75" i="10" s="1"/>
  <c r="BW75" i="10" s="1"/>
  <c r="BX75" i="10" s="1"/>
  <c r="H78" i="18"/>
  <c r="I78" i="18" s="1"/>
  <c r="G78" i="18"/>
  <c r="F79" i="18"/>
  <c r="C79" i="18"/>
  <c r="D79" i="18"/>
  <c r="E79" i="18"/>
  <c r="BF76" i="10"/>
  <c r="AY76" i="10"/>
  <c r="R67" i="17"/>
  <c r="B67" i="17"/>
  <c r="AF67" i="17"/>
  <c r="BA77" i="10" s="1"/>
  <c r="AC67" i="17"/>
  <c r="AU77" i="10" s="1"/>
  <c r="X67" i="17"/>
  <c r="AJ67" i="17"/>
  <c r="BQ77" i="10" s="1"/>
  <c r="P67" i="17"/>
  <c r="M67" i="17"/>
  <c r="H67" i="17"/>
  <c r="T67" i="17"/>
  <c r="Y67" i="17"/>
  <c r="BP77" i="10" s="1"/>
  <c r="U67" i="17"/>
  <c r="D67" i="17"/>
  <c r="Z67" i="17"/>
  <c r="BR77" i="10" s="1"/>
  <c r="I67" i="17"/>
  <c r="E67" i="17"/>
  <c r="J67" i="17"/>
  <c r="AG67" i="17"/>
  <c r="AZ77" i="10" s="1"/>
  <c r="W67" i="17"/>
  <c r="V67" i="17"/>
  <c r="BE77" i="10" s="1"/>
  <c r="Q67" i="17"/>
  <c r="G67" i="17"/>
  <c r="F67" i="17"/>
  <c r="AI67" i="17"/>
  <c r="BC77" i="10" s="1"/>
  <c r="S67" i="17"/>
  <c r="C67" i="17"/>
  <c r="AH67" i="17"/>
  <c r="BB77" i="10" s="1"/>
  <c r="L67" i="17"/>
  <c r="AD67" i="17"/>
  <c r="AV77" i="10" s="1"/>
  <c r="AA67" i="17"/>
  <c r="BS77" i="10" s="1"/>
  <c r="N67" i="17"/>
  <c r="BD77" i="10" s="1"/>
  <c r="AB67" i="17"/>
  <c r="AX77" i="10" s="1"/>
  <c r="K67" i="17"/>
  <c r="AE67" i="17"/>
  <c r="AW77" i="10" s="1"/>
  <c r="O67" i="17"/>
  <c r="AL69" i="17"/>
  <c r="A68" i="17"/>
  <c r="AM68" i="17"/>
  <c r="H79" i="18" l="1"/>
  <c r="I79" i="18" s="1"/>
  <c r="G79" i="18"/>
  <c r="C80" i="18"/>
  <c r="D80" i="18"/>
  <c r="E80" i="18"/>
  <c r="F80" i="18"/>
  <c r="BG76" i="10"/>
  <c r="BI76" i="10" s="1"/>
  <c r="BV76" i="10" s="1"/>
  <c r="BW76" i="10" s="1"/>
  <c r="BX76" i="10" s="1"/>
  <c r="AY77" i="10"/>
  <c r="BF77" i="10"/>
  <c r="U68" i="17"/>
  <c r="AG68" i="17"/>
  <c r="AZ78" i="10" s="1"/>
  <c r="M68" i="17"/>
  <c r="J68" i="17"/>
  <c r="E68" i="17"/>
  <c r="AH68" i="17"/>
  <c r="BB78" i="10" s="1"/>
  <c r="Q68" i="17"/>
  <c r="X68" i="17"/>
  <c r="V68" i="17"/>
  <c r="BE78" i="10" s="1"/>
  <c r="R68" i="17"/>
  <c r="W68" i="17"/>
  <c r="F68" i="17"/>
  <c r="B68" i="17"/>
  <c r="L68" i="17"/>
  <c r="G68" i="17"/>
  <c r="AJ68" i="17"/>
  <c r="BQ78" i="10" s="1"/>
  <c r="AI68" i="17"/>
  <c r="BC78" i="10" s="1"/>
  <c r="AD68" i="17"/>
  <c r="AV78" i="10" s="1"/>
  <c r="T68" i="17"/>
  <c r="S68" i="17"/>
  <c r="N68" i="17"/>
  <c r="BD78" i="10" s="1"/>
  <c r="D68" i="17"/>
  <c r="C68" i="17"/>
  <c r="AF68" i="17"/>
  <c r="BA78" i="10" s="1"/>
  <c r="P68" i="17"/>
  <c r="AE68" i="17"/>
  <c r="AW78" i="10" s="1"/>
  <c r="K68" i="17"/>
  <c r="H68" i="17"/>
  <c r="AC68" i="17"/>
  <c r="AU78" i="10" s="1"/>
  <c r="Z68" i="17"/>
  <c r="BR78" i="10" s="1"/>
  <c r="AA68" i="17"/>
  <c r="BS78" i="10" s="1"/>
  <c r="Y68" i="17"/>
  <c r="BP78" i="10" s="1"/>
  <c r="AB68" i="17"/>
  <c r="AX78" i="10" s="1"/>
  <c r="O68" i="17"/>
  <c r="I68" i="17"/>
  <c r="AL70" i="17"/>
  <c r="A69" i="17"/>
  <c r="AM69" i="17"/>
  <c r="BG77" i="10" l="1"/>
  <c r="BI77" i="10" s="1"/>
  <c r="BV77" i="10" s="1"/>
  <c r="BW77" i="10" s="1"/>
  <c r="BX77" i="10" s="1"/>
  <c r="C81" i="18"/>
  <c r="D81" i="18"/>
  <c r="E81" i="18"/>
  <c r="F81" i="18"/>
  <c r="H80" i="18"/>
  <c r="I80" i="18" s="1"/>
  <c r="G80" i="18"/>
  <c r="AY78" i="10"/>
  <c r="BF78" i="10"/>
  <c r="AJ69" i="17"/>
  <c r="BQ79" i="10" s="1"/>
  <c r="S69" i="17"/>
  <c r="O69" i="17"/>
  <c r="T69" i="17"/>
  <c r="C69" i="17"/>
  <c r="D69" i="17"/>
  <c r="AG69" i="17"/>
  <c r="AZ79" i="10" s="1"/>
  <c r="AF69" i="17"/>
  <c r="BA79" i="10" s="1"/>
  <c r="AA69" i="17"/>
  <c r="BS79" i="10" s="1"/>
  <c r="Q69" i="17"/>
  <c r="P69" i="17"/>
  <c r="K69" i="17"/>
  <c r="AC69" i="17"/>
  <c r="AU79" i="10" s="1"/>
  <c r="M69" i="17"/>
  <c r="AB69" i="17"/>
  <c r="AX79" i="10" s="1"/>
  <c r="Y69" i="17"/>
  <c r="BP79" i="10" s="1"/>
  <c r="L69" i="17"/>
  <c r="AH69" i="17"/>
  <c r="BB79" i="10" s="1"/>
  <c r="Z69" i="17"/>
  <c r="BR79" i="10" s="1"/>
  <c r="W69" i="17"/>
  <c r="AI69" i="17"/>
  <c r="BC79" i="10" s="1"/>
  <c r="B69" i="17"/>
  <c r="AE69" i="17"/>
  <c r="AW79" i="10" s="1"/>
  <c r="N69" i="17"/>
  <c r="BD79" i="10" s="1"/>
  <c r="R69" i="17"/>
  <c r="F69" i="17"/>
  <c r="X69" i="17"/>
  <c r="AD69" i="17"/>
  <c r="AV79" i="10" s="1"/>
  <c r="J69" i="17"/>
  <c r="U69" i="17"/>
  <c r="H69" i="17"/>
  <c r="V69" i="17"/>
  <c r="BE79" i="10" s="1"/>
  <c r="G69" i="17"/>
  <c r="E69" i="17"/>
  <c r="I69" i="17"/>
  <c r="A70" i="17"/>
  <c r="AM70" i="17"/>
  <c r="AL71" i="17"/>
  <c r="C82" i="18" l="1"/>
  <c r="D82" i="18"/>
  <c r="E82" i="18"/>
  <c r="F82" i="18"/>
  <c r="H81" i="18"/>
  <c r="I81" i="18" s="1"/>
  <c r="G81" i="18"/>
  <c r="BG78" i="10"/>
  <c r="BI78" i="10" s="1"/>
  <c r="BV78" i="10" s="1"/>
  <c r="BW78" i="10" s="1"/>
  <c r="BX78" i="10" s="1"/>
  <c r="BF79" i="10"/>
  <c r="AY79" i="10"/>
  <c r="AD70" i="17"/>
  <c r="AV80" i="10" s="1"/>
  <c r="AC70" i="17"/>
  <c r="AU80" i="10" s="1"/>
  <c r="X70" i="17"/>
  <c r="R70" i="17"/>
  <c r="N70" i="17"/>
  <c r="BD80" i="10" s="1"/>
  <c r="M70" i="17"/>
  <c r="H70" i="17"/>
  <c r="F70" i="17"/>
  <c r="Z70" i="17"/>
  <c r="BR80" i="10" s="1"/>
  <c r="J70" i="17"/>
  <c r="Y70" i="17"/>
  <c r="BP80" i="10" s="1"/>
  <c r="I70" i="17"/>
  <c r="AJ70" i="17"/>
  <c r="BQ80" i="10" s="1"/>
  <c r="AE70" i="17"/>
  <c r="AW80" i="10" s="1"/>
  <c r="W70" i="17"/>
  <c r="T70" i="17"/>
  <c r="O70" i="17"/>
  <c r="AA70" i="17"/>
  <c r="BS80" i="10" s="1"/>
  <c r="G70" i="17"/>
  <c r="D70" i="17"/>
  <c r="E70" i="17"/>
  <c r="B70" i="17"/>
  <c r="AF70" i="17"/>
  <c r="BA80" i="10" s="1"/>
  <c r="AB70" i="17"/>
  <c r="AX80" i="10" s="1"/>
  <c r="K70" i="17"/>
  <c r="C70" i="17"/>
  <c r="Q70" i="17"/>
  <c r="AI70" i="17"/>
  <c r="BC80" i="10" s="1"/>
  <c r="U70" i="17"/>
  <c r="AG70" i="17"/>
  <c r="AZ80" i="10" s="1"/>
  <c r="AH70" i="17"/>
  <c r="BB80" i="10" s="1"/>
  <c r="S70" i="17"/>
  <c r="P70" i="17"/>
  <c r="V70" i="17"/>
  <c r="BE80" i="10" s="1"/>
  <c r="L70" i="17"/>
  <c r="BG79" i="10"/>
  <c r="BI79" i="10" s="1"/>
  <c r="BV79" i="10" s="1"/>
  <c r="BW79" i="10" s="1"/>
  <c r="BX79" i="10" s="1"/>
  <c r="A71" i="17"/>
  <c r="AM71" i="17"/>
  <c r="AL72" i="17"/>
  <c r="H82" i="18" l="1"/>
  <c r="I82" i="18" s="1"/>
  <c r="G82" i="18"/>
  <c r="F83" i="18"/>
  <c r="C83" i="18"/>
  <c r="D83" i="18"/>
  <c r="E83" i="18"/>
  <c r="BF80" i="10"/>
  <c r="AY80" i="10"/>
  <c r="AI71" i="17"/>
  <c r="BC81" i="10" s="1"/>
  <c r="W71" i="17"/>
  <c r="G71" i="17"/>
  <c r="V71" i="17"/>
  <c r="BE81" i="10" s="1"/>
  <c r="F71" i="17"/>
  <c r="AJ71" i="17"/>
  <c r="BQ81" i="10" s="1"/>
  <c r="AG71" i="17"/>
  <c r="AZ81" i="10" s="1"/>
  <c r="AB71" i="17"/>
  <c r="AX81" i="10" s="1"/>
  <c r="T71" i="17"/>
  <c r="Q71" i="17"/>
  <c r="L71" i="17"/>
  <c r="X71" i="17"/>
  <c r="D71" i="17"/>
  <c r="AC71" i="17"/>
  <c r="AU81" i="10" s="1"/>
  <c r="Y71" i="17"/>
  <c r="BP81" i="10" s="1"/>
  <c r="H71" i="17"/>
  <c r="AH71" i="17"/>
  <c r="BB81" i="10" s="1"/>
  <c r="AE71" i="17"/>
  <c r="AW81" i="10" s="1"/>
  <c r="AD71" i="17"/>
  <c r="AV81" i="10" s="1"/>
  <c r="M71" i="17"/>
  <c r="I71" i="17"/>
  <c r="AF71" i="17"/>
  <c r="BA81" i="10" s="1"/>
  <c r="N71" i="17"/>
  <c r="BD81" i="10" s="1"/>
  <c r="K71" i="17"/>
  <c r="J71" i="17"/>
  <c r="E71" i="17"/>
  <c r="U71" i="17"/>
  <c r="R71" i="17"/>
  <c r="AA71" i="17"/>
  <c r="BS81" i="10" s="1"/>
  <c r="O71" i="17"/>
  <c r="B71" i="17"/>
  <c r="P71" i="17"/>
  <c r="Z71" i="17"/>
  <c r="BR81" i="10" s="1"/>
  <c r="S71" i="17"/>
  <c r="C71" i="17"/>
  <c r="A72" i="17"/>
  <c r="AM72" i="17"/>
  <c r="AL73" i="17"/>
  <c r="H83" i="18" l="1"/>
  <c r="I83" i="18" s="1"/>
  <c r="G83" i="18"/>
  <c r="C84" i="18"/>
  <c r="D84" i="18"/>
  <c r="E84" i="18"/>
  <c r="F84" i="18"/>
  <c r="BG80" i="10"/>
  <c r="BI80" i="10" s="1"/>
  <c r="BV80" i="10" s="1"/>
  <c r="BW80" i="10" s="1"/>
  <c r="BX80" i="10" s="1"/>
  <c r="AY81" i="10"/>
  <c r="BF81" i="10"/>
  <c r="AJ72" i="17"/>
  <c r="BQ82" i="10" s="1"/>
  <c r="T72" i="17"/>
  <c r="D72" i="17"/>
  <c r="AI72" i="17"/>
  <c r="BC82" i="10" s="1"/>
  <c r="S72" i="17"/>
  <c r="C72" i="17"/>
  <c r="AG72" i="17"/>
  <c r="AZ82" i="10" s="1"/>
  <c r="AD72" i="17"/>
  <c r="AV82" i="10" s="1"/>
  <c r="Y72" i="17"/>
  <c r="BP82" i="10" s="1"/>
  <c r="Q72" i="17"/>
  <c r="N72" i="17"/>
  <c r="BD82" i="10" s="1"/>
  <c r="I72" i="17"/>
  <c r="U72" i="17"/>
  <c r="Z72" i="17"/>
  <c r="BR82" i="10" s="1"/>
  <c r="V72" i="17"/>
  <c r="BE82" i="10" s="1"/>
  <c r="E72" i="17"/>
  <c r="AA72" i="17"/>
  <c r="BS82" i="10" s="1"/>
  <c r="J72" i="17"/>
  <c r="F72" i="17"/>
  <c r="K72" i="17"/>
  <c r="AH72" i="17"/>
  <c r="BB82" i="10" s="1"/>
  <c r="X72" i="17"/>
  <c r="W72" i="17"/>
  <c r="R72" i="17"/>
  <c r="H72" i="17"/>
  <c r="G72" i="17"/>
  <c r="B72" i="17"/>
  <c r="L72" i="17"/>
  <c r="P72" i="17"/>
  <c r="AE72" i="17"/>
  <c r="AW82" i="10" s="1"/>
  <c r="AB72" i="17"/>
  <c r="AX82" i="10" s="1"/>
  <c r="AF72" i="17"/>
  <c r="BA82" i="10" s="1"/>
  <c r="AC72" i="17"/>
  <c r="AU82" i="10" s="1"/>
  <c r="O72" i="17"/>
  <c r="M72" i="17"/>
  <c r="A73" i="17"/>
  <c r="AM73" i="17"/>
  <c r="AL74" i="17"/>
  <c r="C85" i="18" l="1"/>
  <c r="D85" i="18"/>
  <c r="E85" i="18"/>
  <c r="F85" i="18"/>
  <c r="H84" i="18"/>
  <c r="I84" i="18" s="1"/>
  <c r="G84" i="18"/>
  <c r="BG81" i="10"/>
  <c r="BI81" i="10" s="1"/>
  <c r="BV81" i="10" s="1"/>
  <c r="BW81" i="10" s="1"/>
  <c r="BX81" i="10" s="1"/>
  <c r="BF82" i="10"/>
  <c r="AY82" i="10"/>
  <c r="AC73" i="17"/>
  <c r="AU83" i="10" s="1"/>
  <c r="AF73" i="17"/>
  <c r="BA83" i="10" s="1"/>
  <c r="P73" i="17"/>
  <c r="AD73" i="17"/>
  <c r="AV83" i="10" s="1"/>
  <c r="AA73" i="17"/>
  <c r="BS83" i="10" s="1"/>
  <c r="V73" i="17"/>
  <c r="BE83" i="10" s="1"/>
  <c r="AH73" i="17"/>
  <c r="BB83" i="10" s="1"/>
  <c r="N73" i="17"/>
  <c r="BD83" i="10" s="1"/>
  <c r="K73" i="17"/>
  <c r="F73" i="17"/>
  <c r="AI73" i="17"/>
  <c r="BC83" i="10" s="1"/>
  <c r="R73" i="17"/>
  <c r="W73" i="17"/>
  <c r="S73" i="17"/>
  <c r="B73" i="17"/>
  <c r="X73" i="17"/>
  <c r="G73" i="17"/>
  <c r="C73" i="17"/>
  <c r="H73" i="17"/>
  <c r="AJ73" i="17"/>
  <c r="BQ83" i="10" s="1"/>
  <c r="AE73" i="17"/>
  <c r="AW83" i="10" s="1"/>
  <c r="M73" i="17"/>
  <c r="U73" i="17"/>
  <c r="T73" i="17"/>
  <c r="O73" i="17"/>
  <c r="AB73" i="17"/>
  <c r="AX83" i="10" s="1"/>
  <c r="E73" i="17"/>
  <c r="D73" i="17"/>
  <c r="Z73" i="17"/>
  <c r="BR83" i="10" s="1"/>
  <c r="Q73" i="17"/>
  <c r="L73" i="17"/>
  <c r="I73" i="17"/>
  <c r="J73" i="17"/>
  <c r="AG73" i="17"/>
  <c r="AZ83" i="10" s="1"/>
  <c r="Y73" i="17"/>
  <c r="BP83" i="10" s="1"/>
  <c r="A74" i="17"/>
  <c r="AM74" i="17"/>
  <c r="AL75" i="17"/>
  <c r="C86" i="18" l="1"/>
  <c r="F86" i="18"/>
  <c r="D86" i="18"/>
  <c r="E86" i="18"/>
  <c r="H85" i="18"/>
  <c r="I85" i="18" s="1"/>
  <c r="G85" i="18"/>
  <c r="AY83" i="10"/>
  <c r="BF83" i="10"/>
  <c r="BG82" i="10"/>
  <c r="BI82" i="10" s="1"/>
  <c r="BV82" i="10" s="1"/>
  <c r="BW82" i="10" s="1"/>
  <c r="BX82" i="10" s="1"/>
  <c r="AC74" i="17"/>
  <c r="AU84" i="10" s="1"/>
  <c r="M74" i="17"/>
  <c r="AI74" i="17"/>
  <c r="BC84" i="10" s="1"/>
  <c r="AA74" i="17"/>
  <c r="BS84" i="10" s="1"/>
  <c r="X74" i="17"/>
  <c r="S74" i="17"/>
  <c r="AE74" i="17"/>
  <c r="AW84" i="10" s="1"/>
  <c r="K74" i="17"/>
  <c r="H74" i="17"/>
  <c r="AJ74" i="17"/>
  <c r="BQ84" i="10" s="1"/>
  <c r="C74" i="17"/>
  <c r="AF74" i="17"/>
  <c r="BA84" i="10" s="1"/>
  <c r="O74" i="17"/>
  <c r="T74" i="17"/>
  <c r="P74" i="17"/>
  <c r="U74" i="17"/>
  <c r="D74" i="17"/>
  <c r="E74" i="17"/>
  <c r="AH74" i="17"/>
  <c r="BB84" i="10" s="1"/>
  <c r="AG74" i="17"/>
  <c r="AZ84" i="10" s="1"/>
  <c r="AB74" i="17"/>
  <c r="AX84" i="10" s="1"/>
  <c r="R74" i="17"/>
  <c r="Q74" i="17"/>
  <c r="L74" i="17"/>
  <c r="B74" i="17"/>
  <c r="AD74" i="17"/>
  <c r="AV84" i="10" s="1"/>
  <c r="N74" i="17"/>
  <c r="BD84" i="10" s="1"/>
  <c r="Y74" i="17"/>
  <c r="BP84" i="10" s="1"/>
  <c r="G74" i="17"/>
  <c r="V74" i="17"/>
  <c r="BE84" i="10" s="1"/>
  <c r="J74" i="17"/>
  <c r="Z74" i="17"/>
  <c r="BR84" i="10" s="1"/>
  <c r="F74" i="17"/>
  <c r="W74" i="17"/>
  <c r="I74" i="17"/>
  <c r="A75" i="17"/>
  <c r="AM75" i="17"/>
  <c r="AL76" i="17"/>
  <c r="H86" i="18" l="1"/>
  <c r="I86" i="18" s="1"/>
  <c r="D87" i="18"/>
  <c r="C87" i="18"/>
  <c r="F87" i="18"/>
  <c r="E87" i="18"/>
  <c r="G86" i="18"/>
  <c r="BG83" i="10"/>
  <c r="BI83" i="10" s="1"/>
  <c r="BV83" i="10" s="1"/>
  <c r="BW83" i="10" s="1"/>
  <c r="BX83" i="10" s="1"/>
  <c r="AY84" i="10"/>
  <c r="BF84" i="10"/>
  <c r="AF75" i="17"/>
  <c r="BA85" i="10" s="1"/>
  <c r="X75" i="17"/>
  <c r="U75" i="17"/>
  <c r="P75" i="17"/>
  <c r="AB75" i="17"/>
  <c r="AX85" i="10" s="1"/>
  <c r="H75" i="17"/>
  <c r="E75" i="17"/>
  <c r="AG75" i="17"/>
  <c r="AZ85" i="10" s="1"/>
  <c r="AC75" i="17"/>
  <c r="AU85" i="10" s="1"/>
  <c r="L75" i="17"/>
  <c r="AH75" i="17"/>
  <c r="BB85" i="10" s="1"/>
  <c r="Q75" i="17"/>
  <c r="M75" i="17"/>
  <c r="R75" i="17"/>
  <c r="B75" i="17"/>
  <c r="AE75" i="17"/>
  <c r="AW85" i="10" s="1"/>
  <c r="AD75" i="17"/>
  <c r="AV85" i="10" s="1"/>
  <c r="Y75" i="17"/>
  <c r="BP85" i="10" s="1"/>
  <c r="O75" i="17"/>
  <c r="N75" i="17"/>
  <c r="BD85" i="10" s="1"/>
  <c r="I75" i="17"/>
  <c r="G75" i="17"/>
  <c r="V75" i="17"/>
  <c r="BE85" i="10" s="1"/>
  <c r="S75" i="17"/>
  <c r="AA75" i="17"/>
  <c r="BS85" i="10" s="1"/>
  <c r="K75" i="17"/>
  <c r="AI75" i="17"/>
  <c r="BC85" i="10" s="1"/>
  <c r="J75" i="17"/>
  <c r="W75" i="17"/>
  <c r="C75" i="17"/>
  <c r="D75" i="17"/>
  <c r="AJ75" i="17"/>
  <c r="BQ85" i="10" s="1"/>
  <c r="Z75" i="17"/>
  <c r="BR85" i="10" s="1"/>
  <c r="F75" i="17"/>
  <c r="T75" i="17"/>
  <c r="A76" i="17"/>
  <c r="AM76" i="17"/>
  <c r="AL77" i="17"/>
  <c r="G87" i="18" l="1"/>
  <c r="C88" i="18"/>
  <c r="D88" i="18"/>
  <c r="E88" i="18"/>
  <c r="F88" i="18"/>
  <c r="H87" i="18"/>
  <c r="I87" i="18" s="1"/>
  <c r="BG84" i="10"/>
  <c r="BI84" i="10" s="1"/>
  <c r="BV84" i="10" s="1"/>
  <c r="BW84" i="10" s="1"/>
  <c r="BX84" i="10" s="1"/>
  <c r="AY85" i="10"/>
  <c r="BF85" i="10"/>
  <c r="AD76" i="17"/>
  <c r="AV86" i="10" s="1"/>
  <c r="Z76" i="17"/>
  <c r="BR86" i="10" s="1"/>
  <c r="I76" i="17"/>
  <c r="AE76" i="17"/>
  <c r="AW86" i="10" s="1"/>
  <c r="N76" i="17"/>
  <c r="BD86" i="10" s="1"/>
  <c r="J76" i="17"/>
  <c r="O76" i="17"/>
  <c r="AB76" i="17"/>
  <c r="AX86" i="10" s="1"/>
  <c r="AA76" i="17"/>
  <c r="BS86" i="10" s="1"/>
  <c r="V76" i="17"/>
  <c r="BE86" i="10" s="1"/>
  <c r="L76" i="17"/>
  <c r="K76" i="17"/>
  <c r="F76" i="17"/>
  <c r="AJ76" i="17"/>
  <c r="BQ86" i="10" s="1"/>
  <c r="X76" i="17"/>
  <c r="H76" i="17"/>
  <c r="W76" i="17"/>
  <c r="G76" i="17"/>
  <c r="AH76" i="17"/>
  <c r="BB86" i="10" s="1"/>
  <c r="M76" i="17"/>
  <c r="Y76" i="17"/>
  <c r="BP86" i="10" s="1"/>
  <c r="E76" i="17"/>
  <c r="B76" i="17"/>
  <c r="AF76" i="17"/>
  <c r="BA86" i="10" s="1"/>
  <c r="S76" i="17"/>
  <c r="AG76" i="17"/>
  <c r="AZ86" i="10" s="1"/>
  <c r="U76" i="17"/>
  <c r="P76" i="17"/>
  <c r="R76" i="17"/>
  <c r="T76" i="17"/>
  <c r="D76" i="17"/>
  <c r="Q76" i="17"/>
  <c r="C76" i="17"/>
  <c r="AI76" i="17"/>
  <c r="BC86" i="10" s="1"/>
  <c r="AC76" i="17"/>
  <c r="AU86" i="10" s="1"/>
  <c r="BG85" i="10"/>
  <c r="BI85" i="10" s="1"/>
  <c r="BV85" i="10" s="1"/>
  <c r="BW85" i="10" s="1"/>
  <c r="BX85" i="10" s="1"/>
  <c r="A77" i="17"/>
  <c r="AM77" i="17"/>
  <c r="AL78" i="17"/>
  <c r="C89" i="18" l="1"/>
  <c r="D89" i="18"/>
  <c r="F89" i="18"/>
  <c r="E89" i="18"/>
  <c r="H88" i="18"/>
  <c r="I88" i="18" s="1"/>
  <c r="G88" i="18"/>
  <c r="BF86" i="10"/>
  <c r="AY86" i="10"/>
  <c r="L77" i="17"/>
  <c r="AI77" i="17"/>
  <c r="BC87" i="10" s="1"/>
  <c r="Y77" i="17"/>
  <c r="BP87" i="10" s="1"/>
  <c r="X77" i="17"/>
  <c r="S77" i="17"/>
  <c r="I77" i="17"/>
  <c r="H77" i="17"/>
  <c r="C77" i="17"/>
  <c r="U77" i="17"/>
  <c r="E77" i="17"/>
  <c r="P77" i="17"/>
  <c r="M77" i="17"/>
  <c r="AJ77" i="17"/>
  <c r="BQ87" i="10" s="1"/>
  <c r="N77" i="17"/>
  <c r="BD87" i="10" s="1"/>
  <c r="T77" i="17"/>
  <c r="D77" i="17"/>
  <c r="AH77" i="17"/>
  <c r="BB87" i="10" s="1"/>
  <c r="AE77" i="17"/>
  <c r="AW87" i="10" s="1"/>
  <c r="Z77" i="17"/>
  <c r="BR87" i="10" s="1"/>
  <c r="R77" i="17"/>
  <c r="O77" i="17"/>
  <c r="AC77" i="17"/>
  <c r="AU87" i="10" s="1"/>
  <c r="J77" i="17"/>
  <c r="V77" i="17"/>
  <c r="BE87" i="10" s="1"/>
  <c r="B77" i="17"/>
  <c r="AB77" i="17"/>
  <c r="AX87" i="10" s="1"/>
  <c r="K77" i="17"/>
  <c r="G77" i="17"/>
  <c r="Q77" i="17"/>
  <c r="F77" i="17"/>
  <c r="AA77" i="17"/>
  <c r="BS87" i="10" s="1"/>
  <c r="AF77" i="17"/>
  <c r="BA87" i="10" s="1"/>
  <c r="W77" i="17"/>
  <c r="AD77" i="17"/>
  <c r="AV87" i="10" s="1"/>
  <c r="AG77" i="17"/>
  <c r="AZ87" i="10" s="1"/>
  <c r="A78" i="17"/>
  <c r="AM78" i="17"/>
  <c r="AL79" i="17"/>
  <c r="BG86" i="10" l="1"/>
  <c r="BI86" i="10" s="1"/>
  <c r="BV86" i="10" s="1"/>
  <c r="BW86" i="10" s="1"/>
  <c r="BX86" i="10" s="1"/>
  <c r="E90" i="18"/>
  <c r="C90" i="18"/>
  <c r="D90" i="18"/>
  <c r="F90" i="18"/>
  <c r="H89" i="18"/>
  <c r="I89" i="18" s="1"/>
  <c r="G89" i="18"/>
  <c r="BF87" i="10"/>
  <c r="AY87" i="10"/>
  <c r="F78" i="17"/>
  <c r="E78" i="17"/>
  <c r="AH78" i="17"/>
  <c r="BB88" i="10" s="1"/>
  <c r="R78" i="17"/>
  <c r="B78" i="17"/>
  <c r="AD78" i="17"/>
  <c r="AV88" i="10" s="1"/>
  <c r="AG78" i="17"/>
  <c r="AZ88" i="10" s="1"/>
  <c r="Q78" i="17"/>
  <c r="AE78" i="17"/>
  <c r="AW88" i="10" s="1"/>
  <c r="AB78" i="17"/>
  <c r="AX88" i="10" s="1"/>
  <c r="W78" i="17"/>
  <c r="AI78" i="17"/>
  <c r="BC88" i="10" s="1"/>
  <c r="O78" i="17"/>
  <c r="L78" i="17"/>
  <c r="G78" i="17"/>
  <c r="AJ78" i="17"/>
  <c r="BQ88" i="10" s="1"/>
  <c r="S78" i="17"/>
  <c r="X78" i="17"/>
  <c r="T78" i="17"/>
  <c r="C78" i="17"/>
  <c r="Y78" i="17"/>
  <c r="BP88" i="10" s="1"/>
  <c r="H78" i="17"/>
  <c r="D78" i="17"/>
  <c r="V78" i="17"/>
  <c r="BE88" i="10" s="1"/>
  <c r="U78" i="17"/>
  <c r="P78" i="17"/>
  <c r="Z78" i="17"/>
  <c r="BR88" i="10" s="1"/>
  <c r="M78" i="17"/>
  <c r="AA78" i="17"/>
  <c r="BS88" i="10" s="1"/>
  <c r="J78" i="17"/>
  <c r="I78" i="17"/>
  <c r="N78" i="17"/>
  <c r="BD88" i="10" s="1"/>
  <c r="K78" i="17"/>
  <c r="AC78" i="17"/>
  <c r="AU88" i="10" s="1"/>
  <c r="AF78" i="17"/>
  <c r="BA88" i="10" s="1"/>
  <c r="A79" i="17"/>
  <c r="AM79" i="17"/>
  <c r="AL80" i="17"/>
  <c r="G90" i="18" l="1"/>
  <c r="F91" i="18"/>
  <c r="D91" i="18"/>
  <c r="C91" i="18"/>
  <c r="E91" i="18"/>
  <c r="H90" i="18"/>
  <c r="I90" i="18" s="1"/>
  <c r="BG87" i="10"/>
  <c r="BI87" i="10" s="1"/>
  <c r="BV87" i="10" s="1"/>
  <c r="BW87" i="10" s="1"/>
  <c r="BX87" i="10" s="1"/>
  <c r="BF88" i="10"/>
  <c r="AY88" i="10"/>
  <c r="AE79" i="17"/>
  <c r="AW89" i="10" s="1"/>
  <c r="O79" i="17"/>
  <c r="AD79" i="17"/>
  <c r="AV89" i="10" s="1"/>
  <c r="N79" i="17"/>
  <c r="BD89" i="10" s="1"/>
  <c r="AJ79" i="17"/>
  <c r="BQ89" i="10" s="1"/>
  <c r="AB79" i="17"/>
  <c r="AX89" i="10" s="1"/>
  <c r="Y79" i="17"/>
  <c r="BP89" i="10" s="1"/>
  <c r="J79" i="17"/>
  <c r="G79" i="17"/>
  <c r="T79" i="17"/>
  <c r="AF79" i="17"/>
  <c r="BA89" i="10" s="1"/>
  <c r="L79" i="17"/>
  <c r="I79" i="17"/>
  <c r="H79" i="17"/>
  <c r="D79" i="17"/>
  <c r="AG79" i="17"/>
  <c r="AZ89" i="10" s="1"/>
  <c r="P79" i="17"/>
  <c r="U79" i="17"/>
  <c r="Q79" i="17"/>
  <c r="V79" i="17"/>
  <c r="BE89" i="10" s="1"/>
  <c r="E79" i="17"/>
  <c r="W79" i="17"/>
  <c r="F79" i="17"/>
  <c r="AI79" i="17"/>
  <c r="BC89" i="10" s="1"/>
  <c r="AH79" i="17"/>
  <c r="BB89" i="10" s="1"/>
  <c r="AC79" i="17"/>
  <c r="AU89" i="10" s="1"/>
  <c r="S79" i="17"/>
  <c r="R79" i="17"/>
  <c r="M79" i="17"/>
  <c r="K79" i="17"/>
  <c r="C79" i="17"/>
  <c r="B79" i="17"/>
  <c r="Z79" i="17"/>
  <c r="BR89" i="10" s="1"/>
  <c r="X79" i="17"/>
  <c r="AA79" i="17"/>
  <c r="BS89" i="10" s="1"/>
  <c r="A80" i="17"/>
  <c r="AM80" i="17"/>
  <c r="AL81" i="17"/>
  <c r="H91" i="18" l="1"/>
  <c r="I91" i="18" s="1"/>
  <c r="G91" i="18"/>
  <c r="C92" i="18"/>
  <c r="D92" i="18"/>
  <c r="E92" i="18"/>
  <c r="F92" i="18"/>
  <c r="BG88" i="10"/>
  <c r="BI88" i="10" s="1"/>
  <c r="BV88" i="10" s="1"/>
  <c r="BW88" i="10" s="1"/>
  <c r="BX88" i="10" s="1"/>
  <c r="AY89" i="10"/>
  <c r="BF89" i="10"/>
  <c r="L80" i="17"/>
  <c r="AA80" i="17"/>
  <c r="BS90" i="10" s="1"/>
  <c r="K80" i="17"/>
  <c r="AG80" i="17"/>
  <c r="AZ90" i="10" s="1"/>
  <c r="Y80" i="17"/>
  <c r="BP90" i="10" s="1"/>
  <c r="V80" i="17"/>
  <c r="BE90" i="10" s="1"/>
  <c r="X80" i="17"/>
  <c r="Q80" i="17"/>
  <c r="AC80" i="17"/>
  <c r="AU90" i="10" s="1"/>
  <c r="I80" i="17"/>
  <c r="F80" i="17"/>
  <c r="AJ80" i="17"/>
  <c r="BQ90" i="10" s="1"/>
  <c r="AH80" i="17"/>
  <c r="BB90" i="10" s="1"/>
  <c r="AD80" i="17"/>
  <c r="AV90" i="10" s="1"/>
  <c r="M80" i="17"/>
  <c r="AI80" i="17"/>
  <c r="BC90" i="10" s="1"/>
  <c r="R80" i="17"/>
  <c r="N80" i="17"/>
  <c r="BD90" i="10" s="1"/>
  <c r="S80" i="17"/>
  <c r="B80" i="17"/>
  <c r="C80" i="17"/>
  <c r="AF80" i="17"/>
  <c r="BA90" i="10" s="1"/>
  <c r="AE80" i="17"/>
  <c r="AW90" i="10" s="1"/>
  <c r="Z80" i="17"/>
  <c r="BR90" i="10" s="1"/>
  <c r="P80" i="17"/>
  <c r="O80" i="17"/>
  <c r="J80" i="17"/>
  <c r="AB80" i="17"/>
  <c r="AX90" i="10" s="1"/>
  <c r="U80" i="17"/>
  <c r="D80" i="17"/>
  <c r="H80" i="17"/>
  <c r="E80" i="17"/>
  <c r="W80" i="17"/>
  <c r="T80" i="17"/>
  <c r="G80" i="17"/>
  <c r="A81" i="17"/>
  <c r="AM81" i="17"/>
  <c r="AL82" i="17"/>
  <c r="H92" i="18" l="1"/>
  <c r="I92" i="18" s="1"/>
  <c r="C93" i="18"/>
  <c r="D93" i="18"/>
  <c r="E93" i="18"/>
  <c r="F93" i="18"/>
  <c r="G92" i="18"/>
  <c r="BG89" i="10"/>
  <c r="BI89" i="10" s="1"/>
  <c r="BV89" i="10" s="1"/>
  <c r="BW89" i="10" s="1"/>
  <c r="BX89" i="10" s="1"/>
  <c r="AY90" i="10"/>
  <c r="BF90" i="10"/>
  <c r="X81" i="17"/>
  <c r="H81" i="17"/>
  <c r="AI81" i="17"/>
  <c r="BC91" i="10" s="1"/>
  <c r="AD81" i="17"/>
  <c r="AV91" i="10" s="1"/>
  <c r="V81" i="17"/>
  <c r="BE91" i="10" s="1"/>
  <c r="S81" i="17"/>
  <c r="N81" i="17"/>
  <c r="BD91" i="10" s="1"/>
  <c r="Z81" i="17"/>
  <c r="BR91" i="10" s="1"/>
  <c r="F81" i="17"/>
  <c r="C81" i="17"/>
  <c r="AE81" i="17"/>
  <c r="AW91" i="10" s="1"/>
  <c r="AA81" i="17"/>
  <c r="BS91" i="10" s="1"/>
  <c r="J81" i="17"/>
  <c r="AF81" i="17"/>
  <c r="BA91" i="10" s="1"/>
  <c r="O81" i="17"/>
  <c r="K81" i="17"/>
  <c r="D81" i="17"/>
  <c r="P81" i="17"/>
  <c r="B81" i="17"/>
  <c r="AC81" i="17"/>
  <c r="AU91" i="10" s="1"/>
  <c r="AB81" i="17"/>
  <c r="AX91" i="10" s="1"/>
  <c r="W81" i="17"/>
  <c r="M81" i="17"/>
  <c r="L81" i="17"/>
  <c r="G81" i="17"/>
  <c r="Q81" i="17"/>
  <c r="E81" i="17"/>
  <c r="Y81" i="17"/>
  <c r="BP91" i="10" s="1"/>
  <c r="AG81" i="17"/>
  <c r="AZ91" i="10" s="1"/>
  <c r="I81" i="17"/>
  <c r="AH81" i="17"/>
  <c r="BB91" i="10" s="1"/>
  <c r="T81" i="17"/>
  <c r="R81" i="17"/>
  <c r="U81" i="17"/>
  <c r="AJ81" i="17"/>
  <c r="BQ91" i="10" s="1"/>
  <c r="A82" i="17"/>
  <c r="AM82" i="17"/>
  <c r="AL83" i="17"/>
  <c r="H93" i="18" l="1"/>
  <c r="I93" i="18" s="1"/>
  <c r="G93" i="18"/>
  <c r="E94" i="18"/>
  <c r="F94" i="18"/>
  <c r="C94" i="18"/>
  <c r="D94" i="18"/>
  <c r="BG90" i="10"/>
  <c r="BI90" i="10" s="1"/>
  <c r="BV90" i="10" s="1"/>
  <c r="BW90" i="10" s="1"/>
  <c r="BX90" i="10" s="1"/>
  <c r="BF91" i="10"/>
  <c r="AY91" i="10"/>
  <c r="E82" i="17"/>
  <c r="AI82" i="17"/>
  <c r="BC92" i="10" s="1"/>
  <c r="AF82" i="17"/>
  <c r="BA92" i="10" s="1"/>
  <c r="AA82" i="17"/>
  <c r="BS92" i="10" s="1"/>
  <c r="S82" i="17"/>
  <c r="P82" i="17"/>
  <c r="K82" i="17"/>
  <c r="W82" i="17"/>
  <c r="C82" i="17"/>
  <c r="AB82" i="17"/>
  <c r="AX92" i="10" s="1"/>
  <c r="X82" i="17"/>
  <c r="G82" i="17"/>
  <c r="AC82" i="17"/>
  <c r="AU92" i="10" s="1"/>
  <c r="L82" i="17"/>
  <c r="H82" i="17"/>
  <c r="R82" i="17"/>
  <c r="M82" i="17"/>
  <c r="AJ82" i="17"/>
  <c r="BQ92" i="10" s="1"/>
  <c r="AG82" i="17"/>
  <c r="AZ92" i="10" s="1"/>
  <c r="AD82" i="17"/>
  <c r="AV92" i="10" s="1"/>
  <c r="Z82" i="17"/>
  <c r="BR92" i="10" s="1"/>
  <c r="Y82" i="17"/>
  <c r="BP92" i="10" s="1"/>
  <c r="T82" i="17"/>
  <c r="AE82" i="17"/>
  <c r="AW92" i="10" s="1"/>
  <c r="J82" i="17"/>
  <c r="I82" i="17"/>
  <c r="D82" i="17"/>
  <c r="V82" i="17"/>
  <c r="BE92" i="10" s="1"/>
  <c r="AH82" i="17"/>
  <c r="BB92" i="10" s="1"/>
  <c r="F82" i="17"/>
  <c r="U82" i="17"/>
  <c r="B82" i="17"/>
  <c r="Q82" i="17"/>
  <c r="N82" i="17"/>
  <c r="BD92" i="10" s="1"/>
  <c r="O82" i="17"/>
  <c r="A83" i="17"/>
  <c r="AM83" i="17"/>
  <c r="AL84" i="17"/>
  <c r="D6" i="18" l="1"/>
  <c r="D7" i="18"/>
  <c r="D8" i="18"/>
  <c r="H94" i="18"/>
  <c r="C8" i="18"/>
  <c r="C7" i="18"/>
  <c r="G94" i="18"/>
  <c r="C6" i="18"/>
  <c r="F6" i="18"/>
  <c r="F8" i="18"/>
  <c r="F7" i="18"/>
  <c r="E6" i="18"/>
  <c r="E8" i="18"/>
  <c r="E7" i="18"/>
  <c r="E95" i="18"/>
  <c r="D95" i="18"/>
  <c r="F95" i="18"/>
  <c r="C95" i="18"/>
  <c r="BG91" i="10"/>
  <c r="BI91" i="10" s="1"/>
  <c r="BV91" i="10" s="1"/>
  <c r="BW91" i="10" s="1"/>
  <c r="BX91" i="10" s="1"/>
  <c r="AY92" i="10"/>
  <c r="BF92" i="10"/>
  <c r="H83" i="17"/>
  <c r="T83" i="17"/>
  <c r="Y83" i="17"/>
  <c r="BP93" i="10" s="1"/>
  <c r="U83" i="17"/>
  <c r="D83" i="17"/>
  <c r="Z83" i="17"/>
  <c r="BR93" i="10" s="1"/>
  <c r="I83" i="17"/>
  <c r="E83" i="17"/>
  <c r="J83" i="17"/>
  <c r="AG83" i="17"/>
  <c r="AZ93" i="10" s="1"/>
  <c r="W83" i="17"/>
  <c r="V83" i="17"/>
  <c r="BE93" i="10" s="1"/>
  <c r="Q83" i="17"/>
  <c r="G83" i="17"/>
  <c r="F83" i="17"/>
  <c r="AI83" i="17"/>
  <c r="BC93" i="10" s="1"/>
  <c r="S83" i="17"/>
  <c r="K83" i="17"/>
  <c r="C83" i="17"/>
  <c r="AH83" i="17"/>
  <c r="BB93" i="10" s="1"/>
  <c r="R83" i="17"/>
  <c r="X83" i="17"/>
  <c r="AJ83" i="17"/>
  <c r="BQ93" i="10" s="1"/>
  <c r="P83" i="17"/>
  <c r="M83" i="17"/>
  <c r="AA83" i="17"/>
  <c r="BS93" i="10" s="1"/>
  <c r="AF83" i="17"/>
  <c r="BA93" i="10" s="1"/>
  <c r="L83" i="17"/>
  <c r="AE83" i="17"/>
  <c r="AW93" i="10" s="1"/>
  <c r="AC83" i="17"/>
  <c r="AU93" i="10" s="1"/>
  <c r="AB83" i="17"/>
  <c r="AX93" i="10" s="1"/>
  <c r="N83" i="17"/>
  <c r="BD93" i="10" s="1"/>
  <c r="B83" i="17"/>
  <c r="AD83" i="17"/>
  <c r="AV93" i="10" s="1"/>
  <c r="O83" i="17"/>
  <c r="A84" i="17"/>
  <c r="AM84" i="17"/>
  <c r="AL85" i="17"/>
  <c r="C96" i="18" l="1"/>
  <c r="D96" i="18"/>
  <c r="E96" i="18"/>
  <c r="F96" i="18"/>
  <c r="G6" i="18"/>
  <c r="G7" i="18"/>
  <c r="G8" i="18"/>
  <c r="I94" i="18"/>
  <c r="H7" i="18"/>
  <c r="H6" i="18"/>
  <c r="H8" i="18"/>
  <c r="I5" i="18"/>
  <c r="G95" i="18"/>
  <c r="H95" i="18"/>
  <c r="I95" i="18" s="1"/>
  <c r="BG92" i="10"/>
  <c r="BI92" i="10" s="1"/>
  <c r="BV92" i="10" s="1"/>
  <c r="BW92" i="10" s="1"/>
  <c r="BX92" i="10" s="1"/>
  <c r="AY93" i="10"/>
  <c r="BF93" i="10"/>
  <c r="W84" i="17"/>
  <c r="F84" i="17"/>
  <c r="B84" i="17"/>
  <c r="G84" i="17"/>
  <c r="AJ84" i="17"/>
  <c r="BQ94" i="10" s="1"/>
  <c r="AI84" i="17"/>
  <c r="BC94" i="10" s="1"/>
  <c r="AD84" i="17"/>
  <c r="AV94" i="10" s="1"/>
  <c r="T84" i="17"/>
  <c r="S84" i="17"/>
  <c r="N84" i="17"/>
  <c r="BD94" i="10" s="1"/>
  <c r="D84" i="17"/>
  <c r="C84" i="17"/>
  <c r="L84" i="17"/>
  <c r="AA84" i="17"/>
  <c r="BS94" i="10" s="1"/>
  <c r="X84" i="17"/>
  <c r="Y84" i="17"/>
  <c r="BP94" i="10" s="1"/>
  <c r="AF84" i="17"/>
  <c r="BA94" i="10" s="1"/>
  <c r="P84" i="17"/>
  <c r="AE84" i="17"/>
  <c r="AW94" i="10" s="1"/>
  <c r="AB84" i="17"/>
  <c r="AX94" i="10" s="1"/>
  <c r="O84" i="17"/>
  <c r="AC84" i="17"/>
  <c r="AU94" i="10" s="1"/>
  <c r="Z84" i="17"/>
  <c r="BR94" i="10" s="1"/>
  <c r="U84" i="17"/>
  <c r="AG84" i="17"/>
  <c r="AZ94" i="10" s="1"/>
  <c r="M84" i="17"/>
  <c r="J84" i="17"/>
  <c r="V84" i="17"/>
  <c r="BE94" i="10" s="1"/>
  <c r="R84" i="17"/>
  <c r="Q84" i="17"/>
  <c r="K84" i="17"/>
  <c r="AH84" i="17"/>
  <c r="BB94" i="10" s="1"/>
  <c r="H84" i="17"/>
  <c r="E84" i="17"/>
  <c r="I84" i="17"/>
  <c r="A85" i="17"/>
  <c r="AM85" i="17"/>
  <c r="AL86" i="17"/>
  <c r="BG93" i="10" l="1"/>
  <c r="BI93" i="10" s="1"/>
  <c r="BV93" i="10" s="1"/>
  <c r="BW93" i="10" s="1"/>
  <c r="BX93" i="10" s="1"/>
  <c r="I6" i="18"/>
  <c r="I7" i="18"/>
  <c r="I8" i="18"/>
  <c r="C97" i="18"/>
  <c r="F97" i="18"/>
  <c r="D97" i="18"/>
  <c r="E97" i="18"/>
  <c r="H96" i="18"/>
  <c r="I96" i="18" s="1"/>
  <c r="G96" i="18"/>
  <c r="BF94" i="10"/>
  <c r="AY94" i="10"/>
  <c r="Q85" i="17"/>
  <c r="P85" i="17"/>
  <c r="K85" i="17"/>
  <c r="AC85" i="17"/>
  <c r="AU95" i="10" s="1"/>
  <c r="M85" i="17"/>
  <c r="AB85" i="17"/>
  <c r="AX95" i="10" s="1"/>
  <c r="E85" i="17"/>
  <c r="L85" i="17"/>
  <c r="AH85" i="17"/>
  <c r="BB95" i="10" s="1"/>
  <c r="Z85" i="17"/>
  <c r="BR95" i="10" s="1"/>
  <c r="W85" i="17"/>
  <c r="R85" i="17"/>
  <c r="AD85" i="17"/>
  <c r="AV95" i="10" s="1"/>
  <c r="J85" i="17"/>
  <c r="G85" i="17"/>
  <c r="AI85" i="17"/>
  <c r="BC95" i="10" s="1"/>
  <c r="B85" i="17"/>
  <c r="AE85" i="17"/>
  <c r="AW95" i="10" s="1"/>
  <c r="N85" i="17"/>
  <c r="BD95" i="10" s="1"/>
  <c r="AJ85" i="17"/>
  <c r="BQ95" i="10" s="1"/>
  <c r="S85" i="17"/>
  <c r="O85" i="17"/>
  <c r="D85" i="17"/>
  <c r="AG85" i="17"/>
  <c r="AZ95" i="10" s="1"/>
  <c r="AF85" i="17"/>
  <c r="BA95" i="10" s="1"/>
  <c r="AA85" i="17"/>
  <c r="BS95" i="10" s="1"/>
  <c r="U85" i="17"/>
  <c r="T85" i="17"/>
  <c r="Y85" i="17"/>
  <c r="BP95" i="10" s="1"/>
  <c r="F85" i="17"/>
  <c r="V85" i="17"/>
  <c r="BE95" i="10" s="1"/>
  <c r="H85" i="17"/>
  <c r="C85" i="17"/>
  <c r="X85" i="17"/>
  <c r="I85" i="17"/>
  <c r="A86" i="17"/>
  <c r="AM86" i="17"/>
  <c r="AL87" i="17"/>
  <c r="H97" i="18" l="1"/>
  <c r="I97" i="18" s="1"/>
  <c r="F98" i="18"/>
  <c r="C98" i="18"/>
  <c r="D98" i="18"/>
  <c r="E98" i="18"/>
  <c r="G97" i="18"/>
  <c r="BF95" i="10"/>
  <c r="AY95" i="10"/>
  <c r="BG94" i="10"/>
  <c r="BI94" i="10" s="1"/>
  <c r="BV94" i="10" s="1"/>
  <c r="BW94" i="10" s="1"/>
  <c r="BX94" i="10" s="1"/>
  <c r="Z86" i="17"/>
  <c r="BR96" i="10" s="1"/>
  <c r="F86" i="17"/>
  <c r="J86" i="17"/>
  <c r="U86" i="17"/>
  <c r="R86" i="17"/>
  <c r="S86" i="17"/>
  <c r="Y86" i="17"/>
  <c r="BP96" i="10" s="1"/>
  <c r="I86" i="17"/>
  <c r="AJ86" i="17"/>
  <c r="BQ96" i="10" s="1"/>
  <c r="AH86" i="17"/>
  <c r="BB96" i="10" s="1"/>
  <c r="AE86" i="17"/>
  <c r="AW96" i="10" s="1"/>
  <c r="W86" i="17"/>
  <c r="T86" i="17"/>
  <c r="O86" i="17"/>
  <c r="AA86" i="17"/>
  <c r="BS96" i="10" s="1"/>
  <c r="G86" i="17"/>
  <c r="D86" i="17"/>
  <c r="V86" i="17"/>
  <c r="BE96" i="10" s="1"/>
  <c r="AF86" i="17"/>
  <c r="BA96" i="10" s="1"/>
  <c r="AB86" i="17"/>
  <c r="AX96" i="10" s="1"/>
  <c r="K86" i="17"/>
  <c r="AG86" i="17"/>
  <c r="AZ96" i="10" s="1"/>
  <c r="P86" i="17"/>
  <c r="L86" i="17"/>
  <c r="Q86" i="17"/>
  <c r="AD86" i="17"/>
  <c r="AV96" i="10" s="1"/>
  <c r="AC86" i="17"/>
  <c r="AU96" i="10" s="1"/>
  <c r="X86" i="17"/>
  <c r="N86" i="17"/>
  <c r="BD96" i="10" s="1"/>
  <c r="M86" i="17"/>
  <c r="E86" i="17"/>
  <c r="B86" i="17"/>
  <c r="C86" i="17"/>
  <c r="H86" i="17"/>
  <c r="AI86" i="17"/>
  <c r="BC96" i="10" s="1"/>
  <c r="A87" i="17"/>
  <c r="AM87" i="17"/>
  <c r="AL88" i="17"/>
  <c r="G98" i="18" l="1"/>
  <c r="E99" i="18"/>
  <c r="C99" i="18"/>
  <c r="D99" i="18"/>
  <c r="F99" i="18"/>
  <c r="H98" i="18"/>
  <c r="I98" i="18" s="1"/>
  <c r="AY96" i="10"/>
  <c r="BF96" i="10"/>
  <c r="BG95" i="10"/>
  <c r="BI95" i="10" s="1"/>
  <c r="BV95" i="10" s="1"/>
  <c r="BW95" i="10" s="1"/>
  <c r="BX95" i="10" s="1"/>
  <c r="W87" i="17"/>
  <c r="G87" i="17"/>
  <c r="AI87" i="17"/>
  <c r="BC97" i="10" s="1"/>
  <c r="V87" i="17"/>
  <c r="BE97" i="10" s="1"/>
  <c r="F87" i="17"/>
  <c r="AJ87" i="17"/>
  <c r="BQ97" i="10" s="1"/>
  <c r="AG87" i="17"/>
  <c r="AZ97" i="10" s="1"/>
  <c r="AB87" i="17"/>
  <c r="AX97" i="10" s="1"/>
  <c r="T87" i="17"/>
  <c r="Q87" i="17"/>
  <c r="L87" i="17"/>
  <c r="X87" i="17"/>
  <c r="D87" i="17"/>
  <c r="AC87" i="17"/>
  <c r="AU97" i="10" s="1"/>
  <c r="Y87" i="17"/>
  <c r="BP97" i="10" s="1"/>
  <c r="H87" i="17"/>
  <c r="AD87" i="17"/>
  <c r="AV97" i="10" s="1"/>
  <c r="M87" i="17"/>
  <c r="I87" i="17"/>
  <c r="N87" i="17"/>
  <c r="BD97" i="10" s="1"/>
  <c r="AA87" i="17"/>
  <c r="BS97" i="10" s="1"/>
  <c r="Z87" i="17"/>
  <c r="BR97" i="10" s="1"/>
  <c r="U87" i="17"/>
  <c r="K87" i="17"/>
  <c r="J87" i="17"/>
  <c r="E87" i="17"/>
  <c r="C87" i="17"/>
  <c r="S87" i="17"/>
  <c r="P87" i="17"/>
  <c r="B87" i="17"/>
  <c r="AH87" i="17"/>
  <c r="BB97" i="10" s="1"/>
  <c r="AE87" i="17"/>
  <c r="AW97" i="10" s="1"/>
  <c r="R87" i="17"/>
  <c r="AF87" i="17"/>
  <c r="BA97" i="10" s="1"/>
  <c r="O87" i="17"/>
  <c r="A88" i="17"/>
  <c r="AM88" i="17"/>
  <c r="AL89" i="17"/>
  <c r="AL90" i="17" s="1"/>
  <c r="G99" i="18" l="1"/>
  <c r="A90" i="17"/>
  <c r="AM90" i="17"/>
  <c r="BG96" i="10"/>
  <c r="BI96" i="10" s="1"/>
  <c r="BV96" i="10" s="1"/>
  <c r="BW96" i="10" s="1"/>
  <c r="BX96" i="10" s="1"/>
  <c r="H99" i="18"/>
  <c r="I99" i="18" s="1"/>
  <c r="C100" i="18"/>
  <c r="D100" i="18"/>
  <c r="E100" i="18"/>
  <c r="F100" i="18"/>
  <c r="BF97" i="10"/>
  <c r="AY97" i="10"/>
  <c r="AI88" i="17"/>
  <c r="BC98" i="10" s="1"/>
  <c r="S88" i="17"/>
  <c r="O88" i="17"/>
  <c r="L88" i="17"/>
  <c r="C88" i="17"/>
  <c r="AG88" i="17"/>
  <c r="AZ98" i="10" s="1"/>
  <c r="AD88" i="17"/>
  <c r="AV98" i="10" s="1"/>
  <c r="M88" i="17"/>
  <c r="Y88" i="17"/>
  <c r="BP98" i="10" s="1"/>
  <c r="Q88" i="17"/>
  <c r="N88" i="17"/>
  <c r="BD98" i="10" s="1"/>
  <c r="I88" i="17"/>
  <c r="U88" i="17"/>
  <c r="Z88" i="17"/>
  <c r="BR98" i="10" s="1"/>
  <c r="V88" i="17"/>
  <c r="BE98" i="10" s="1"/>
  <c r="E88" i="17"/>
  <c r="AB88" i="17"/>
  <c r="AX98" i="10" s="1"/>
  <c r="AA88" i="17"/>
  <c r="BS98" i="10" s="1"/>
  <c r="J88" i="17"/>
  <c r="F88" i="17"/>
  <c r="K88" i="17"/>
  <c r="AH88" i="17"/>
  <c r="BB98" i="10" s="1"/>
  <c r="P88" i="17"/>
  <c r="X88" i="17"/>
  <c r="W88" i="17"/>
  <c r="R88" i="17"/>
  <c r="H88" i="17"/>
  <c r="G88" i="17"/>
  <c r="B88" i="17"/>
  <c r="AJ88" i="17"/>
  <c r="BQ98" i="10" s="1"/>
  <c r="D88" i="17"/>
  <c r="AC88" i="17"/>
  <c r="AU98" i="10" s="1"/>
  <c r="T88" i="17"/>
  <c r="AF88" i="17"/>
  <c r="BA98" i="10" s="1"/>
  <c r="AE88" i="17"/>
  <c r="AW98" i="10" s="1"/>
  <c r="A89" i="17"/>
  <c r="AM89" i="17"/>
  <c r="F90" i="17" l="1"/>
  <c r="I90" i="17"/>
  <c r="AC90" i="17"/>
  <c r="AU100" i="10" s="1"/>
  <c r="C90" i="17"/>
  <c r="V90" i="17"/>
  <c r="BE100" i="10" s="1"/>
  <c r="Y90" i="17"/>
  <c r="BP100" i="10" s="1"/>
  <c r="N90" i="17"/>
  <c r="BD100" i="10" s="1"/>
  <c r="S90" i="17"/>
  <c r="Q90" i="17"/>
  <c r="J90" i="17"/>
  <c r="G90" i="17"/>
  <c r="AJ90" i="17"/>
  <c r="BQ100" i="10" s="1"/>
  <c r="AD90" i="17"/>
  <c r="AV100" i="10" s="1"/>
  <c r="AI90" i="17"/>
  <c r="BC100" i="10" s="1"/>
  <c r="AG90" i="17"/>
  <c r="AZ100" i="10" s="1"/>
  <c r="Z90" i="17"/>
  <c r="BR100" i="10" s="1"/>
  <c r="W90" i="17"/>
  <c r="D90" i="17"/>
  <c r="P90" i="17"/>
  <c r="O90" i="17"/>
  <c r="K90" i="17"/>
  <c r="AH90" i="17"/>
  <c r="BB100" i="10" s="1"/>
  <c r="AB90" i="17"/>
  <c r="AX100" i="10" s="1"/>
  <c r="B90" i="17"/>
  <c r="T90" i="17"/>
  <c r="E90" i="17"/>
  <c r="H90" i="17"/>
  <c r="AA90" i="17"/>
  <c r="BS100" i="10" s="1"/>
  <c r="L90" i="17"/>
  <c r="AF90" i="17"/>
  <c r="BA100" i="10" s="1"/>
  <c r="AE90" i="17"/>
  <c r="AW100" i="10" s="1"/>
  <c r="U90" i="17"/>
  <c r="R90" i="17"/>
  <c r="M90" i="17"/>
  <c r="X90" i="17"/>
  <c r="C101" i="18"/>
  <c r="D101" i="18"/>
  <c r="E101" i="18"/>
  <c r="F101" i="18"/>
  <c r="H100" i="18"/>
  <c r="I100" i="18" s="1"/>
  <c r="G100" i="18"/>
  <c r="BG97" i="10"/>
  <c r="BI97" i="10" s="1"/>
  <c r="BV97" i="10" s="1"/>
  <c r="BW97" i="10" s="1"/>
  <c r="BX97" i="10" s="1"/>
  <c r="BF98" i="10"/>
  <c r="AY98" i="10"/>
  <c r="P89" i="17"/>
  <c r="AC89" i="17"/>
  <c r="AD89" i="17"/>
  <c r="AA89" i="17"/>
  <c r="V89" i="17"/>
  <c r="AH89" i="17"/>
  <c r="N89" i="17"/>
  <c r="K89" i="17"/>
  <c r="F89" i="17"/>
  <c r="AI89" i="17"/>
  <c r="R89" i="17"/>
  <c r="W89" i="17"/>
  <c r="S89" i="17"/>
  <c r="B89" i="17"/>
  <c r="X89" i="17"/>
  <c r="G89" i="17"/>
  <c r="C89" i="17"/>
  <c r="H89" i="17"/>
  <c r="AJ89" i="17"/>
  <c r="AE89" i="17"/>
  <c r="U89" i="17"/>
  <c r="T89" i="17"/>
  <c r="O89" i="17"/>
  <c r="E89" i="17"/>
  <c r="D89" i="17"/>
  <c r="AG89" i="17"/>
  <c r="Q89" i="17"/>
  <c r="AF89" i="17"/>
  <c r="M89" i="17"/>
  <c r="J89" i="17"/>
  <c r="AB89" i="17"/>
  <c r="Y89" i="17"/>
  <c r="L89" i="17"/>
  <c r="Z89" i="17"/>
  <c r="I89" i="17"/>
  <c r="H101" i="18" l="1"/>
  <c r="I101" i="18" s="1"/>
  <c r="BF100" i="10"/>
  <c r="AY100" i="10"/>
  <c r="G101" i="18"/>
  <c r="BG98" i="10"/>
  <c r="BI98" i="10" s="1"/>
  <c r="BV98" i="10" s="1"/>
  <c r="BW98" i="10" s="1"/>
  <c r="BX98" i="10" s="1"/>
  <c r="M3" i="17"/>
  <c r="M2" i="17"/>
  <c r="M1" i="17"/>
  <c r="D1" i="17"/>
  <c r="D2" i="17"/>
  <c r="D3" i="17"/>
  <c r="BA99" i="10"/>
  <c r="AF2" i="17"/>
  <c r="E49" i="7" s="1"/>
  <c r="AF3" i="17"/>
  <c r="D49" i="7" s="1"/>
  <c r="AF1" i="17"/>
  <c r="B49" i="7" s="1"/>
  <c r="T3" i="17"/>
  <c r="T2" i="17"/>
  <c r="T1" i="17"/>
  <c r="S2" i="17"/>
  <c r="S3" i="17"/>
  <c r="S1" i="17"/>
  <c r="F3" i="17"/>
  <c r="F1" i="17"/>
  <c r="F2" i="17"/>
  <c r="AW99" i="10"/>
  <c r="AE3" i="17"/>
  <c r="D44" i="7" s="1"/>
  <c r="AE2" i="17"/>
  <c r="E44" i="7" s="1"/>
  <c r="AE1" i="17"/>
  <c r="B44" i="7" s="1"/>
  <c r="Q3" i="17"/>
  <c r="Q2" i="17"/>
  <c r="Q1" i="17"/>
  <c r="BD99" i="10"/>
  <c r="N3" i="17"/>
  <c r="D50" i="7" s="1"/>
  <c r="N2" i="17"/>
  <c r="E50" i="7" s="1"/>
  <c r="N1" i="17"/>
  <c r="B50" i="7" s="1"/>
  <c r="AV99" i="10"/>
  <c r="AD1" i="17"/>
  <c r="B43" i="7" s="1"/>
  <c r="AD2" i="17"/>
  <c r="E43" i="7" s="1"/>
  <c r="AD3" i="17"/>
  <c r="D43" i="7" s="1"/>
  <c r="R3" i="17"/>
  <c r="R1" i="17"/>
  <c r="R2" i="17"/>
  <c r="E2" i="17"/>
  <c r="E1" i="17"/>
  <c r="E3" i="17"/>
  <c r="U1" i="17"/>
  <c r="U3" i="17"/>
  <c r="U2" i="17"/>
  <c r="AU99" i="10"/>
  <c r="AC2" i="17"/>
  <c r="E41" i="7" s="1"/>
  <c r="AC1" i="17"/>
  <c r="B41" i="7" s="1"/>
  <c r="AC3" i="17"/>
  <c r="D41" i="7" s="1"/>
  <c r="BC99" i="10"/>
  <c r="AI2" i="17"/>
  <c r="E53" i="7" s="1"/>
  <c r="AI1" i="17"/>
  <c r="B53" i="7" s="1"/>
  <c r="AI3" i="17"/>
  <c r="D53" i="7" s="1"/>
  <c r="BB99" i="10"/>
  <c r="AH2" i="17"/>
  <c r="E51" i="7" s="1"/>
  <c r="AH3" i="17"/>
  <c r="D51" i="7" s="1"/>
  <c r="AH1" i="17"/>
  <c r="B51" i="7" s="1"/>
  <c r="BQ99" i="10"/>
  <c r="AJ2" i="17"/>
  <c r="E65" i="7" s="1"/>
  <c r="AJ1" i="17"/>
  <c r="B65" i="7" s="1"/>
  <c r="AJ3" i="17"/>
  <c r="D65" i="7" s="1"/>
  <c r="P3" i="17"/>
  <c r="P1" i="17"/>
  <c r="P2" i="17"/>
  <c r="G3" i="17"/>
  <c r="G1" i="17"/>
  <c r="G2" i="17"/>
  <c r="AZ99" i="10"/>
  <c r="AG1" i="17"/>
  <c r="B48" i="7" s="1"/>
  <c r="AG2" i="17"/>
  <c r="E48" i="7" s="1"/>
  <c r="AG3" i="17"/>
  <c r="D48" i="7" s="1"/>
  <c r="O2" i="17"/>
  <c r="O1" i="17"/>
  <c r="O3" i="17"/>
  <c r="BE99" i="10"/>
  <c r="V3" i="17"/>
  <c r="D52" i="7" s="1"/>
  <c r="V1" i="17"/>
  <c r="B52" i="7" s="1"/>
  <c r="V2" i="17"/>
  <c r="E52" i="7" s="1"/>
  <c r="I2" i="17"/>
  <c r="I1" i="17"/>
  <c r="I3" i="17"/>
  <c r="BR99" i="10"/>
  <c r="Z3" i="17"/>
  <c r="D66" i="7" s="1"/>
  <c r="Z2" i="17"/>
  <c r="E66" i="7" s="1"/>
  <c r="Z1" i="17"/>
  <c r="B66" i="7" s="1"/>
  <c r="L3" i="17"/>
  <c r="L2" i="17"/>
  <c r="L1" i="17"/>
  <c r="BP99" i="10"/>
  <c r="Y3" i="17"/>
  <c r="D64" i="7" s="1"/>
  <c r="Y2" i="17"/>
  <c r="E64" i="7" s="1"/>
  <c r="Y1" i="17"/>
  <c r="B64" i="7" s="1"/>
  <c r="X1" i="17"/>
  <c r="X3" i="17"/>
  <c r="X2" i="17"/>
  <c r="W3" i="17"/>
  <c r="W2" i="17"/>
  <c r="W1" i="17"/>
  <c r="K3" i="17"/>
  <c r="K1" i="17"/>
  <c r="K2" i="17"/>
  <c r="BS99" i="10"/>
  <c r="AA1" i="17"/>
  <c r="B67" i="7" s="1"/>
  <c r="AA2" i="17"/>
  <c r="E67" i="7" s="1"/>
  <c r="AA3" i="17"/>
  <c r="D67" i="7" s="1"/>
  <c r="H3" i="17"/>
  <c r="H1" i="17"/>
  <c r="H2" i="17"/>
  <c r="C3" i="17"/>
  <c r="C2" i="17"/>
  <c r="C1" i="17"/>
  <c r="AX99" i="10"/>
  <c r="AB1" i="17"/>
  <c r="B45" i="7" s="1"/>
  <c r="AB2" i="17"/>
  <c r="E45" i="7" s="1"/>
  <c r="AB3" i="17"/>
  <c r="D45" i="7" s="1"/>
  <c r="J2" i="17"/>
  <c r="J3" i="17"/>
  <c r="J1" i="17"/>
  <c r="B2" i="17"/>
  <c r="B3" i="17"/>
  <c r="B1" i="17"/>
  <c r="BG100" i="10" l="1"/>
  <c r="BI100" i="10" s="1"/>
  <c r="BV100" i="10" s="1"/>
  <c r="BW100" i="10" s="1"/>
  <c r="BX100" i="10" s="1"/>
  <c r="B46" i="7"/>
  <c r="M42" i="10"/>
  <c r="F36" i="19"/>
  <c r="F34" i="6"/>
  <c r="F45" i="19"/>
  <c r="M51" i="10"/>
  <c r="F43" i="6"/>
  <c r="P99" i="6" s="1"/>
  <c r="BC5" i="10"/>
  <c r="BC4" i="10"/>
  <c r="BC6" i="10"/>
  <c r="I34" i="6"/>
  <c r="P42" i="10"/>
  <c r="I36" i="19"/>
  <c r="I43" i="6"/>
  <c r="I45" i="19"/>
  <c r="P51" i="10"/>
  <c r="I46" i="19"/>
  <c r="P52" i="10"/>
  <c r="I44" i="6"/>
  <c r="AY99" i="10"/>
  <c r="AU4" i="10"/>
  <c r="AU5" i="10"/>
  <c r="AU6" i="10"/>
  <c r="O51" i="10"/>
  <c r="H43" i="6"/>
  <c r="H45" i="19"/>
  <c r="F44" i="6"/>
  <c r="P94" i="6" s="1"/>
  <c r="M52" i="10"/>
  <c r="F46" i="19"/>
  <c r="H58" i="19"/>
  <c r="O64" i="10"/>
  <c r="H56" i="6"/>
  <c r="BD5" i="10"/>
  <c r="BD4" i="10"/>
  <c r="BD6" i="10"/>
  <c r="F57" i="19"/>
  <c r="M63" i="10"/>
  <c r="F55" i="6"/>
  <c r="P95" i="6" s="1"/>
  <c r="H46" i="19"/>
  <c r="O52" i="10"/>
  <c r="H44" i="6"/>
  <c r="M64" i="10"/>
  <c r="F56" i="6"/>
  <c r="F58" i="19"/>
  <c r="F42" i="19"/>
  <c r="M48" i="10"/>
  <c r="F40" i="6"/>
  <c r="AV4" i="10"/>
  <c r="AV5" i="10"/>
  <c r="AV6" i="10"/>
  <c r="P63" i="10"/>
  <c r="I57" i="19"/>
  <c r="I55" i="6"/>
  <c r="BE5" i="10"/>
  <c r="BE4" i="10"/>
  <c r="BE6" i="10"/>
  <c r="I58" i="19"/>
  <c r="P64" i="10"/>
  <c r="I56" i="6"/>
  <c r="H42" i="19"/>
  <c r="O48" i="10"/>
  <c r="H40" i="6"/>
  <c r="H55" i="6"/>
  <c r="H57" i="19"/>
  <c r="O63" i="10"/>
  <c r="BQ4" i="10"/>
  <c r="BQ5" i="10"/>
  <c r="BQ6" i="10"/>
  <c r="I42" i="19"/>
  <c r="I40" i="6"/>
  <c r="P48" i="10"/>
  <c r="F37" i="6"/>
  <c r="P98" i="6" s="1"/>
  <c r="F39" i="19"/>
  <c r="M45" i="10"/>
  <c r="H58" i="6"/>
  <c r="O66" i="10"/>
  <c r="H60" i="19"/>
  <c r="BP6" i="10"/>
  <c r="BP4" i="10"/>
  <c r="BP5" i="10"/>
  <c r="M49" i="10"/>
  <c r="F41" i="6"/>
  <c r="F43" i="19"/>
  <c r="M44" i="10"/>
  <c r="F38" i="19"/>
  <c r="F36" i="6"/>
  <c r="BA5" i="10"/>
  <c r="BA6" i="10"/>
  <c r="BA4" i="10"/>
  <c r="H36" i="19"/>
  <c r="H34" i="6"/>
  <c r="O42" i="10"/>
  <c r="P66" i="10"/>
  <c r="I58" i="6"/>
  <c r="I60" i="19"/>
  <c r="H43" i="19"/>
  <c r="H41" i="6"/>
  <c r="O49" i="10"/>
  <c r="I38" i="19"/>
  <c r="P44" i="10"/>
  <c r="I36" i="6"/>
  <c r="F37" i="19"/>
  <c r="M43" i="10"/>
  <c r="F35" i="6"/>
  <c r="AX6" i="10"/>
  <c r="AX4" i="10"/>
  <c r="AX5" i="10"/>
  <c r="F60" i="19"/>
  <c r="F58" i="6"/>
  <c r="M66" i="10"/>
  <c r="H41" i="19"/>
  <c r="H39" i="6"/>
  <c r="O47" i="10"/>
  <c r="P49" i="10"/>
  <c r="I41" i="6"/>
  <c r="I43" i="19"/>
  <c r="H38" i="19"/>
  <c r="O44" i="10"/>
  <c r="H36" i="6"/>
  <c r="BS6" i="10"/>
  <c r="BS5" i="10"/>
  <c r="BS4" i="10"/>
  <c r="I39" i="6"/>
  <c r="P47" i="10"/>
  <c r="I41" i="19"/>
  <c r="BB5" i="10"/>
  <c r="BB6" i="10"/>
  <c r="BB4" i="10"/>
  <c r="AW4" i="10"/>
  <c r="AW6" i="10"/>
  <c r="AW5" i="10"/>
  <c r="I39" i="19"/>
  <c r="P45" i="10"/>
  <c r="I37" i="6"/>
  <c r="BR4" i="10"/>
  <c r="BR5" i="10"/>
  <c r="BR6" i="10"/>
  <c r="M65" i="10"/>
  <c r="F59" i="19"/>
  <c r="F57" i="6"/>
  <c r="F39" i="6"/>
  <c r="F41" i="19"/>
  <c r="M47" i="10"/>
  <c r="B54" i="7"/>
  <c r="H44" i="19"/>
  <c r="O50" i="10"/>
  <c r="H42" i="6"/>
  <c r="I57" i="6"/>
  <c r="I59" i="19"/>
  <c r="P65" i="10"/>
  <c r="BF99" i="10"/>
  <c r="AZ6" i="10"/>
  <c r="AZ4" i="10"/>
  <c r="AZ5" i="10"/>
  <c r="F42" i="6"/>
  <c r="F44" i="19"/>
  <c r="M50" i="10"/>
  <c r="H35" i="6"/>
  <c r="H37" i="19"/>
  <c r="O43" i="10"/>
  <c r="H39" i="19"/>
  <c r="O45" i="10"/>
  <c r="H37" i="6"/>
  <c r="H57" i="6"/>
  <c r="O65" i="10"/>
  <c r="H59" i="19"/>
  <c r="I44" i="19"/>
  <c r="P50" i="10"/>
  <c r="I42" i="6"/>
  <c r="I35" i="6"/>
  <c r="P43" i="10"/>
  <c r="I37" i="19"/>
  <c r="M53" i="10" l="1"/>
  <c r="F47" i="19"/>
  <c r="F45" i="6"/>
  <c r="BG99" i="10"/>
  <c r="BF5" i="10"/>
  <c r="BF4" i="10"/>
  <c r="BF2" i="10" s="1"/>
  <c r="BF6" i="10"/>
  <c r="AY4" i="10"/>
  <c r="AY2" i="10" s="1"/>
  <c r="AY6" i="10"/>
  <c r="AY5" i="10"/>
  <c r="F38" i="6"/>
  <c r="F46" i="6" s="1"/>
  <c r="F48" i="6" s="1"/>
  <c r="F40" i="19"/>
  <c r="F48" i="19" s="1"/>
  <c r="F50" i="19" s="1"/>
  <c r="M46" i="10"/>
  <c r="M54" i="10" s="1"/>
  <c r="M56" i="10" s="1"/>
  <c r="B55" i="7"/>
  <c r="B56" i="7" s="1"/>
  <c r="B69" i="7" s="1"/>
  <c r="BI99" i="10" l="1"/>
  <c r="BG6" i="10"/>
  <c r="BG5" i="10"/>
  <c r="BG4" i="10"/>
  <c r="BG2" i="10" s="1"/>
  <c r="M69" i="10"/>
  <c r="B70" i="7"/>
  <c r="F61" i="6"/>
  <c r="F64" i="19"/>
  <c r="F66" i="19" s="1"/>
  <c r="F76" i="19" s="1"/>
  <c r="M70" i="10" l="1"/>
  <c r="F62" i="6"/>
  <c r="B71" i="7"/>
  <c r="BV99" i="10"/>
  <c r="BI6" i="10"/>
  <c r="BI5" i="10"/>
  <c r="BI4" i="10"/>
  <c r="BI2" i="10" s="1"/>
  <c r="BW99" i="10" l="1"/>
  <c r="BV5" i="10"/>
  <c r="BV4" i="10"/>
  <c r="BV2" i="10" s="1"/>
  <c r="BV6" i="10"/>
  <c r="M71" i="10"/>
  <c r="F63" i="6"/>
  <c r="BX99" i="10" l="1"/>
  <c r="BW4" i="10"/>
  <c r="BW2" i="10" s="1"/>
  <c r="BW6" i="10"/>
  <c r="BW5" i="10"/>
  <c r="BX6" i="10" l="1"/>
  <c r="BX4" i="10"/>
  <c r="BX2" i="10" s="1"/>
  <c r="BX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Behery, Susan</author>
    <author>Todd Vandegrift</author>
    <author>Todd</author>
  </authors>
  <commentList>
    <comment ref="K5" authorId="0" shapeId="0" xr:uid="{00000000-0006-0000-0000-000001000000}">
      <text>
        <r>
          <rPr>
            <sz val="9"/>
            <color indexed="81"/>
            <rFont val="Tahoma"/>
            <family val="2"/>
          </rPr>
          <t xml:space="preserve">
From NGWSP EIS Table V-3 and supporting materials</t>
        </r>
      </text>
    </comment>
    <comment ref="E16" authorId="1" shapeId="0" xr:uid="{00000000-0006-0000-0000-000002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E17" authorId="1" shapeId="0" xr:uid="{00000000-0006-0000-0000-000003000000}">
      <text>
        <r>
          <rPr>
            <b/>
            <sz val="9"/>
            <color indexed="81"/>
            <rFont val="Tahoma"/>
            <family val="2"/>
          </rPr>
          <t>Todd Vandegrift:</t>
        </r>
        <r>
          <rPr>
            <sz val="9"/>
            <color indexed="81"/>
            <rFont val="Tahoma"/>
            <family val="2"/>
          </rPr>
          <t xml:space="preserve">
Enterprise, Pioneer, Lower La Plata Irr</t>
        </r>
      </text>
    </comment>
    <comment ref="E18" authorId="1" shapeId="0" xr:uid="{00000000-0006-0000-0000-000004000000}">
      <text>
        <r>
          <rPr>
            <b/>
            <sz val="9"/>
            <color indexed="81"/>
            <rFont val="Tahoma"/>
            <family val="2"/>
          </rPr>
          <t>Todd Vandegrift:</t>
        </r>
        <r>
          <rPr>
            <sz val="9"/>
            <color indexed="81"/>
            <rFont val="Tahoma"/>
            <family val="2"/>
          </rPr>
          <t xml:space="preserve">
Archuleta Ditch, Citizen Ditch, Turley Ditch</t>
        </r>
      </text>
    </comment>
    <comment ref="E29" authorId="1" shapeId="0" xr:uid="{00000000-0006-0000-0000-000005000000}">
      <text>
        <r>
          <rPr>
            <b/>
            <sz val="9"/>
            <color indexed="81"/>
            <rFont val="Tahoma"/>
            <family val="2"/>
          </rPr>
          <t>Todd Vandegrift:</t>
        </r>
        <r>
          <rPr>
            <sz val="9"/>
            <color indexed="81"/>
            <rFont val="Tahoma"/>
            <family val="2"/>
          </rPr>
          <t xml:space="preserve">
Aztec MI, NMU2,3,6,7, FarmingtonMI, Shiprock MI, US Nav Non Irr</t>
        </r>
      </text>
    </comment>
    <comment ref="E43" authorId="2" shapeId="0" xr:uid="{57A3875F-AF5E-4013-BB86-316B074F5209}">
      <text>
        <r>
          <rPr>
            <b/>
            <sz val="9"/>
            <color indexed="81"/>
            <rFont val="Tahoma"/>
            <family val="2"/>
          </rPr>
          <t>Todd:</t>
        </r>
        <r>
          <rPr>
            <sz val="9"/>
            <color indexed="81"/>
            <rFont val="Tahoma"/>
            <family val="2"/>
          </rPr>
          <t xml:space="preserve">
This does not include SUIT ALP water, which is not explicitly reported but included in the ALP project depletions.</t>
        </r>
      </text>
    </comment>
    <comment ref="K50" authorId="1" shapeId="0" xr:uid="{00000000-0006-0000-0000-000006000000}">
      <text>
        <r>
          <rPr>
            <b/>
            <sz val="9"/>
            <color indexed="81"/>
            <rFont val="Tahoma"/>
            <family val="2"/>
          </rPr>
          <t>Todd Vandegrift:</t>
        </r>
        <r>
          <rPr>
            <sz val="9"/>
            <color indexed="81"/>
            <rFont val="Tahoma"/>
            <family val="2"/>
          </rPr>
          <t xml:space="preserve">
2009 NGWSP BO baseline did not include NGWSP. This is from JANNRWSP that was transferred to NGWSP.</t>
        </r>
      </text>
    </comment>
    <comment ref="P97" authorId="2" shapeId="0" xr:uid="{262ABE1E-DB21-448E-8A69-F66E1C1A2DCC}">
      <text>
        <r>
          <rPr>
            <b/>
            <sz val="9"/>
            <color indexed="81"/>
            <rFont val="Tahoma"/>
            <family val="2"/>
          </rPr>
          <t>Todd:</t>
        </r>
        <r>
          <rPr>
            <sz val="9"/>
            <color indexed="81"/>
            <rFont val="Tahoma"/>
            <family val="2"/>
          </rPr>
          <t xml:space="preserve">
</t>
        </r>
        <r>
          <rPr>
            <sz val="20"/>
            <color indexed="81"/>
            <rFont val="Tahoma"/>
            <family val="2"/>
          </rPr>
          <t>THESE ARE FUTURE ONLY, SHOULD CLARIFY???
SAME FOR OTHERS HERE TOO?</t>
        </r>
      </text>
    </comment>
    <comment ref="P109" authorId="2" shapeId="0" xr:uid="{78B8C15B-6A3A-4AD6-ADE5-E960110A88B9}">
      <text>
        <r>
          <rPr>
            <b/>
            <sz val="9"/>
            <color indexed="81"/>
            <rFont val="Tahoma"/>
            <family val="2"/>
          </rPr>
          <t>Todd:</t>
        </r>
        <r>
          <rPr>
            <sz val="9"/>
            <color indexed="81"/>
            <rFont val="Tahoma"/>
            <family val="2"/>
          </rPr>
          <t xml:space="preserve">
</t>
        </r>
        <r>
          <rPr>
            <sz val="30"/>
            <color indexed="81"/>
            <rFont val="Tahoma"/>
            <family val="2"/>
          </rPr>
          <t>CAN I GET THESE IN HERE FROM THE MODEL BREAKDOWN????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E2" authorId="0" shapeId="0" xr:uid="{00000000-0006-0000-0100-000001000000}">
      <text>
        <r>
          <rPr>
            <sz val="12"/>
            <color indexed="81"/>
            <rFont val="Tahoma"/>
            <family val="2"/>
          </rPr>
          <t>Can also select from dropdown menu.</t>
        </r>
      </text>
    </comment>
    <comment ref="B10" authorId="0" shapeId="0" xr:uid="{00000000-0006-0000-0100-000002000000}">
      <text>
        <r>
          <rPr>
            <b/>
            <sz val="9"/>
            <color indexed="81"/>
            <rFont val="Tahoma"/>
            <family val="2"/>
          </rPr>
          <t>Todd Vandegrift:</t>
        </r>
        <r>
          <rPr>
            <sz val="9"/>
            <color indexed="81"/>
            <rFont val="Tahoma"/>
            <family val="2"/>
          </rPr>
          <t xml:space="preserve">
Model year is incomplete calendar year</t>
        </r>
      </text>
    </comment>
    <comment ref="B102" authorId="0" shapeId="0" xr:uid="{B7FBE979-EA43-4996-99E2-9A330D53DFD9}">
      <text>
        <r>
          <rPr>
            <b/>
            <sz val="9"/>
            <color indexed="81"/>
            <rFont val="Tahoma"/>
            <family val="2"/>
          </rPr>
          <t>Todd Vandegrift:</t>
        </r>
        <r>
          <rPr>
            <sz val="9"/>
            <color indexed="81"/>
            <rFont val="Tahoma"/>
            <family val="2"/>
          </rPr>
          <t xml:space="preserve">
Model year is incomplete calendar year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author>
  </authors>
  <commentList>
    <comment ref="F38" authorId="0" shapeId="0" xr:uid="{6D48BFBD-FD9C-4F1C-AEE0-BC65B547FE7F}">
      <text>
        <r>
          <rPr>
            <b/>
            <sz val="9"/>
            <color indexed="81"/>
            <rFont val="Tahoma"/>
            <family val="2"/>
          </rPr>
          <t>Todd:</t>
        </r>
        <r>
          <rPr>
            <sz val="9"/>
            <color indexed="81"/>
            <rFont val="Tahoma"/>
            <family val="2"/>
          </rPr>
          <t xml:space="preserve">
</t>
        </r>
        <r>
          <rPr>
            <sz val="30"/>
            <color indexed="81"/>
            <rFont val="Tahoma"/>
            <family val="2"/>
          </rPr>
          <t>NEED TO TRACK DOWN WHERE THIS # CAME FROM….
(and is the 16525 "in it already"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Behery, Susan</author>
    <author>Todd Vandegrift</author>
  </authors>
  <commentList>
    <comment ref="G4" authorId="0" shapeId="0" xr:uid="{00000000-0006-0000-0300-000001000000}">
      <text>
        <r>
          <rPr>
            <sz val="9"/>
            <color indexed="81"/>
            <rFont val="Tahoma"/>
            <family val="2"/>
          </rPr>
          <t xml:space="preserve">
From NGWSP EIS Table V-3 and supporting materials</t>
        </r>
      </text>
    </comment>
    <comment ref="G9" authorId="1" shapeId="0" xr:uid="{00000000-0006-0000-0300-000002000000}">
      <text>
        <r>
          <rPr>
            <b/>
            <sz val="9"/>
            <color indexed="81"/>
            <rFont val="Tahoma"/>
            <family val="2"/>
          </rPr>
          <t>Todd Vandegrift:</t>
        </r>
        <r>
          <rPr>
            <sz val="9"/>
            <color indexed="81"/>
            <rFont val="Tahoma"/>
            <family val="2"/>
          </rPr>
          <t xml:space="preserve">
This table used the full NIIP, and not the full NGWSP (just the JANNRWSP part)</t>
        </r>
      </text>
    </comment>
    <comment ref="A18" authorId="1" shapeId="0" xr:uid="{00000000-0006-0000-0300-000003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A19" authorId="1" shapeId="0" xr:uid="{00000000-0006-0000-0300-000004000000}">
      <text>
        <r>
          <rPr>
            <b/>
            <sz val="9"/>
            <color indexed="81"/>
            <rFont val="Tahoma"/>
            <family val="2"/>
          </rPr>
          <t>Todd Vandegrift:</t>
        </r>
        <r>
          <rPr>
            <sz val="9"/>
            <color indexed="81"/>
            <rFont val="Tahoma"/>
            <family val="2"/>
          </rPr>
          <t xml:space="preserve">
Enterprise, Pioneer, Lower La Plata Irr</t>
        </r>
      </text>
    </comment>
    <comment ref="A20" authorId="1" shapeId="0" xr:uid="{00000000-0006-0000-0300-000005000000}">
      <text>
        <r>
          <rPr>
            <b/>
            <sz val="9"/>
            <color indexed="81"/>
            <rFont val="Tahoma"/>
            <family val="2"/>
          </rPr>
          <t>Todd Vandegrift:</t>
        </r>
        <r>
          <rPr>
            <sz val="9"/>
            <color indexed="81"/>
            <rFont val="Tahoma"/>
            <family val="2"/>
          </rPr>
          <t xml:space="preserve">
Archuleta Ditch, Citizen Ditch, Turley Ditch</t>
        </r>
      </text>
    </comment>
    <comment ref="G24" authorId="1" shapeId="0" xr:uid="{00000000-0006-0000-0300-000006000000}">
      <text>
        <r>
          <rPr>
            <b/>
            <sz val="9"/>
            <color indexed="81"/>
            <rFont val="Tahoma"/>
            <family val="2"/>
          </rPr>
          <t>Todd Vandegrift:</t>
        </r>
        <r>
          <rPr>
            <sz val="9"/>
            <color indexed="81"/>
            <rFont val="Tahoma"/>
            <family val="2"/>
          </rPr>
          <t xml:space="preserve">
assumed to be offstream in current SJBHM</t>
        </r>
      </text>
    </comment>
    <comment ref="A33" authorId="1" shapeId="0" xr:uid="{00000000-0006-0000-0300-000007000000}">
      <text>
        <r>
          <rPr>
            <b/>
            <sz val="9"/>
            <color indexed="81"/>
            <rFont val="Tahoma"/>
            <family val="2"/>
          </rPr>
          <t>Todd Vandegrift:</t>
        </r>
        <r>
          <rPr>
            <sz val="9"/>
            <color indexed="81"/>
            <rFont val="Tahoma"/>
            <family val="2"/>
          </rPr>
          <t xml:space="preserve">
Aztec MI, NMU2,3,6,7, FarmingtonMI, Shiprock MI, US Nav Non Irr</t>
        </r>
      </text>
    </comment>
    <comment ref="G33" authorId="1" shapeId="0" xr:uid="{00000000-0006-0000-0300-000008000000}">
      <text>
        <r>
          <rPr>
            <b/>
            <sz val="9"/>
            <color indexed="81"/>
            <rFont val="Tahoma"/>
            <family val="2"/>
          </rPr>
          <t>Todd Vandegrift:</t>
        </r>
        <r>
          <rPr>
            <sz val="9"/>
            <color indexed="81"/>
            <rFont val="Tahoma"/>
            <family val="2"/>
          </rPr>
          <t xml:space="preserve">
includes:
M&amp;I uses
Scattered rural domestic uses
Scattered stock ponds and livestock uses
Fish and wildlife</t>
        </r>
      </text>
    </comment>
    <comment ref="A41" authorId="1" shapeId="0" xr:uid="{00000000-0006-0000-0300-000009000000}">
      <text>
        <r>
          <rPr>
            <b/>
            <sz val="9"/>
            <color indexed="81"/>
            <rFont val="Tahoma"/>
            <family val="2"/>
          </rPr>
          <t>Todd Vandegrift:</t>
        </r>
        <r>
          <rPr>
            <sz val="9"/>
            <color indexed="81"/>
            <rFont val="Tahoma"/>
            <family val="2"/>
          </rPr>
          <t xml:space="preserve">
Everything above Carracas, includes Navajo/Blanco</t>
        </r>
      </text>
    </comment>
    <comment ref="A45" authorId="1" shapeId="0" xr:uid="{00000000-0006-0000-0300-00000A000000}">
      <text>
        <r>
          <rPr>
            <b/>
            <sz val="9"/>
            <color indexed="81"/>
            <rFont val="Tahoma"/>
            <family val="2"/>
          </rPr>
          <t>Todd Vandegrift:</t>
        </r>
        <r>
          <rPr>
            <sz val="9"/>
            <color indexed="81"/>
            <rFont val="Tahoma"/>
            <family val="2"/>
          </rPr>
          <t xml:space="preserve">
SJaC (29_SUIT), Pine (31_SUIT), Piedra (78_SUIT)</t>
        </r>
      </text>
    </comment>
    <comment ref="A48" authorId="1" shapeId="0" xr:uid="{00000000-0006-0000-0300-00000B000000}">
      <text>
        <r>
          <rPr>
            <b/>
            <sz val="9"/>
            <color indexed="81"/>
            <rFont val="Tahoma"/>
            <family val="2"/>
          </rPr>
          <t>Todd Vandegrift:</t>
        </r>
        <r>
          <rPr>
            <sz val="9"/>
            <color indexed="81"/>
            <rFont val="Tahoma"/>
            <family val="2"/>
          </rPr>
          <t xml:space="preserve">
including evap</t>
        </r>
      </text>
    </comment>
    <comment ref="A49" authorId="1" shapeId="0" xr:uid="{00000000-0006-0000-0300-00000C000000}">
      <text>
        <r>
          <rPr>
            <b/>
            <sz val="9"/>
            <color indexed="81"/>
            <rFont val="Tahoma"/>
            <family val="2"/>
          </rPr>
          <t>Todd Vandegrift:</t>
        </r>
        <r>
          <rPr>
            <sz val="9"/>
            <color indexed="81"/>
            <rFont val="Tahoma"/>
            <family val="2"/>
          </rPr>
          <t xml:space="preserve">
including evap</t>
        </r>
      </text>
    </comment>
    <comment ref="A50" authorId="1" shapeId="0" xr:uid="{00000000-0006-0000-0300-00000D000000}">
      <text>
        <r>
          <rPr>
            <b/>
            <sz val="9"/>
            <color indexed="81"/>
            <rFont val="Tahoma"/>
            <family val="2"/>
          </rPr>
          <t>Todd Vandegrift:</t>
        </r>
        <r>
          <rPr>
            <sz val="9"/>
            <color indexed="81"/>
            <rFont val="Tahoma"/>
            <family val="2"/>
          </rPr>
          <t xml:space="preserve">
30_SUIT
This does not include SUIT ALP water, which is not explicitly reported but included in the ALP project depletions.</t>
        </r>
      </text>
    </comment>
    <comment ref="A51" authorId="1" shapeId="0" xr:uid="{00000000-0006-0000-0300-00000E000000}">
      <text>
        <r>
          <rPr>
            <b/>
            <sz val="9"/>
            <color indexed="81"/>
            <rFont val="Tahoma"/>
            <family val="2"/>
          </rPr>
          <t>Todd Vandegrift:</t>
        </r>
        <r>
          <rPr>
            <sz val="9"/>
            <color indexed="81"/>
            <rFont val="Tahoma"/>
            <family val="2"/>
          </rPr>
          <t xml:space="preserve">
including evap</t>
        </r>
      </text>
    </comment>
    <comment ref="A52" authorId="1" shapeId="0" xr:uid="{00000000-0006-0000-0300-00000F000000}">
      <text>
        <r>
          <rPr>
            <b/>
            <sz val="9"/>
            <color indexed="81"/>
            <rFont val="Tahoma"/>
            <family val="2"/>
          </rPr>
          <t>Todd Vandegrift:</t>
        </r>
        <r>
          <rPr>
            <sz val="9"/>
            <color indexed="81"/>
            <rFont val="Tahoma"/>
            <family val="2"/>
          </rPr>
          <t xml:space="preserve">
34_UMU</t>
        </r>
      </text>
    </comment>
    <comment ref="A53" authorId="1" shapeId="0" xr:uid="{00000000-0006-0000-0300-000010000000}">
      <text>
        <r>
          <rPr>
            <b/>
            <sz val="9"/>
            <color indexed="81"/>
            <rFont val="Tahoma"/>
            <family val="2"/>
          </rPr>
          <t>Todd Vandegrift:</t>
        </r>
        <r>
          <rPr>
            <sz val="9"/>
            <color indexed="81"/>
            <rFont val="Tahoma"/>
            <family val="2"/>
          </rPr>
          <t xml:space="preserve">
including evap</t>
        </r>
      </text>
    </comment>
    <comment ref="G60" authorId="1" shapeId="0" xr:uid="{00000000-0006-0000-0300-000011000000}">
      <text>
        <r>
          <rPr>
            <b/>
            <sz val="9"/>
            <color indexed="81"/>
            <rFont val="Tahoma"/>
            <family val="2"/>
          </rPr>
          <t>Todd Vandegrift:</t>
        </r>
        <r>
          <rPr>
            <sz val="9"/>
            <color indexed="81"/>
            <rFont val="Tahoma"/>
            <family val="2"/>
          </rPr>
          <t xml:space="preserve">
In NGWSP tables, this is actually JANNRWSP, that then went into NGWSP</t>
        </r>
      </text>
    </comment>
    <comment ref="A65" authorId="1" shapeId="0" xr:uid="{00000000-0006-0000-0300-000012000000}">
      <text>
        <r>
          <rPr>
            <b/>
            <sz val="9"/>
            <color indexed="81"/>
            <rFont val="Tahoma"/>
            <family val="2"/>
          </rPr>
          <t>Todd Vandegrift:</t>
        </r>
        <r>
          <rPr>
            <sz val="9"/>
            <color indexed="81"/>
            <rFont val="Tahoma"/>
            <family val="2"/>
          </rPr>
          <t xml:space="preserve">
including evap</t>
        </r>
      </text>
    </comment>
    <comment ref="A67" authorId="1" shapeId="0" xr:uid="{00000000-0006-0000-0300-000013000000}">
      <text>
        <r>
          <rPr>
            <b/>
            <sz val="9"/>
            <color indexed="81"/>
            <rFont val="Tahoma"/>
            <family val="2"/>
          </rPr>
          <t>Todd Vandegrift:</t>
        </r>
        <r>
          <rPr>
            <sz val="9"/>
            <color indexed="81"/>
            <rFont val="Tahoma"/>
            <family val="2"/>
          </rPr>
          <t xml:space="preserve">
McElmo Total Imports - McElmo Total Depletions</t>
        </r>
      </text>
    </comment>
    <comment ref="G70" authorId="1" shapeId="0" xr:uid="{00000000-0006-0000-0300-000014000000}">
      <text>
        <r>
          <rPr>
            <b/>
            <sz val="9"/>
            <color indexed="81"/>
            <rFont val="Tahoma"/>
            <family val="2"/>
          </rPr>
          <t>Todd Vandegrift:</t>
        </r>
        <r>
          <rPr>
            <sz val="9"/>
            <color indexed="81"/>
            <rFont val="Tahoma"/>
            <family val="2"/>
          </rPr>
          <t xml:space="preserve">
Note that this comparison is not apples to apples</t>
        </r>
      </text>
    </comment>
    <comment ref="G77" authorId="1" shapeId="0" xr:uid="{00000000-0006-0000-0300-000015000000}">
      <text>
        <r>
          <rPr>
            <b/>
            <sz val="9"/>
            <color indexed="81"/>
            <rFont val="Tahoma"/>
            <family val="2"/>
          </rPr>
          <t>Todd Vandegrift:</t>
        </r>
        <r>
          <rPr>
            <sz val="9"/>
            <color indexed="81"/>
            <rFont val="Tahoma"/>
            <family val="2"/>
          </rPr>
          <t xml:space="preserve">
was included in onstream (above)</t>
        </r>
      </text>
    </comment>
    <comment ref="G78" authorId="1" shapeId="0" xr:uid="{00000000-0006-0000-0300-000016000000}">
      <text>
        <r>
          <rPr>
            <b/>
            <sz val="9"/>
            <color indexed="81"/>
            <rFont val="Tahoma"/>
            <family val="2"/>
          </rPr>
          <t>Todd Vandegrift:</t>
        </r>
        <r>
          <rPr>
            <sz val="9"/>
            <color indexed="81"/>
            <rFont val="Tahoma"/>
            <family val="2"/>
          </rPr>
          <t xml:space="preserve">
was included in onstream (above)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author>
  </authors>
  <commentList>
    <comment ref="D8" authorId="0" shapeId="0" xr:uid="{99A7AB1F-9D06-49FA-845B-BDC723ECA6F1}">
      <text>
        <r>
          <rPr>
            <b/>
            <sz val="9"/>
            <color indexed="81"/>
            <rFont val="Tahoma"/>
            <family val="2"/>
          </rPr>
          <t>Todd:</t>
        </r>
        <r>
          <rPr>
            <sz val="9"/>
            <color indexed="81"/>
            <rFont val="Tahoma"/>
            <family val="2"/>
          </rPr>
          <t xml:space="preserve">
FOR ANY OF THESE, NEED TO SET NAME MANUALLY</t>
        </r>
      </text>
    </comment>
    <comment ref="G8" authorId="0" shapeId="0" xr:uid="{5C9C294B-D042-4874-9EC1-28A66E348C13}">
      <text>
        <r>
          <rPr>
            <b/>
            <sz val="9"/>
            <color indexed="81"/>
            <rFont val="Tahoma"/>
            <family val="2"/>
          </rPr>
          <t>Todd:</t>
        </r>
        <r>
          <rPr>
            <sz val="9"/>
            <color indexed="81"/>
            <rFont val="Tahoma"/>
            <family val="2"/>
          </rPr>
          <t xml:space="preserve">
If this &lt;&gt;1, the loaded run did not finish correctly.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1" authorId="0" shapeId="0" xr:uid="{00000000-0006-0000-0500-000001000000}">
      <text>
        <r>
          <rPr>
            <b/>
            <sz val="9"/>
            <color indexed="81"/>
            <rFont val="Tahoma"/>
            <family val="2"/>
          </rPr>
          <t>Todd Vandegrift:</t>
        </r>
        <r>
          <rPr>
            <sz val="9"/>
            <color indexed="81"/>
            <rFont val="Tahoma"/>
            <family val="2"/>
          </rPr>
          <t xml:space="preserve">
</t>
        </r>
        <r>
          <rPr>
            <sz val="12"/>
            <color indexed="81"/>
            <rFont val="Tahoma"/>
            <family val="2"/>
          </rPr>
          <t>This sheet is used to collect and organize the data for the "AnnualResultsViewer" sheet.</t>
        </r>
      </text>
    </comment>
    <comment ref="A13" authorId="0" shapeId="0" xr:uid="{00000000-0006-0000-0500-000002000000}">
      <text>
        <r>
          <rPr>
            <b/>
            <sz val="9"/>
            <color indexed="81"/>
            <rFont val="Tahoma"/>
            <family val="2"/>
          </rPr>
          <t>Todd Vandegrift:</t>
        </r>
        <r>
          <rPr>
            <sz val="9"/>
            <color indexed="81"/>
            <rFont val="Tahoma"/>
            <family val="2"/>
          </rPr>
          <t xml:space="preserve">
used for hyperlink event macro to set name</t>
        </r>
      </text>
    </comment>
    <comment ref="BY13" authorId="0" shapeId="0" xr:uid="{00000000-0006-0000-0500-000003000000}">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EH13" authorId="0" shapeId="0" xr:uid="{00000000-0006-0000-0500-000004000000}">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GQ13" authorId="0" shapeId="0" xr:uid="{00000000-0006-0000-0500-000005000000}">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IZ13" authorId="0" shapeId="0" xr:uid="{00000000-0006-0000-0500-000006000000}">
      <text>
        <r>
          <rPr>
            <b/>
            <sz val="9"/>
            <color indexed="81"/>
            <rFont val="Tahoma"/>
            <family val="2"/>
          </rPr>
          <t>Todd Vandegrift:</t>
        </r>
        <r>
          <rPr>
            <sz val="9"/>
            <color indexed="81"/>
            <rFont val="Tahoma"/>
            <family val="2"/>
          </rPr>
          <t xml:space="preserve">
These are assumed average annual, and thus are the same each year of the model run</t>
        </r>
      </text>
    </comment>
    <comment ref="CI16" authorId="0" shapeId="0" xr:uid="{00000000-0006-0000-0500-000007000000}">
      <text>
        <r>
          <rPr>
            <b/>
            <sz val="9"/>
            <color indexed="81"/>
            <rFont val="Tahoma"/>
            <family val="2"/>
          </rPr>
          <t>Todd Vandegrift:</t>
        </r>
        <r>
          <rPr>
            <sz val="9"/>
            <color indexed="81"/>
            <rFont val="Tahoma"/>
            <family val="2"/>
          </rPr>
          <t xml:space="preserve">
adjusted to include NIIP GW</t>
        </r>
      </text>
    </comment>
    <comment ref="DA16" authorId="0" shapeId="0" xr:uid="{00000000-0006-0000-0500-000008000000}">
      <text>
        <r>
          <rPr>
            <b/>
            <sz val="9"/>
            <color indexed="81"/>
            <rFont val="Tahoma"/>
            <family val="2"/>
          </rPr>
          <t>Todd Vandegrift:</t>
        </r>
        <r>
          <rPr>
            <sz val="9"/>
            <color indexed="81"/>
            <rFont val="Tahoma"/>
            <family val="2"/>
          </rPr>
          <t xml:space="preserve">
adjusted to include Navajo evap</t>
        </r>
      </text>
    </comment>
    <comment ref="DU16" authorId="0" shapeId="0" xr:uid="{00000000-0006-0000-0500-000009000000}">
      <text>
        <r>
          <rPr>
            <b/>
            <sz val="9"/>
            <color indexed="81"/>
            <rFont val="Tahoma"/>
            <family val="2"/>
          </rPr>
          <t>Todd Vandegrift:</t>
        </r>
        <r>
          <rPr>
            <sz val="9"/>
            <color indexed="81"/>
            <rFont val="Tahoma"/>
            <family val="2"/>
          </rPr>
          <t xml:space="preserve">
formula on aggregation sheet adjusted to include RBR evap</t>
        </r>
      </text>
    </comment>
    <comment ref="DX16" authorId="0" shapeId="0" xr:uid="{00000000-0006-0000-0500-00000A000000}">
      <text>
        <r>
          <rPr>
            <b/>
            <sz val="9"/>
            <color indexed="81"/>
            <rFont val="Tahoma"/>
            <family val="2"/>
          </rPr>
          <t>Todd Vandegrift:</t>
        </r>
        <r>
          <rPr>
            <sz val="9"/>
            <color indexed="81"/>
            <rFont val="Tahoma"/>
            <family val="2"/>
          </rPr>
          <t xml:space="preserve">
would need to call the SJC the req which isnt really true</t>
        </r>
      </text>
    </comment>
    <comment ref="GE16" authorId="0" shapeId="0" xr:uid="{00000000-0006-0000-0500-00000B000000}">
      <text>
        <r>
          <rPr>
            <b/>
            <sz val="9"/>
            <color indexed="81"/>
            <rFont val="Tahoma"/>
            <family val="2"/>
          </rPr>
          <t>Todd Vandegrift:</t>
        </r>
        <r>
          <rPr>
            <sz val="9"/>
            <color indexed="81"/>
            <rFont val="Tahoma"/>
            <family val="2"/>
          </rPr>
          <t xml:space="preserve">
= to depl</t>
        </r>
      </text>
    </comment>
    <comment ref="IP16" authorId="0" shapeId="0" xr:uid="{00000000-0006-0000-0500-00000C000000}">
      <text>
        <r>
          <rPr>
            <b/>
            <sz val="9"/>
            <color indexed="81"/>
            <rFont val="Tahoma"/>
            <family val="2"/>
          </rPr>
          <t>Todd Vandegrift:</t>
        </r>
        <r>
          <rPr>
            <sz val="9"/>
            <color indexed="81"/>
            <rFont val="Tahoma"/>
            <family val="2"/>
          </rPr>
          <t xml:space="preserve">
would need to call the SJC the req which isnt really true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00000000-0006-0000-0600-000001000000}">
      <text>
        <r>
          <rPr>
            <b/>
            <sz val="9"/>
            <color indexed="81"/>
            <rFont val="Tahoma"/>
            <family val="2"/>
          </rPr>
          <t>Todd Vandegrift:</t>
        </r>
        <r>
          <rPr>
            <sz val="9"/>
            <color indexed="81"/>
            <rFont val="Tahoma"/>
            <family val="2"/>
          </rPr>
          <t xml:space="preserve">
These are calculated aggregations from the Annual sheets</t>
        </r>
      </text>
    </comment>
    <comment ref="B6" authorId="0" shapeId="0" xr:uid="{00000000-0006-0000-0600-000002000000}">
      <text>
        <r>
          <rPr>
            <b/>
            <sz val="9"/>
            <color indexed="81"/>
            <rFont val="Tahoma"/>
            <family val="2"/>
          </rPr>
          <t>Todd Vandegrift:</t>
        </r>
        <r>
          <rPr>
            <sz val="9"/>
            <color indexed="81"/>
            <rFont val="Tahoma"/>
            <family val="2"/>
          </rPr>
          <t xml:space="preserve">
All 16 RW ALP/RBR water users + Ridges Basin Evap</t>
        </r>
      </text>
    </comment>
    <comment ref="C6" authorId="0" shapeId="0" xr:uid="{00000000-0006-0000-0600-000003000000}">
      <text>
        <r>
          <rPr>
            <b/>
            <sz val="9"/>
            <color indexed="81"/>
            <rFont val="Tahoma"/>
            <family val="2"/>
          </rPr>
          <t>Todd Vandegrift:</t>
        </r>
        <r>
          <rPr>
            <sz val="9"/>
            <color indexed="81"/>
            <rFont val="Tahoma"/>
            <family val="2"/>
          </rPr>
          <t xml:space="preserve">
Unit 3, 5, 6</t>
        </r>
      </text>
    </comment>
    <comment ref="D6" authorId="0" shapeId="0" xr:uid="{00000000-0006-0000-0600-000004000000}">
      <text>
        <r>
          <rPr>
            <b/>
            <sz val="9"/>
            <color indexed="81"/>
            <rFont val="Tahoma"/>
            <family val="2"/>
          </rPr>
          <t>Todd Vandegrift:</t>
        </r>
        <r>
          <rPr>
            <sz val="9"/>
            <color indexed="81"/>
            <rFont val="Tahoma"/>
            <family val="2"/>
          </rPr>
          <t xml:space="preserve">
Navajo Gallup NIIP + NavajoGallupBalance</t>
        </r>
      </text>
    </comment>
    <comment ref="E6" authorId="0" shapeId="0" xr:uid="{00000000-0006-0000-0600-000005000000}">
      <text>
        <r>
          <rPr>
            <b/>
            <sz val="9"/>
            <color indexed="81"/>
            <rFont val="Tahoma"/>
            <family val="2"/>
          </rPr>
          <t>Todd Vandegrift:</t>
        </r>
        <r>
          <rPr>
            <sz val="9"/>
            <color indexed="81"/>
            <rFont val="Tahoma"/>
            <family val="2"/>
          </rPr>
          <t xml:space="preserve">
All 4</t>
        </r>
      </text>
    </comment>
    <comment ref="F6" authorId="0" shapeId="0" xr:uid="{00000000-0006-0000-0600-000006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G6" authorId="0" shapeId="0" xr:uid="{00000000-0006-0000-0600-000007000000}">
      <text>
        <r>
          <rPr>
            <b/>
            <sz val="9"/>
            <color indexed="81"/>
            <rFont val="Tahoma"/>
            <family val="2"/>
          </rPr>
          <t>Todd Vandegrift:</t>
        </r>
        <r>
          <rPr>
            <sz val="9"/>
            <color indexed="81"/>
            <rFont val="Tahoma"/>
            <family val="2"/>
          </rPr>
          <t xml:space="preserve">
Enterprise, Pioneer, Lower La Plata Irr</t>
        </r>
      </text>
    </comment>
    <comment ref="H6" authorId="0" shapeId="0" xr:uid="{00000000-0006-0000-0600-000008000000}">
      <text>
        <r>
          <rPr>
            <b/>
            <sz val="9"/>
            <color indexed="81"/>
            <rFont val="Tahoma"/>
            <family val="2"/>
          </rPr>
          <t>Todd Vandegrift:</t>
        </r>
        <r>
          <rPr>
            <sz val="9"/>
            <color indexed="81"/>
            <rFont val="Tahoma"/>
            <family val="2"/>
          </rPr>
          <t xml:space="preserve">
Archuleta Ditch, Citizen Ditch, Turley Ditch</t>
        </r>
      </text>
    </comment>
    <comment ref="I6" authorId="0" shapeId="0" xr:uid="{00000000-0006-0000-0600-000009000000}">
      <text>
        <r>
          <rPr>
            <b/>
            <sz val="9"/>
            <color indexed="81"/>
            <rFont val="Tahoma"/>
            <family val="2"/>
          </rPr>
          <t>Todd Vandegrift:</t>
        </r>
        <r>
          <rPr>
            <sz val="9"/>
            <color indexed="81"/>
            <rFont val="Tahoma"/>
            <family val="2"/>
          </rPr>
          <t xml:space="preserve">
Aztec MI, NMU2,3,6,7, FarmingtonMI, Shiprock MI, US Nav Non Irr
</t>
        </r>
      </text>
    </comment>
    <comment ref="J6" authorId="0" shapeId="0" xr:uid="{00000000-0006-0000-0600-00000A000000}">
      <text>
        <r>
          <rPr>
            <b/>
            <sz val="9"/>
            <color indexed="81"/>
            <rFont val="Tahoma"/>
            <family val="2"/>
          </rPr>
          <t>Todd Vandegrift:</t>
        </r>
        <r>
          <rPr>
            <sz val="9"/>
            <color indexed="81"/>
            <rFont val="Tahoma"/>
            <family val="2"/>
          </rPr>
          <t xml:space="preserve">
All 16 RW ALP/RBR water users + Ridges Basin Evap</t>
        </r>
      </text>
    </comment>
    <comment ref="K6" authorId="0" shapeId="0" xr:uid="{00000000-0006-0000-0600-00000B000000}">
      <text>
        <r>
          <rPr>
            <b/>
            <sz val="9"/>
            <color indexed="81"/>
            <rFont val="Tahoma"/>
            <family val="2"/>
          </rPr>
          <t>Todd Vandegrift:</t>
        </r>
        <r>
          <rPr>
            <sz val="9"/>
            <color indexed="81"/>
            <rFont val="Tahoma"/>
            <family val="2"/>
          </rPr>
          <t xml:space="preserve">
Unit 3, 5, 6</t>
        </r>
      </text>
    </comment>
    <comment ref="L6" authorId="0" shapeId="0" xr:uid="{00000000-0006-0000-0600-00000C000000}">
      <text>
        <r>
          <rPr>
            <b/>
            <sz val="9"/>
            <color indexed="81"/>
            <rFont val="Tahoma"/>
            <family val="2"/>
          </rPr>
          <t>Todd Vandegrift:</t>
        </r>
        <r>
          <rPr>
            <sz val="9"/>
            <color indexed="81"/>
            <rFont val="Tahoma"/>
            <family val="2"/>
          </rPr>
          <t xml:space="preserve">
Navajo Gallup NIIP + NavajoGallupBalance</t>
        </r>
      </text>
    </comment>
    <comment ref="M6" authorId="0" shapeId="0" xr:uid="{00000000-0006-0000-0600-00000D000000}">
      <text>
        <r>
          <rPr>
            <b/>
            <sz val="9"/>
            <color indexed="81"/>
            <rFont val="Tahoma"/>
            <family val="2"/>
          </rPr>
          <t>Todd Vandegrift:</t>
        </r>
        <r>
          <rPr>
            <sz val="9"/>
            <color indexed="81"/>
            <rFont val="Tahoma"/>
            <family val="2"/>
          </rPr>
          <t xml:space="preserve">
All 4</t>
        </r>
      </text>
    </comment>
    <comment ref="N6" authorId="0" shapeId="0" xr:uid="{00000000-0006-0000-0600-00000E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O6" authorId="0" shapeId="0" xr:uid="{00000000-0006-0000-0600-00000F000000}">
      <text>
        <r>
          <rPr>
            <b/>
            <sz val="9"/>
            <color indexed="81"/>
            <rFont val="Tahoma"/>
            <family val="2"/>
          </rPr>
          <t>Todd Vandegrift:</t>
        </r>
        <r>
          <rPr>
            <sz val="9"/>
            <color indexed="81"/>
            <rFont val="Tahoma"/>
            <family val="2"/>
          </rPr>
          <t xml:space="preserve">
Enterprise, Pioneer, Lower La Plata Irr</t>
        </r>
      </text>
    </comment>
    <comment ref="P6" authorId="0" shapeId="0" xr:uid="{00000000-0006-0000-0600-000010000000}">
      <text>
        <r>
          <rPr>
            <b/>
            <sz val="9"/>
            <color indexed="81"/>
            <rFont val="Tahoma"/>
            <family val="2"/>
          </rPr>
          <t>Todd Vandegrift:</t>
        </r>
        <r>
          <rPr>
            <sz val="9"/>
            <color indexed="81"/>
            <rFont val="Tahoma"/>
            <family val="2"/>
          </rPr>
          <t xml:space="preserve">
Archuleta Ditch, Citizen Ditch, Turley Ditch</t>
        </r>
      </text>
    </comment>
    <comment ref="Q6" authorId="0" shapeId="0" xr:uid="{00000000-0006-0000-0600-000011000000}">
      <text>
        <r>
          <rPr>
            <b/>
            <sz val="9"/>
            <color indexed="81"/>
            <rFont val="Tahoma"/>
            <family val="2"/>
          </rPr>
          <t>Todd Vandegrift:</t>
        </r>
        <r>
          <rPr>
            <sz val="9"/>
            <color indexed="81"/>
            <rFont val="Tahoma"/>
            <family val="2"/>
          </rPr>
          <t xml:space="preserve">
Aztec MI, NMU2,3,6,7, FarmingtonMI, Shiprock MI, US Nav Non Irr
</t>
        </r>
      </text>
    </comment>
    <comment ref="R6" authorId="0" shapeId="0" xr:uid="{00000000-0006-0000-0600-000012000000}">
      <text>
        <r>
          <rPr>
            <b/>
            <sz val="9"/>
            <color indexed="81"/>
            <rFont val="Tahoma"/>
            <family val="2"/>
          </rPr>
          <t>Todd Vandegrift:</t>
        </r>
        <r>
          <rPr>
            <sz val="9"/>
            <color indexed="81"/>
            <rFont val="Tahoma"/>
            <family val="2"/>
          </rPr>
          <t xml:space="preserve">
All 16 RW ALP/RBR water users + Ridges Basin Evap</t>
        </r>
      </text>
    </comment>
    <comment ref="S6" authorId="0" shapeId="0" xr:uid="{00000000-0006-0000-0600-000013000000}">
      <text>
        <r>
          <rPr>
            <b/>
            <sz val="9"/>
            <color indexed="81"/>
            <rFont val="Tahoma"/>
            <family val="2"/>
          </rPr>
          <t>Todd Vandegrift:</t>
        </r>
        <r>
          <rPr>
            <sz val="9"/>
            <color indexed="81"/>
            <rFont val="Tahoma"/>
            <family val="2"/>
          </rPr>
          <t xml:space="preserve">
Unit 3, 5, 6</t>
        </r>
      </text>
    </comment>
    <comment ref="T6" authorId="0" shapeId="0" xr:uid="{00000000-0006-0000-0600-000014000000}">
      <text>
        <r>
          <rPr>
            <b/>
            <sz val="9"/>
            <color indexed="81"/>
            <rFont val="Tahoma"/>
            <family val="2"/>
          </rPr>
          <t>Todd Vandegrift:</t>
        </r>
        <r>
          <rPr>
            <sz val="9"/>
            <color indexed="81"/>
            <rFont val="Tahoma"/>
            <family val="2"/>
          </rPr>
          <t xml:space="preserve">
Navajo Gallup NIIP + NavajoGallupBalance</t>
        </r>
      </text>
    </comment>
    <comment ref="U6" authorId="0" shapeId="0" xr:uid="{00000000-0006-0000-0600-000015000000}">
      <text>
        <r>
          <rPr>
            <b/>
            <sz val="9"/>
            <color indexed="81"/>
            <rFont val="Tahoma"/>
            <family val="2"/>
          </rPr>
          <t>Todd Vandegrift:</t>
        </r>
        <r>
          <rPr>
            <sz val="9"/>
            <color indexed="81"/>
            <rFont val="Tahoma"/>
            <family val="2"/>
          </rPr>
          <t xml:space="preserve">
All 4</t>
        </r>
      </text>
    </comment>
    <comment ref="V6" authorId="0" shapeId="0" xr:uid="{00000000-0006-0000-0600-000016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W6" authorId="0" shapeId="0" xr:uid="{00000000-0006-0000-0600-000017000000}">
      <text>
        <r>
          <rPr>
            <b/>
            <sz val="9"/>
            <color indexed="81"/>
            <rFont val="Tahoma"/>
            <family val="2"/>
          </rPr>
          <t>Todd Vandegrift:</t>
        </r>
        <r>
          <rPr>
            <sz val="9"/>
            <color indexed="81"/>
            <rFont val="Tahoma"/>
            <family val="2"/>
          </rPr>
          <t xml:space="preserve">
Enterprise, Pioneer, Lower La Plata Irr</t>
        </r>
      </text>
    </comment>
    <comment ref="X6" authorId="0" shapeId="0" xr:uid="{00000000-0006-0000-0600-000018000000}">
      <text>
        <r>
          <rPr>
            <b/>
            <sz val="9"/>
            <color indexed="81"/>
            <rFont val="Tahoma"/>
            <family val="2"/>
          </rPr>
          <t>Todd Vandegrift:</t>
        </r>
        <r>
          <rPr>
            <sz val="9"/>
            <color indexed="81"/>
            <rFont val="Tahoma"/>
            <family val="2"/>
          </rPr>
          <t xml:space="preserve">
Archuleta Ditch, Citizen Ditch, Turley Ditch</t>
        </r>
      </text>
    </comment>
    <comment ref="Y6" authorId="0" shapeId="0" xr:uid="{00000000-0006-0000-0600-000019000000}">
      <text>
        <r>
          <rPr>
            <b/>
            <sz val="9"/>
            <color indexed="81"/>
            <rFont val="Tahoma"/>
            <family val="2"/>
          </rPr>
          <t>Todd Vandegrift:</t>
        </r>
        <r>
          <rPr>
            <sz val="9"/>
            <color indexed="81"/>
            <rFont val="Tahoma"/>
            <family val="2"/>
          </rPr>
          <t xml:space="preserve">
Aztec MI, NMU2,3,6,7, FarmingtonMI, Shiprock MI, US Nav Non Irr
</t>
        </r>
      </text>
    </comment>
    <comment ref="Z6" authorId="0" shapeId="0" xr:uid="{00000000-0006-0000-0600-00001A000000}">
      <text>
        <r>
          <rPr>
            <b/>
            <sz val="9"/>
            <color indexed="81"/>
            <rFont val="Tahoma"/>
            <family val="2"/>
          </rPr>
          <t>Todd Vandegrift:</t>
        </r>
        <r>
          <rPr>
            <sz val="9"/>
            <color indexed="81"/>
            <rFont val="Tahoma"/>
            <family val="2"/>
          </rPr>
          <t xml:space="preserve">
All 16 RW ALP/RBR water users + Ridges Basin Evap</t>
        </r>
      </text>
    </comment>
    <comment ref="AA6" authorId="0" shapeId="0" xr:uid="{00000000-0006-0000-0600-00001B000000}">
      <text>
        <r>
          <rPr>
            <b/>
            <sz val="9"/>
            <color indexed="81"/>
            <rFont val="Tahoma"/>
            <family val="2"/>
          </rPr>
          <t>Todd Vandegrift:</t>
        </r>
        <r>
          <rPr>
            <sz val="9"/>
            <color indexed="81"/>
            <rFont val="Tahoma"/>
            <family val="2"/>
          </rPr>
          <t xml:space="preserve">
Unit 3, 5, 6</t>
        </r>
      </text>
    </comment>
    <comment ref="AB6" authorId="0" shapeId="0" xr:uid="{00000000-0006-0000-0600-00001C000000}">
      <text>
        <r>
          <rPr>
            <b/>
            <sz val="9"/>
            <color indexed="81"/>
            <rFont val="Tahoma"/>
            <family val="2"/>
          </rPr>
          <t>Todd Vandegrift:</t>
        </r>
        <r>
          <rPr>
            <sz val="9"/>
            <color indexed="81"/>
            <rFont val="Tahoma"/>
            <family val="2"/>
          </rPr>
          <t xml:space="preserve">
Navajo Gallup NIIP + NavajoGallupBalance</t>
        </r>
      </text>
    </comment>
    <comment ref="AC6" authorId="0" shapeId="0" xr:uid="{00000000-0006-0000-0600-00001D000000}">
      <text>
        <r>
          <rPr>
            <b/>
            <sz val="9"/>
            <color indexed="81"/>
            <rFont val="Tahoma"/>
            <family val="2"/>
          </rPr>
          <t>Todd Vandegrift:</t>
        </r>
        <r>
          <rPr>
            <sz val="9"/>
            <color indexed="81"/>
            <rFont val="Tahoma"/>
            <family val="2"/>
          </rPr>
          <t xml:space="preserve">
All 4</t>
        </r>
      </text>
    </comment>
    <comment ref="AD6" authorId="0" shapeId="0" xr:uid="{00000000-0006-0000-0600-00001E000000}">
      <text>
        <r>
          <rPr>
            <b/>
            <sz val="9"/>
            <color indexed="81"/>
            <rFont val="Tahoma"/>
            <family val="2"/>
          </rPr>
          <t>Todd Vandegrift:</t>
        </r>
        <r>
          <rPr>
            <sz val="9"/>
            <color indexed="81"/>
            <rFont val="Tahoma"/>
            <family val="2"/>
          </rPr>
          <t xml:space="preserve">
Ralston, Twin Rocks, NM Animas Irr, Farmington Glade, Echo Ditch (not Farmers Mutual)</t>
        </r>
      </text>
    </comment>
    <comment ref="AE6" authorId="0" shapeId="0" xr:uid="{00000000-0006-0000-0600-00001F000000}">
      <text>
        <r>
          <rPr>
            <b/>
            <sz val="9"/>
            <color indexed="81"/>
            <rFont val="Tahoma"/>
            <family val="2"/>
          </rPr>
          <t>Todd Vandegrift:</t>
        </r>
        <r>
          <rPr>
            <sz val="9"/>
            <color indexed="81"/>
            <rFont val="Tahoma"/>
            <family val="2"/>
          </rPr>
          <t xml:space="preserve">
Enterprise, Pioneer, Lower La Plata Irr</t>
        </r>
      </text>
    </comment>
    <comment ref="AF6" authorId="0" shapeId="0" xr:uid="{00000000-0006-0000-0600-000020000000}">
      <text>
        <r>
          <rPr>
            <b/>
            <sz val="9"/>
            <color indexed="81"/>
            <rFont val="Tahoma"/>
            <family val="2"/>
          </rPr>
          <t>Todd Vandegrift:</t>
        </r>
        <r>
          <rPr>
            <sz val="9"/>
            <color indexed="81"/>
            <rFont val="Tahoma"/>
            <family val="2"/>
          </rPr>
          <t xml:space="preserve">
Archuleta Ditch, Citizen Ditch, Turley Ditch</t>
        </r>
      </text>
    </comment>
    <comment ref="AG6" authorId="0" shapeId="0" xr:uid="{00000000-0006-0000-0600-000021000000}">
      <text>
        <r>
          <rPr>
            <b/>
            <sz val="9"/>
            <color indexed="81"/>
            <rFont val="Tahoma"/>
            <family val="2"/>
          </rPr>
          <t>Todd Vandegrift:</t>
        </r>
        <r>
          <rPr>
            <sz val="9"/>
            <color indexed="81"/>
            <rFont val="Tahoma"/>
            <family val="2"/>
          </rPr>
          <t xml:space="preserve">
Aztec MI, NMU2,3,6,7, FarmingtonMI, Shiprock MI, US Nav Non Irr
</t>
        </r>
      </text>
    </comment>
    <comment ref="A7" authorId="0" shapeId="0" xr:uid="{00000000-0006-0000-0600-000022000000}">
      <text>
        <r>
          <rPr>
            <b/>
            <sz val="9"/>
            <color indexed="81"/>
            <rFont val="Tahoma"/>
            <family val="2"/>
          </rPr>
          <t>Todd Vandegrift:</t>
        </r>
        <r>
          <rPr>
            <sz val="9"/>
            <color indexed="81"/>
            <rFont val="Tahoma"/>
            <family val="2"/>
          </rPr>
          <t xml:space="preserve">
Incomplete year</t>
        </r>
      </text>
    </comment>
    <comment ref="J8" authorId="0" shapeId="0" xr:uid="{00000000-0006-0000-0600-000023000000}">
      <text>
        <r>
          <rPr>
            <b/>
            <sz val="9"/>
            <color indexed="81"/>
            <rFont val="Tahoma"/>
            <family val="2"/>
          </rPr>
          <t>Todd Vandegrift:</t>
        </r>
        <r>
          <rPr>
            <sz val="9"/>
            <color indexed="81"/>
            <rFont val="Tahoma"/>
            <family val="2"/>
          </rPr>
          <t xml:space="preserve">
adjusted to include Ridges Basin evap</t>
        </r>
      </text>
    </comment>
    <comment ref="A92" authorId="0" shapeId="0" xr:uid="{00000000-0006-0000-0600-000024000000}">
      <text>
        <r>
          <rPr>
            <b/>
            <sz val="9"/>
            <color indexed="81"/>
            <rFont val="Tahoma"/>
            <family val="2"/>
          </rPr>
          <t>Todd Vandegrift:</t>
        </r>
        <r>
          <rPr>
            <sz val="9"/>
            <color indexed="81"/>
            <rFont val="Tahoma"/>
            <family val="2"/>
          </rPr>
          <t xml:space="preserve">
Incomplete year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00000000-0006-0000-0700-000001000000}">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00000000-0006-0000-0800-000001000000}">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00000000-0006-0000-0900-000001000000}">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6" authorId="0" shapeId="0" xr:uid="{00000000-0006-0000-0A00-000001000000}">
      <text>
        <r>
          <rPr>
            <b/>
            <sz val="9"/>
            <color indexed="81"/>
            <rFont val="Tahoma"/>
            <family val="2"/>
          </rPr>
          <t xml:space="preserve">Todd Vandegrift:
</t>
        </r>
        <r>
          <rPr>
            <sz val="9"/>
            <color indexed="81"/>
            <rFont val="Tahoma"/>
            <family val="2"/>
          </rPr>
          <t xml:space="preserve">
</t>
        </r>
        <r>
          <rPr>
            <sz val="16"/>
            <color indexed="81"/>
            <rFont val="Tahoma"/>
            <family val="2"/>
          </rPr>
          <t>RiverWare DMI (OutputBaselineAnnualDepletionsAndDiversions) posts output data to this worksheet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B4" authorId="0" shapeId="0" xr:uid="{00000000-0006-0000-0B00-000001000000}">
      <text>
        <r>
          <rPr>
            <b/>
            <sz val="9"/>
            <color indexed="81"/>
            <rFont val="Tahoma"/>
            <family val="2"/>
          </rPr>
          <t>Todd Vandegrift:</t>
        </r>
        <r>
          <rPr>
            <sz val="9"/>
            <color indexed="81"/>
            <rFont val="Tahoma"/>
            <family val="2"/>
          </rPr>
          <t xml:space="preserve">
The DMI from the RW model run that was pulled in also selects the appropriate StateMod data "automatically".
</t>
        </r>
      </text>
    </comment>
    <comment ref="A5" authorId="0" shapeId="0" xr:uid="{00000000-0006-0000-0B00-000002000000}">
      <text>
        <r>
          <rPr>
            <b/>
            <sz val="9"/>
            <color indexed="81"/>
            <rFont val="Tahoma"/>
            <family val="2"/>
          </rPr>
          <t xml:space="preserve">Todd Vandegrift:
</t>
        </r>
        <r>
          <rPr>
            <sz val="9"/>
            <color indexed="81"/>
            <rFont val="Tahoma"/>
            <family val="2"/>
          </rPr>
          <t xml:space="preserve">
</t>
        </r>
        <r>
          <rPr>
            <sz val="16"/>
            <color indexed="81"/>
            <rFont val="Tahoma"/>
            <family val="2"/>
          </rPr>
          <t xml:space="preserve">This pulls the data from the appropriate StateMod sheet for the corresponding scenario.
(Its done this way to simplify the formulas that pull the data from here…)
</t>
        </r>
      </text>
    </comment>
    <comment ref="E5" authorId="0" shapeId="0" xr:uid="{00000000-0006-0000-0B00-000003000000}">
      <text>
        <r>
          <rPr>
            <b/>
            <sz val="9"/>
            <color indexed="81"/>
            <rFont val="Tahoma"/>
            <family val="2"/>
          </rPr>
          <t>Todd Vandegrift:</t>
        </r>
        <r>
          <rPr>
            <sz val="9"/>
            <color indexed="81"/>
            <rFont val="Tahoma"/>
            <family val="2"/>
          </rPr>
          <t xml:space="preserve">
29_SUIT</t>
        </r>
      </text>
    </comment>
    <comment ref="H5" authorId="0" shapeId="0" xr:uid="{00000000-0006-0000-0B00-000004000000}">
      <text>
        <r>
          <rPr>
            <b/>
            <sz val="9"/>
            <color indexed="81"/>
            <rFont val="Tahoma"/>
            <family val="2"/>
          </rPr>
          <t>Todd Vandegrift:</t>
        </r>
        <r>
          <rPr>
            <sz val="9"/>
            <color indexed="81"/>
            <rFont val="Tahoma"/>
            <family val="2"/>
          </rPr>
          <t xml:space="preserve">
78_SUIT</t>
        </r>
      </text>
    </comment>
    <comment ref="K5" authorId="0" shapeId="0" xr:uid="{00000000-0006-0000-0B00-000005000000}">
      <text>
        <r>
          <rPr>
            <b/>
            <sz val="9"/>
            <color indexed="81"/>
            <rFont val="Tahoma"/>
            <family val="2"/>
          </rPr>
          <t>Todd Vandegrift:</t>
        </r>
        <r>
          <rPr>
            <sz val="9"/>
            <color indexed="81"/>
            <rFont val="Tahoma"/>
            <family val="2"/>
          </rPr>
          <t xml:space="preserve">
31_SUIT</t>
        </r>
      </text>
    </comment>
    <comment ref="L5" authorId="0" shapeId="0" xr:uid="{00000000-0006-0000-0B00-000006000000}">
      <text>
        <r>
          <rPr>
            <b/>
            <sz val="9"/>
            <color indexed="81"/>
            <rFont val="Tahoma"/>
            <family val="2"/>
          </rPr>
          <t>Todd Vandegrift:</t>
        </r>
        <r>
          <rPr>
            <sz val="9"/>
            <color indexed="81"/>
            <rFont val="Tahoma"/>
            <family val="2"/>
          </rPr>
          <t xml:space="preserve">
THIS DOES INCLUDE THE 3 SM WU's in RW, BUT NOT 30_SUIT</t>
        </r>
      </text>
    </comment>
    <comment ref="N5" authorId="0" shapeId="0" xr:uid="{00000000-0006-0000-0B00-000007000000}">
      <text>
        <r>
          <rPr>
            <b/>
            <sz val="9"/>
            <color indexed="81"/>
            <rFont val="Tahoma"/>
            <family val="2"/>
          </rPr>
          <t>Todd Vandegrift:</t>
        </r>
        <r>
          <rPr>
            <sz val="9"/>
            <color indexed="81"/>
            <rFont val="Tahoma"/>
            <family val="2"/>
          </rPr>
          <t xml:space="preserve">
30_SUIT</t>
        </r>
      </text>
    </comment>
    <comment ref="V5" authorId="0" shapeId="0" xr:uid="{00000000-0006-0000-0B00-000008000000}">
      <text>
        <r>
          <rPr>
            <b/>
            <sz val="9"/>
            <color indexed="81"/>
            <rFont val="Tahoma"/>
            <family val="2"/>
          </rPr>
          <t>Todd Vandegrift:</t>
        </r>
        <r>
          <rPr>
            <sz val="9"/>
            <color indexed="81"/>
            <rFont val="Tahoma"/>
            <family val="2"/>
          </rPr>
          <t xml:space="preserve">
34_UMU</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4" authorId="0" shapeId="0" xr:uid="{A8F6F2A7-E506-4095-BA00-0983F43A01C5}">
      <text>
        <r>
          <rPr>
            <b/>
            <sz val="9"/>
            <color indexed="81"/>
            <rFont val="Tahoma"/>
            <family val="2"/>
          </rPr>
          <t xml:space="preserve">Todd Vandegrift:
</t>
        </r>
        <r>
          <rPr>
            <sz val="9"/>
            <color indexed="81"/>
            <rFont val="Tahoma"/>
            <family val="2"/>
          </rPr>
          <t xml:space="preserve">
</t>
        </r>
        <r>
          <rPr>
            <sz val="16"/>
            <color indexed="81"/>
            <rFont val="Tahoma"/>
            <family val="2"/>
          </rPr>
          <t>Currently this is updated manually when StateMod inputs change.</t>
        </r>
      </text>
    </comment>
    <comment ref="E5" authorId="0" shapeId="0" xr:uid="{41F90C12-1115-4D7C-97C6-8F5DC8D2E016}">
      <text>
        <r>
          <rPr>
            <b/>
            <sz val="9"/>
            <color indexed="81"/>
            <rFont val="Tahoma"/>
            <family val="2"/>
          </rPr>
          <t>Todd Vandegrift:</t>
        </r>
        <r>
          <rPr>
            <sz val="9"/>
            <color indexed="81"/>
            <rFont val="Tahoma"/>
            <family val="2"/>
          </rPr>
          <t xml:space="preserve">
29_SUIT</t>
        </r>
      </text>
    </comment>
    <comment ref="H5" authorId="0" shapeId="0" xr:uid="{786109C3-69B9-4B89-A01C-FA6AF12B9144}">
      <text>
        <r>
          <rPr>
            <b/>
            <sz val="9"/>
            <color indexed="81"/>
            <rFont val="Tahoma"/>
            <family val="2"/>
          </rPr>
          <t>Todd Vandegrift:</t>
        </r>
        <r>
          <rPr>
            <sz val="9"/>
            <color indexed="81"/>
            <rFont val="Tahoma"/>
            <family val="2"/>
          </rPr>
          <t xml:space="preserve">
78_SUIT</t>
        </r>
      </text>
    </comment>
    <comment ref="K5" authorId="0" shapeId="0" xr:uid="{0D476C22-454C-4C41-827E-CEE47FB0969B}">
      <text>
        <r>
          <rPr>
            <b/>
            <sz val="9"/>
            <color indexed="81"/>
            <rFont val="Tahoma"/>
            <family val="2"/>
          </rPr>
          <t>Todd Vandegrift:</t>
        </r>
        <r>
          <rPr>
            <sz val="9"/>
            <color indexed="81"/>
            <rFont val="Tahoma"/>
            <family val="2"/>
          </rPr>
          <t xml:space="preserve">
31_SUIT</t>
        </r>
      </text>
    </comment>
    <comment ref="L5" authorId="0" shapeId="0" xr:uid="{DE5D9587-19AB-4051-BC9C-F4775531CC35}">
      <text>
        <r>
          <rPr>
            <b/>
            <sz val="9"/>
            <color indexed="81"/>
            <rFont val="Tahoma"/>
            <family val="2"/>
          </rPr>
          <t>Todd Vandegrift:</t>
        </r>
        <r>
          <rPr>
            <sz val="9"/>
            <color indexed="81"/>
            <rFont val="Tahoma"/>
            <family val="2"/>
          </rPr>
          <t xml:space="preserve">
THIS DOES INCLUDE THE 3 SM WU's in RW, BUT NOT 30_SUIT</t>
        </r>
      </text>
    </comment>
    <comment ref="N5" authorId="0" shapeId="0" xr:uid="{B6038E49-97F3-4F13-B859-77A668107ACA}">
      <text>
        <r>
          <rPr>
            <b/>
            <sz val="9"/>
            <color indexed="81"/>
            <rFont val="Tahoma"/>
            <family val="2"/>
          </rPr>
          <t>Todd Vandegrift:</t>
        </r>
        <r>
          <rPr>
            <sz val="9"/>
            <color indexed="81"/>
            <rFont val="Tahoma"/>
            <family val="2"/>
          </rPr>
          <t xml:space="preserve">
30_SUIT</t>
        </r>
      </text>
    </comment>
    <comment ref="V5" authorId="0" shapeId="0" xr:uid="{EA79C02C-8523-4F1C-B389-C032A094E9A7}">
      <text>
        <r>
          <rPr>
            <b/>
            <sz val="9"/>
            <color indexed="81"/>
            <rFont val="Tahoma"/>
            <family val="2"/>
          </rPr>
          <t>Todd Vandegrift:</t>
        </r>
        <r>
          <rPr>
            <sz val="9"/>
            <color indexed="81"/>
            <rFont val="Tahoma"/>
            <family val="2"/>
          </rPr>
          <t xml:space="preserve">
34_UMU</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4" authorId="0" shapeId="0" xr:uid="{A17411FE-B732-4C1B-A31F-F2B8F287E4E9}">
      <text>
        <r>
          <rPr>
            <b/>
            <sz val="9"/>
            <color indexed="81"/>
            <rFont val="Tahoma"/>
            <family val="2"/>
          </rPr>
          <t xml:space="preserve">Todd Vandegrift:
</t>
        </r>
        <r>
          <rPr>
            <sz val="9"/>
            <color indexed="81"/>
            <rFont val="Tahoma"/>
            <family val="2"/>
          </rPr>
          <t xml:space="preserve">
</t>
        </r>
        <r>
          <rPr>
            <sz val="16"/>
            <color indexed="81"/>
            <rFont val="Tahoma"/>
            <family val="2"/>
          </rPr>
          <t>Currently this is updated manually when StateMod inputs change.</t>
        </r>
      </text>
    </comment>
    <comment ref="E5" authorId="0" shapeId="0" xr:uid="{C03EF8B4-05E5-4C8D-A0ED-D64657AA10A7}">
      <text>
        <r>
          <rPr>
            <b/>
            <sz val="9"/>
            <color indexed="81"/>
            <rFont val="Tahoma"/>
            <family val="2"/>
          </rPr>
          <t>Todd Vandegrift:</t>
        </r>
        <r>
          <rPr>
            <sz val="9"/>
            <color indexed="81"/>
            <rFont val="Tahoma"/>
            <family val="2"/>
          </rPr>
          <t xml:space="preserve">
29_SUIT</t>
        </r>
      </text>
    </comment>
    <comment ref="H5" authorId="0" shapeId="0" xr:uid="{62EB6195-C7B8-428C-A751-370672ABD383}">
      <text>
        <r>
          <rPr>
            <b/>
            <sz val="9"/>
            <color indexed="81"/>
            <rFont val="Tahoma"/>
            <family val="2"/>
          </rPr>
          <t>Todd Vandegrift:</t>
        </r>
        <r>
          <rPr>
            <sz val="9"/>
            <color indexed="81"/>
            <rFont val="Tahoma"/>
            <family val="2"/>
          </rPr>
          <t xml:space="preserve">
78_SUIT</t>
        </r>
      </text>
    </comment>
    <comment ref="K5" authorId="0" shapeId="0" xr:uid="{8B5F7123-CA36-45FC-BC42-53F1EEFE62B5}">
      <text>
        <r>
          <rPr>
            <b/>
            <sz val="9"/>
            <color indexed="81"/>
            <rFont val="Tahoma"/>
            <family val="2"/>
          </rPr>
          <t>Todd Vandegrift:</t>
        </r>
        <r>
          <rPr>
            <sz val="9"/>
            <color indexed="81"/>
            <rFont val="Tahoma"/>
            <family val="2"/>
          </rPr>
          <t xml:space="preserve">
31_SUIT</t>
        </r>
      </text>
    </comment>
    <comment ref="L5" authorId="0" shapeId="0" xr:uid="{2810B7DF-9368-42D7-88C9-409E660CD4E9}">
      <text>
        <r>
          <rPr>
            <b/>
            <sz val="9"/>
            <color indexed="81"/>
            <rFont val="Tahoma"/>
            <family val="2"/>
          </rPr>
          <t>Todd Vandegrift:</t>
        </r>
        <r>
          <rPr>
            <sz val="9"/>
            <color indexed="81"/>
            <rFont val="Tahoma"/>
            <family val="2"/>
          </rPr>
          <t xml:space="preserve">
THIS DOES INCLUDE THE 3 SM WU's in RW, BUT NOT 30_SUIT</t>
        </r>
      </text>
    </comment>
    <comment ref="N5" authorId="0" shapeId="0" xr:uid="{A4F09EE0-C293-4F40-80DF-4F45388137E5}">
      <text>
        <r>
          <rPr>
            <b/>
            <sz val="9"/>
            <color indexed="81"/>
            <rFont val="Tahoma"/>
            <family val="2"/>
          </rPr>
          <t>Todd Vandegrift:</t>
        </r>
        <r>
          <rPr>
            <sz val="9"/>
            <color indexed="81"/>
            <rFont val="Tahoma"/>
            <family val="2"/>
          </rPr>
          <t xml:space="preserve">
30_SUIT</t>
        </r>
      </text>
    </comment>
    <comment ref="V5" authorId="0" shapeId="0" xr:uid="{91BBA49A-3F8D-4D3E-AFBE-DAB419F051BA}">
      <text>
        <r>
          <rPr>
            <b/>
            <sz val="9"/>
            <color indexed="81"/>
            <rFont val="Tahoma"/>
            <family val="2"/>
          </rPr>
          <t>Todd Vandegrift:</t>
        </r>
        <r>
          <rPr>
            <sz val="9"/>
            <color indexed="81"/>
            <rFont val="Tahoma"/>
            <family val="2"/>
          </rPr>
          <t xml:space="preserve">
34_UMU</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4" authorId="0" shapeId="0" xr:uid="{BAD56AC0-564B-4C39-A2E9-9BE8513191F3}">
      <text>
        <r>
          <rPr>
            <b/>
            <sz val="9"/>
            <color indexed="81"/>
            <rFont val="Tahoma"/>
            <family val="2"/>
          </rPr>
          <t xml:space="preserve">Todd Vandegrift:
</t>
        </r>
        <r>
          <rPr>
            <sz val="9"/>
            <color indexed="81"/>
            <rFont val="Tahoma"/>
            <family val="2"/>
          </rPr>
          <t xml:space="preserve">
</t>
        </r>
        <r>
          <rPr>
            <sz val="16"/>
            <color indexed="81"/>
            <rFont val="Tahoma"/>
            <family val="2"/>
          </rPr>
          <t>Currently this is updated manually when StateMod inputs change.</t>
        </r>
      </text>
    </comment>
    <comment ref="E5" authorId="0" shapeId="0" xr:uid="{D11C8640-9196-4348-80CC-CABE6803FDA2}">
      <text>
        <r>
          <rPr>
            <b/>
            <sz val="9"/>
            <color indexed="81"/>
            <rFont val="Tahoma"/>
            <family val="2"/>
          </rPr>
          <t>Todd Vandegrift:</t>
        </r>
        <r>
          <rPr>
            <sz val="9"/>
            <color indexed="81"/>
            <rFont val="Tahoma"/>
            <family val="2"/>
          </rPr>
          <t xml:space="preserve">
29_SUIT</t>
        </r>
      </text>
    </comment>
    <comment ref="H5" authorId="0" shapeId="0" xr:uid="{A193633F-E8F0-4870-89F4-4D7BA68D35E4}">
      <text>
        <r>
          <rPr>
            <b/>
            <sz val="9"/>
            <color indexed="81"/>
            <rFont val="Tahoma"/>
            <family val="2"/>
          </rPr>
          <t>Todd Vandegrift:</t>
        </r>
        <r>
          <rPr>
            <sz val="9"/>
            <color indexed="81"/>
            <rFont val="Tahoma"/>
            <family val="2"/>
          </rPr>
          <t xml:space="preserve">
78_SUIT</t>
        </r>
      </text>
    </comment>
    <comment ref="K5" authorId="0" shapeId="0" xr:uid="{66E57CC1-AA68-4775-9955-D7D9314A09EE}">
      <text>
        <r>
          <rPr>
            <b/>
            <sz val="9"/>
            <color indexed="81"/>
            <rFont val="Tahoma"/>
            <family val="2"/>
          </rPr>
          <t>Todd Vandegrift:</t>
        </r>
        <r>
          <rPr>
            <sz val="9"/>
            <color indexed="81"/>
            <rFont val="Tahoma"/>
            <family val="2"/>
          </rPr>
          <t xml:space="preserve">
31_SUIT</t>
        </r>
      </text>
    </comment>
    <comment ref="L5" authorId="0" shapeId="0" xr:uid="{F0DF0363-9C1E-4565-9DF9-E5DC43865231}">
      <text>
        <r>
          <rPr>
            <b/>
            <sz val="9"/>
            <color indexed="81"/>
            <rFont val="Tahoma"/>
            <family val="2"/>
          </rPr>
          <t>Todd Vandegrift:</t>
        </r>
        <r>
          <rPr>
            <sz val="9"/>
            <color indexed="81"/>
            <rFont val="Tahoma"/>
            <family val="2"/>
          </rPr>
          <t xml:space="preserve">
THIS DOES INCLUDE THE 3 SM WU's in RW, BUT NOT 30_SUIT</t>
        </r>
      </text>
    </comment>
    <comment ref="N5" authorId="0" shapeId="0" xr:uid="{869FE51C-8450-4E78-8695-74E872FF24FA}">
      <text>
        <r>
          <rPr>
            <b/>
            <sz val="9"/>
            <color indexed="81"/>
            <rFont val="Tahoma"/>
            <family val="2"/>
          </rPr>
          <t>Todd Vandegrift:</t>
        </r>
        <r>
          <rPr>
            <sz val="9"/>
            <color indexed="81"/>
            <rFont val="Tahoma"/>
            <family val="2"/>
          </rPr>
          <t xml:space="preserve">
30_SUIT</t>
        </r>
      </text>
    </comment>
    <comment ref="V5" authorId="0" shapeId="0" xr:uid="{BA6663E9-BE10-4D6D-A162-2E88CD26908C}">
      <text>
        <r>
          <rPr>
            <b/>
            <sz val="9"/>
            <color indexed="81"/>
            <rFont val="Tahoma"/>
            <family val="2"/>
          </rPr>
          <t>Todd Vandegrift:</t>
        </r>
        <r>
          <rPr>
            <sz val="9"/>
            <color indexed="81"/>
            <rFont val="Tahoma"/>
            <family val="2"/>
          </rPr>
          <t xml:space="preserve">
34_UMU</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A4" authorId="0" shapeId="0" xr:uid="{9EF52B59-54A1-4104-B046-1FE255ABA790}">
      <text>
        <r>
          <rPr>
            <b/>
            <sz val="9"/>
            <color indexed="81"/>
            <rFont val="Tahoma"/>
            <family val="2"/>
          </rPr>
          <t xml:space="preserve">Todd Vandegrift:
</t>
        </r>
        <r>
          <rPr>
            <sz val="9"/>
            <color indexed="81"/>
            <rFont val="Tahoma"/>
            <family val="2"/>
          </rPr>
          <t xml:space="preserve">
</t>
        </r>
        <r>
          <rPr>
            <sz val="16"/>
            <color indexed="81"/>
            <rFont val="Tahoma"/>
            <family val="2"/>
          </rPr>
          <t>Currently this is updated manually when StateMod inputs change.</t>
        </r>
      </text>
    </comment>
    <comment ref="E5" authorId="0" shapeId="0" xr:uid="{837E5DE5-4105-4F67-966D-0C8393CFE4CD}">
      <text>
        <r>
          <rPr>
            <b/>
            <sz val="9"/>
            <color indexed="81"/>
            <rFont val="Tahoma"/>
            <family val="2"/>
          </rPr>
          <t>Todd Vandegrift:</t>
        </r>
        <r>
          <rPr>
            <sz val="9"/>
            <color indexed="81"/>
            <rFont val="Tahoma"/>
            <family val="2"/>
          </rPr>
          <t xml:space="preserve">
29_SUIT</t>
        </r>
      </text>
    </comment>
    <comment ref="H5" authorId="0" shapeId="0" xr:uid="{BCA7D30D-D8CA-4625-B2CA-ABE949BA513C}">
      <text>
        <r>
          <rPr>
            <b/>
            <sz val="9"/>
            <color indexed="81"/>
            <rFont val="Tahoma"/>
            <family val="2"/>
          </rPr>
          <t>Todd Vandegrift:</t>
        </r>
        <r>
          <rPr>
            <sz val="9"/>
            <color indexed="81"/>
            <rFont val="Tahoma"/>
            <family val="2"/>
          </rPr>
          <t xml:space="preserve">
78_SUIT</t>
        </r>
      </text>
    </comment>
    <comment ref="K5" authorId="0" shapeId="0" xr:uid="{AF17FC38-AEE7-4287-B285-72BBFD8285DC}">
      <text>
        <r>
          <rPr>
            <b/>
            <sz val="9"/>
            <color indexed="81"/>
            <rFont val="Tahoma"/>
            <family val="2"/>
          </rPr>
          <t>Todd Vandegrift:</t>
        </r>
        <r>
          <rPr>
            <sz val="9"/>
            <color indexed="81"/>
            <rFont val="Tahoma"/>
            <family val="2"/>
          </rPr>
          <t xml:space="preserve">
31_SUIT</t>
        </r>
      </text>
    </comment>
    <comment ref="L5" authorId="0" shapeId="0" xr:uid="{C7E87CBA-8871-41AE-9248-2C75827DACBD}">
      <text>
        <r>
          <rPr>
            <b/>
            <sz val="9"/>
            <color indexed="81"/>
            <rFont val="Tahoma"/>
            <family val="2"/>
          </rPr>
          <t>Todd Vandegrift:</t>
        </r>
        <r>
          <rPr>
            <sz val="9"/>
            <color indexed="81"/>
            <rFont val="Tahoma"/>
            <family val="2"/>
          </rPr>
          <t xml:space="preserve">
THIS DOES INCLUDE THE 3 SM WU's in RW, BUT NOT 30_SUIT</t>
        </r>
      </text>
    </comment>
    <comment ref="N5" authorId="0" shapeId="0" xr:uid="{1DEFAFDD-7A24-48D1-9C35-1D1E8EAB7A37}">
      <text>
        <r>
          <rPr>
            <b/>
            <sz val="9"/>
            <color indexed="81"/>
            <rFont val="Tahoma"/>
            <family val="2"/>
          </rPr>
          <t>Todd Vandegrift:</t>
        </r>
        <r>
          <rPr>
            <sz val="9"/>
            <color indexed="81"/>
            <rFont val="Tahoma"/>
            <family val="2"/>
          </rPr>
          <t xml:space="preserve">
30_SUIT</t>
        </r>
      </text>
    </comment>
    <comment ref="V5" authorId="0" shapeId="0" xr:uid="{C285C573-B0FB-4318-8466-08EE828F04E3}">
      <text>
        <r>
          <rPr>
            <b/>
            <sz val="9"/>
            <color indexed="81"/>
            <rFont val="Tahoma"/>
            <family val="2"/>
          </rPr>
          <t>Todd Vandegrift:</t>
        </r>
        <r>
          <rPr>
            <sz val="9"/>
            <color indexed="81"/>
            <rFont val="Tahoma"/>
            <family val="2"/>
          </rPr>
          <t xml:space="preserve">
34_UMU</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 Vandegrift</author>
  </authors>
  <commentList>
    <comment ref="N7" authorId="0" shapeId="0" xr:uid="{00000000-0006-0000-0E00-000001000000}">
      <text>
        <r>
          <rPr>
            <b/>
            <sz val="9"/>
            <color indexed="81"/>
            <rFont val="Tahoma"/>
            <family val="2"/>
          </rPr>
          <t>Todd Vandegrift:</t>
        </r>
        <r>
          <rPr>
            <sz val="9"/>
            <color indexed="81"/>
            <rFont val="Tahoma"/>
            <family val="2"/>
          </rPr>
          <t xml:space="preserve">
</t>
        </r>
        <r>
          <rPr>
            <sz val="36"/>
            <color indexed="81"/>
            <rFont val="Tahoma"/>
            <family val="2"/>
          </rPr>
          <t>I'm saving this comparison that I went through here for now…. Nov 2018
Its also in the SJRIPSummaryRAW in slightly different format</t>
        </r>
      </text>
    </comment>
  </commentList>
</comments>
</file>

<file path=xl/sharedStrings.xml><?xml version="1.0" encoding="utf-8"?>
<sst xmlns="http://schemas.openxmlformats.org/spreadsheetml/2006/main" count="9259" uniqueCount="679">
  <si>
    <t>Annual Depletion Volumes.ALPDurango</t>
  </si>
  <si>
    <t>Annual Depletion Volumes.ALPNMSupplyFromAnimas__ALPAztec</t>
  </si>
  <si>
    <t>Annual Depletion Volumes.ALPNMSupplyFromAnimas__ALPBloomfield</t>
  </si>
  <si>
    <t>Annual Depletion Volumes.ALPNMSupplyFromAnimas__ALPFarmington</t>
  </si>
  <si>
    <t>Annual Depletion Volumes.ALPNMSupplyFromAnimas__ALPKirkland</t>
  </si>
  <si>
    <t>Annual Depletion Volumes.ALPNMSupplyFromAnimas__ALPShiprock</t>
  </si>
  <si>
    <t>Annual Depletion Volumes.ArchuletaDitch</t>
  </si>
  <si>
    <t>Annual Depletion Volumes.AztecMI</t>
  </si>
  <si>
    <t>Annual Depletion Volumes.BloomfieldMI</t>
  </si>
  <si>
    <t>Annual Depletion Volumes.CitizenDitch</t>
  </si>
  <si>
    <t>Annual Depletion Volumes.CudeiCanal</t>
  </si>
  <si>
    <t>Annual Depletion Volumes.DemandsOnRBR__AnimasFloridaMI</t>
  </si>
  <si>
    <t>Annual Depletion Volumes.DemandsOnRBR__Coal</t>
  </si>
  <si>
    <t>Annual Depletion Volumes.DemandsOnRBR__ColoradoBalance</t>
  </si>
  <si>
    <t>Annual Depletion Volumes.DemandsOnRBR__DgoRuralMI</t>
  </si>
  <si>
    <t>Annual Depletion Volumes.DemandsOnRBR__DurangoMI</t>
  </si>
  <si>
    <t>Annual Depletion Volumes.DemandsOnRBR__GasPowerPlant</t>
  </si>
  <si>
    <t>Annual Depletion Volumes.DemandsOnRBR__LaPlataRuralMI</t>
  </si>
  <si>
    <t>Annual Depletion Volumes.DemandsOnRBR__MancosResort</t>
  </si>
  <si>
    <t>Annual Depletion Volumes.DemandsOnRBR__RidgesBasinResort</t>
  </si>
  <si>
    <t>Annual Depletion Volumes.DemandsOnRBR__UteDurango</t>
  </si>
  <si>
    <t>Annual Depletion Volumes.DEP_NMU2NonIr</t>
  </si>
  <si>
    <t>Annual Depletion Volumes.DEP_NMU3NonIr</t>
  </si>
  <si>
    <t>Annual Depletion Volumes.DEP_NMU6NonIr</t>
  </si>
  <si>
    <t>Annual Depletion Volumes.DEP_NMU7NonIr</t>
  </si>
  <si>
    <t>Annual Depletion Volumes.DEP_Unspecified1</t>
  </si>
  <si>
    <t>Annual Depletion Volumes.DEP_Unspecified2</t>
  </si>
  <si>
    <t>Annual Depletion Volumes.DEP_Unspecified3</t>
  </si>
  <si>
    <t>Annual Depletion Volumes.DEP_Unspecified4</t>
  </si>
  <si>
    <t>Annual Depletion Volumes.EchoDitch</t>
  </si>
  <si>
    <t>Annual Depletion Volumes.Enterprise</t>
  </si>
  <si>
    <t>Annual Depletion Volumes.FarmersMutual</t>
  </si>
  <si>
    <t>Annual Depletion Volumes.FarmingtonGlade</t>
  </si>
  <si>
    <t>Annual Depletion Volumes.FarmingtonMI</t>
  </si>
  <si>
    <t>Annual Depletion Volumes.FourCornersPP</t>
  </si>
  <si>
    <t>Annual Depletion Volumes.FruitlandAndCambridge</t>
  </si>
  <si>
    <t>Annual Depletion Volumes.Hammond</t>
  </si>
  <si>
    <t>Annual Depletion Volumes.Hogback</t>
  </si>
  <si>
    <t>Annual Depletion Volumes.JewettValley</t>
  </si>
  <si>
    <t>Annual Depletion Volumes.JicarillaIrr</t>
  </si>
  <si>
    <t>Annual Depletion Volumes.JicarillaNonIr</t>
  </si>
  <si>
    <t>Annual Depletion Volumes.LaPlataNonIr</t>
  </si>
  <si>
    <t>Annual Depletion Volumes.LowerLaPlataIrr</t>
  </si>
  <si>
    <t>Annual Depletion Volumes.NavajoGallupBalance</t>
  </si>
  <si>
    <t>Annual Depletion Volumes.NIIP__DEP_NIIPUnit3</t>
  </si>
  <si>
    <t>Annual Depletion Volumes.NIIP__DEP_NIIPUnit5</t>
  </si>
  <si>
    <t>Annual Depletion Volumes.NIIP__DEP_NIIPUnit6</t>
  </si>
  <si>
    <t>Annual Depletion Volumes.NIIP__NavajoGallupNIIP</t>
  </si>
  <si>
    <t>Annual Depletion Volumes.NMAnimasIrr</t>
  </si>
  <si>
    <t>Annual Depletion Volumes.NMPineRiverAreaIrr</t>
  </si>
  <si>
    <t>Annual Depletion Volumes.Pioneer</t>
  </si>
  <si>
    <t>Annual Depletion Volumes.Ralston</t>
  </si>
  <si>
    <t>Annual Depletion Volumes.ShiprockMI</t>
  </si>
  <si>
    <t>Annual Depletion Volumes.SJGeneratingStation</t>
  </si>
  <si>
    <t>Annual Depletion Volumes.TurleyDitch</t>
  </si>
  <si>
    <t>Annual Depletion Volumes.TwinRocks</t>
  </si>
  <si>
    <t>Annual Depletion Volumes.USNavajoNonIr</t>
  </si>
  <si>
    <t>Annual Depletion Volumes.UtahIrr</t>
  </si>
  <si>
    <t>Min</t>
  </si>
  <si>
    <t>Max</t>
  </si>
  <si>
    <t>Total ALP</t>
  </si>
  <si>
    <t>NIIP</t>
  </si>
  <si>
    <t>Total Navajo Gallup</t>
  </si>
  <si>
    <t>SJBHM Baseline Depletion Summary</t>
  </si>
  <si>
    <t>Depletion Category</t>
  </si>
  <si>
    <t>Average Depletion</t>
  </si>
  <si>
    <t xml:space="preserve">Depletion Range </t>
  </si>
  <si>
    <t>Acre-Feet</t>
  </si>
  <si>
    <t>Maximum</t>
  </si>
  <si>
    <t>Minimum</t>
  </si>
  <si>
    <t>New Mexico</t>
  </si>
  <si>
    <t>Irrigation</t>
  </si>
  <si>
    <t>Tribal</t>
  </si>
  <si>
    <t>Navajo Indian Irrigation Project</t>
  </si>
  <si>
    <t xml:space="preserve">NIIP Ground Water </t>
  </si>
  <si>
    <t>Hogback</t>
  </si>
  <si>
    <t>Fruitland and Cambridge</t>
  </si>
  <si>
    <t>Cudei</t>
  </si>
  <si>
    <t>Navajo Subtotal</t>
  </si>
  <si>
    <t>Jicarilla - Above Navajo Dam</t>
  </si>
  <si>
    <t>Non-Tribal</t>
  </si>
  <si>
    <t>Above Navajo Dam - Private</t>
  </si>
  <si>
    <t>Animas River</t>
  </si>
  <si>
    <t>La Plata River</t>
  </si>
  <si>
    <t>Upper San Juan</t>
  </si>
  <si>
    <t>Hammond Project</t>
  </si>
  <si>
    <t>Farmers Mutual Ditch</t>
  </si>
  <si>
    <t>Jewett Valley</t>
  </si>
  <si>
    <t>Subtotal</t>
  </si>
  <si>
    <t>Total NM Irrigation Depletions</t>
  </si>
  <si>
    <t>Jicarilla M&amp;I</t>
  </si>
  <si>
    <t>Non- Irrigation</t>
  </si>
  <si>
    <t>Navajo Reservoir Evaporation</t>
  </si>
  <si>
    <t>Utah International (4C PP)</t>
  </si>
  <si>
    <t>San Juan Generation Station</t>
  </si>
  <si>
    <t>Bloomfield M&amp;I</t>
  </si>
  <si>
    <t>Miscellaneous Non Irrigation</t>
  </si>
  <si>
    <t>Non-Irrigation Without Evaporation</t>
  </si>
  <si>
    <t>Total Non-Irrigation Depletion</t>
  </si>
  <si>
    <t>Total New Mexico Depletions</t>
  </si>
  <si>
    <t>Colorado</t>
  </si>
  <si>
    <t>Above Navajo Reservoir</t>
  </si>
  <si>
    <t>Navajo Blanco</t>
  </si>
  <si>
    <t>Piedra</t>
  </si>
  <si>
    <t>Pine</t>
  </si>
  <si>
    <t>Future Southern Utes Tribs above Navajo</t>
  </si>
  <si>
    <t>Total Colorado Depletions Above Navajo Reservoir</t>
  </si>
  <si>
    <t>San Juan Tributaries Below Navajo Reservoir</t>
  </si>
  <si>
    <t>Florida</t>
  </si>
  <si>
    <t>Animas</t>
  </si>
  <si>
    <t>La Plata</t>
  </si>
  <si>
    <t>Mancos</t>
  </si>
  <si>
    <t>Future Southern Utes Tribs below Navajo</t>
  </si>
  <si>
    <t>Future Ute Mountain Utes Mancos</t>
  </si>
  <si>
    <t>Total Colorado Depletions from Tributaries Below Navajo</t>
  </si>
  <si>
    <t>Total Colorado Depletions (without McElmo Basin)</t>
  </si>
  <si>
    <t>Total Colorado &amp; New Mexico Combined Depletions</t>
  </si>
  <si>
    <t>Other Project Depletions</t>
  </si>
  <si>
    <t>Navajo Gallup</t>
  </si>
  <si>
    <t>Animas-La Plata Project</t>
  </si>
  <si>
    <t>San Juan Chama Project</t>
  </si>
  <si>
    <t>Unspecified Minor Depletions</t>
  </si>
  <si>
    <t>Total Other Project Depletions</t>
  </si>
  <si>
    <t>McElmo Basin</t>
  </si>
  <si>
    <t>Future Ute Mountain Utes McElmo</t>
  </si>
  <si>
    <t>McElmo Depletions</t>
  </si>
  <si>
    <t>McElmo Dolores Imports</t>
  </si>
  <si>
    <t>Utah Depletions</t>
  </si>
  <si>
    <t>Arizona Depletions</t>
  </si>
  <si>
    <t>Basin Total Onstream Depletion</t>
  </si>
  <si>
    <t>Notes</t>
  </si>
  <si>
    <t>SJBHM Baseline Tribal Settlement Depletion Summary</t>
  </si>
  <si>
    <t>Tribe</t>
  </si>
  <si>
    <t>Modeled</t>
  </si>
  <si>
    <t>Settlement</t>
  </si>
  <si>
    <t>Navajo</t>
  </si>
  <si>
    <t>Full settlement volume</t>
  </si>
  <si>
    <t>Hogback-Cudei Irrigation Project</t>
  </si>
  <si>
    <t>Fruitland-Cambridge Irrigation Project</t>
  </si>
  <si>
    <t>Shiprock M&amp;I</t>
  </si>
  <si>
    <t>Jicarilla</t>
  </si>
  <si>
    <t>Total Above Navajo</t>
  </si>
  <si>
    <t>Below Navajo</t>
  </si>
  <si>
    <t>This water is contracted out, mostly to PNM-SJGS and APS, and included in those water users depletions and not explicitly as Jicarilla.</t>
  </si>
  <si>
    <t>Mancos and McElmo UMUT depletions are represented within CO StateMod as reported here.  Some of the Settlement depletions are also off-stream or groundwater depletions.</t>
  </si>
  <si>
    <t>Mancos Basin</t>
  </si>
  <si>
    <t>Southern Ute</t>
  </si>
  <si>
    <t>Above Navajo</t>
  </si>
  <si>
    <t>na</t>
  </si>
  <si>
    <t>Depletions are represented within the CO StateMod, as reported here.</t>
  </si>
  <si>
    <t>Navajo Gallup Water Supply Project Tribal Breakdown</t>
  </si>
  <si>
    <t>Arizona</t>
  </si>
  <si>
    <t>Settlements are met within Total Navajo Gallup although not explicity reported.</t>
  </si>
  <si>
    <t>Animas-La Plata Project Tribal Breakdown</t>
  </si>
  <si>
    <t>Navajo ALP - Shiprock M&amp;I</t>
  </si>
  <si>
    <t>Ute Mountain Ute ALP</t>
  </si>
  <si>
    <t>Met through ALP Total although not explicitly reported.</t>
  </si>
  <si>
    <t>Total Animas-La Plata Project</t>
  </si>
  <si>
    <t>New Mexico Depletions</t>
  </si>
  <si>
    <t>NIIP with NG</t>
  </si>
  <si>
    <t>Navajo Lands Irrigation Depletion</t>
  </si>
  <si>
    <t>Full NIIP</t>
  </si>
  <si>
    <t>Non-Navajo Irrigation Depletion</t>
  </si>
  <si>
    <t>Above Navajo Dam - Jicarilla</t>
  </si>
  <si>
    <t>Westwater</t>
  </si>
  <si>
    <t>Total NM Irrigation Depletion</t>
  </si>
  <si>
    <t>Non-Irrigation Depletions</t>
  </si>
  <si>
    <t>Offstream Non-Irrigation Depletion</t>
  </si>
  <si>
    <t>Colorado Depletions</t>
  </si>
  <si>
    <t>Upstream of Navajo</t>
  </si>
  <si>
    <t>Southern Utes</t>
  </si>
  <si>
    <t>Downstream of Navajo</t>
  </si>
  <si>
    <t>Ute Mountain Utes Mancos</t>
  </si>
  <si>
    <t>CO &amp; NM Combined Depletions</t>
  </si>
  <si>
    <t>Other Depletions</t>
  </si>
  <si>
    <t>Animas La Plata Project</t>
  </si>
  <si>
    <t>Ute Mountain Utes McElmo</t>
  </si>
  <si>
    <t>Net McElmo Imports</t>
  </si>
  <si>
    <t>Water Supply Source (Project or Basin)</t>
  </si>
  <si>
    <t>Tribe's Project</t>
  </si>
  <si>
    <t>Diversion Location in Model</t>
  </si>
  <si>
    <t>Full Settlement Diversion (afy)</t>
  </si>
  <si>
    <t>Full Settlement Depletion (afy)</t>
  </si>
  <si>
    <t>Limitations/Notes</t>
  </si>
  <si>
    <t>Navajo Reservoir</t>
  </si>
  <si>
    <t>Annual volume is 10-yr average with max no larger than 15% higher (584,200 afy/310,500 afy). Max diversion rate 1800 cfs.  100,630 acres land.  Not using NG depletion guarantee.</t>
  </si>
  <si>
    <t>Navajo Reservoir or the San Juan River</t>
  </si>
  <si>
    <t>NGWSP</t>
  </si>
  <si>
    <t>Cutter Lateral- Navajo Reservoir</t>
  </si>
  <si>
    <t>Total max rate (including Jicarilla) 8.3 cfs  Monthly rate breakdown in table.</t>
  </si>
  <si>
    <t>San Juan Lateral- SJ River (but supplied by Navajo Reservoir)- to NM</t>
  </si>
  <si>
    <t>Total max rate (including Jicarilla) 59.18 cfs. Monthly rate breakdown in table.</t>
  </si>
  <si>
    <t>nm ngwsp subtotal</t>
  </si>
  <si>
    <t>San Juan Lateral- SJ River (but supplied by Navajo Reservoir)- to AZ</t>
  </si>
  <si>
    <t>AZ not in model</t>
  </si>
  <si>
    <t>ALP</t>
  </si>
  <si>
    <t>Lake Nighthorse or Animas River</t>
  </si>
  <si>
    <t>San Juan River</t>
  </si>
  <si>
    <t>Hogback-Cudei Irrig Proj</t>
  </si>
  <si>
    <t>Hogback canal</t>
  </si>
  <si>
    <t>Max rate 221 cfs (including diversions from alternate point at historic Cudei ditch)  8830 acres land.</t>
  </si>
  <si>
    <t>Fruitland-Cambridge Irrig Proj</t>
  </si>
  <si>
    <t>Fruitland canal</t>
  </si>
  <si>
    <t>Max rate 100 cfs</t>
  </si>
  <si>
    <t>SJ River subtotal</t>
  </si>
  <si>
    <t>Shiprock Area M&amp;I</t>
  </si>
  <si>
    <t>Shiprock</t>
  </si>
  <si>
    <t>Max rate 5 cfs</t>
  </si>
  <si>
    <t>groundwater</t>
  </si>
  <si>
    <t>Groundwater</t>
  </si>
  <si>
    <t>Throughout basin</t>
  </si>
  <si>
    <t xml:space="preserve">Additional groundwater diversions possible, as long as river depletions do not exceed 2,000 afy in the aggregate.  Groundwater depletions to the river in excess of 2,000 afy must be offset. </t>
  </si>
  <si>
    <t>Reserved Rights for historic and existing irrigation uses</t>
  </si>
  <si>
    <t>Reserved Uses</t>
  </si>
  <si>
    <t>historic uses off of the river out in the tributary washes or groundwater - assume all below Chaco Wash (Pollack)</t>
  </si>
  <si>
    <t>depletion at site</t>
  </si>
  <si>
    <t>depletion at SJ River</t>
  </si>
  <si>
    <t>State Groundwater rights</t>
  </si>
  <si>
    <t>NE 1/4 of Section 9, Township 19N, Range 17W, NMPM</t>
  </si>
  <si>
    <t xml:space="preserve">This PLSS address puts this close to Gallup. </t>
  </si>
  <si>
    <t>total</t>
  </si>
  <si>
    <t>Navajo Reservoir or Navajo River</t>
  </si>
  <si>
    <t>no specific project</t>
  </si>
  <si>
    <t>Navajo Reservoir Release</t>
  </si>
  <si>
    <t>Most of this water is already contracted out. If used, it would go to PNM (16,200 afy), San Juan Refinery (340 afy), SJ Water Haulers (200 afy), Elks Lodge (15 afy), and PNM/APS (8500 afy) for a total of 25,255 afy (this number is ~400 afy higher than the 24800 left over after NGWSP?)  For the purposes of the baseline model, NGWSP water was modeled as shown in the NGWSP Environmental Impact Statement.  However, the Jicarilla Apache Nation’s Water Settlement does not call for these rights to be assigned to a specific project.  The Nation has flexibility in where the delivery of the 1,200 af for the Cutter Lateral will come from and the 7,500 af for the San Juan Lateral is under subcontract.</t>
  </si>
  <si>
    <t>Navajo-Gallup Water Supply Project</t>
  </si>
  <si>
    <t>Total max rate (including Navajo) 8.3 cfs  Monthly rate breakdown in table.</t>
  </si>
  <si>
    <t>San Juan Lateral- SJ River (but supplied by Navajo Reservoir)</t>
  </si>
  <si>
    <t>Total max rate (including Navajo) 59.18 cfs. Monthly rate breakdown in table.</t>
  </si>
  <si>
    <t>subtotal San Juan Basin</t>
  </si>
  <si>
    <t>San Juan Chama</t>
  </si>
  <si>
    <t>SJ Chama Project</t>
  </si>
  <si>
    <t>Azotea Tunnel</t>
  </si>
  <si>
    <t>subtotal San Juan Basin and San Juan Chama</t>
  </si>
  <si>
    <t>San Juan and Navajo River</t>
  </si>
  <si>
    <t>Historic Uses</t>
  </si>
  <si>
    <t>Navajo River Basin</t>
  </si>
  <si>
    <t xml:space="preserve">These rights are located in the Navajo River Basin and are approved for the following uses: livestock; recreation; irrigation; and commercial, municipal, and domestic. </t>
  </si>
  <si>
    <t>Evaporative Losses</t>
  </si>
  <si>
    <t>Lake Evaporation</t>
  </si>
  <si>
    <t xml:space="preserve">fill and refill right for loss through evaporation for lakes throughout the reservation. </t>
  </si>
  <si>
    <t>UMUT (in CO)</t>
  </si>
  <si>
    <t>Existing and Future Uses</t>
  </si>
  <si>
    <t>StateMod</t>
  </si>
  <si>
    <t>Max diversion rate of 10 cfs. Varying purposes, stock ponds, stock wells, springs for stocks, irrigation</t>
  </si>
  <si>
    <t>ALP- Animas or Lake Nighthorse</t>
  </si>
  <si>
    <t>Animas River and/or Lake Nighthorse</t>
  </si>
  <si>
    <t>stock ponds and stockwells</t>
  </si>
  <si>
    <t>non-project reserved rights</t>
  </si>
  <si>
    <t>Navajo Wash</t>
  </si>
  <si>
    <t>Mancos and/or Navajo Wash</t>
  </si>
  <si>
    <t>varying purposes, irrigation, stock ponds, catchment basins, dom wells, stock wells, springs for stock</t>
  </si>
  <si>
    <t>all drainages</t>
  </si>
  <si>
    <t>oil and gas development and construction</t>
  </si>
  <si>
    <t>for future individual dom and livestock wells</t>
  </si>
  <si>
    <t>McElmo</t>
  </si>
  <si>
    <t>varying purposes, irrigation, stock ponds, dom wells, stock wells, springs for stock</t>
  </si>
  <si>
    <t>Dolores- McPhee</t>
  </si>
  <si>
    <t xml:space="preserve">23,300 af irrig, 1000 afy M&amp;I, 800 afy fish and wildlife (in study). </t>
  </si>
  <si>
    <t>This is 300 higher than the table on pg 3 because of Dolores</t>
  </si>
  <si>
    <t>SUIT</t>
  </si>
  <si>
    <t>Settlement Existing Uses (includes catchment basins, irrigation ditches, livestock reservoirs, springs, and wells)</t>
  </si>
  <si>
    <t>Florida River</t>
  </si>
  <si>
    <t>Settlement Existing Uses (includes catchment basins, irrigation ditches, livestock reservoirs, springs, and wells), and direct diversions</t>
  </si>
  <si>
    <t>Lemon Reservoir</t>
  </si>
  <si>
    <t>Los Pinos River</t>
  </si>
  <si>
    <t>Direct Diversions (Ute Municipal Pipeline), Direct Diversions (US vs. Morrison Consol. Decree), Settlement Existing Uses (includes catchment basins, irrigation ditches, livestock reservoirs, springs, and wells)</t>
  </si>
  <si>
    <t>Vallecito Reservoir</t>
  </si>
  <si>
    <t>Piedra River</t>
  </si>
  <si>
    <t>Settlement Existing Uses (includes catchment basins, irrigation ditches, livestock reservoirs, springs, and wells), Direct Diversions (Piedra Mainstem), Direct Diversions (Piedra Mainstem-Cruther &amp; Washington Flats Ditches), Direct Diversions (Devil Creek), Pargin Reservoir and refill</t>
  </si>
  <si>
    <t>Settlement Existing Uses (includes catchment basins, irrigation ditches, livestock reservoirs, springs, and wells), Direct Diversions (San Juan River), Direct Diversions (Round Meadow Creek), Direct Diversions (Cat Creek)</t>
  </si>
  <si>
    <t>Navajo River</t>
  </si>
  <si>
    <t>Reservation-Wide</t>
  </si>
  <si>
    <t>Domestic and Livestock Tributary Groundwater Uses</t>
  </si>
  <si>
    <t>All Drainages</t>
  </si>
  <si>
    <t>oil and gas development, road construction and maintenance</t>
  </si>
  <si>
    <t>ALP Project</t>
  </si>
  <si>
    <t>Depletions are as input into StateMod, not including incidental depletions</t>
  </si>
  <si>
    <t>Data Sources:  Input from Stanley Pollack (Navajo), Herb Becker and Natasha Cuylear (Jicarilla), and Celene Hawkins (UMUT)</t>
  </si>
  <si>
    <t>Navajo water rights settlement agreement, Settlement contract between BOR and Navajo Nation, PL-111-11</t>
  </si>
  <si>
    <t>Jicarilla Apache Tribe Water Settlement Act of 1992, P.L. 102-441, 106 Stat. 2237</t>
  </si>
  <si>
    <t>UMUT</t>
  </si>
  <si>
    <t>REVISED SUMMARY OF TRIBAL WATER RIGHTS INFORMATION FOR THE UTE MOUNTAIN UTE TRIBE RE COLORADO RIVER BASIN WATER SUPPLY AND DEMAND STUDY 2/2/2012</t>
  </si>
  <si>
    <t>Cathy Condon, StateMod</t>
  </si>
  <si>
    <t>Navajo-Gallup Water Supply Project Planning Report and Draft Environmental Impact Statement (att F)</t>
  </si>
  <si>
    <t>NGWSP Monthly Rate breakdown:</t>
  </si>
  <si>
    <t>Depletion Reporting Config.Annual Navajo Evaporation</t>
  </si>
  <si>
    <t>Depletion Reporting Config.Annual Net NIIP GW Depletion</t>
  </si>
  <si>
    <t>Depletion Reporting Config.Annual Ridges Basin Evaporation</t>
  </si>
  <si>
    <t>New Mexico La Plata Irrigation</t>
  </si>
  <si>
    <t>Average, TAF</t>
  </si>
  <si>
    <t>Minimum, TAF</t>
  </si>
  <si>
    <t>Maximum, TAF</t>
  </si>
  <si>
    <t>Depletion Reporting Config.Annual San Juan Chama Diversion Volume</t>
  </si>
  <si>
    <t>Total Unspecified Depletions</t>
  </si>
  <si>
    <t>Depletion Reporting Config.Annual Shortage Volume</t>
  </si>
  <si>
    <t>Number of Shortage Years</t>
  </si>
  <si>
    <t>New Mexico Animas Irrigation w/o Farmers Mutual</t>
  </si>
  <si>
    <t>NM Irrigation Upper San Juan</t>
  </si>
  <si>
    <t>N/A</t>
  </si>
  <si>
    <t>NM Non Irrigation Misc</t>
  </si>
  <si>
    <t>Upper San Juan (inc. Navajo/Blanco)</t>
  </si>
  <si>
    <t>THE AVERAGES HERE CURRENTLY INCLUDE SHORTAGE YEARS</t>
  </si>
  <si>
    <t>Avg</t>
  </si>
  <si>
    <t>Scattered Rural Domestic Uses</t>
  </si>
  <si>
    <t>Chaco River</t>
  </si>
  <si>
    <t>Whiskey Creek</t>
  </si>
  <si>
    <t>Red Wash</t>
  </si>
  <si>
    <t>???</t>
  </si>
  <si>
    <t>Average, AF</t>
  </si>
  <si>
    <t>Min, AF</t>
  </si>
  <si>
    <t>Max, AF</t>
  </si>
  <si>
    <t>Calculated</t>
  </si>
  <si>
    <t>Calendar Year</t>
  </si>
  <si>
    <t>San Juan above Carracas Depletions</t>
  </si>
  <si>
    <t>San Juan above Carracas Evaporation</t>
  </si>
  <si>
    <t>StateMod San Juan Chama Exports</t>
  </si>
  <si>
    <t>San Juan above Carracas Tribal Reserved Depletions</t>
  </si>
  <si>
    <t>Piedra Depletions</t>
  </si>
  <si>
    <t>Piedra Evaporation</t>
  </si>
  <si>
    <t>Piedra Tribal Reserved Depletions</t>
  </si>
  <si>
    <t>Pine Depletions</t>
  </si>
  <si>
    <t>Pine Evaporation</t>
  </si>
  <si>
    <t>Pine Tribal Depletions</t>
  </si>
  <si>
    <t>Animas above Durango Depletions</t>
  </si>
  <si>
    <t>Animas above Durango Evaporation</t>
  </si>
  <si>
    <t>Animas Tribal Depletions</t>
  </si>
  <si>
    <t>Florida Depletions</t>
  </si>
  <si>
    <t>Florida Evaporation</t>
  </si>
  <si>
    <t>La Plata Depletions</t>
  </si>
  <si>
    <t>La Plata Evaporation</t>
  </si>
  <si>
    <t>La Plata Tribal Depletions</t>
  </si>
  <si>
    <t>Mancos Depletions</t>
  </si>
  <si>
    <t>Mancos Evaporation</t>
  </si>
  <si>
    <t>Mancos Tribal Depletions</t>
  </si>
  <si>
    <t>McElmo Evaporation</t>
  </si>
  <si>
    <t>McElmo Tribal Depletions</t>
  </si>
  <si>
    <t>McElmo Imports</t>
  </si>
  <si>
    <t>Above Navajo StateMod Tribal Total</t>
  </si>
  <si>
    <t>San Juan above Carracas Total Depletions (Depletions+Evap)</t>
  </si>
  <si>
    <t>Piedra Total Depletions (Depletions+Evap)</t>
  </si>
  <si>
    <t>Pine Total Depletions (Depletions+Evap)</t>
  </si>
  <si>
    <t>Animas Total Depletions (Depletions+Evap)</t>
  </si>
  <si>
    <t>Florida Total Depletions (Depletions+Evap)</t>
  </si>
  <si>
    <t>La Plata Total Depletions (Depletions+Evap)</t>
  </si>
  <si>
    <t>Mancos Total Depletions (Depletions+Evap)</t>
  </si>
  <si>
    <t>McElmo Total Depletions (Depletions+Evap)</t>
  </si>
  <si>
    <t>NGWSP Table V-3 Baseline Depletions</t>
  </si>
  <si>
    <t>Scattered rural domestic uses</t>
  </si>
  <si>
    <t>Scattered stock ponds and livestock uses</t>
  </si>
  <si>
    <t>Fish and wildlife</t>
  </si>
  <si>
    <t>M&amp;I uses</t>
  </si>
  <si>
    <t>Jicarilla Apache Nation Navajo River Water Supply Project</t>
  </si>
  <si>
    <t>Total New Mexico Depletions (excluding ALP)</t>
  </si>
  <si>
    <t>THIS INCLUDES THE NET MCELMO IMPORTS!!!!</t>
  </si>
  <si>
    <t>Net McElmo Basin Imports</t>
  </si>
  <si>
    <t>Total with Net McElmo Imports</t>
  </si>
  <si>
    <t>Total with Offstream</t>
  </si>
  <si>
    <t>from NGWSP table V-3</t>
  </si>
  <si>
    <t>GRAND TOTAL</t>
  </si>
  <si>
    <t>without McElmo imports…</t>
  </si>
  <si>
    <t>Offstream Depletions</t>
  </si>
  <si>
    <t>Total Colorado with ALP</t>
  </si>
  <si>
    <t>Year</t>
  </si>
  <si>
    <t>Annual Diversion Request Volumes.ALPDurango</t>
  </si>
  <si>
    <t>Annual Diversion Request Volumes.ALPNMSupplyFromAnimas__ALPAztec</t>
  </si>
  <si>
    <t>Annual Diversion Request Volumes.ALPNMSupplyFromAnimas__ALPBloomfield</t>
  </si>
  <si>
    <t>Annual Diversion Request Volumes.ALPNMSupplyFromAnimas__ALPFarmington</t>
  </si>
  <si>
    <t>Annual Diversion Request Volumes.ALPNMSupplyFromAnimas__ALPKirkland</t>
  </si>
  <si>
    <t>Annual Diversion Request Volumes.ALPNMSupplyFromAnimas__ALPShiprock</t>
  </si>
  <si>
    <t>Annual Diversion Request Volumes.ArchuletaDitch</t>
  </si>
  <si>
    <t>Annual Diversion Request Volumes.AztecMI</t>
  </si>
  <si>
    <t>Annual Diversion Request Volumes.BloomfieldMI</t>
  </si>
  <si>
    <t>Annual Diversion Request Volumes.CitizenDitch</t>
  </si>
  <si>
    <t>Annual Diversion Request Volumes.CudeiCanal</t>
  </si>
  <si>
    <t>Annual Diversion Request Volumes.DemandsOnRBR__AnimasFloridaMI</t>
  </si>
  <si>
    <t>Annual Diversion Request Volumes.DemandsOnRBR__Coal</t>
  </si>
  <si>
    <t>Annual Diversion Request Volumes.DemandsOnRBR__ColoradoBalance</t>
  </si>
  <si>
    <t>Annual Diversion Request Volumes.DemandsOnRBR__DgoRuralMI</t>
  </si>
  <si>
    <t>Annual Diversion Request Volumes.DemandsOnRBR__DurangoMI</t>
  </si>
  <si>
    <t>Annual Diversion Request Volumes.DemandsOnRBR__GasPowerPlant</t>
  </si>
  <si>
    <t>Annual Diversion Request Volumes.DemandsOnRBR__LaPlataRuralMI</t>
  </si>
  <si>
    <t>Annual Diversion Request Volumes.DemandsOnRBR__MancosResort</t>
  </si>
  <si>
    <t>Annual Diversion Request Volumes.DemandsOnRBR__RidgesBasinResort</t>
  </si>
  <si>
    <t>Annual Diversion Request Volumes.DemandsOnRBR__UteDurango</t>
  </si>
  <si>
    <t>Annual Diversion Request Volumes.DEP_NMU2NonIr</t>
  </si>
  <si>
    <t>Annual Diversion Request Volumes.DEP_NMU3NonIr</t>
  </si>
  <si>
    <t>Annual Diversion Request Volumes.DEP_NMU6NonIr</t>
  </si>
  <si>
    <t>Annual Diversion Request Volumes.DEP_NMU7NonIr</t>
  </si>
  <si>
    <t>Annual Diversion Request Volumes.DEP_Unspecified1</t>
  </si>
  <si>
    <t>Annual Diversion Request Volumes.DEP_Unspecified2</t>
  </si>
  <si>
    <t>Annual Diversion Request Volumes.DEP_Unspecified3</t>
  </si>
  <si>
    <t>Annual Diversion Request Volumes.DEP_Unspecified4</t>
  </si>
  <si>
    <t>Annual Diversion Request Volumes.EchoDitch</t>
  </si>
  <si>
    <t>Annual Diversion Request Volumes.Enterprise</t>
  </si>
  <si>
    <t>Annual Diversion Request Volumes.FarmersMutual</t>
  </si>
  <si>
    <t>Annual Diversion Request Volumes.FarmingtonGlade</t>
  </si>
  <si>
    <t>Annual Diversion Request Volumes.FarmingtonMI</t>
  </si>
  <si>
    <t>Annual Diversion Request Volumes.FourCornersPP</t>
  </si>
  <si>
    <t>Annual Diversion Request Volumes.FruitlandAndCambridge</t>
  </si>
  <si>
    <t>Annual Diversion Request Volumes.Hammond</t>
  </si>
  <si>
    <t>Annual Diversion Request Volumes.Hogback</t>
  </si>
  <si>
    <t>Annual Diversion Request Volumes.JewettValley</t>
  </si>
  <si>
    <t>Annual Diversion Request Volumes.JicarillaIrr</t>
  </si>
  <si>
    <t>Annual Diversion Request Volumes.JicarillaNonIr</t>
  </si>
  <si>
    <t>Annual Diversion Request Volumes.LaPlataNonIr</t>
  </si>
  <si>
    <t>Annual Diversion Request Volumes.LowerLaPlataIrr</t>
  </si>
  <si>
    <t>Annual Diversion Request Volumes.NavajoGallupBalance</t>
  </si>
  <si>
    <t>Annual Diversion Request Volumes.NIIP__DEP_NIIPUnit3</t>
  </si>
  <si>
    <t>Annual Diversion Request Volumes.NIIP__DEP_NIIPUnit5</t>
  </si>
  <si>
    <t>Annual Diversion Request Volumes.NIIP__DEP_NIIPUnit6</t>
  </si>
  <si>
    <t>Annual Diversion Request Volumes.NIIP__NavajoGallupNIIP</t>
  </si>
  <si>
    <t>Annual Diversion Request Volumes.NMAnimasIrr</t>
  </si>
  <si>
    <t>Annual Diversion Request Volumes.NMPineRiverAreaIrr</t>
  </si>
  <si>
    <t>Annual Diversion Request Volumes.Pioneer</t>
  </si>
  <si>
    <t>Annual Diversion Request Volumes.Ralston</t>
  </si>
  <si>
    <t>Annual Diversion Request Volumes.ShiprockMI</t>
  </si>
  <si>
    <t>Annual Diversion Request Volumes.SJGeneratingStation</t>
  </si>
  <si>
    <t>Annual Diversion Request Volumes.TurleyDitch</t>
  </si>
  <si>
    <t>Annual Diversion Request Volumes.TwinRocks</t>
  </si>
  <si>
    <t>Annual Diversion Request Volumes.USNavajoNonIr</t>
  </si>
  <si>
    <t>Annual Diversion Request Volumes.UtahIrr</t>
  </si>
  <si>
    <t>Annual Diversion Volumes.ALPDurango</t>
  </si>
  <si>
    <t>Annual Diversion Volumes.ALPNMSupplyFromAnimas__ALPAztec</t>
  </si>
  <si>
    <t>Annual Diversion Volumes.ALPNMSupplyFromAnimas__ALPBloomfield</t>
  </si>
  <si>
    <t>Annual Diversion Volumes.ALPNMSupplyFromAnimas__ALPFarmington</t>
  </si>
  <si>
    <t>Annual Diversion Volumes.ALPNMSupplyFromAnimas__ALPKirkland</t>
  </si>
  <si>
    <t>Annual Diversion Volumes.ALPNMSupplyFromAnimas__ALPShiprock</t>
  </si>
  <si>
    <t>Annual Diversion Volumes.ArchuletaDitch</t>
  </si>
  <si>
    <t>Annual Diversion Volumes.AztecMI</t>
  </si>
  <si>
    <t>Annual Diversion Volumes.BloomfieldMI</t>
  </si>
  <si>
    <t>Annual Diversion Volumes.CitizenDitch</t>
  </si>
  <si>
    <t>Annual Diversion Volumes.CudeiCanal</t>
  </si>
  <si>
    <t>Annual Diversion Volumes.DemandsOnRBR__AnimasFloridaMI</t>
  </si>
  <si>
    <t>Annual Diversion Volumes.DemandsOnRBR__Coal</t>
  </si>
  <si>
    <t>Annual Diversion Volumes.DemandsOnRBR__ColoradoBalance</t>
  </si>
  <si>
    <t>Annual Diversion Volumes.DemandsOnRBR__DgoRuralMI</t>
  </si>
  <si>
    <t>Annual Diversion Volumes.DemandsOnRBR__DurangoMI</t>
  </si>
  <si>
    <t>Annual Diversion Volumes.DemandsOnRBR__GasPowerPlant</t>
  </si>
  <si>
    <t>Annual Diversion Volumes.DemandsOnRBR__LaPlataRuralMI</t>
  </si>
  <si>
    <t>Annual Diversion Volumes.DemandsOnRBR__MancosResort</t>
  </si>
  <si>
    <t>Annual Diversion Volumes.DemandsOnRBR__RidgesBasinResort</t>
  </si>
  <si>
    <t>Annual Diversion Volumes.DemandsOnRBR__UteDurango</t>
  </si>
  <si>
    <t>Annual Diversion Volumes.DEP_NMU2NonIr</t>
  </si>
  <si>
    <t>Annual Diversion Volumes.DEP_NMU3NonIr</t>
  </si>
  <si>
    <t>Annual Diversion Volumes.DEP_NMU6NonIr</t>
  </si>
  <si>
    <t>Annual Diversion Volumes.DEP_NMU7NonIr</t>
  </si>
  <si>
    <t>Annual Diversion Volumes.DEP_Unspecified1</t>
  </si>
  <si>
    <t>Annual Diversion Volumes.DEP_Unspecified2</t>
  </si>
  <si>
    <t>Annual Diversion Volumes.DEP_Unspecified3</t>
  </si>
  <si>
    <t>Annual Diversion Volumes.DEP_Unspecified4</t>
  </si>
  <si>
    <t>Annual Diversion Volumes.EchoDitch</t>
  </si>
  <si>
    <t>Annual Diversion Volumes.Enterprise</t>
  </si>
  <si>
    <t>Annual Diversion Volumes.FarmersMutual</t>
  </si>
  <si>
    <t>Annual Diversion Volumes.FarmingtonGlade</t>
  </si>
  <si>
    <t>Annual Diversion Volumes.FarmingtonMI</t>
  </si>
  <si>
    <t>Annual Diversion Volumes.FourCornersPP</t>
  </si>
  <si>
    <t>Annual Diversion Volumes.FruitlandAndCambridge</t>
  </si>
  <si>
    <t>Annual Diversion Volumes.Hammond</t>
  </si>
  <si>
    <t>Annual Diversion Volumes.Hogback</t>
  </si>
  <si>
    <t>Annual Diversion Volumes.JewettValley</t>
  </si>
  <si>
    <t>Annual Diversion Volumes.JicarillaIrr</t>
  </si>
  <si>
    <t>Annual Diversion Volumes.JicarillaNonIr</t>
  </si>
  <si>
    <t>Annual Diversion Volumes.LaPlataNonIr</t>
  </si>
  <si>
    <t>Annual Diversion Volumes.LowerLaPlataIrr</t>
  </si>
  <si>
    <t>Annual Diversion Volumes.NavajoGallupBalance</t>
  </si>
  <si>
    <t>Annual Diversion Volumes.NIIP__DEP_NIIPUnit3</t>
  </si>
  <si>
    <t>Annual Diversion Volumes.NIIP__DEP_NIIPUnit5</t>
  </si>
  <si>
    <t>Annual Diversion Volumes.NIIP__DEP_NIIPUnit6</t>
  </si>
  <si>
    <t>Annual Diversion Volumes.NIIP__NavajoGallupNIIP</t>
  </si>
  <si>
    <t>Annual Diversion Volumes.NMAnimasIrr</t>
  </si>
  <si>
    <t>Annual Diversion Volumes.NMPineRiverAreaIrr</t>
  </si>
  <si>
    <t>Annual Diversion Volumes.Pioneer</t>
  </si>
  <si>
    <t>Annual Diversion Volumes.Ralston</t>
  </si>
  <si>
    <t>Annual Diversion Volumes.ShiprockMI</t>
  </si>
  <si>
    <t>Annual Diversion Volumes.SJGeneratingStation</t>
  </si>
  <si>
    <t>Annual Diversion Volumes.TurleyDitch</t>
  </si>
  <si>
    <t>Annual Diversion Volumes.TwinRocks</t>
  </si>
  <si>
    <t>Annual Diversion Volumes.USNavajoNonIr</t>
  </si>
  <si>
    <t>Annual Diversion Volumes.UtahIrr</t>
  </si>
  <si>
    <t>Annual Depletion Request Volumes.ALPDurango</t>
  </si>
  <si>
    <t>Annual Depletion Request Volumes.ALPNMSupplyFromAnimas__ALPAztec</t>
  </si>
  <si>
    <t>Annual Depletion Request Volumes.ALPNMSupplyFromAnimas__ALPBloomfield</t>
  </si>
  <si>
    <t>Annual Depletion Request Volumes.ALPNMSupplyFromAnimas__ALPFarmington</t>
  </si>
  <si>
    <t>Annual Depletion Request Volumes.ALPNMSupplyFromAnimas__ALPKirkland</t>
  </si>
  <si>
    <t>Annual Depletion Request Volumes.ALPNMSupplyFromAnimas__ALPShiprock</t>
  </si>
  <si>
    <t>Annual Depletion Request Volumes.ArchuletaDitch</t>
  </si>
  <si>
    <t>Annual Depletion Request Volumes.AztecMI</t>
  </si>
  <si>
    <t>Annual Depletion Request Volumes.BloomfieldMI</t>
  </si>
  <si>
    <t>Annual Depletion Request Volumes.CitizenDitch</t>
  </si>
  <si>
    <t>Annual Depletion Request Volumes.CudeiCanal</t>
  </si>
  <si>
    <t>Annual Depletion Request Volumes.DemandsOnRBR__AnimasFloridaMI</t>
  </si>
  <si>
    <t>Annual Depletion Request Volumes.DemandsOnRBR__Coal</t>
  </si>
  <si>
    <t>Annual Depletion Request Volumes.DemandsOnRBR__ColoradoBalance</t>
  </si>
  <si>
    <t>Annual Depletion Request Volumes.DemandsOnRBR__DgoRuralMI</t>
  </si>
  <si>
    <t>Annual Depletion Request Volumes.DemandsOnRBR__DurangoMI</t>
  </si>
  <si>
    <t>Annual Depletion Request Volumes.DemandsOnRBR__GasPowerPlant</t>
  </si>
  <si>
    <t>Annual Depletion Request Volumes.DemandsOnRBR__LaPlataRuralMI</t>
  </si>
  <si>
    <t>Annual Depletion Request Volumes.DemandsOnRBR__MancosResort</t>
  </si>
  <si>
    <t>Annual Depletion Request Volumes.DemandsOnRBR__RidgesBasinResort</t>
  </si>
  <si>
    <t>Annual Depletion Request Volumes.DemandsOnRBR__UteDurango</t>
  </si>
  <si>
    <t>Annual Depletion Request Volumes.DEP_NMU2NonIr</t>
  </si>
  <si>
    <t>Annual Depletion Request Volumes.DEP_NMU3NonIr</t>
  </si>
  <si>
    <t>Annual Depletion Request Volumes.DEP_NMU6NonIr</t>
  </si>
  <si>
    <t>Annual Depletion Request Volumes.DEP_NMU7NonIr</t>
  </si>
  <si>
    <t>Annual Depletion Request Volumes.DEP_Unspecified1</t>
  </si>
  <si>
    <t>Annual Depletion Request Volumes.DEP_Unspecified2</t>
  </si>
  <si>
    <t>Annual Depletion Request Volumes.DEP_Unspecified3</t>
  </si>
  <si>
    <t>Annual Depletion Request Volumes.DEP_Unspecified4</t>
  </si>
  <si>
    <t>Annual Depletion Request Volumes.EchoDitch</t>
  </si>
  <si>
    <t>Annual Depletion Request Volumes.Enterprise</t>
  </si>
  <si>
    <t>Annual Depletion Request Volumes.FarmersMutual</t>
  </si>
  <si>
    <t>Annual Depletion Request Volumes.FarmingtonGlade</t>
  </si>
  <si>
    <t>Annual Depletion Request Volumes.FarmingtonMI</t>
  </si>
  <si>
    <t>Annual Depletion Request Volumes.FourCornersPP</t>
  </si>
  <si>
    <t>Annual Depletion Request Volumes.FruitlandAndCambridge</t>
  </si>
  <si>
    <t>Annual Depletion Request Volumes.Hammond</t>
  </si>
  <si>
    <t>Annual Depletion Request Volumes.Hogback</t>
  </si>
  <si>
    <t>Annual Depletion Request Volumes.JewettValley</t>
  </si>
  <si>
    <t>Annual Depletion Request Volumes.JicarillaIrr</t>
  </si>
  <si>
    <t>Annual Depletion Request Volumes.JicarillaNonIr</t>
  </si>
  <si>
    <t>Annual Depletion Request Volumes.LaPlataNonIr</t>
  </si>
  <si>
    <t>Annual Depletion Request Volumes.LowerLaPlataIrr</t>
  </si>
  <si>
    <t>Annual Depletion Request Volumes.NavajoGallupBalance</t>
  </si>
  <si>
    <t>Annual Depletion Request Volumes.NIIP__DEP_NIIPUnit3</t>
  </si>
  <si>
    <t>Annual Depletion Request Volumes.NIIP__DEP_NIIPUnit5</t>
  </si>
  <si>
    <t>Annual Depletion Request Volumes.NIIP__DEP_NIIPUnit6</t>
  </si>
  <si>
    <t>Annual Depletion Request Volumes.NIIP__NavajoGallupNIIP</t>
  </si>
  <si>
    <t>Annual Depletion Request Volumes.NMAnimasIrr</t>
  </si>
  <si>
    <t>Annual Depletion Request Volumes.NMPineRiverAreaIrr</t>
  </si>
  <si>
    <t>Annual Depletion Request Volumes.Pioneer</t>
  </si>
  <si>
    <t>Annual Depletion Request Volumes.Ralston</t>
  </si>
  <si>
    <t>Annual Depletion Request Volumes.ShiprockMI</t>
  </si>
  <si>
    <t>Annual Depletion Request Volumes.SJGeneratingStation</t>
  </si>
  <si>
    <t>Annual Depletion Request Volumes.TurleyDitch</t>
  </si>
  <si>
    <t>Annual Depletion Request Volumes.TwinRocks</t>
  </si>
  <si>
    <t>Annual Depletion Request Volumes.USNavajoNonIr</t>
  </si>
  <si>
    <t>Annual Depletion Request Volumes.UtahIrr</t>
  </si>
  <si>
    <t>RiverWare Slot</t>
  </si>
  <si>
    <t>Water User Name</t>
  </si>
  <si>
    <t>Run Setup Data.SJBHM Demand Scenario</t>
  </si>
  <si>
    <t>Run Setup Data.SJRIP Restoration Release Type</t>
  </si>
  <si>
    <t>The table to the left is posted by the output DMI.</t>
  </si>
  <si>
    <t>0 = SJBHM Baseline</t>
  </si>
  <si>
    <t>1 = SJBHM Current Conditions</t>
  </si>
  <si>
    <t>SJBHM Baseline uses:</t>
  </si>
  <si>
    <t>ETAC Acres = SJBHM Baseline (from NMOSE)</t>
  </si>
  <si>
    <t>Non ETAC Water Users Demands = SJBHM Baseline</t>
  </si>
  <si>
    <t>ALP and RBR Demands = On</t>
  </si>
  <si>
    <t>Unspecified Demands = On</t>
  </si>
  <si>
    <t>SJBHM Current Conditions uses:</t>
  </si>
  <si>
    <t>NIIP Demands = 2023 Expected</t>
  </si>
  <si>
    <t>ETAC Acres = SJBHM Current Conditions</t>
  </si>
  <si>
    <t>Non ETAC Water Users Demands = SJBHM Current Conditions</t>
  </si>
  <si>
    <t>ALP and RBR Demands = Off</t>
  </si>
  <si>
    <t>Unspecified Demands = Off</t>
  </si>
  <si>
    <t>SJBHM Demand Scenario</t>
  </si>
  <si>
    <t>SJRIP Restoration Release Type</t>
  </si>
  <si>
    <t>0 = "Run C"</t>
  </si>
  <si>
    <t>1 = "Old Flow Recs"</t>
  </si>
  <si>
    <t>Overall Scenario Name</t>
  </si>
  <si>
    <t>StateMod Scenario</t>
  </si>
  <si>
    <t>StateMod Data Sheet</t>
  </si>
  <si>
    <t>SJBHM Depletion Summary</t>
  </si>
  <si>
    <t>Model Scenario</t>
  </si>
  <si>
    <t>Grey cells are pulled from StateMod sheets</t>
  </si>
  <si>
    <t>from StateMod</t>
  </si>
  <si>
    <t>The remainder of the settlement amount is included in the StateMod above Navajo depletions.</t>
  </si>
  <si>
    <t>Depletion</t>
  </si>
  <si>
    <t>Depletion Request</t>
  </si>
  <si>
    <t>Diversion</t>
  </si>
  <si>
    <t>Diversion Request</t>
  </si>
  <si>
    <t>San Juan Generating Station</t>
  </si>
  <si>
    <t>Annual Diversion Request Volume, af</t>
  </si>
  <si>
    <t>Annual Depletion Request Volume, af</t>
  </si>
  <si>
    <t>Annual Diversion Volume, af</t>
  </si>
  <si>
    <t>Annual Depletion Volume, af</t>
  </si>
  <si>
    <t>Annual Diversion Shortage Volume, af</t>
  </si>
  <si>
    <t>Annual Depletion Shortage Volume, af</t>
  </si>
  <si>
    <t>Basin Total Onstream Depletion (without McElmo)</t>
  </si>
  <si>
    <t>Basin Total Onstream Depletion (including McElmo)</t>
  </si>
  <si>
    <t>Offstream Depletions (Assumed Average Annual)</t>
  </si>
  <si>
    <t>Basin Total Depletion including Offstream</t>
  </si>
  <si>
    <t>Total Offstream Depletions</t>
  </si>
  <si>
    <t>Simulated Demands</t>
  </si>
  <si>
    <t>Simulated Shortages</t>
  </si>
  <si>
    <t>Minimum, af</t>
  </si>
  <si>
    <t>Maximum, af</t>
  </si>
  <si>
    <t>Average, af</t>
  </si>
  <si>
    <t>INDEX</t>
  </si>
  <si>
    <t>Index</t>
  </si>
  <si>
    <t>Navajo Irrigation Subtotal</t>
  </si>
  <si>
    <t>Non-Tribal Irrigation Subtotal</t>
  </si>
  <si>
    <t>Dropdown Menu Name</t>
  </si>
  <si>
    <t>Basin Total Depletion (including offstream)</t>
  </si>
  <si>
    <t>Depl Req</t>
  </si>
  <si>
    <t>Div Req</t>
  </si>
  <si>
    <t>n/a</t>
  </si>
  <si>
    <t>Column Indices</t>
  </si>
  <si>
    <t>Formula Support Data</t>
  </si>
  <si>
    <t>Notes:</t>
  </si>
  <si>
    <t>Selected Water User/Category</t>
  </si>
  <si>
    <t>Simulated Deliveries</t>
  </si>
  <si>
    <t>Depletion Shortage Percent</t>
  </si>
  <si>
    <t>Note: Not all parameters may be applicable for certain Water Users/Categories.</t>
  </si>
  <si>
    <t>Animas River (New Mexico)</t>
  </si>
  <si>
    <t>La Plata River (New Mexico)</t>
  </si>
  <si>
    <t>Upper San Juan (New Mexico)</t>
  </si>
  <si>
    <t>Not all parameters may be applicable for certain Water Users/Categories.</t>
  </si>
  <si>
    <t>New Mexico Total Irrigation Depletions</t>
  </si>
  <si>
    <t>New Mexico Total Non-Irrigation Depletion</t>
  </si>
  <si>
    <t>New Mexico Total Depletions</t>
  </si>
  <si>
    <t>Colorado Total Depletions Above Navajo Reservoir</t>
  </si>
  <si>
    <t>Colorado Total Depletions from Tributaries Below Navajo</t>
  </si>
  <si>
    <t>Colorado Total Depletions (without McElmo Basin)</t>
  </si>
  <si>
    <t>Upper San Juan (Colorado, inc. Navajo/Blanco)</t>
  </si>
  <si>
    <t>Piedra (Colorado)</t>
  </si>
  <si>
    <t>Pine (Colorado)</t>
  </si>
  <si>
    <t>Future Southern Utes Tribs above Navajo (Colorado)</t>
  </si>
  <si>
    <t>Florida (Colorado)</t>
  </si>
  <si>
    <t>Animas (Colorado)</t>
  </si>
  <si>
    <t>La Plata (Colorado)</t>
  </si>
  <si>
    <t>Mancos (Colorado)</t>
  </si>
  <si>
    <t>Future Southern Utes Tribs below Navajo (Colorado)</t>
  </si>
  <si>
    <t>Future Ute Mountain Utes Mancos (Colorado)</t>
  </si>
  <si>
    <t>Values may be slightly different than other tables due to rounding.</t>
  </si>
  <si>
    <t>Future Ute Mountain Utes McElmo (Colorado)</t>
  </si>
  <si>
    <t>McElmo Depletions (Colorado)</t>
  </si>
  <si>
    <t>SM</t>
  </si>
  <si>
    <t>If marked "SM", this result parameter comes through StateMod (or has components that do) and is not readily available.</t>
  </si>
  <si>
    <t>View Annual Results</t>
  </si>
  <si>
    <t>Click Links below to View Annual Results for Water User/Category</t>
  </si>
  <si>
    <t>REFERENCE CELL</t>
  </si>
  <si>
    <t>REFERENCE ROW</t>
  </si>
  <si>
    <t>NGWSP Demands = On (conservative assumption)</t>
  </si>
  <si>
    <t>2009 NGWSP BO</t>
  </si>
  <si>
    <t>Total NM Depletions (no ALP)</t>
  </si>
  <si>
    <t>Total CO Depletions W/O McElmo or ALP</t>
  </si>
  <si>
    <t>Assumed Average Offstream Depletions, from NGWSP Table V-3</t>
  </si>
  <si>
    <t>NM Offstream (NGWSP BO)</t>
  </si>
  <si>
    <t>The average depletions presented in this table include shortage years.</t>
  </si>
  <si>
    <t>SJBHM Depletion Summary Table Notes</t>
  </si>
  <si>
    <t>Reported depletions are rounded slightly.</t>
  </si>
  <si>
    <t>NIIP Groundwater depletion is assumed to have equilibriated to average 0 af/yr in the current SJBHM baseline scenario.</t>
  </si>
  <si>
    <t>Total NM Non-Irrigation Depletion</t>
  </si>
  <si>
    <t>Climate Change Run Config.Climate Change Run Flag</t>
  </si>
  <si>
    <t>Climate Change Run Config.Climate Change Scenario Index to Run</t>
  </si>
  <si>
    <t>Run Setup Data.NIIP and NGWSP Scenario</t>
  </si>
  <si>
    <t>Run Setup Data.RunFinishedCompletelyCheckForRCL</t>
  </si>
  <si>
    <t>DEFINITIONS</t>
  </si>
  <si>
    <t>NewFlowRecs.Apply Maintenance Releases Flag</t>
  </si>
  <si>
    <t>StateMod Baseline with Tribal Reserved</t>
  </si>
  <si>
    <t>StateMod Baseline WITHOUT Tribal Reserved</t>
  </si>
  <si>
    <t>StateMod Scenario Names</t>
  </si>
  <si>
    <t>0 = NIIP with Depletion Guarantee and NGWSP</t>
  </si>
  <si>
    <t>1 = Full NIIP and No NGWSP</t>
  </si>
  <si>
    <t>2 = Full NIIP and NGWSP</t>
  </si>
  <si>
    <t>NIIP and NGWSP Scenario</t>
  </si>
  <si>
    <t>NIIP and NGWSP Demands = See next flag</t>
  </si>
  <si>
    <t>StateMod Run Scenario = StateMod Baseline WITHOUT Tribal Reserved</t>
  </si>
  <si>
    <t>StateMod Run Scenario = StateMod Baseline WITH Tribal Reserved</t>
  </si>
  <si>
    <t>Part Name</t>
  </si>
  <si>
    <t>NIIP Groundwater depletion is assumed to have equilibriated to average 0 af/yr in the SJBHM baseline scenario.</t>
  </si>
  <si>
    <t>This table summarizes the simulated annual average realized depletions, NOT the simulated demands.</t>
  </si>
  <si>
    <t>The average depletions presented in this table may include shortage years.</t>
  </si>
  <si>
    <t>Ute Mountain Ute</t>
  </si>
  <si>
    <t>M&amp;I water. Diversion value based on assumed 50% efficiency in SJRIP RiverWare model. It is noted that this differs from decree assumed efficiency of 37% (Case No. 2013CW3011).</t>
  </si>
  <si>
    <t xml:space="preserve">max rate 12.9 cfs. Diversion value based on assumed 50% efficiency in SJRIP RiverWare model. It is noted that this differs from decree assumed efficiency of 37% (Case No. 2013CW3011). </t>
  </si>
  <si>
    <t xml:space="preserve">M&amp;I water. Diversion value based on assumed 50% efficiency in SJRIP RiverWare model. It is noted that this differs from decree assumed efficiency of 37% (Case No. 2013CW3011). </t>
  </si>
  <si>
    <t>Future Southern Utes w/o ALP</t>
  </si>
  <si>
    <t>Southern Ute ALP</t>
  </si>
  <si>
    <t>Run Setup Data.Run Length Years</t>
  </si>
  <si>
    <t>Run Setup Data.Inputs Start WY</t>
  </si>
  <si>
    <t>Model Run Year</t>
  </si>
  <si>
    <t>Model Run Year Number</t>
  </si>
  <si>
    <t>Year Offset</t>
  </si>
  <si>
    <t>Just so its here…</t>
  </si>
  <si>
    <t>NGDG Amount</t>
  </si>
  <si>
    <t>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</si>
</sst>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yyyy"/>
    <numFmt numFmtId="165" formatCode="0.0"/>
    <numFmt numFmtId="166" formatCode="0.0%"/>
  </numFmts>
  <fonts count="21"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theme="1"/>
      <name val="Calibri"/>
      <family val="2"/>
      <scheme val="minor"/>
    </font>
    <font>
      <sz val="10"/>
      <name val="Arial"/>
      <family val="2"/>
    </font>
    <font>
      <b/>
      <sz val="10"/>
      <name val="Arial"/>
      <family val="2"/>
    </font>
    <font>
      <b/>
      <sz val="9"/>
      <name val="Arial"/>
      <family val="2"/>
    </font>
    <font>
      <sz val="9"/>
      <name val="Arial"/>
      <family val="2"/>
    </font>
    <font>
      <i/>
      <sz val="11"/>
      <color theme="0" tint="-0.49995422223578601"/>
      <name val="Calibri"/>
      <family val="2"/>
      <scheme val="minor"/>
    </font>
    <font>
      <sz val="11"/>
      <name val="Calibri"/>
      <family val="2"/>
      <scheme val="minor"/>
    </font>
    <font>
      <b/>
      <sz val="11"/>
      <name val="Calibri"/>
      <family val="2"/>
      <scheme val="minor"/>
    </font>
    <font>
      <sz val="16"/>
      <color indexed="81"/>
      <name val="Tahoma"/>
      <family val="2"/>
    </font>
    <font>
      <sz val="36"/>
      <color indexed="81"/>
      <name val="Tahoma"/>
      <family val="2"/>
    </font>
    <font>
      <u/>
      <sz val="11"/>
      <color theme="10"/>
      <name val="Calibri"/>
      <family val="2"/>
      <scheme val="minor"/>
    </font>
    <font>
      <b/>
      <sz val="12"/>
      <color theme="1"/>
      <name val="Calibri"/>
      <family val="2"/>
      <scheme val="minor"/>
    </font>
    <font>
      <sz val="12"/>
      <color indexed="81"/>
      <name val="Tahoma"/>
      <family val="2"/>
    </font>
    <font>
      <b/>
      <sz val="16"/>
      <color theme="1"/>
      <name val="Calibri"/>
      <family val="2"/>
      <scheme val="minor"/>
    </font>
    <font>
      <sz val="30"/>
      <color indexed="81"/>
      <name val="Tahoma"/>
      <family val="2"/>
    </font>
    <font>
      <sz val="20"/>
      <color indexed="81"/>
      <name val="Tahoma"/>
      <family val="2"/>
    </font>
    <font>
      <sz val="11"/>
      <color rgb="FF000000"/>
      <name val="Calibri"/>
      <family val="2"/>
    </font>
  </fonts>
  <fills count="33">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1"/>
        <bgColor indexed="64"/>
      </patternFill>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theme="9" tint="0.79995117038483843"/>
        <bgColor indexed="64"/>
      </patternFill>
    </fill>
    <fill>
      <patternFill patternType="solid">
        <fgColor theme="0" tint="-0.24994659260841701"/>
        <bgColor indexed="64"/>
      </patternFill>
    </fill>
    <fill>
      <patternFill patternType="solid">
        <fgColor theme="2" tint="-0.24994659260841701"/>
        <bgColor indexed="64"/>
      </patternFill>
    </fill>
    <fill>
      <patternFill patternType="solid">
        <fgColor theme="4" tint="0.39997558519241921"/>
        <bgColor indexed="64"/>
      </patternFill>
    </fill>
    <fill>
      <patternFill patternType="solid">
        <fgColor theme="5" tint="0.59996337778862885"/>
        <bgColor indexed="64"/>
      </patternFill>
    </fill>
    <fill>
      <patternFill patternType="solid">
        <fgColor theme="7" tint="0.39997558519241921"/>
        <bgColor indexed="64"/>
      </patternFill>
    </fill>
    <fill>
      <patternFill patternType="solid">
        <fgColor theme="7" tint="0.59996337778862885"/>
        <bgColor indexed="64"/>
      </patternFill>
    </fill>
    <fill>
      <patternFill patternType="solid">
        <fgColor rgb="FF00B0F0"/>
        <bgColor indexed="64"/>
      </patternFill>
    </fill>
    <fill>
      <patternFill patternType="solid">
        <fgColor theme="0" tint="-4.9958800012207406E-2"/>
        <bgColor indexed="64"/>
      </patternFill>
    </fill>
    <fill>
      <patternFill patternType="solid">
        <fgColor theme="6" tint="0.59996337778862885"/>
        <bgColor indexed="64"/>
      </patternFill>
    </fill>
    <fill>
      <patternFill patternType="solid">
        <fgColor rgb="FF00B050"/>
        <bgColor indexed="64"/>
      </patternFill>
    </fill>
    <fill>
      <patternFill patternType="solid">
        <fgColor theme="5" tint="0.79995117038483843"/>
        <bgColor indexed="64"/>
      </patternFill>
    </fill>
    <fill>
      <patternFill patternType="solid">
        <fgColor theme="6" tint="0.39997558519241921"/>
        <bgColor indexed="64"/>
      </patternFill>
    </fill>
    <fill>
      <patternFill patternType="solid">
        <fgColor theme="3" tint="0.79995117038483843"/>
        <bgColor indexed="64"/>
      </patternFill>
    </fill>
    <fill>
      <patternFill patternType="solid">
        <fgColor theme="3" tint="0.59996337778862885"/>
        <bgColor indexed="64"/>
      </patternFill>
    </fill>
    <fill>
      <patternFill patternType="solid">
        <fgColor theme="9" tint="0.59996337778862885"/>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8" tint="0.79995117038483843"/>
        <bgColor indexed="64"/>
      </patternFill>
    </fill>
    <fill>
      <patternFill patternType="solid">
        <fgColor rgb="FF7030A0"/>
        <bgColor indexed="64"/>
      </patternFill>
    </fill>
    <fill>
      <patternFill patternType="solid">
        <fgColor rgb="FFFF0000"/>
        <bgColor indexed="64"/>
      </patternFill>
    </fill>
    <fill>
      <patternFill patternType="solid">
        <fgColor theme="4" tint="0.59996337778862885"/>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theme="5" tint="0.79998168889431442"/>
        <bgColor indexed="64"/>
      </patternFill>
    </fill>
  </fills>
  <borders count="7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thin">
        <color indexed="64"/>
      </right>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diagonal/>
    </border>
    <border>
      <left/>
      <right/>
      <top/>
      <bottom/>
      <diagonal/>
    </border>
    <border>
      <left/>
      <right style="thin">
        <color indexed="64"/>
      </right>
      <top style="medium">
        <color indexed="64"/>
      </top>
      <bottom style="medium">
        <color indexed="64"/>
      </bottom>
      <diagonal/>
    </border>
  </borders>
  <cellStyleXfs count="13">
    <xf numFmtId="0" fontId="0" fillId="0" borderId="0"/>
    <xf numFmtId="3" fontId="5" fillId="0" borderId="0" applyFont="0" applyFill="0" applyBorder="0" applyAlignment="0" applyProtection="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0" fontId="14" fillId="0" borderId="0" applyNumberFormat="0" applyFill="0" applyBorder="0" applyAlignment="0" applyProtection="0"/>
    <xf numFmtId="0" fontId="4" fillId="0" borderId="70"/>
    <xf numFmtId="43" fontId="4" fillId="0" borderId="70" applyFont="0" applyFill="0" applyBorder="0" applyAlignment="0" applyProtection="0"/>
    <xf numFmtId="9" fontId="4" fillId="0" borderId="70" applyFont="0" applyFill="0" applyBorder="0" applyAlignment="0" applyProtection="0"/>
    <xf numFmtId="0" fontId="4" fillId="0" borderId="70"/>
  </cellStyleXfs>
  <cellXfs count="767">
    <xf numFmtId="0" fontId="0" fillId="0" borderId="0" xfId="0"/>
    <xf numFmtId="164" fontId="0" fillId="0" borderId="0" xfId="0" applyNumberFormat="1"/>
    <xf numFmtId="0" fontId="1" fillId="0" borderId="0" xfId="0" applyFont="1" applyAlignment="1">
      <alignment wrapText="1"/>
    </xf>
    <xf numFmtId="1" fontId="0" fillId="0" borderId="0" xfId="0" applyNumberFormat="1"/>
    <xf numFmtId="164" fontId="1" fillId="0" borderId="0" xfId="0" applyNumberFormat="1" applyFont="1"/>
    <xf numFmtId="3" fontId="6" fillId="4" borderId="1" xfId="1" applyFont="1" applyFill="1" applyBorder="1"/>
    <xf numFmtId="0" fontId="6" fillId="4" borderId="2" xfId="2" applyFont="1" applyFill="1" applyBorder="1" applyAlignment="1">
      <alignment horizontal="center"/>
    </xf>
    <xf numFmtId="0" fontId="6" fillId="4" borderId="3" xfId="2" applyFont="1" applyFill="1" applyBorder="1" applyAlignment="1">
      <alignment horizontal="center"/>
    </xf>
    <xf numFmtId="3" fontId="6" fillId="4" borderId="3" xfId="1" applyFont="1" applyFill="1" applyBorder="1"/>
    <xf numFmtId="0" fontId="5" fillId="0" borderId="0" xfId="2" applyAlignment="1">
      <alignment horizontal="center"/>
    </xf>
    <xf numFmtId="0" fontId="5" fillId="0" borderId="0" xfId="2"/>
    <xf numFmtId="0" fontId="5" fillId="0" borderId="0" xfId="2" applyFill="1" applyBorder="1"/>
    <xf numFmtId="0" fontId="5" fillId="0" borderId="0" xfId="2" applyFill="1" applyBorder="1" applyAlignment="1">
      <alignment horizontal="center"/>
    </xf>
    <xf numFmtId="0" fontId="5" fillId="4" borderId="5" xfId="2" applyFill="1" applyBorder="1"/>
    <xf numFmtId="0" fontId="5" fillId="4" borderId="7" xfId="2" applyFill="1" applyBorder="1"/>
    <xf numFmtId="0" fontId="6" fillId="4" borderId="9" xfId="2" applyFont="1" applyFill="1" applyBorder="1" applyAlignment="1">
      <alignment horizontal="center" vertical="center" wrapText="1"/>
    </xf>
    <xf numFmtId="0" fontId="6" fillId="4" borderId="16" xfId="2" applyFont="1" applyFill="1" applyBorder="1" applyAlignment="1">
      <alignment horizontal="center" vertical="center" wrapText="1"/>
    </xf>
    <xf numFmtId="3" fontId="7" fillId="4" borderId="24" xfId="1" applyFont="1" applyFill="1" applyBorder="1" applyAlignment="1">
      <alignment horizontal="center"/>
    </xf>
    <xf numFmtId="0" fontId="8" fillId="0" borderId="0" xfId="2" applyFont="1" applyAlignment="1">
      <alignment horizontal="center"/>
    </xf>
    <xf numFmtId="0" fontId="8" fillId="0" borderId="0" xfId="2" applyFont="1"/>
    <xf numFmtId="3" fontId="0" fillId="4" borderId="13" xfId="1" applyFont="1" applyFill="1" applyBorder="1"/>
    <xf numFmtId="165" fontId="5" fillId="0" borderId="0" xfId="2" applyNumberFormat="1" applyAlignment="1">
      <alignment horizontal="center"/>
    </xf>
    <xf numFmtId="3" fontId="0" fillId="4" borderId="16" xfId="1" applyFont="1" applyFill="1" applyBorder="1"/>
    <xf numFmtId="3" fontId="0" fillId="4" borderId="20" xfId="1" applyFont="1" applyFill="1" applyBorder="1"/>
    <xf numFmtId="3" fontId="6" fillId="4" borderId="7" xfId="1" applyFont="1" applyFill="1" applyBorder="1"/>
    <xf numFmtId="0" fontId="5" fillId="0" borderId="0" xfId="2" applyFont="1"/>
    <xf numFmtId="3" fontId="6" fillId="4" borderId="16" xfId="1" applyFont="1" applyFill="1" applyBorder="1"/>
    <xf numFmtId="3" fontId="6" fillId="4" borderId="38" xfId="1" applyFont="1" applyFill="1" applyBorder="1"/>
    <xf numFmtId="3" fontId="0" fillId="4" borderId="5" xfId="1" applyFont="1" applyFill="1" applyBorder="1"/>
    <xf numFmtId="3" fontId="0" fillId="4" borderId="7" xfId="1" applyFont="1" applyFill="1" applyBorder="1"/>
    <xf numFmtId="3" fontId="0" fillId="4" borderId="38" xfId="1" applyFont="1" applyFill="1" applyBorder="1"/>
    <xf numFmtId="3" fontId="6" fillId="4" borderId="9" xfId="1" applyFont="1" applyFill="1" applyBorder="1"/>
    <xf numFmtId="3" fontId="0" fillId="4" borderId="9" xfId="1" applyFont="1" applyFill="1" applyBorder="1" applyAlignment="1">
      <alignment horizontal="right"/>
    </xf>
    <xf numFmtId="0" fontId="5" fillId="4" borderId="16" xfId="2" applyFill="1" applyBorder="1"/>
    <xf numFmtId="3" fontId="5" fillId="4" borderId="7" xfId="2" applyNumberFormat="1" applyFill="1" applyBorder="1"/>
    <xf numFmtId="3" fontId="0" fillId="4" borderId="9" xfId="1" applyNumberFormat="1" applyFont="1" applyFill="1" applyBorder="1"/>
    <xf numFmtId="3" fontId="5" fillId="0" borderId="0" xfId="2" applyNumberFormat="1"/>
    <xf numFmtId="0" fontId="5" fillId="5" borderId="0" xfId="2" applyFill="1"/>
    <xf numFmtId="0" fontId="5" fillId="5" borderId="0" xfId="2" applyFill="1" applyBorder="1"/>
    <xf numFmtId="0" fontId="5" fillId="0" borderId="0" xfId="2" applyFill="1"/>
    <xf numFmtId="0" fontId="6" fillId="3" borderId="28" xfId="2" applyFont="1" applyFill="1" applyBorder="1" applyAlignment="1">
      <alignment horizontal="center"/>
    </xf>
    <xf numFmtId="0" fontId="6" fillId="3" borderId="7" xfId="2" applyFont="1" applyFill="1" applyBorder="1" applyAlignment="1">
      <alignment horizontal="center"/>
    </xf>
    <xf numFmtId="0" fontId="5" fillId="0" borderId="0" xfId="2" applyAlignment="1">
      <alignment wrapText="1"/>
    </xf>
    <xf numFmtId="0" fontId="6" fillId="3" borderId="28" xfId="2" applyFont="1" applyFill="1" applyBorder="1" applyAlignment="1">
      <alignment horizontal="center" wrapText="1"/>
    </xf>
    <xf numFmtId="0" fontId="6" fillId="3" borderId="7" xfId="2" applyFont="1" applyFill="1" applyBorder="1" applyAlignment="1">
      <alignment horizontal="center" wrapText="1"/>
    </xf>
    <xf numFmtId="0" fontId="6" fillId="3" borderId="50" xfId="2" applyFont="1" applyFill="1" applyBorder="1"/>
    <xf numFmtId="0" fontId="6" fillId="3" borderId="38" xfId="2" applyFont="1" applyFill="1" applyBorder="1"/>
    <xf numFmtId="0" fontId="6" fillId="5" borderId="5" xfId="2" applyFont="1" applyFill="1" applyBorder="1"/>
    <xf numFmtId="0" fontId="5" fillId="5" borderId="25" xfId="2" applyFill="1" applyBorder="1"/>
    <xf numFmtId="0" fontId="5" fillId="5" borderId="28" xfId="2" applyFill="1" applyBorder="1"/>
    <xf numFmtId="0" fontId="5" fillId="5" borderId="5" xfId="2" applyFill="1" applyBorder="1"/>
    <xf numFmtId="0" fontId="5" fillId="5" borderId="6" xfId="2" applyFill="1" applyBorder="1" applyAlignment="1">
      <alignment horizontal="left"/>
    </xf>
    <xf numFmtId="0" fontId="5" fillId="5" borderId="7" xfId="2" applyFill="1" applyBorder="1"/>
    <xf numFmtId="3" fontId="5" fillId="5" borderId="28" xfId="2" applyNumberFormat="1" applyFill="1" applyBorder="1"/>
    <xf numFmtId="3" fontId="5" fillId="5" borderId="7" xfId="2" applyNumberFormat="1" applyFont="1" applyFill="1" applyBorder="1"/>
    <xf numFmtId="0" fontId="5" fillId="5" borderId="8" xfId="2" applyFill="1" applyBorder="1" applyAlignment="1">
      <alignment horizontal="left"/>
    </xf>
    <xf numFmtId="3" fontId="5" fillId="5" borderId="28" xfId="2" applyNumberFormat="1" applyFill="1" applyBorder="1" applyAlignment="1">
      <alignment horizontal="right"/>
    </xf>
    <xf numFmtId="3" fontId="5" fillId="5" borderId="7" xfId="2" applyNumberFormat="1" applyFill="1" applyBorder="1"/>
    <xf numFmtId="0" fontId="5" fillId="5" borderId="38" xfId="2" applyFill="1" applyBorder="1"/>
    <xf numFmtId="0" fontId="5" fillId="5" borderId="47" xfId="2" applyFill="1" applyBorder="1"/>
    <xf numFmtId="3" fontId="5" fillId="5" borderId="50" xfId="2" applyNumberFormat="1" applyFill="1" applyBorder="1"/>
    <xf numFmtId="3" fontId="5" fillId="5" borderId="38" xfId="2" applyNumberFormat="1" applyFill="1" applyBorder="1"/>
    <xf numFmtId="0" fontId="5" fillId="5" borderId="48" xfId="2" applyFill="1" applyBorder="1" applyAlignment="1">
      <alignment horizontal="left"/>
    </xf>
    <xf numFmtId="3" fontId="5" fillId="5" borderId="49" xfId="2" applyNumberFormat="1" applyFill="1" applyBorder="1"/>
    <xf numFmtId="3" fontId="5" fillId="5" borderId="5" xfId="2" applyNumberFormat="1" applyFill="1" applyBorder="1"/>
    <xf numFmtId="0" fontId="5" fillId="5" borderId="47" xfId="2" applyFill="1" applyBorder="1" applyAlignment="1">
      <alignment horizontal="right"/>
    </xf>
    <xf numFmtId="0" fontId="6" fillId="5" borderId="7" xfId="2" applyFont="1" applyFill="1" applyBorder="1"/>
    <xf numFmtId="3" fontId="5" fillId="5" borderId="7" xfId="2" applyNumberFormat="1" applyFill="1" applyBorder="1" applyAlignment="1">
      <alignment horizontal="center"/>
    </xf>
    <xf numFmtId="0" fontId="5" fillId="5" borderId="48" xfId="2" applyFill="1" applyBorder="1" applyAlignment="1">
      <alignment horizontal="left" wrapText="1"/>
    </xf>
    <xf numFmtId="0" fontId="5" fillId="5" borderId="0" xfId="2" applyFill="1" applyBorder="1" applyAlignment="1">
      <alignment horizontal="right"/>
    </xf>
    <xf numFmtId="0" fontId="5" fillId="5" borderId="8" xfId="2" applyFill="1" applyBorder="1" applyAlignment="1">
      <alignment horizontal="center"/>
    </xf>
    <xf numFmtId="0" fontId="6" fillId="5" borderId="0" xfId="2" applyFont="1" applyFill="1" applyBorder="1"/>
    <xf numFmtId="0" fontId="5" fillId="5" borderId="48" xfId="2" applyFill="1" applyBorder="1" applyAlignment="1">
      <alignment horizontal="center"/>
    </xf>
    <xf numFmtId="3" fontId="5" fillId="0" borderId="28" xfId="2" applyNumberFormat="1" applyFill="1" applyBorder="1"/>
    <xf numFmtId="0" fontId="5" fillId="5" borderId="50" xfId="2" applyFill="1" applyBorder="1"/>
    <xf numFmtId="0" fontId="1" fillId="3" borderId="60" xfId="6" applyFont="1" applyFill="1" applyBorder="1" applyAlignment="1">
      <alignment horizontal="center" vertical="center" wrapText="1"/>
    </xf>
    <xf numFmtId="0" fontId="1" fillId="3" borderId="60" xfId="6" applyFont="1" applyFill="1" applyBorder="1" applyAlignment="1">
      <alignment horizontal="left" vertical="center" wrapText="1"/>
    </xf>
    <xf numFmtId="0" fontId="1" fillId="3" borderId="60" xfId="6" applyFont="1" applyFill="1" applyBorder="1" applyAlignment="1">
      <alignment vertical="center" wrapText="1"/>
    </xf>
    <xf numFmtId="0" fontId="5" fillId="5" borderId="0" xfId="2" applyFill="1" applyAlignment="1">
      <alignment wrapText="1"/>
    </xf>
    <xf numFmtId="0" fontId="4" fillId="19" borderId="60" xfId="6" applyFill="1" applyBorder="1" applyAlignment="1">
      <alignment horizontal="left" vertical="center" wrapText="1"/>
    </xf>
    <xf numFmtId="0" fontId="4" fillId="19" borderId="60" xfId="6" applyFill="1" applyBorder="1" applyAlignment="1">
      <alignment horizontal="left" vertical="center"/>
    </xf>
    <xf numFmtId="3" fontId="4" fillId="19" borderId="60" xfId="6" applyNumberFormat="1" applyFill="1" applyBorder="1" applyAlignment="1">
      <alignment horizontal="center" vertical="center"/>
    </xf>
    <xf numFmtId="0" fontId="4" fillId="19" borderId="60" xfId="6" applyFill="1" applyBorder="1" applyAlignment="1">
      <alignment vertical="center" wrapText="1"/>
    </xf>
    <xf numFmtId="0" fontId="9" fillId="19" borderId="60" xfId="6" applyFont="1" applyFill="1" applyBorder="1" applyAlignment="1">
      <alignment horizontal="right" vertical="center"/>
    </xf>
    <xf numFmtId="3" fontId="9" fillId="19" borderId="60" xfId="6" applyNumberFormat="1" applyFont="1" applyFill="1" applyBorder="1" applyAlignment="1">
      <alignment horizontal="center" vertical="center"/>
    </xf>
    <xf numFmtId="0" fontId="4" fillId="19" borderId="59" xfId="6" applyFill="1" applyBorder="1" applyAlignment="1">
      <alignment vertical="center" wrapText="1"/>
    </xf>
    <xf numFmtId="3" fontId="4" fillId="19" borderId="59" xfId="6" applyNumberFormat="1" applyFill="1" applyBorder="1" applyAlignment="1">
      <alignment horizontal="left" vertical="center"/>
    </xf>
    <xf numFmtId="0" fontId="4" fillId="19" borderId="59" xfId="6" applyFont="1" applyFill="1" applyBorder="1" applyAlignment="1">
      <alignment vertical="center" wrapText="1"/>
    </xf>
    <xf numFmtId="3" fontId="4" fillId="19" borderId="60" xfId="6" applyNumberFormat="1" applyFill="1" applyBorder="1" applyAlignment="1">
      <alignment vertical="center" wrapText="1"/>
    </xf>
    <xf numFmtId="3" fontId="9" fillId="12" borderId="60" xfId="6" applyNumberFormat="1" applyFont="1" applyFill="1" applyBorder="1" applyAlignment="1">
      <alignment horizontal="center" vertical="center"/>
    </xf>
    <xf numFmtId="0" fontId="9" fillId="12" borderId="60" xfId="6" applyFont="1" applyFill="1" applyBorder="1" applyAlignment="1">
      <alignment vertical="center" wrapText="1"/>
    </xf>
    <xf numFmtId="0" fontId="4" fillId="17" borderId="60" xfId="6" applyFill="1" applyBorder="1" applyAlignment="1">
      <alignment horizontal="left" vertical="center" wrapText="1"/>
    </xf>
    <xf numFmtId="0" fontId="4" fillId="17" borderId="60" xfId="6" applyFill="1" applyBorder="1" applyAlignment="1">
      <alignment horizontal="left" vertical="center"/>
    </xf>
    <xf numFmtId="3" fontId="4" fillId="17" borderId="60" xfId="6" applyNumberFormat="1" applyFill="1" applyBorder="1" applyAlignment="1">
      <alignment horizontal="center" vertical="center"/>
    </xf>
    <xf numFmtId="0" fontId="4" fillId="17" borderId="60" xfId="6" applyFill="1" applyBorder="1" applyAlignment="1">
      <alignment vertical="center" wrapText="1"/>
    </xf>
    <xf numFmtId="0" fontId="4" fillId="17" borderId="60" xfId="6" applyFont="1" applyFill="1" applyBorder="1" applyAlignment="1">
      <alignment horizontal="left" vertical="center"/>
    </xf>
    <xf numFmtId="3" fontId="4" fillId="17" borderId="60" xfId="6" applyNumberFormat="1" applyFont="1" applyFill="1" applyBorder="1" applyAlignment="1">
      <alignment horizontal="center" vertical="center"/>
    </xf>
    <xf numFmtId="0" fontId="4" fillId="17" borderId="60" xfId="6" applyFont="1" applyFill="1" applyBorder="1" applyAlignment="1">
      <alignment vertical="center" wrapText="1"/>
    </xf>
    <xf numFmtId="3" fontId="9" fillId="17" borderId="60" xfId="6" applyNumberFormat="1" applyFont="1" applyFill="1" applyBorder="1" applyAlignment="1">
      <alignment horizontal="center" vertical="center"/>
    </xf>
    <xf numFmtId="0" fontId="9" fillId="17" borderId="60" xfId="6" applyFont="1" applyFill="1" applyBorder="1" applyAlignment="1">
      <alignment vertical="center" wrapText="1"/>
    </xf>
    <xf numFmtId="3" fontId="9" fillId="20" borderId="60" xfId="6" applyNumberFormat="1" applyFont="1" applyFill="1" applyBorder="1" applyAlignment="1">
      <alignment horizontal="center" vertical="center"/>
    </xf>
    <xf numFmtId="0" fontId="9" fillId="20" borderId="60" xfId="6" applyFont="1" applyFill="1" applyBorder="1" applyAlignment="1">
      <alignment vertical="center" wrapText="1"/>
    </xf>
    <xf numFmtId="0" fontId="4" fillId="21" borderId="60" xfId="6" applyFill="1" applyBorder="1" applyAlignment="1">
      <alignment horizontal="left" vertical="center" wrapText="1"/>
    </xf>
    <xf numFmtId="0" fontId="4" fillId="21" borderId="60" xfId="6" applyFont="1" applyFill="1" applyBorder="1" applyAlignment="1">
      <alignment horizontal="left" vertical="center" wrapText="1"/>
    </xf>
    <xf numFmtId="0" fontId="4" fillId="21" borderId="60" xfId="6" applyFill="1" applyBorder="1" applyAlignment="1">
      <alignment horizontal="left" vertical="center"/>
    </xf>
    <xf numFmtId="3" fontId="4" fillId="21" borderId="60" xfId="6" applyNumberFormat="1" applyFill="1" applyBorder="1" applyAlignment="1">
      <alignment horizontal="center" vertical="center"/>
    </xf>
    <xf numFmtId="0" fontId="4" fillId="21" borderId="60" xfId="6" applyFill="1" applyBorder="1" applyAlignment="1">
      <alignment vertical="center" wrapText="1"/>
    </xf>
    <xf numFmtId="0" fontId="4" fillId="21" borderId="58" xfId="6" applyFill="1" applyBorder="1" applyAlignment="1">
      <alignment vertical="center"/>
    </xf>
    <xf numFmtId="0" fontId="4" fillId="21" borderId="59" xfId="6" applyFill="1" applyBorder="1" applyAlignment="1">
      <alignment horizontal="left" vertical="center" wrapText="1"/>
    </xf>
    <xf numFmtId="3" fontId="9" fillId="22" borderId="60" xfId="6" applyNumberFormat="1" applyFont="1" applyFill="1" applyBorder="1" applyAlignment="1">
      <alignment horizontal="center" vertical="center"/>
    </xf>
    <xf numFmtId="0" fontId="9" fillId="22" borderId="60" xfId="6" applyFont="1" applyFill="1" applyBorder="1" applyAlignment="1">
      <alignment vertical="center" wrapText="1"/>
    </xf>
    <xf numFmtId="0" fontId="4" fillId="23" borderId="63" xfId="6" applyFill="1" applyBorder="1" applyAlignment="1">
      <alignment horizontal="left" vertical="center" wrapText="1"/>
    </xf>
    <xf numFmtId="0" fontId="4" fillId="23" borderId="60" xfId="6" applyFont="1" applyFill="1" applyBorder="1" applyAlignment="1">
      <alignment horizontal="left" vertical="center"/>
    </xf>
    <xf numFmtId="0" fontId="4" fillId="23" borderId="60" xfId="6" applyFill="1" applyBorder="1" applyAlignment="1">
      <alignment horizontal="left" vertical="center"/>
    </xf>
    <xf numFmtId="3" fontId="4" fillId="23" borderId="60" xfId="6" applyNumberFormat="1" applyFill="1" applyBorder="1" applyAlignment="1">
      <alignment horizontal="center" vertical="center"/>
    </xf>
    <xf numFmtId="0" fontId="4" fillId="23" borderId="60" xfId="6" applyFill="1" applyBorder="1" applyAlignment="1">
      <alignment vertical="center" wrapText="1"/>
    </xf>
    <xf numFmtId="3" fontId="4" fillId="23" borderId="60" xfId="6" applyNumberFormat="1" applyFont="1" applyFill="1" applyBorder="1" applyAlignment="1">
      <alignment horizontal="center" vertical="center"/>
    </xf>
    <xf numFmtId="3" fontId="9" fillId="24" borderId="60" xfId="6" applyNumberFormat="1" applyFont="1" applyFill="1" applyBorder="1" applyAlignment="1">
      <alignment horizontal="center" vertical="center"/>
    </xf>
    <xf numFmtId="0" fontId="9" fillId="24" borderId="60" xfId="6" applyFont="1" applyFill="1" applyBorder="1" applyAlignment="1">
      <alignment vertical="center" wrapText="1"/>
    </xf>
    <xf numFmtId="0" fontId="4" fillId="5" borderId="0" xfId="6" applyFill="1" applyAlignment="1">
      <alignment wrapText="1"/>
    </xf>
    <xf numFmtId="0" fontId="4" fillId="5" borderId="0" xfId="6" applyFill="1"/>
    <xf numFmtId="0" fontId="4" fillId="5" borderId="0" xfId="6" applyFill="1" applyAlignment="1">
      <alignment horizontal="left" vertical="center" wrapText="1"/>
    </xf>
    <xf numFmtId="0" fontId="0" fillId="0" borderId="0" xfId="0" applyAlignment="1">
      <alignment wrapText="1"/>
    </xf>
    <xf numFmtId="1" fontId="0" fillId="0" borderId="0" xfId="0" applyNumberFormat="1" applyAlignment="1">
      <alignment wrapText="1"/>
    </xf>
    <xf numFmtId="0" fontId="1" fillId="0" borderId="0" xfId="0" applyFont="1"/>
    <xf numFmtId="1" fontId="1" fillId="0" borderId="0" xfId="0" applyNumberFormat="1" applyFont="1"/>
    <xf numFmtId="3" fontId="4" fillId="0" borderId="61" xfId="1" applyFont="1" applyBorder="1"/>
    <xf numFmtId="3" fontId="4" fillId="0" borderId="61" xfId="1" applyFont="1" applyFill="1" applyBorder="1"/>
    <xf numFmtId="3" fontId="4" fillId="0" borderId="58" xfId="1" applyFont="1" applyFill="1" applyBorder="1"/>
    <xf numFmtId="3" fontId="4" fillId="0" borderId="59" xfId="1" applyFont="1" applyFill="1" applyBorder="1" applyAlignment="1">
      <alignment horizontal="right"/>
    </xf>
    <xf numFmtId="3" fontId="4" fillId="0" borderId="59" xfId="1" applyFont="1" applyFill="1" applyBorder="1"/>
    <xf numFmtId="3" fontId="4" fillId="9" borderId="61" xfId="1" applyFont="1" applyFill="1" applyBorder="1"/>
    <xf numFmtId="3" fontId="4" fillId="0" borderId="58" xfId="1" applyFont="1" applyBorder="1"/>
    <xf numFmtId="3" fontId="4" fillId="0" borderId="59" xfId="1" applyFont="1" applyBorder="1"/>
    <xf numFmtId="3" fontId="4" fillId="0" borderId="59" xfId="1" applyFont="1" applyBorder="1" applyAlignment="1">
      <alignment horizontal="right"/>
    </xf>
    <xf numFmtId="3" fontId="4" fillId="0" borderId="60" xfId="1" applyFont="1" applyBorder="1"/>
    <xf numFmtId="3" fontId="4" fillId="0" borderId="60" xfId="1" applyFont="1" applyFill="1" applyBorder="1"/>
    <xf numFmtId="0" fontId="10" fillId="0" borderId="58" xfId="2" applyFont="1" applyBorder="1"/>
    <xf numFmtId="0" fontId="10" fillId="0" borderId="58" xfId="2" applyFont="1" applyFill="1" applyBorder="1"/>
    <xf numFmtId="0" fontId="10" fillId="0" borderId="61" xfId="2" applyFont="1" applyBorder="1"/>
    <xf numFmtId="0" fontId="10" fillId="0" borderId="61" xfId="2" applyFont="1" applyFill="1" applyBorder="1"/>
    <xf numFmtId="3" fontId="11" fillId="0" borderId="60" xfId="1" applyFont="1" applyFill="1" applyBorder="1"/>
    <xf numFmtId="3" fontId="9" fillId="0" borderId="61" xfId="2" applyNumberFormat="1" applyFont="1" applyFill="1" applyBorder="1"/>
    <xf numFmtId="3" fontId="11" fillId="0" borderId="60" xfId="1" applyFont="1" applyBorder="1"/>
    <xf numFmtId="3" fontId="11" fillId="0" borderId="58" xfId="1" applyFont="1" applyBorder="1"/>
    <xf numFmtId="3" fontId="11" fillId="0" borderId="58" xfId="1" applyFont="1" applyFill="1" applyBorder="1"/>
    <xf numFmtId="3" fontId="10" fillId="0" borderId="61" xfId="1" applyFont="1" applyFill="1" applyBorder="1" applyAlignment="1">
      <alignment horizontal="center"/>
    </xf>
    <xf numFmtId="0" fontId="10" fillId="0" borderId="60" xfId="2" applyFont="1" applyBorder="1"/>
    <xf numFmtId="3" fontId="4" fillId="4" borderId="0" xfId="1" applyFont="1" applyFill="1" applyBorder="1"/>
    <xf numFmtId="3" fontId="4" fillId="4" borderId="23" xfId="1" applyFont="1" applyFill="1" applyBorder="1"/>
    <xf numFmtId="3" fontId="4" fillId="4" borderId="35" xfId="1" applyFont="1" applyFill="1" applyBorder="1"/>
    <xf numFmtId="3" fontId="4" fillId="4" borderId="3" xfId="1" applyFont="1" applyFill="1" applyBorder="1"/>
    <xf numFmtId="3" fontId="4" fillId="4" borderId="15" xfId="1" applyFont="1" applyFill="1" applyBorder="1"/>
    <xf numFmtId="3" fontId="4" fillId="4" borderId="15" xfId="1" applyFont="1" applyFill="1" applyBorder="1" applyAlignment="1">
      <alignment horizontal="right"/>
    </xf>
    <xf numFmtId="3" fontId="4" fillId="4" borderId="15" xfId="1" applyNumberFormat="1" applyFont="1" applyFill="1" applyBorder="1"/>
    <xf numFmtId="0" fontId="11" fillId="4" borderId="0" xfId="2" applyFont="1" applyFill="1" applyBorder="1" applyAlignment="1">
      <alignment horizontal="center" vertical="center" wrapText="1"/>
    </xf>
    <xf numFmtId="0" fontId="11" fillId="4" borderId="15" xfId="2" applyFont="1" applyFill="1" applyBorder="1" applyAlignment="1">
      <alignment horizontal="center" vertical="center" wrapText="1"/>
    </xf>
    <xf numFmtId="0" fontId="10" fillId="5" borderId="2" xfId="2" applyFont="1" applyFill="1" applyBorder="1" applyAlignment="1">
      <alignment horizontal="center" wrapText="1"/>
    </xf>
    <xf numFmtId="0" fontId="10" fillId="5" borderId="3" xfId="2" applyFont="1" applyFill="1" applyBorder="1" applyAlignment="1">
      <alignment horizontal="center" wrapText="1"/>
    </xf>
    <xf numFmtId="0" fontId="10" fillId="5" borderId="25" xfId="2" applyFont="1" applyFill="1" applyBorder="1" applyAlignment="1">
      <alignment horizontal="center" wrapText="1"/>
    </xf>
    <xf numFmtId="0" fontId="10" fillId="5" borderId="3" xfId="2" applyFont="1" applyFill="1" applyBorder="1"/>
    <xf numFmtId="3" fontId="11" fillId="0" borderId="1" xfId="1" applyFont="1" applyBorder="1" applyAlignment="1">
      <alignment horizontal="center"/>
    </xf>
    <xf numFmtId="3" fontId="11" fillId="4" borderId="23" xfId="1" applyFont="1" applyFill="1" applyBorder="1"/>
    <xf numFmtId="0" fontId="10" fillId="8" borderId="29" xfId="2" applyFont="1" applyFill="1" applyBorder="1" applyAlignment="1">
      <alignment horizontal="left" indent="2"/>
    </xf>
    <xf numFmtId="3" fontId="10" fillId="8" borderId="16" xfId="1" applyFont="1" applyFill="1" applyBorder="1"/>
    <xf numFmtId="0" fontId="11" fillId="8" borderId="2" xfId="2" applyFont="1" applyFill="1" applyBorder="1" applyAlignment="1">
      <alignment horizontal="left" indent="2"/>
    </xf>
    <xf numFmtId="3" fontId="11" fillId="8" borderId="1" xfId="1" applyFont="1" applyFill="1" applyBorder="1"/>
    <xf numFmtId="3" fontId="11" fillId="4" borderId="3" xfId="1" applyFont="1" applyFill="1" applyBorder="1"/>
    <xf numFmtId="3" fontId="11" fillId="0" borderId="36" xfId="1" applyFont="1" applyBorder="1"/>
    <xf numFmtId="3" fontId="11" fillId="0" borderId="37" xfId="1" applyFont="1" applyBorder="1"/>
    <xf numFmtId="0" fontId="11" fillId="8" borderId="38" xfId="2" applyFont="1" applyFill="1" applyBorder="1" applyAlignment="1">
      <alignment horizontal="center" vertical="center" wrapText="1"/>
    </xf>
    <xf numFmtId="0" fontId="10" fillId="8" borderId="2" xfId="2" applyFont="1" applyFill="1" applyBorder="1" applyAlignment="1">
      <alignment horizontal="left" indent="2"/>
    </xf>
    <xf numFmtId="3" fontId="10" fillId="8" borderId="1" xfId="1" applyFont="1" applyFill="1" applyBorder="1"/>
    <xf numFmtId="0" fontId="10" fillId="0" borderId="39" xfId="2" applyFont="1" applyBorder="1" applyAlignment="1">
      <alignment horizontal="left" indent="2"/>
    </xf>
    <xf numFmtId="3" fontId="10" fillId="0" borderId="16" xfId="2" applyNumberFormat="1" applyFont="1" applyBorder="1"/>
    <xf numFmtId="0" fontId="10" fillId="0" borderId="29" xfId="2" applyFont="1" applyBorder="1" applyAlignment="1">
      <alignment horizontal="left" indent="2"/>
    </xf>
    <xf numFmtId="0" fontId="11" fillId="9" borderId="28" xfId="2" applyFont="1" applyFill="1" applyBorder="1" applyAlignment="1">
      <alignment horizontal="left" indent="2"/>
    </xf>
    <xf numFmtId="3" fontId="11" fillId="9" borderId="7" xfId="1" applyFont="1" applyFill="1" applyBorder="1"/>
    <xf numFmtId="3" fontId="11" fillId="4" borderId="35" xfId="1" applyFont="1" applyFill="1" applyBorder="1"/>
    <xf numFmtId="3" fontId="11" fillId="0" borderId="40" xfId="1" applyFont="1" applyBorder="1"/>
    <xf numFmtId="3" fontId="11" fillId="0" borderId="41" xfId="1" applyFont="1" applyBorder="1"/>
    <xf numFmtId="3" fontId="11" fillId="4" borderId="0" xfId="1" applyFont="1" applyFill="1" applyBorder="1"/>
    <xf numFmtId="3" fontId="11" fillId="7" borderId="1" xfId="1" applyFont="1" applyFill="1" applyBorder="1"/>
    <xf numFmtId="3" fontId="11" fillId="4" borderId="25" xfId="1" applyFont="1" applyFill="1" applyBorder="1"/>
    <xf numFmtId="3" fontId="11" fillId="0" borderId="44" xfId="1" applyFont="1" applyBorder="1"/>
    <xf numFmtId="3" fontId="11" fillId="0" borderId="45" xfId="1" applyFont="1" applyBorder="1"/>
    <xf numFmtId="0" fontId="11" fillId="2" borderId="28" xfId="2" applyFont="1" applyFill="1" applyBorder="1" applyAlignment="1">
      <alignment horizontal="center" wrapText="1"/>
    </xf>
    <xf numFmtId="0" fontId="11" fillId="2" borderId="0" xfId="2" applyFont="1" applyFill="1" applyBorder="1" applyAlignment="1">
      <alignment horizontal="center" wrapText="1"/>
    </xf>
    <xf numFmtId="0" fontId="10" fillId="8" borderId="39" xfId="2" applyFont="1" applyFill="1" applyBorder="1" applyAlignment="1">
      <alignment horizontal="left" indent="2"/>
    </xf>
    <xf numFmtId="3" fontId="10" fillId="8" borderId="13" xfId="1" applyFont="1" applyFill="1" applyBorder="1"/>
    <xf numFmtId="0" fontId="10" fillId="0" borderId="46" xfId="2" applyFont="1" applyBorder="1" applyAlignment="1">
      <alignment horizontal="left" indent="1"/>
    </xf>
    <xf numFmtId="3" fontId="11" fillId="2" borderId="1" xfId="1" applyFont="1" applyFill="1" applyBorder="1"/>
    <xf numFmtId="3" fontId="11" fillId="6" borderId="7" xfId="1" applyFont="1" applyFill="1" applyBorder="1"/>
    <xf numFmtId="0" fontId="11" fillId="4" borderId="2" xfId="2" applyFont="1" applyFill="1" applyBorder="1" applyAlignment="1">
      <alignment horizontal="center"/>
    </xf>
    <xf numFmtId="0" fontId="11" fillId="4" borderId="3" xfId="2" applyFont="1" applyFill="1" applyBorder="1" applyAlignment="1">
      <alignment horizontal="center"/>
    </xf>
    <xf numFmtId="3" fontId="11" fillId="4" borderId="5" xfId="1" applyFont="1" applyFill="1" applyBorder="1"/>
    <xf numFmtId="0" fontId="10" fillId="8" borderId="51" xfId="2" applyFont="1" applyFill="1" applyBorder="1" applyAlignment="1">
      <alignment horizontal="left" indent="2"/>
    </xf>
    <xf numFmtId="3" fontId="10" fillId="8" borderId="24" xfId="1" applyFont="1" applyFill="1" applyBorder="1"/>
    <xf numFmtId="3" fontId="11" fillId="12" borderId="7" xfId="1" applyFont="1" applyFill="1" applyBorder="1"/>
    <xf numFmtId="3" fontId="11" fillId="13" borderId="7" xfId="1" applyFont="1" applyFill="1" applyBorder="1"/>
    <xf numFmtId="3" fontId="11" fillId="0" borderId="54" xfId="1" applyFont="1" applyBorder="1"/>
    <xf numFmtId="3" fontId="11" fillId="0" borderId="55" xfId="1" applyFont="1" applyBorder="1"/>
    <xf numFmtId="3" fontId="11" fillId="11" borderId="5" xfId="1" applyFont="1" applyFill="1" applyBorder="1"/>
    <xf numFmtId="3" fontId="11" fillId="4" borderId="1" xfId="1" applyFont="1" applyFill="1" applyBorder="1"/>
    <xf numFmtId="0" fontId="10" fillId="0" borderId="51" xfId="2" applyFont="1" applyBorder="1" applyAlignment="1">
      <alignment horizontal="left" indent="2"/>
    </xf>
    <xf numFmtId="3" fontId="10" fillId="4" borderId="0" xfId="2" applyNumberFormat="1" applyFont="1" applyFill="1" applyBorder="1"/>
    <xf numFmtId="3" fontId="11" fillId="14" borderId="7" xfId="1" applyFont="1" applyFill="1" applyBorder="1"/>
    <xf numFmtId="3" fontId="11" fillId="18" borderId="1" xfId="1" applyFont="1" applyFill="1" applyBorder="1"/>
    <xf numFmtId="0" fontId="11" fillId="0" borderId="57" xfId="2" applyFont="1" applyBorder="1" applyAlignment="1">
      <alignment horizontal="center" wrapText="1"/>
    </xf>
    <xf numFmtId="0" fontId="10" fillId="0" borderId="61" xfId="2" applyFont="1" applyBorder="1" applyAlignment="1">
      <alignment horizontal="left" indent="1"/>
    </xf>
    <xf numFmtId="0" fontId="10" fillId="0" borderId="61" xfId="2" applyFont="1" applyBorder="1" applyAlignment="1">
      <alignment horizontal="left" indent="2"/>
    </xf>
    <xf numFmtId="0" fontId="10" fillId="0" borderId="59" xfId="2" applyFont="1" applyBorder="1" applyAlignment="1">
      <alignment horizontal="left" indent="2"/>
    </xf>
    <xf numFmtId="0" fontId="10" fillId="0" borderId="60" xfId="2" applyFont="1" applyBorder="1" applyAlignment="1">
      <alignment horizontal="left" indent="2"/>
    </xf>
    <xf numFmtId="0" fontId="10" fillId="0" borderId="58" xfId="2" applyFont="1" applyBorder="1" applyAlignment="1">
      <alignment horizontal="left" indent="1"/>
    </xf>
    <xf numFmtId="0" fontId="10" fillId="0" borderId="61" xfId="2" applyFont="1" applyFill="1" applyBorder="1" applyAlignment="1">
      <alignment horizontal="left" indent="2"/>
    </xf>
    <xf numFmtId="0" fontId="10" fillId="0" borderId="60" xfId="2" applyFont="1" applyBorder="1" applyAlignment="1">
      <alignment horizontal="left" indent="1"/>
    </xf>
    <xf numFmtId="0" fontId="10" fillId="0" borderId="59" xfId="2" applyFont="1" applyFill="1" applyBorder="1" applyAlignment="1">
      <alignment horizontal="left" indent="2"/>
    </xf>
    <xf numFmtId="0" fontId="10" fillId="0" borderId="41" xfId="2" applyFont="1" applyBorder="1"/>
    <xf numFmtId="3" fontId="10" fillId="0" borderId="20" xfId="2" applyNumberFormat="1" applyFont="1" applyBorder="1"/>
    <xf numFmtId="3" fontId="10" fillId="0" borderId="10" xfId="2" applyNumberFormat="1" applyFont="1" applyFill="1" applyBorder="1"/>
    <xf numFmtId="3" fontId="10" fillId="0" borderId="14" xfId="2" applyNumberFormat="1" applyFont="1" applyFill="1" applyBorder="1"/>
    <xf numFmtId="3" fontId="10" fillId="0" borderId="21" xfId="2" applyNumberFormat="1" applyFont="1" applyFill="1" applyBorder="1"/>
    <xf numFmtId="3" fontId="10" fillId="0" borderId="22" xfId="2" applyNumberFormat="1" applyFont="1" applyFill="1" applyBorder="1"/>
    <xf numFmtId="3" fontId="10" fillId="0" borderId="17" xfId="2" applyNumberFormat="1" applyFont="1" applyFill="1" applyBorder="1"/>
    <xf numFmtId="3" fontId="10" fillId="0" borderId="26" xfId="2" applyNumberFormat="1" applyFont="1" applyFill="1" applyBorder="1"/>
    <xf numFmtId="3" fontId="11" fillId="0" borderId="36" xfId="1" applyFont="1" applyFill="1" applyBorder="1"/>
    <xf numFmtId="3" fontId="11" fillId="0" borderId="37" xfId="1" applyFont="1" applyFill="1" applyBorder="1"/>
    <xf numFmtId="3" fontId="10" fillId="0" borderId="21" xfId="1" applyFont="1" applyFill="1" applyBorder="1"/>
    <xf numFmtId="3" fontId="10" fillId="0" borderId="22" xfId="1" applyFont="1" applyFill="1" applyBorder="1"/>
    <xf numFmtId="3" fontId="10" fillId="0" borderId="17" xfId="1" applyFont="1" applyFill="1" applyBorder="1"/>
    <xf numFmtId="3" fontId="10" fillId="0" borderId="26" xfId="1" applyFont="1" applyFill="1" applyBorder="1"/>
    <xf numFmtId="3" fontId="10" fillId="0" borderId="10" xfId="1" applyFont="1" applyFill="1" applyBorder="1"/>
    <xf numFmtId="3" fontId="10" fillId="0" borderId="14" xfId="1" applyFont="1" applyFill="1" applyBorder="1"/>
    <xf numFmtId="3" fontId="11" fillId="0" borderId="33" xfId="1" applyFont="1" applyBorder="1" applyAlignment="1">
      <alignment horizontal="center"/>
    </xf>
    <xf numFmtId="3" fontId="11" fillId="0" borderId="34" xfId="1" applyFont="1" applyBorder="1" applyAlignment="1">
      <alignment horizontal="center"/>
    </xf>
    <xf numFmtId="3" fontId="10" fillId="0" borderId="36" xfId="1" applyFont="1" applyFill="1" applyBorder="1"/>
    <xf numFmtId="3" fontId="10" fillId="0" borderId="37" xfId="1" applyFont="1" applyFill="1" applyBorder="1"/>
    <xf numFmtId="3" fontId="10" fillId="0" borderId="9" xfId="2" applyNumberFormat="1" applyFont="1" applyBorder="1"/>
    <xf numFmtId="3" fontId="11" fillId="10" borderId="1" xfId="1" applyFont="1" applyFill="1" applyBorder="1"/>
    <xf numFmtId="0" fontId="6" fillId="2" borderId="0" xfId="2" applyFont="1" applyFill="1"/>
    <xf numFmtId="0" fontId="5" fillId="2" borderId="0" xfId="2" applyFill="1"/>
    <xf numFmtId="0" fontId="11" fillId="4" borderId="13" xfId="2" applyFont="1" applyFill="1" applyBorder="1" applyAlignment="1">
      <alignment horizontal="center" vertical="center" wrapText="1"/>
    </xf>
    <xf numFmtId="0" fontId="11" fillId="4" borderId="16" xfId="2" applyFont="1" applyFill="1" applyBorder="1" applyAlignment="1">
      <alignment horizontal="center" vertical="center" wrapText="1"/>
    </xf>
    <xf numFmtId="3" fontId="11" fillId="4" borderId="24" xfId="1" applyFont="1" applyFill="1" applyBorder="1" applyAlignment="1">
      <alignment horizontal="center"/>
    </xf>
    <xf numFmtId="3" fontId="4" fillId="4" borderId="13" xfId="1" applyFont="1" applyFill="1" applyBorder="1"/>
    <xf numFmtId="3" fontId="4" fillId="4" borderId="16" xfId="1" applyFont="1" applyFill="1" applyBorder="1"/>
    <xf numFmtId="3" fontId="4" fillId="4" borderId="20" xfId="1" applyFont="1" applyFill="1" applyBorder="1"/>
    <xf numFmtId="3" fontId="11" fillId="4" borderId="7" xfId="1" applyFont="1" applyFill="1" applyBorder="1"/>
    <xf numFmtId="3" fontId="4" fillId="4" borderId="9" xfId="1" applyFont="1" applyFill="1" applyBorder="1"/>
    <xf numFmtId="3" fontId="11" fillId="4" borderId="16" xfId="1" applyFont="1" applyFill="1" applyBorder="1"/>
    <xf numFmtId="3" fontId="4" fillId="4" borderId="5" xfId="1" applyFont="1" applyFill="1" applyBorder="1"/>
    <xf numFmtId="3" fontId="4" fillId="4" borderId="7" xfId="1" applyFont="1" applyFill="1" applyBorder="1"/>
    <xf numFmtId="3" fontId="4" fillId="4" borderId="38" xfId="1" applyFont="1" applyFill="1" applyBorder="1"/>
    <xf numFmtId="3" fontId="4" fillId="4" borderId="9" xfId="1" applyFont="1" applyFill="1" applyBorder="1" applyAlignment="1">
      <alignment horizontal="right"/>
    </xf>
    <xf numFmtId="0" fontId="10" fillId="4" borderId="16" xfId="2" applyFont="1" applyFill="1" applyBorder="1"/>
    <xf numFmtId="3" fontId="10" fillId="4" borderId="7" xfId="2" applyNumberFormat="1" applyFont="1" applyFill="1" applyBorder="1"/>
    <xf numFmtId="3" fontId="4" fillId="4" borderId="9" xfId="1" applyNumberFormat="1" applyFont="1" applyFill="1" applyBorder="1"/>
    <xf numFmtId="0" fontId="10" fillId="0" borderId="64" xfId="2" applyFont="1" applyBorder="1" applyAlignment="1">
      <alignment horizontal="left" indent="2"/>
    </xf>
    <xf numFmtId="3" fontId="10" fillId="0" borderId="30" xfId="2" applyNumberFormat="1" applyFont="1" applyFill="1" applyBorder="1"/>
    <xf numFmtId="3" fontId="10" fillId="0" borderId="31" xfId="2" applyNumberFormat="1" applyFont="1" applyFill="1" applyBorder="1"/>
    <xf numFmtId="3" fontId="11" fillId="4" borderId="2" xfId="1" applyFont="1" applyFill="1" applyBorder="1"/>
    <xf numFmtId="3" fontId="11" fillId="4" borderId="4" xfId="1" applyFont="1" applyFill="1" applyBorder="1"/>
    <xf numFmtId="3" fontId="11" fillId="15" borderId="7" xfId="1" applyFont="1" applyFill="1" applyBorder="1"/>
    <xf numFmtId="0" fontId="10" fillId="8" borderId="64" xfId="2" applyFont="1" applyFill="1" applyBorder="1" applyAlignment="1">
      <alignment horizontal="left" indent="2"/>
    </xf>
    <xf numFmtId="3" fontId="11" fillId="17" borderId="5" xfId="1" applyFont="1" applyFill="1" applyBorder="1"/>
    <xf numFmtId="3" fontId="4" fillId="0" borderId="40" xfId="1" applyFont="1" applyBorder="1"/>
    <xf numFmtId="3" fontId="4" fillId="0" borderId="41" xfId="1" applyFont="1" applyBorder="1"/>
    <xf numFmtId="3" fontId="11" fillId="3" borderId="27" xfId="1" applyFont="1" applyFill="1" applyBorder="1" applyAlignment="1">
      <alignment horizontal="center"/>
    </xf>
    <xf numFmtId="3" fontId="4" fillId="3" borderId="15" xfId="1" applyFont="1" applyFill="1" applyBorder="1"/>
    <xf numFmtId="3" fontId="4" fillId="3" borderId="23" xfId="1" applyFont="1" applyFill="1" applyBorder="1"/>
    <xf numFmtId="3" fontId="4" fillId="3" borderId="35" xfId="1" applyFont="1" applyFill="1" applyBorder="1"/>
    <xf numFmtId="3" fontId="11" fillId="3" borderId="3" xfId="1" applyFont="1" applyFill="1" applyBorder="1"/>
    <xf numFmtId="3" fontId="4" fillId="3" borderId="32" xfId="1" applyFont="1" applyFill="1" applyBorder="1"/>
    <xf numFmtId="3" fontId="11" fillId="3" borderId="0" xfId="1" applyFont="1" applyFill="1" applyBorder="1"/>
    <xf numFmtId="3" fontId="11" fillId="3" borderId="25" xfId="1" applyFont="1" applyFill="1" applyBorder="1"/>
    <xf numFmtId="3" fontId="10" fillId="3" borderId="35" xfId="1" applyFont="1" applyFill="1" applyBorder="1"/>
    <xf numFmtId="3" fontId="4" fillId="3" borderId="27" xfId="1" applyFont="1" applyFill="1" applyBorder="1"/>
    <xf numFmtId="3" fontId="11" fillId="3" borderId="47" xfId="1" applyFont="1" applyFill="1" applyBorder="1"/>
    <xf numFmtId="0" fontId="10" fillId="3" borderId="15" xfId="2" applyFont="1" applyFill="1" applyBorder="1"/>
    <xf numFmtId="0" fontId="10" fillId="3" borderId="23" xfId="2" applyFont="1" applyFill="1" applyBorder="1"/>
    <xf numFmtId="0" fontId="1" fillId="2" borderId="0" xfId="0" applyFont="1" applyFill="1"/>
    <xf numFmtId="0" fontId="0" fillId="2" borderId="0" xfId="0" applyFill="1"/>
    <xf numFmtId="0" fontId="6" fillId="0" borderId="0" xfId="2" applyFont="1"/>
    <xf numFmtId="0" fontId="0" fillId="0" borderId="0" xfId="0" applyFill="1"/>
    <xf numFmtId="0" fontId="5" fillId="9" borderId="0" xfId="2" applyFill="1"/>
    <xf numFmtId="0" fontId="5" fillId="0" borderId="0" xfId="2" applyAlignment="1">
      <alignment horizontal="center" wrapText="1"/>
    </xf>
    <xf numFmtId="1" fontId="5" fillId="0" borderId="0" xfId="2" applyNumberFormat="1"/>
    <xf numFmtId="1" fontId="5" fillId="9" borderId="0" xfId="2" applyNumberFormat="1" applyFill="1"/>
    <xf numFmtId="3" fontId="5" fillId="9" borderId="0" xfId="2" applyNumberFormat="1" applyFill="1"/>
    <xf numFmtId="1" fontId="6" fillId="18" borderId="0" xfId="2" applyNumberFormat="1" applyFont="1" applyFill="1"/>
    <xf numFmtId="0" fontId="6" fillId="18" borderId="0" xfId="2" applyFont="1" applyFill="1"/>
    <xf numFmtId="0" fontId="0" fillId="4" borderId="0" xfId="0" applyFill="1"/>
    <xf numFmtId="0" fontId="0" fillId="0" borderId="10" xfId="0" applyBorder="1"/>
    <xf numFmtId="1" fontId="0" fillId="0" borderId="11" xfId="0" applyNumberFormat="1" applyBorder="1"/>
    <xf numFmtId="0" fontId="0" fillId="0" borderId="21" xfId="0" applyBorder="1"/>
    <xf numFmtId="1" fontId="0" fillId="0" borderId="60" xfId="0" applyNumberFormat="1" applyBorder="1"/>
    <xf numFmtId="0" fontId="0" fillId="0" borderId="17" xfId="0" applyBorder="1"/>
    <xf numFmtId="1" fontId="0" fillId="0" borderId="18" xfId="0" applyNumberFormat="1" applyBorder="1"/>
    <xf numFmtId="1" fontId="1" fillId="9" borderId="49" xfId="0" applyNumberFormat="1" applyFont="1" applyFill="1" applyBorder="1" applyAlignment="1">
      <alignment vertical="center"/>
    </xf>
    <xf numFmtId="1" fontId="0" fillId="9" borderId="25" xfId="0" applyNumberFormat="1" applyFill="1" applyBorder="1" applyAlignment="1">
      <alignment wrapText="1"/>
    </xf>
    <xf numFmtId="0" fontId="0" fillId="9" borderId="25" xfId="0" applyFill="1" applyBorder="1" applyAlignment="1">
      <alignment wrapText="1"/>
    </xf>
    <xf numFmtId="0" fontId="0" fillId="9" borderId="6" xfId="0" applyFill="1" applyBorder="1" applyAlignment="1">
      <alignment wrapText="1"/>
    </xf>
    <xf numFmtId="0" fontId="0" fillId="0" borderId="0" xfId="0" applyFill="1" applyBorder="1" applyAlignment="1">
      <alignment wrapText="1"/>
    </xf>
    <xf numFmtId="0" fontId="1" fillId="9" borderId="28" xfId="0" applyFont="1" applyFill="1" applyBorder="1" applyAlignment="1">
      <alignment wrapText="1"/>
    </xf>
    <xf numFmtId="0" fontId="1" fillId="9" borderId="0" xfId="0" applyFont="1" applyFill="1" applyBorder="1" applyAlignment="1">
      <alignment wrapText="1"/>
    </xf>
    <xf numFmtId="0" fontId="1" fillId="9" borderId="8" xfId="0" applyFont="1" applyFill="1" applyBorder="1" applyAlignment="1">
      <alignment wrapText="1"/>
    </xf>
    <xf numFmtId="1" fontId="0" fillId="0" borderId="49" xfId="0" applyNumberFormat="1" applyBorder="1"/>
    <xf numFmtId="1" fontId="0" fillId="0" borderId="25" xfId="0" applyNumberFormat="1" applyBorder="1"/>
    <xf numFmtId="1" fontId="0" fillId="9" borderId="49" xfId="0" applyNumberFormat="1" applyFill="1" applyBorder="1"/>
    <xf numFmtId="1" fontId="0" fillId="9" borderId="25" xfId="0" applyNumberFormat="1" applyFill="1" applyBorder="1"/>
    <xf numFmtId="1" fontId="0" fillId="9" borderId="6" xfId="0" applyNumberFormat="1" applyFill="1" applyBorder="1"/>
    <xf numFmtId="1" fontId="0" fillId="0" borderId="28" xfId="0" applyNumberFormat="1" applyBorder="1"/>
    <xf numFmtId="1" fontId="0" fillId="0" borderId="0" xfId="0" applyNumberFormat="1" applyBorder="1"/>
    <xf numFmtId="1" fontId="0" fillId="9" borderId="28" xfId="0" applyNumberFormat="1" applyFill="1" applyBorder="1"/>
    <xf numFmtId="1" fontId="0" fillId="9" borderId="0" xfId="0" applyNumberFormat="1" applyFill="1" applyBorder="1"/>
    <xf numFmtId="1" fontId="0" fillId="9" borderId="8" xfId="0" applyNumberFormat="1" applyFill="1" applyBorder="1"/>
    <xf numFmtId="1" fontId="0" fillId="25" borderId="50" xfId="0" applyNumberFormat="1" applyFill="1" applyBorder="1"/>
    <xf numFmtId="1" fontId="0" fillId="25" borderId="47" xfId="0" applyNumberFormat="1" applyFill="1" applyBorder="1"/>
    <xf numFmtId="1" fontId="0" fillId="9" borderId="50" xfId="0" applyNumberFormat="1" applyFill="1" applyBorder="1"/>
    <xf numFmtId="1" fontId="0" fillId="9" borderId="47" xfId="0" applyNumberFormat="1" applyFill="1" applyBorder="1"/>
    <xf numFmtId="1" fontId="0" fillId="9" borderId="48" xfId="0" applyNumberFormat="1" applyFill="1" applyBorder="1"/>
    <xf numFmtId="3" fontId="5" fillId="0" borderId="0" xfId="2" applyNumberFormat="1" applyFill="1"/>
    <xf numFmtId="0" fontId="0" fillId="4" borderId="0" xfId="0" applyFill="1" applyBorder="1"/>
    <xf numFmtId="0" fontId="5" fillId="0" borderId="0" xfId="2" applyBorder="1"/>
    <xf numFmtId="0" fontId="5" fillId="0" borderId="0" xfId="2" applyFont="1" applyAlignment="1">
      <alignment horizontal="center" wrapText="1"/>
    </xf>
    <xf numFmtId="0" fontId="5" fillId="0" borderId="0" xfId="2" applyNumberFormat="1" applyAlignment="1">
      <alignment horizontal="center"/>
    </xf>
    <xf numFmtId="0" fontId="0" fillId="0" borderId="0" xfId="0" applyNumberFormat="1"/>
    <xf numFmtId="0" fontId="5" fillId="9" borderId="0" xfId="2" applyNumberFormat="1" applyFill="1" applyAlignment="1">
      <alignment horizontal="center"/>
    </xf>
    <xf numFmtId="0" fontId="6" fillId="9" borderId="0" xfId="2" applyNumberFormat="1" applyFont="1" applyFill="1" applyAlignment="1">
      <alignment horizontal="center"/>
    </xf>
    <xf numFmtId="0" fontId="0" fillId="0" borderId="0" xfId="0" applyAlignment="1">
      <alignment horizontal="left"/>
    </xf>
    <xf numFmtId="0" fontId="5" fillId="0" borderId="0" xfId="2" applyAlignment="1">
      <alignment horizontal="left"/>
    </xf>
    <xf numFmtId="0" fontId="5" fillId="0" borderId="0" xfId="2" applyAlignment="1">
      <alignment horizontal="left" wrapText="1"/>
    </xf>
    <xf numFmtId="0" fontId="8" fillId="0" borderId="0" xfId="2" applyFont="1" applyAlignment="1">
      <alignment horizontal="left"/>
    </xf>
    <xf numFmtId="0" fontId="5" fillId="0" borderId="0" xfId="2" applyNumberFormat="1" applyAlignment="1">
      <alignment horizontal="left"/>
    </xf>
    <xf numFmtId="0" fontId="0" fillId="0" borderId="0" xfId="0" applyNumberFormat="1" applyAlignment="1">
      <alignment horizontal="left"/>
    </xf>
    <xf numFmtId="0" fontId="6" fillId="0" borderId="0" xfId="2" applyNumberFormat="1" applyFont="1" applyAlignment="1">
      <alignment horizontal="left"/>
    </xf>
    <xf numFmtId="3" fontId="0" fillId="0" borderId="0" xfId="0" applyNumberFormat="1"/>
    <xf numFmtId="0" fontId="10" fillId="0" borderId="0" xfId="2" applyFont="1" applyFill="1" applyBorder="1"/>
    <xf numFmtId="0" fontId="6" fillId="2" borderId="0" xfId="2" applyNumberFormat="1" applyFont="1" applyFill="1" applyAlignment="1">
      <alignment horizontal="left"/>
    </xf>
    <xf numFmtId="0" fontId="5" fillId="2" borderId="0" xfId="2" applyNumberFormat="1" applyFill="1" applyAlignment="1">
      <alignment horizontal="left"/>
    </xf>
    <xf numFmtId="3" fontId="1" fillId="2" borderId="0" xfId="0" applyNumberFormat="1" applyFont="1" applyFill="1"/>
    <xf numFmtId="0" fontId="1" fillId="0" borderId="0" xfId="0" applyNumberFormat="1" applyFont="1"/>
    <xf numFmtId="0" fontId="0" fillId="2" borderId="0" xfId="0" applyNumberFormat="1" applyFill="1"/>
    <xf numFmtId="0" fontId="0" fillId="9" borderId="0" xfId="0" applyFill="1"/>
    <xf numFmtId="0" fontId="0" fillId="4" borderId="60" xfId="0" applyFill="1" applyBorder="1"/>
    <xf numFmtId="0" fontId="11" fillId="2" borderId="60" xfId="2" applyFont="1" applyFill="1" applyBorder="1" applyAlignment="1">
      <alignment horizontal="center" wrapText="1"/>
    </xf>
    <xf numFmtId="0" fontId="11" fillId="8" borderId="60" xfId="2" applyFont="1" applyFill="1" applyBorder="1" applyAlignment="1">
      <alignment horizontal="center" vertical="center" wrapText="1"/>
    </xf>
    <xf numFmtId="0" fontId="10" fillId="8" borderId="60" xfId="2" applyFont="1" applyFill="1" applyBorder="1" applyAlignment="1">
      <alignment horizontal="left" wrapText="1"/>
    </xf>
    <xf numFmtId="0" fontId="11" fillId="8" borderId="60" xfId="2" applyFont="1" applyFill="1" applyBorder="1" applyAlignment="1">
      <alignment horizontal="left" wrapText="1"/>
    </xf>
    <xf numFmtId="0" fontId="10" fillId="0" borderId="60" xfId="2" applyFont="1" applyBorder="1" applyAlignment="1">
      <alignment horizontal="left" wrapText="1"/>
    </xf>
    <xf numFmtId="0" fontId="11" fillId="9" borderId="60" xfId="2" applyFont="1" applyFill="1" applyBorder="1" applyAlignment="1">
      <alignment horizontal="left" wrapText="1"/>
    </xf>
    <xf numFmtId="0" fontId="10" fillId="8" borderId="63" xfId="2" applyFont="1" applyFill="1" applyBorder="1" applyAlignment="1">
      <alignment horizontal="left" wrapText="1"/>
    </xf>
    <xf numFmtId="0" fontId="6" fillId="0" borderId="1" xfId="2" applyFont="1" applyBorder="1" applyAlignment="1">
      <alignment wrapText="1"/>
    </xf>
    <xf numFmtId="0" fontId="5" fillId="5" borderId="8" xfId="2" applyFill="1" applyBorder="1" applyAlignment="1">
      <alignment horizontal="left" wrapText="1"/>
    </xf>
    <xf numFmtId="0" fontId="1" fillId="0" borderId="5" xfId="0" applyFont="1" applyBorder="1"/>
    <xf numFmtId="0" fontId="0" fillId="0" borderId="7" xfId="0" applyBorder="1"/>
    <xf numFmtId="0" fontId="0" fillId="0" borderId="8" xfId="0" applyBorder="1"/>
    <xf numFmtId="0" fontId="5" fillId="4" borderId="6" xfId="2" applyFill="1" applyBorder="1"/>
    <xf numFmtId="0" fontId="5" fillId="4" borderId="8" xfId="2" applyFill="1" applyBorder="1"/>
    <xf numFmtId="3" fontId="6" fillId="4" borderId="25" xfId="1" applyFont="1" applyFill="1" applyBorder="1"/>
    <xf numFmtId="0" fontId="11" fillId="0" borderId="1" xfId="2" applyFont="1" applyBorder="1" applyAlignment="1">
      <alignment horizontal="center"/>
    </xf>
    <xf numFmtId="0" fontId="11" fillId="0" borderId="53" xfId="2" applyFont="1" applyBorder="1" applyAlignment="1">
      <alignment horizontal="center" wrapText="1"/>
    </xf>
    <xf numFmtId="0" fontId="1" fillId="0" borderId="0" xfId="0" applyFont="1" applyFill="1" applyAlignment="1">
      <alignment wrapText="1"/>
    </xf>
    <xf numFmtId="0" fontId="1" fillId="0" borderId="2" xfId="0" applyFont="1" applyBorder="1" applyAlignment="1">
      <alignment wrapText="1"/>
    </xf>
    <xf numFmtId="0" fontId="6" fillId="9" borderId="0" xfId="2" applyFont="1" applyFill="1"/>
    <xf numFmtId="1" fontId="1" fillId="0" borderId="49" xfId="0" applyNumberFormat="1" applyFont="1" applyBorder="1"/>
    <xf numFmtId="1" fontId="1" fillId="0" borderId="25" xfId="0" applyNumberFormat="1" applyFont="1" applyBorder="1"/>
    <xf numFmtId="1" fontId="1" fillId="0" borderId="6" xfId="0" applyNumberFormat="1" applyFont="1" applyBorder="1"/>
    <xf numFmtId="1" fontId="1" fillId="0" borderId="28" xfId="0" applyNumberFormat="1" applyFont="1" applyBorder="1"/>
    <xf numFmtId="1" fontId="1" fillId="0" borderId="0" xfId="0" applyNumberFormat="1" applyFont="1" applyBorder="1"/>
    <xf numFmtId="1" fontId="1" fillId="0" borderId="8" xfId="0" applyNumberFormat="1" applyFont="1" applyBorder="1"/>
    <xf numFmtId="0" fontId="0" fillId="8" borderId="28" xfId="0" applyFill="1" applyBorder="1" applyAlignment="1">
      <alignment wrapText="1"/>
    </xf>
    <xf numFmtId="0" fontId="0" fillId="8" borderId="0" xfId="0" applyFill="1" applyBorder="1" applyAlignment="1">
      <alignment wrapText="1"/>
    </xf>
    <xf numFmtId="0" fontId="0" fillId="8" borderId="8" xfId="0" applyFill="1" applyBorder="1" applyAlignment="1">
      <alignment wrapText="1"/>
    </xf>
    <xf numFmtId="0" fontId="0" fillId="0" borderId="28" xfId="0" applyFont="1" applyFill="1" applyBorder="1" applyAlignment="1">
      <alignment wrapText="1"/>
    </xf>
    <xf numFmtId="0" fontId="0" fillId="0" borderId="0" xfId="0" applyBorder="1" applyAlignment="1">
      <alignment wrapText="1"/>
    </xf>
    <xf numFmtId="0" fontId="0" fillId="0" borderId="8" xfId="0" applyBorder="1" applyAlignment="1">
      <alignment wrapText="1"/>
    </xf>
    <xf numFmtId="0" fontId="0" fillId="9" borderId="28" xfId="0" applyFill="1" applyBorder="1"/>
    <xf numFmtId="0" fontId="0" fillId="9" borderId="0" xfId="0" applyFill="1" applyBorder="1"/>
    <xf numFmtId="0" fontId="0" fillId="9" borderId="8" xfId="0" applyFill="1" applyBorder="1"/>
    <xf numFmtId="1" fontId="0" fillId="0" borderId="8" xfId="0" applyNumberFormat="1" applyBorder="1"/>
    <xf numFmtId="0" fontId="0" fillId="0" borderId="28" xfId="0" applyBorder="1"/>
    <xf numFmtId="0" fontId="0" fillId="0" borderId="0" xfId="0" applyBorder="1"/>
    <xf numFmtId="0" fontId="0" fillId="26" borderId="28" xfId="0" applyFill="1" applyBorder="1" applyAlignment="1">
      <alignment wrapText="1"/>
    </xf>
    <xf numFmtId="0" fontId="0" fillId="26" borderId="0" xfId="0" applyFill="1" applyBorder="1" applyAlignment="1">
      <alignment wrapText="1"/>
    </xf>
    <xf numFmtId="0" fontId="0" fillId="26" borderId="8" xfId="0" applyFill="1" applyBorder="1" applyAlignment="1">
      <alignment wrapText="1"/>
    </xf>
    <xf numFmtId="0" fontId="5" fillId="4" borderId="25" xfId="2" applyFill="1" applyBorder="1"/>
    <xf numFmtId="0" fontId="5" fillId="4" borderId="0" xfId="2" applyFill="1" applyBorder="1"/>
    <xf numFmtId="0" fontId="6" fillId="4" borderId="15" xfId="2" applyFont="1" applyFill="1" applyBorder="1" applyAlignment="1">
      <alignment horizontal="center" vertical="center" wrapText="1"/>
    </xf>
    <xf numFmtId="0" fontId="6" fillId="4" borderId="35" xfId="2" applyFont="1" applyFill="1" applyBorder="1" applyAlignment="1">
      <alignment horizontal="center" vertical="center" wrapText="1"/>
    </xf>
    <xf numFmtId="3" fontId="7" fillId="4" borderId="47" xfId="1" applyFont="1" applyFill="1" applyBorder="1" applyAlignment="1">
      <alignment horizontal="center"/>
    </xf>
    <xf numFmtId="3" fontId="0" fillId="4" borderId="8" xfId="1" applyFont="1" applyFill="1" applyBorder="1"/>
    <xf numFmtId="3" fontId="6" fillId="4" borderId="8" xfId="1" applyFont="1" applyFill="1" applyBorder="1"/>
    <xf numFmtId="3" fontId="6" fillId="4" borderId="0" xfId="1" applyFont="1" applyFill="1" applyBorder="1"/>
    <xf numFmtId="3" fontId="6" fillId="4" borderId="47" xfId="1" applyFont="1" applyFill="1" applyBorder="1"/>
    <xf numFmtId="3" fontId="6" fillId="4" borderId="48" xfId="1" applyFont="1" applyFill="1" applyBorder="1"/>
    <xf numFmtId="3" fontId="0" fillId="4" borderId="0" xfId="1" applyFont="1" applyFill="1" applyBorder="1"/>
    <xf numFmtId="3" fontId="0" fillId="4" borderId="0" xfId="1" applyFont="1" applyFill="1" applyBorder="1" applyAlignment="1">
      <alignment horizontal="right"/>
    </xf>
    <xf numFmtId="3" fontId="5" fillId="4" borderId="0" xfId="2" applyNumberFormat="1" applyFill="1" applyBorder="1"/>
    <xf numFmtId="3" fontId="0" fillId="4" borderId="0" xfId="1" applyNumberFormat="1" applyFont="1" applyFill="1" applyBorder="1"/>
    <xf numFmtId="0" fontId="0" fillId="0" borderId="0" xfId="0" applyFill="1" applyBorder="1"/>
    <xf numFmtId="3" fontId="6" fillId="0" borderId="0" xfId="1" applyFont="1" applyFill="1" applyBorder="1"/>
    <xf numFmtId="0" fontId="6" fillId="0" borderId="0" xfId="2" applyFont="1" applyFill="1" applyBorder="1" applyAlignment="1">
      <alignment horizontal="center" vertical="center" wrapText="1"/>
    </xf>
    <xf numFmtId="3" fontId="7" fillId="0" borderId="0" xfId="1" applyFont="1" applyFill="1" applyBorder="1" applyAlignment="1">
      <alignment horizontal="center"/>
    </xf>
    <xf numFmtId="3" fontId="0" fillId="0" borderId="0" xfId="1" applyFont="1" applyFill="1" applyBorder="1"/>
    <xf numFmtId="3" fontId="5" fillId="0" borderId="28" xfId="2" applyNumberFormat="1" applyFill="1" applyBorder="1" applyAlignment="1">
      <alignment horizontal="right"/>
    </xf>
    <xf numFmtId="0" fontId="11" fillId="0" borderId="60" xfId="2" applyFont="1" applyBorder="1"/>
    <xf numFmtId="3" fontId="11" fillId="14" borderId="1" xfId="1" applyFont="1" applyFill="1" applyBorder="1"/>
    <xf numFmtId="0" fontId="1" fillId="0" borderId="0" xfId="0" applyFont="1" applyBorder="1" applyAlignment="1">
      <alignment horizontal="center"/>
    </xf>
    <xf numFmtId="0" fontId="11" fillId="0" borderId="0" xfId="2" applyFont="1" applyBorder="1"/>
    <xf numFmtId="3" fontId="11" fillId="0" borderId="0" xfId="1" applyFont="1" applyBorder="1"/>
    <xf numFmtId="0" fontId="0" fillId="9" borderId="39" xfId="0" applyFill="1" applyBorder="1"/>
    <xf numFmtId="0" fontId="0" fillId="9" borderId="29" xfId="0" applyFill="1" applyBorder="1"/>
    <xf numFmtId="0" fontId="0" fillId="9" borderId="51" xfId="0" applyFill="1" applyBorder="1"/>
    <xf numFmtId="3" fontId="0" fillId="9" borderId="13" xfId="0" applyNumberFormat="1" applyFill="1" applyBorder="1"/>
    <xf numFmtId="3" fontId="0" fillId="9" borderId="16" xfId="0" applyNumberFormat="1" applyFill="1" applyBorder="1"/>
    <xf numFmtId="3" fontId="0" fillId="9" borderId="24" xfId="0" applyNumberFormat="1" applyFill="1" applyBorder="1"/>
    <xf numFmtId="3" fontId="1" fillId="9" borderId="38" xfId="0" applyNumberFormat="1" applyFont="1" applyFill="1" applyBorder="1"/>
    <xf numFmtId="0" fontId="6" fillId="0" borderId="0" xfId="2" applyFont="1" applyFill="1"/>
    <xf numFmtId="0" fontId="6" fillId="27" borderId="0" xfId="2" applyFont="1" applyFill="1"/>
    <xf numFmtId="0" fontId="11" fillId="8" borderId="60" xfId="2" applyFont="1" applyFill="1" applyBorder="1" applyAlignment="1">
      <alignment horizontal="center" vertical="center" wrapText="1"/>
    </xf>
    <xf numFmtId="0" fontId="11" fillId="2" borderId="60" xfId="2" applyFont="1" applyFill="1" applyBorder="1" applyAlignment="1">
      <alignment horizontal="center" wrapText="1"/>
    </xf>
    <xf numFmtId="3" fontId="11" fillId="7" borderId="5" xfId="1" applyFont="1" applyFill="1" applyBorder="1"/>
    <xf numFmtId="0" fontId="0" fillId="0" borderId="58" xfId="0" applyBorder="1" applyAlignment="1">
      <alignment horizontal="right"/>
    </xf>
    <xf numFmtId="0" fontId="0" fillId="0" borderId="61" xfId="0" applyBorder="1" applyAlignment="1">
      <alignment horizontal="right"/>
    </xf>
    <xf numFmtId="0" fontId="5" fillId="0" borderId="60" xfId="2" applyBorder="1"/>
    <xf numFmtId="0" fontId="0" fillId="0" borderId="62" xfId="0" applyBorder="1"/>
    <xf numFmtId="0" fontId="0" fillId="0" borderId="63" xfId="0" applyBorder="1"/>
    <xf numFmtId="0" fontId="5" fillId="0" borderId="60" xfId="2" applyBorder="1" applyAlignment="1">
      <alignment wrapText="1"/>
    </xf>
    <xf numFmtId="3" fontId="11" fillId="0" borderId="67" xfId="1" applyFont="1" applyBorder="1"/>
    <xf numFmtId="3" fontId="11" fillId="0" borderId="35" xfId="1" applyFont="1" applyBorder="1"/>
    <xf numFmtId="3" fontId="4" fillId="0" borderId="35" xfId="1" applyFont="1" applyBorder="1"/>
    <xf numFmtId="3" fontId="4" fillId="0" borderId="68" xfId="1" applyFont="1" applyFill="1" applyBorder="1"/>
    <xf numFmtId="0" fontId="5" fillId="0" borderId="53" xfId="2" applyBorder="1"/>
    <xf numFmtId="0" fontId="5" fillId="0" borderId="65" xfId="2" applyFill="1" applyBorder="1"/>
    <xf numFmtId="0" fontId="5" fillId="12" borderId="0" xfId="2" applyFill="1"/>
    <xf numFmtId="0" fontId="5" fillId="4" borderId="0" xfId="2" applyFill="1"/>
    <xf numFmtId="0" fontId="5" fillId="4" borderId="0" xfId="2" applyFill="1" applyAlignment="1">
      <alignment wrapText="1"/>
    </xf>
    <xf numFmtId="0" fontId="8" fillId="4" borderId="0" xfId="2" applyFont="1" applyFill="1"/>
    <xf numFmtId="0" fontId="5" fillId="14" borderId="0" xfId="2" applyFill="1"/>
    <xf numFmtId="3" fontId="5" fillId="28" borderId="0" xfId="2" applyNumberFormat="1" applyFill="1" applyAlignment="1">
      <alignment horizontal="center"/>
    </xf>
    <xf numFmtId="0" fontId="5" fillId="29" borderId="0" xfId="2" applyFill="1"/>
    <xf numFmtId="1" fontId="5" fillId="6" borderId="0" xfId="2" applyNumberFormat="1" applyFill="1" applyAlignment="1">
      <alignment horizontal="center"/>
    </xf>
    <xf numFmtId="1" fontId="5" fillId="2" borderId="0" xfId="2" applyNumberFormat="1" applyFill="1"/>
    <xf numFmtId="0" fontId="0" fillId="25" borderId="0" xfId="0" applyFill="1"/>
    <xf numFmtId="0" fontId="0" fillId="25" borderId="0" xfId="0" applyFill="1" applyAlignment="1">
      <alignment wrapText="1"/>
    </xf>
    <xf numFmtId="0" fontId="1" fillId="0" borderId="36" xfId="0" applyFont="1" applyBorder="1" applyAlignment="1">
      <alignment wrapText="1"/>
    </xf>
    <xf numFmtId="0" fontId="1" fillId="0" borderId="42" xfId="0" applyFont="1" applyBorder="1" applyAlignment="1">
      <alignment wrapText="1"/>
    </xf>
    <xf numFmtId="0" fontId="1" fillId="0" borderId="37" xfId="0" applyFont="1" applyBorder="1" applyAlignment="1">
      <alignment wrapText="1"/>
    </xf>
    <xf numFmtId="0" fontId="0" fillId="9" borderId="49" xfId="0" applyFill="1" applyBorder="1"/>
    <xf numFmtId="0" fontId="0" fillId="9" borderId="25" xfId="0" applyFill="1" applyBorder="1"/>
    <xf numFmtId="0" fontId="0" fillId="9" borderId="6" xfId="0" applyFill="1" applyBorder="1"/>
    <xf numFmtId="0" fontId="0" fillId="9" borderId="50" xfId="0" applyFill="1" applyBorder="1"/>
    <xf numFmtId="0" fontId="0" fillId="9" borderId="47" xfId="0" applyFill="1" applyBorder="1"/>
    <xf numFmtId="0" fontId="0" fillId="9" borderId="48" xfId="0" applyFill="1" applyBorder="1"/>
    <xf numFmtId="0" fontId="1" fillId="0" borderId="28" xfId="0" applyFont="1" applyBorder="1" applyAlignment="1">
      <alignment horizontal="center"/>
    </xf>
    <xf numFmtId="0" fontId="1" fillId="0" borderId="8" xfId="0" applyFont="1" applyBorder="1" applyAlignment="1">
      <alignment horizontal="center"/>
    </xf>
    <xf numFmtId="0" fontId="1" fillId="0" borderId="43" xfId="0" applyFont="1" applyBorder="1" applyAlignment="1">
      <alignment wrapText="1"/>
    </xf>
    <xf numFmtId="0" fontId="1" fillId="0" borderId="37" xfId="0" applyFont="1" applyFill="1" applyBorder="1" applyAlignment="1">
      <alignment wrapText="1"/>
    </xf>
    <xf numFmtId="0" fontId="0" fillId="0" borderId="5" xfId="0" applyBorder="1"/>
    <xf numFmtId="0" fontId="1" fillId="0" borderId="49" xfId="0" applyFont="1" applyBorder="1" applyAlignment="1">
      <alignment horizontal="center" wrapText="1"/>
    </xf>
    <xf numFmtId="0" fontId="1" fillId="0" borderId="7" xfId="0" applyFont="1" applyBorder="1"/>
    <xf numFmtId="0" fontId="1" fillId="0" borderId="38" xfId="0" applyFont="1" applyBorder="1"/>
    <xf numFmtId="3" fontId="1" fillId="0" borderId="28" xfId="0" applyNumberFormat="1" applyFont="1" applyBorder="1" applyAlignment="1">
      <alignment horizontal="center"/>
    </xf>
    <xf numFmtId="3" fontId="1" fillId="0" borderId="8" xfId="0" applyNumberFormat="1" applyFont="1" applyBorder="1" applyAlignment="1">
      <alignment horizontal="center"/>
    </xf>
    <xf numFmtId="3" fontId="1" fillId="0" borderId="0" xfId="0" applyNumberFormat="1" applyFont="1" applyBorder="1" applyAlignment="1">
      <alignment horizontal="center"/>
    </xf>
    <xf numFmtId="3" fontId="0" fillId="0" borderId="0" xfId="0" applyNumberFormat="1" applyBorder="1"/>
    <xf numFmtId="3" fontId="0" fillId="0" borderId="8" xfId="0" applyNumberFormat="1" applyBorder="1"/>
    <xf numFmtId="3" fontId="0" fillId="0" borderId="28" xfId="0" applyNumberFormat="1" applyBorder="1"/>
    <xf numFmtId="166" fontId="0" fillId="0" borderId="8" xfId="7" applyNumberFormat="1" applyFont="1" applyBorder="1"/>
    <xf numFmtId="0" fontId="1" fillId="19" borderId="37" xfId="0" applyFont="1" applyFill="1" applyBorder="1" applyAlignment="1">
      <alignment horizontal="center"/>
    </xf>
    <xf numFmtId="166" fontId="1" fillId="0" borderId="8" xfId="7" applyNumberFormat="1" applyFont="1" applyBorder="1" applyAlignment="1">
      <alignment horizontal="center"/>
    </xf>
    <xf numFmtId="1" fontId="0" fillId="2" borderId="28" xfId="0" applyNumberFormat="1" applyFill="1" applyBorder="1"/>
    <xf numFmtId="3" fontId="11" fillId="4" borderId="49" xfId="1" applyFont="1" applyFill="1" applyBorder="1"/>
    <xf numFmtId="3" fontId="11" fillId="4" borderId="6" xfId="1" applyFont="1" applyFill="1" applyBorder="1"/>
    <xf numFmtId="3" fontId="11" fillId="0" borderId="0" xfId="1" applyFont="1" applyFill="1" applyBorder="1"/>
    <xf numFmtId="165" fontId="5" fillId="0" borderId="0" xfId="2" applyNumberFormat="1" applyFill="1" applyBorder="1" applyAlignment="1">
      <alignment horizontal="center"/>
    </xf>
    <xf numFmtId="0" fontId="14" fillId="0" borderId="0" xfId="8"/>
    <xf numFmtId="0" fontId="6" fillId="30" borderId="0" xfId="2" applyFont="1" applyFill="1" applyBorder="1" applyAlignment="1">
      <alignment horizontal="center" vertical="center" wrapText="1"/>
    </xf>
    <xf numFmtId="3" fontId="7" fillId="30" borderId="0" xfId="1" applyFont="1" applyFill="1" applyBorder="1" applyAlignment="1">
      <alignment horizontal="center"/>
    </xf>
    <xf numFmtId="3" fontId="0" fillId="30" borderId="0" xfId="1" applyFont="1" applyFill="1" applyBorder="1"/>
    <xf numFmtId="0" fontId="10" fillId="0" borderId="67" xfId="2" applyFont="1" applyFill="1" applyBorder="1"/>
    <xf numFmtId="0" fontId="10" fillId="0" borderId="53" xfId="2" applyFont="1" applyFill="1" applyBorder="1"/>
    <xf numFmtId="0" fontId="10" fillId="0" borderId="60" xfId="2" applyFont="1" applyFill="1" applyBorder="1"/>
    <xf numFmtId="0" fontId="0" fillId="0" borderId="58" xfId="0" applyBorder="1"/>
    <xf numFmtId="0" fontId="0" fillId="0" borderId="61" xfId="0" applyBorder="1"/>
    <xf numFmtId="0" fontId="0" fillId="0" borderId="58" xfId="0" applyFill="1" applyBorder="1"/>
    <xf numFmtId="0" fontId="0" fillId="0" borderId="61" xfId="0" applyFill="1" applyBorder="1"/>
    <xf numFmtId="0" fontId="5" fillId="0" borderId="59" xfId="2" applyFill="1" applyBorder="1"/>
    <xf numFmtId="3" fontId="11" fillId="3" borderId="1" xfId="1" applyFont="1" applyFill="1" applyBorder="1"/>
    <xf numFmtId="3" fontId="10" fillId="3" borderId="25" xfId="2" applyNumberFormat="1" applyFont="1" applyFill="1" applyBorder="1"/>
    <xf numFmtId="0" fontId="10" fillId="3" borderId="5" xfId="2" applyFont="1" applyFill="1" applyBorder="1"/>
    <xf numFmtId="0" fontId="5" fillId="0" borderId="59" xfId="2" applyBorder="1"/>
    <xf numFmtId="0" fontId="0" fillId="0" borderId="69" xfId="0" applyNumberFormat="1" applyBorder="1"/>
    <xf numFmtId="0" fontId="4" fillId="0" borderId="70" xfId="9"/>
    <xf numFmtId="0" fontId="1" fillId="31" borderId="60" xfId="9" applyFont="1" applyFill="1" applyBorder="1" applyAlignment="1">
      <alignment wrapText="1"/>
    </xf>
    <xf numFmtId="0" fontId="4" fillId="2" borderId="2" xfId="9" applyFill="1" applyBorder="1"/>
    <xf numFmtId="0" fontId="4" fillId="2" borderId="3" xfId="9" applyFill="1" applyBorder="1"/>
    <xf numFmtId="0" fontId="4" fillId="2" borderId="4" xfId="9" applyFill="1" applyBorder="1"/>
    <xf numFmtId="0" fontId="1" fillId="18" borderId="4" xfId="9" applyFont="1" applyFill="1" applyBorder="1" applyAlignment="1">
      <alignment horizontal="center" vertical="center" wrapText="1"/>
    </xf>
    <xf numFmtId="0" fontId="4" fillId="0" borderId="7" xfId="9" applyBorder="1"/>
    <xf numFmtId="0" fontId="4" fillId="0" borderId="38" xfId="9" applyBorder="1"/>
    <xf numFmtId="0" fontId="1" fillId="0" borderId="1" xfId="9" applyFont="1" applyBorder="1"/>
    <xf numFmtId="0" fontId="0" fillId="15" borderId="4" xfId="0" applyFill="1" applyBorder="1" applyAlignment="1">
      <alignment wrapText="1"/>
    </xf>
    <xf numFmtId="0" fontId="5" fillId="5" borderId="70" xfId="2" applyFill="1" applyBorder="1" applyAlignment="1">
      <alignment horizontal="right"/>
    </xf>
    <xf numFmtId="0" fontId="1" fillId="2" borderId="70" xfId="9" applyFont="1" applyFill="1" applyAlignment="1">
      <alignment wrapText="1"/>
    </xf>
    <xf numFmtId="0" fontId="17" fillId="0" borderId="2" xfId="9" applyFont="1" applyBorder="1" applyAlignment="1">
      <alignment horizontal="center" vertical="center" wrapText="1"/>
    </xf>
    <xf numFmtId="0" fontId="1" fillId="0" borderId="28" xfId="9" applyFont="1" applyBorder="1"/>
    <xf numFmtId="0" fontId="4" fillId="0" borderId="8" xfId="9" applyBorder="1"/>
    <xf numFmtId="0" fontId="1" fillId="0" borderId="50" xfId="9" applyFont="1" applyBorder="1"/>
    <xf numFmtId="0" fontId="4" fillId="0" borderId="48" xfId="9" applyBorder="1"/>
    <xf numFmtId="0" fontId="1" fillId="0" borderId="5" xfId="9" applyFont="1" applyBorder="1"/>
    <xf numFmtId="0" fontId="0" fillId="7" borderId="38" xfId="9" applyFont="1" applyFill="1" applyBorder="1"/>
    <xf numFmtId="0" fontId="1" fillId="0" borderId="70" xfId="9" applyFont="1"/>
    <xf numFmtId="0" fontId="1" fillId="0" borderId="1" xfId="9" applyFont="1" applyBorder="1" applyAlignment="1">
      <alignment horizontal="center"/>
    </xf>
    <xf numFmtId="0" fontId="1" fillId="0" borderId="1" xfId="9" applyFont="1" applyBorder="1" applyAlignment="1">
      <alignment wrapText="1"/>
    </xf>
    <xf numFmtId="0" fontId="4" fillId="2" borderId="1" xfId="9" applyFill="1" applyBorder="1"/>
    <xf numFmtId="0" fontId="4" fillId="0" borderId="7" xfId="9" applyBorder="1" applyAlignment="1">
      <alignment wrapText="1"/>
    </xf>
    <xf numFmtId="0" fontId="1" fillId="6" borderId="70" xfId="0" applyFont="1" applyFill="1" applyBorder="1" applyAlignment="1">
      <alignment wrapText="1"/>
    </xf>
    <xf numFmtId="0" fontId="0" fillId="6" borderId="0" xfId="0" applyFill="1"/>
    <xf numFmtId="1" fontId="1" fillId="0" borderId="70" xfId="0" applyNumberFormat="1" applyFont="1" applyFill="1" applyBorder="1"/>
    <xf numFmtId="0" fontId="4" fillId="0" borderId="10" xfId="9" applyBorder="1"/>
    <xf numFmtId="1" fontId="4" fillId="0" borderId="11" xfId="9" applyNumberFormat="1" applyBorder="1"/>
    <xf numFmtId="0" fontId="4" fillId="0" borderId="21" xfId="9" applyBorder="1"/>
    <xf numFmtId="1" fontId="4" fillId="0" borderId="60" xfId="9" applyNumberFormat="1" applyBorder="1"/>
    <xf numFmtId="0" fontId="4" fillId="0" borderId="17" xfId="9" applyBorder="1"/>
    <xf numFmtId="1" fontId="4" fillId="0" borderId="18" xfId="9" applyNumberFormat="1" applyBorder="1"/>
    <xf numFmtId="0" fontId="4" fillId="0" borderId="70" xfId="9" applyAlignment="1">
      <alignment wrapText="1"/>
    </xf>
    <xf numFmtId="1" fontId="1" fillId="9" borderId="49" xfId="9" applyNumberFormat="1" applyFont="1" applyFill="1" applyBorder="1" applyAlignment="1">
      <alignment vertical="center"/>
    </xf>
    <xf numFmtId="1" fontId="4" fillId="9" borderId="25" xfId="9" applyNumberFormat="1" applyFill="1" applyBorder="1" applyAlignment="1">
      <alignment wrapText="1"/>
    </xf>
    <xf numFmtId="0" fontId="4" fillId="9" borderId="25" xfId="9" applyFill="1" applyBorder="1" applyAlignment="1">
      <alignment wrapText="1"/>
    </xf>
    <xf numFmtId="0" fontId="4" fillId="9" borderId="6" xfId="9" applyFill="1" applyBorder="1" applyAlignment="1">
      <alignment wrapText="1"/>
    </xf>
    <xf numFmtId="0" fontId="1" fillId="0" borderId="70" xfId="9" applyFont="1" applyAlignment="1">
      <alignment wrapText="1"/>
    </xf>
    <xf numFmtId="0" fontId="1" fillId="9" borderId="28" xfId="9" applyFont="1" applyFill="1" applyBorder="1" applyAlignment="1">
      <alignment wrapText="1"/>
    </xf>
    <xf numFmtId="0" fontId="1" fillId="9" borderId="70" xfId="9" applyFont="1" applyFill="1" applyAlignment="1">
      <alignment wrapText="1"/>
    </xf>
    <xf numFmtId="0" fontId="1" fillId="9" borderId="8" xfId="9" applyFont="1" applyFill="1" applyBorder="1" applyAlignment="1">
      <alignment wrapText="1"/>
    </xf>
    <xf numFmtId="1" fontId="4" fillId="0" borderId="49" xfId="9" applyNumberFormat="1" applyBorder="1"/>
    <xf numFmtId="1" fontId="4" fillId="0" borderId="25" xfId="9" applyNumberFormat="1" applyBorder="1"/>
    <xf numFmtId="1" fontId="4" fillId="9" borderId="49" xfId="9" applyNumberFormat="1" applyFill="1" applyBorder="1"/>
    <xf numFmtId="1" fontId="4" fillId="9" borderId="25" xfId="9" applyNumberFormat="1" applyFill="1" applyBorder="1"/>
    <xf numFmtId="1" fontId="4" fillId="9" borderId="6" xfId="9" applyNumberFormat="1" applyFill="1" applyBorder="1"/>
    <xf numFmtId="1" fontId="4" fillId="0" borderId="70" xfId="9" applyNumberFormat="1"/>
    <xf numFmtId="1" fontId="4" fillId="0" borderId="28" xfId="9" applyNumberFormat="1" applyBorder="1"/>
    <xf numFmtId="1" fontId="4" fillId="9" borderId="28" xfId="9" applyNumberFormat="1" applyFill="1" applyBorder="1"/>
    <xf numFmtId="1" fontId="4" fillId="9" borderId="70" xfId="9" applyNumberFormat="1" applyFill="1"/>
    <xf numFmtId="1" fontId="4" fillId="9" borderId="8" xfId="9" applyNumberFormat="1" applyFill="1" applyBorder="1"/>
    <xf numFmtId="1" fontId="4" fillId="25" borderId="50" xfId="9" applyNumberFormat="1" applyFill="1" applyBorder="1"/>
    <xf numFmtId="1" fontId="4" fillId="25" borderId="47" xfId="9" applyNumberFormat="1" applyFill="1" applyBorder="1"/>
    <xf numFmtId="1" fontId="4" fillId="9" borderId="50" xfId="9" applyNumberFormat="1" applyFill="1" applyBorder="1"/>
    <xf numFmtId="1" fontId="4" fillId="9" borderId="47" xfId="9" applyNumberFormat="1" applyFill="1" applyBorder="1"/>
    <xf numFmtId="1" fontId="4" fillId="9" borderId="48" xfId="9" applyNumberFormat="1" applyFill="1" applyBorder="1"/>
    <xf numFmtId="0" fontId="5" fillId="0" borderId="70" xfId="2" applyBorder="1"/>
    <xf numFmtId="3" fontId="5" fillId="6" borderId="28" xfId="2" applyNumberFormat="1" applyFill="1" applyBorder="1"/>
    <xf numFmtId="0" fontId="6" fillId="0" borderId="0" xfId="2" applyFont="1" applyAlignment="1">
      <alignment horizontal="center" wrapText="1"/>
    </xf>
    <xf numFmtId="0" fontId="11" fillId="11" borderId="2" xfId="2" applyFont="1" applyFill="1" applyBorder="1" applyAlignment="1">
      <alignment horizontal="left"/>
    </xf>
    <xf numFmtId="0" fontId="11" fillId="11" borderId="3" xfId="2" applyFont="1" applyFill="1" applyBorder="1" applyAlignment="1">
      <alignment horizontal="left"/>
    </xf>
    <xf numFmtId="0" fontId="11" fillId="6" borderId="49" xfId="2" applyFont="1" applyFill="1" applyBorder="1" applyAlignment="1">
      <alignment horizontal="left" vertical="center" wrapText="1"/>
    </xf>
    <xf numFmtId="0" fontId="11" fillId="6" borderId="0" xfId="2" applyFont="1" applyFill="1" applyBorder="1" applyAlignment="1">
      <alignment horizontal="left" vertical="center" wrapText="1"/>
    </xf>
    <xf numFmtId="0" fontId="11" fillId="11" borderId="7" xfId="2" applyFont="1" applyFill="1" applyBorder="1" applyAlignment="1">
      <alignment horizontal="center" vertical="center" wrapText="1"/>
    </xf>
    <xf numFmtId="0" fontId="11" fillId="11" borderId="38" xfId="2" applyFont="1" applyFill="1" applyBorder="1" applyAlignment="1">
      <alignment horizontal="center" vertical="center" wrapText="1"/>
    </xf>
    <xf numFmtId="0" fontId="11" fillId="12" borderId="28" xfId="2" applyFont="1" applyFill="1" applyBorder="1" applyAlignment="1">
      <alignment horizontal="center" vertical="center" wrapText="1"/>
    </xf>
    <xf numFmtId="0" fontId="11" fillId="12" borderId="8" xfId="2" applyFont="1" applyFill="1" applyBorder="1" applyAlignment="1">
      <alignment horizontal="center" vertical="center" wrapText="1"/>
    </xf>
    <xf numFmtId="0" fontId="11" fillId="12" borderId="50" xfId="2" applyFont="1" applyFill="1" applyBorder="1" applyAlignment="1">
      <alignment horizontal="center" vertical="center" wrapText="1"/>
    </xf>
    <xf numFmtId="0" fontId="11" fillId="12" borderId="48" xfId="2" applyFont="1" applyFill="1" applyBorder="1" applyAlignment="1">
      <alignment horizontal="center" vertical="center" wrapText="1"/>
    </xf>
    <xf numFmtId="0" fontId="11" fillId="12" borderId="44" xfId="2" applyFont="1" applyFill="1" applyBorder="1" applyAlignment="1">
      <alignment horizontal="center" vertical="center" wrapText="1"/>
    </xf>
    <xf numFmtId="0" fontId="11" fillId="12" borderId="52" xfId="2" applyFont="1" applyFill="1" applyBorder="1" applyAlignment="1">
      <alignment horizontal="center" vertical="center" wrapText="1"/>
    </xf>
    <xf numFmtId="0" fontId="11" fillId="12" borderId="53" xfId="2" applyFont="1" applyFill="1" applyBorder="1" applyAlignment="1">
      <alignment horizontal="center" vertical="center" wrapText="1"/>
    </xf>
    <xf numFmtId="0" fontId="11" fillId="13" borderId="49" xfId="2" applyFont="1" applyFill="1" applyBorder="1" applyAlignment="1">
      <alignment horizontal="center" vertical="center" wrapText="1"/>
    </xf>
    <xf numFmtId="0" fontId="11" fillId="13" borderId="25" xfId="2" applyFont="1" applyFill="1" applyBorder="1" applyAlignment="1">
      <alignment horizontal="center" vertical="center" wrapText="1"/>
    </xf>
    <xf numFmtId="0" fontId="11" fillId="13" borderId="28" xfId="2" applyFont="1" applyFill="1" applyBorder="1" applyAlignment="1">
      <alignment horizontal="center" vertical="center" wrapText="1"/>
    </xf>
    <xf numFmtId="0" fontId="11" fillId="13" borderId="0" xfId="2" applyFont="1" applyFill="1" applyBorder="1" applyAlignment="1">
      <alignment horizontal="center" vertical="center" wrapText="1"/>
    </xf>
    <xf numFmtId="0" fontId="11" fillId="13" borderId="50" xfId="2" applyFont="1" applyFill="1" applyBorder="1" applyAlignment="1">
      <alignment horizontal="center" vertical="center" wrapText="1"/>
    </xf>
    <xf numFmtId="0" fontId="11" fillId="13" borderId="47" xfId="2" applyFont="1" applyFill="1" applyBorder="1" applyAlignment="1">
      <alignment horizontal="center" vertical="center" wrapText="1"/>
    </xf>
    <xf numFmtId="0" fontId="11" fillId="13" borderId="44" xfId="2" applyFont="1" applyFill="1" applyBorder="1" applyAlignment="1">
      <alignment horizontal="center"/>
    </xf>
    <xf numFmtId="0" fontId="11" fillId="13" borderId="52" xfId="2" applyFont="1" applyFill="1" applyBorder="1" applyAlignment="1">
      <alignment horizontal="center"/>
    </xf>
    <xf numFmtId="0" fontId="11" fillId="13" borderId="53" xfId="2" applyFont="1" applyFill="1" applyBorder="1" applyAlignment="1">
      <alignment horizontal="center"/>
    </xf>
    <xf numFmtId="0" fontId="11" fillId="0" borderId="10" xfId="2" applyFont="1" applyBorder="1" applyAlignment="1">
      <alignment horizontal="center" vertical="center"/>
    </xf>
    <xf numFmtId="0" fontId="11" fillId="0" borderId="11" xfId="2" applyFont="1" applyBorder="1" applyAlignment="1">
      <alignment horizontal="center" vertical="center"/>
    </xf>
    <xf numFmtId="0" fontId="11" fillId="0" borderId="12" xfId="2" applyFont="1" applyBorder="1" applyAlignment="1">
      <alignment horizontal="center" vertical="center"/>
    </xf>
    <xf numFmtId="0" fontId="11" fillId="0" borderId="17" xfId="2" applyFont="1" applyBorder="1" applyAlignment="1">
      <alignment horizontal="center" vertical="center"/>
    </xf>
    <xf numFmtId="0" fontId="11" fillId="0" borderId="18" xfId="2" applyFont="1" applyBorder="1" applyAlignment="1">
      <alignment horizontal="center" vertical="center"/>
    </xf>
    <xf numFmtId="0" fontId="11" fillId="0" borderId="19" xfId="2" applyFont="1" applyBorder="1" applyAlignment="1">
      <alignment horizontal="center" vertical="center"/>
    </xf>
    <xf numFmtId="0" fontId="11" fillId="0" borderId="13" xfId="2" applyFont="1" applyBorder="1" applyAlignment="1">
      <alignment horizontal="center" vertical="center" wrapText="1"/>
    </xf>
    <xf numFmtId="0" fontId="11" fillId="0" borderId="20" xfId="2" applyFont="1" applyBorder="1" applyAlignment="1">
      <alignment horizontal="center" vertical="center" wrapText="1"/>
    </xf>
    <xf numFmtId="0" fontId="11" fillId="0" borderId="10" xfId="2" applyFont="1" applyBorder="1" applyAlignment="1">
      <alignment horizontal="center" vertical="center" wrapText="1"/>
    </xf>
    <xf numFmtId="0" fontId="11" fillId="0" borderId="14" xfId="2" applyFont="1" applyBorder="1" applyAlignment="1">
      <alignment horizontal="center" vertical="center" wrapText="1"/>
    </xf>
    <xf numFmtId="0" fontId="11" fillId="0" borderId="21" xfId="2" applyFont="1" applyBorder="1" applyAlignment="1">
      <alignment horizontal="center" vertical="center" wrapText="1"/>
    </xf>
    <xf numFmtId="0" fontId="11" fillId="0" borderId="22" xfId="2" applyFont="1" applyBorder="1" applyAlignment="1">
      <alignment horizontal="center" vertical="center" wrapText="1"/>
    </xf>
    <xf numFmtId="0" fontId="11" fillId="0" borderId="2" xfId="2" applyFont="1" applyBorder="1" applyAlignment="1">
      <alignment horizontal="center"/>
    </xf>
    <xf numFmtId="0" fontId="11" fillId="0" borderId="3" xfId="2" applyFont="1" applyBorder="1" applyAlignment="1">
      <alignment horizontal="center"/>
    </xf>
    <xf numFmtId="0" fontId="11" fillId="0" borderId="4" xfId="2" applyFont="1" applyBorder="1" applyAlignment="1">
      <alignment horizontal="center"/>
    </xf>
    <xf numFmtId="0" fontId="11" fillId="18" borderId="28" xfId="2" applyFont="1" applyFill="1" applyBorder="1" applyAlignment="1">
      <alignment horizontal="center" wrapText="1"/>
    </xf>
    <xf numFmtId="0" fontId="11" fillId="18" borderId="0" xfId="2" applyFont="1" applyFill="1" applyBorder="1" applyAlignment="1">
      <alignment horizontal="center" wrapText="1"/>
    </xf>
    <xf numFmtId="0" fontId="11" fillId="18" borderId="8" xfId="2" applyFont="1" applyFill="1" applyBorder="1" applyAlignment="1">
      <alignment horizontal="center" wrapText="1"/>
    </xf>
    <xf numFmtId="0" fontId="11" fillId="0" borderId="49" xfId="2" applyFont="1" applyBorder="1" applyAlignment="1">
      <alignment horizontal="center"/>
    </xf>
    <xf numFmtId="0" fontId="11" fillId="0" borderId="25" xfId="2" applyFont="1" applyBorder="1" applyAlignment="1">
      <alignment horizontal="center"/>
    </xf>
    <xf numFmtId="0" fontId="11" fillId="0" borderId="6" xfId="2" applyFont="1" applyBorder="1" applyAlignment="1">
      <alignment horizontal="center"/>
    </xf>
    <xf numFmtId="14" fontId="11" fillId="0" borderId="50" xfId="2" quotePrefix="1" applyNumberFormat="1" applyFont="1" applyBorder="1" applyAlignment="1">
      <alignment horizontal="center"/>
    </xf>
    <xf numFmtId="14" fontId="11" fillId="0" borderId="47" xfId="2" quotePrefix="1" applyNumberFormat="1" applyFont="1" applyBorder="1" applyAlignment="1">
      <alignment horizontal="center"/>
    </xf>
    <xf numFmtId="14" fontId="11" fillId="0" borderId="48" xfId="2" quotePrefix="1" applyNumberFormat="1" applyFont="1" applyBorder="1" applyAlignment="1">
      <alignment horizontal="center"/>
    </xf>
    <xf numFmtId="0" fontId="11" fillId="3" borderId="61" xfId="2" applyFont="1" applyFill="1" applyBorder="1" applyAlignment="1">
      <alignment horizontal="center" wrapText="1"/>
    </xf>
    <xf numFmtId="0" fontId="11" fillId="3" borderId="59" xfId="2" applyFont="1" applyFill="1" applyBorder="1" applyAlignment="1">
      <alignment horizontal="center" wrapText="1"/>
    </xf>
    <xf numFmtId="0" fontId="11" fillId="6" borderId="7" xfId="2" applyFont="1" applyFill="1" applyBorder="1" applyAlignment="1">
      <alignment horizontal="center" vertical="center" wrapText="1"/>
    </xf>
    <xf numFmtId="0" fontId="11" fillId="6" borderId="28" xfId="2" applyFont="1" applyFill="1" applyBorder="1" applyAlignment="1">
      <alignment horizontal="center" vertical="center" wrapText="1"/>
    </xf>
    <xf numFmtId="0" fontId="11" fillId="7" borderId="28" xfId="2" applyFont="1" applyFill="1" applyBorder="1" applyAlignment="1">
      <alignment horizontal="center" vertical="center" wrapText="1"/>
    </xf>
    <xf numFmtId="0" fontId="11" fillId="7" borderId="7" xfId="2" applyFont="1" applyFill="1" applyBorder="1" applyAlignment="1">
      <alignment horizontal="center" vertical="center" wrapText="1"/>
    </xf>
    <xf numFmtId="0" fontId="11" fillId="8" borderId="5" xfId="2" applyFont="1" applyFill="1" applyBorder="1" applyAlignment="1">
      <alignment horizontal="center" vertical="center" wrapText="1"/>
    </xf>
    <xf numFmtId="0" fontId="11" fillId="8" borderId="7" xfId="2" applyFont="1" applyFill="1" applyBorder="1" applyAlignment="1">
      <alignment horizontal="center" vertical="center" wrapText="1"/>
    </xf>
    <xf numFmtId="0" fontId="11" fillId="8" borderId="28" xfId="2" applyFont="1" applyFill="1" applyBorder="1" applyAlignment="1">
      <alignment horizontal="center" vertical="center" wrapText="1"/>
    </xf>
    <xf numFmtId="0" fontId="11" fillId="9" borderId="0" xfId="2" applyFont="1" applyFill="1" applyBorder="1" applyAlignment="1">
      <alignment horizontal="center" vertical="center" wrapText="1"/>
    </xf>
    <xf numFmtId="0" fontId="11" fillId="7" borderId="36" xfId="2" applyFont="1" applyFill="1" applyBorder="1" applyAlignment="1">
      <alignment horizontal="center" wrapText="1"/>
    </xf>
    <xf numFmtId="0" fontId="11" fillId="7" borderId="42" xfId="2" applyFont="1" applyFill="1" applyBorder="1" applyAlignment="1">
      <alignment horizontal="center" wrapText="1"/>
    </xf>
    <xf numFmtId="0" fontId="11" fillId="7" borderId="43" xfId="2" applyFont="1" applyFill="1" applyBorder="1" applyAlignment="1">
      <alignment horizontal="center" wrapText="1"/>
    </xf>
    <xf numFmtId="0" fontId="11" fillId="2" borderId="28" xfId="2" applyFont="1" applyFill="1" applyBorder="1" applyAlignment="1">
      <alignment horizontal="center" vertical="center" wrapText="1"/>
    </xf>
    <xf numFmtId="0" fontId="11" fillId="2" borderId="0" xfId="2" applyFont="1" applyFill="1" applyBorder="1" applyAlignment="1">
      <alignment horizontal="center" vertical="center" wrapText="1"/>
    </xf>
    <xf numFmtId="0" fontId="11" fillId="2" borderId="36" xfId="2" applyFont="1" applyFill="1" applyBorder="1" applyAlignment="1">
      <alignment horizontal="center"/>
    </xf>
    <xf numFmtId="0" fontId="11" fillId="2" borderId="42" xfId="2" applyFont="1" applyFill="1" applyBorder="1" applyAlignment="1">
      <alignment horizontal="center"/>
    </xf>
    <xf numFmtId="0" fontId="11" fillId="2" borderId="43" xfId="2" applyFont="1" applyFill="1" applyBorder="1" applyAlignment="1">
      <alignment horizontal="center"/>
    </xf>
    <xf numFmtId="0" fontId="11" fillId="15" borderId="28" xfId="2" applyFont="1" applyFill="1" applyBorder="1" applyAlignment="1">
      <alignment horizontal="left"/>
    </xf>
    <xf numFmtId="0" fontId="11" fillId="15" borderId="0" xfId="2" applyFont="1" applyFill="1" applyBorder="1" applyAlignment="1">
      <alignment horizontal="left"/>
    </xf>
    <xf numFmtId="0" fontId="11" fillId="10" borderId="28" xfId="2" applyFont="1" applyFill="1" applyBorder="1" applyAlignment="1">
      <alignment horizontal="center" vertical="center"/>
    </xf>
    <xf numFmtId="0" fontId="11" fillId="10" borderId="0" xfId="2" applyFont="1" applyFill="1" applyBorder="1" applyAlignment="1">
      <alignment horizontal="center" vertical="center"/>
    </xf>
    <xf numFmtId="0" fontId="11" fillId="10" borderId="50" xfId="2" applyFont="1" applyFill="1" applyBorder="1" applyAlignment="1">
      <alignment horizontal="center" vertical="center"/>
    </xf>
    <xf numFmtId="0" fontId="11" fillId="10" borderId="47" xfId="2" applyFont="1" applyFill="1" applyBorder="1" applyAlignment="1">
      <alignment horizontal="center" vertical="center"/>
    </xf>
    <xf numFmtId="0" fontId="11" fillId="10" borderId="44" xfId="2" applyFont="1" applyFill="1" applyBorder="1" applyAlignment="1">
      <alignment horizontal="center"/>
    </xf>
    <xf numFmtId="0" fontId="11" fillId="10" borderId="52" xfId="2" applyFont="1" applyFill="1" applyBorder="1" applyAlignment="1">
      <alignment horizontal="center"/>
    </xf>
    <xf numFmtId="0" fontId="11" fillId="10" borderId="53" xfId="2" applyFont="1" applyFill="1" applyBorder="1" applyAlignment="1">
      <alignment horizontal="center"/>
    </xf>
    <xf numFmtId="0" fontId="11" fillId="16" borderId="49" xfId="2" applyFont="1" applyFill="1" applyBorder="1" applyAlignment="1">
      <alignment horizontal="center" vertical="center"/>
    </xf>
    <xf numFmtId="0" fontId="11" fillId="16" borderId="25" xfId="2" applyFont="1" applyFill="1" applyBorder="1" applyAlignment="1">
      <alignment horizontal="center" vertical="center"/>
    </xf>
    <xf numFmtId="0" fontId="11" fillId="16" borderId="28" xfId="2" applyFont="1" applyFill="1" applyBorder="1" applyAlignment="1">
      <alignment horizontal="center" vertical="center"/>
    </xf>
    <xf numFmtId="0" fontId="11" fillId="16" borderId="0" xfId="2" applyFont="1" applyFill="1" applyBorder="1" applyAlignment="1">
      <alignment horizontal="center" vertical="center"/>
    </xf>
    <xf numFmtId="0" fontId="11" fillId="7" borderId="2" xfId="2" applyFont="1" applyFill="1" applyBorder="1" applyAlignment="1">
      <alignment horizontal="left"/>
    </xf>
    <xf numFmtId="0" fontId="11" fillId="7" borderId="3" xfId="2" applyFont="1" applyFill="1" applyBorder="1" applyAlignment="1">
      <alignment horizontal="left"/>
    </xf>
    <xf numFmtId="0" fontId="11" fillId="14" borderId="44" xfId="2" applyFont="1" applyFill="1" applyBorder="1" applyAlignment="1">
      <alignment horizontal="center"/>
    </xf>
    <xf numFmtId="0" fontId="11" fillId="14" borderId="52" xfId="2" applyFont="1" applyFill="1" applyBorder="1" applyAlignment="1">
      <alignment horizontal="center"/>
    </xf>
    <xf numFmtId="0" fontId="11" fillId="14" borderId="53" xfId="2" applyFont="1" applyFill="1" applyBorder="1" applyAlignment="1">
      <alignment horizontal="center"/>
    </xf>
    <xf numFmtId="0" fontId="5" fillId="5" borderId="7" xfId="2" applyFill="1" applyBorder="1" applyAlignment="1">
      <alignment horizontal="left" wrapText="1"/>
    </xf>
    <xf numFmtId="0" fontId="6" fillId="3" borderId="2" xfId="2" applyFont="1" applyFill="1" applyBorder="1" applyAlignment="1">
      <alignment horizontal="left"/>
    </xf>
    <xf numFmtId="0" fontId="6" fillId="3" borderId="3" xfId="2" applyFont="1" applyFill="1" applyBorder="1" applyAlignment="1">
      <alignment horizontal="left"/>
    </xf>
    <xf numFmtId="0" fontId="6" fillId="3" borderId="4" xfId="2" applyFont="1" applyFill="1" applyBorder="1" applyAlignment="1">
      <alignment horizontal="left"/>
    </xf>
    <xf numFmtId="0" fontId="11" fillId="7" borderId="49" xfId="2" applyFont="1" applyFill="1" applyBorder="1" applyAlignment="1">
      <alignment horizontal="left"/>
    </xf>
    <xf numFmtId="0" fontId="11" fillId="7" borderId="25" xfId="2" applyFont="1" applyFill="1" applyBorder="1" applyAlignment="1">
      <alignment horizontal="left"/>
    </xf>
    <xf numFmtId="0" fontId="11" fillId="18" borderId="2" xfId="2" applyFont="1" applyFill="1" applyBorder="1" applyAlignment="1">
      <alignment horizontal="left"/>
    </xf>
    <xf numFmtId="0" fontId="11" fillId="18" borderId="3" xfId="2" applyFont="1" applyFill="1" applyBorder="1" applyAlignment="1">
      <alignment horizontal="left"/>
    </xf>
    <xf numFmtId="0" fontId="11" fillId="18" borderId="4" xfId="2" applyFont="1" applyFill="1" applyBorder="1" applyAlignment="1">
      <alignment horizontal="left"/>
    </xf>
    <xf numFmtId="0" fontId="11" fillId="9" borderId="49" xfId="2" applyFont="1" applyFill="1" applyBorder="1" applyAlignment="1">
      <alignment horizontal="center" vertical="center" wrapText="1"/>
    </xf>
    <xf numFmtId="0" fontId="11" fillId="9" borderId="25" xfId="2" applyFont="1" applyFill="1" applyBorder="1" applyAlignment="1">
      <alignment horizontal="center" vertical="center" wrapText="1"/>
    </xf>
    <xf numFmtId="0" fontId="11" fillId="9" borderId="28" xfId="2" applyFont="1" applyFill="1" applyBorder="1" applyAlignment="1">
      <alignment horizontal="center" vertical="center" wrapText="1"/>
    </xf>
    <xf numFmtId="0" fontId="11" fillId="9" borderId="50" xfId="2" applyFont="1" applyFill="1" applyBorder="1" applyAlignment="1">
      <alignment horizontal="center" vertical="center" wrapText="1"/>
    </xf>
    <xf numFmtId="0" fontId="11" fillId="9" borderId="47" xfId="2" applyFont="1" applyFill="1" applyBorder="1" applyAlignment="1">
      <alignment horizontal="center" vertical="center" wrapText="1"/>
    </xf>
    <xf numFmtId="0" fontId="5" fillId="5" borderId="8" xfId="2" applyFill="1" applyBorder="1" applyAlignment="1">
      <alignment horizontal="left" wrapText="1"/>
    </xf>
    <xf numFmtId="0" fontId="5" fillId="5" borderId="48" xfId="2" applyFill="1" applyBorder="1" applyAlignment="1">
      <alignment horizontal="left" wrapText="1"/>
    </xf>
    <xf numFmtId="0" fontId="5" fillId="5" borderId="6" xfId="2" applyFill="1" applyBorder="1" applyAlignment="1">
      <alignment horizontal="left" wrapText="1"/>
    </xf>
    <xf numFmtId="0" fontId="6" fillId="5" borderId="49" xfId="2" applyFont="1" applyFill="1" applyBorder="1" applyAlignment="1">
      <alignment horizontal="center"/>
    </xf>
    <xf numFmtId="0" fontId="6" fillId="5" borderId="25" xfId="2" applyFont="1" applyFill="1" applyBorder="1" applyAlignment="1">
      <alignment horizontal="center"/>
    </xf>
    <xf numFmtId="0" fontId="6" fillId="5" borderId="6" xfId="2" applyFont="1" applyFill="1" applyBorder="1" applyAlignment="1">
      <alignment horizontal="center"/>
    </xf>
    <xf numFmtId="14" fontId="6" fillId="5" borderId="50" xfId="2" applyNumberFormat="1" applyFont="1" applyFill="1" applyBorder="1" applyAlignment="1">
      <alignment horizontal="center"/>
    </xf>
    <xf numFmtId="0" fontId="6" fillId="5" borderId="47" xfId="2" applyFont="1" applyFill="1" applyBorder="1" applyAlignment="1">
      <alignment horizontal="center"/>
    </xf>
    <xf numFmtId="0" fontId="6" fillId="5" borderId="48" xfId="2" applyFont="1" applyFill="1" applyBorder="1" applyAlignment="1">
      <alignment horizontal="center"/>
    </xf>
    <xf numFmtId="0" fontId="6" fillId="3" borderId="7" xfId="2" applyFont="1" applyFill="1" applyBorder="1" applyAlignment="1">
      <alignment horizontal="center" vertical="center" wrapText="1"/>
    </xf>
    <xf numFmtId="0" fontId="6" fillId="3" borderId="38" xfId="2" applyFont="1" applyFill="1" applyBorder="1" applyAlignment="1">
      <alignment horizontal="center" vertical="center" wrapText="1"/>
    </xf>
    <xf numFmtId="0" fontId="6" fillId="3" borderId="0" xfId="2" applyFont="1" applyFill="1" applyBorder="1" applyAlignment="1">
      <alignment horizontal="center" vertical="center" wrapText="1"/>
    </xf>
    <xf numFmtId="0" fontId="6" fillId="3" borderId="47" xfId="2" applyFont="1" applyFill="1" applyBorder="1" applyAlignment="1">
      <alignment horizontal="center" vertical="center" wrapText="1"/>
    </xf>
    <xf numFmtId="0" fontId="6" fillId="3" borderId="8" xfId="2" applyFont="1" applyFill="1" applyBorder="1" applyAlignment="1">
      <alignment horizontal="center" vertical="center"/>
    </xf>
    <xf numFmtId="0" fontId="6" fillId="3" borderId="48" xfId="2" applyFont="1" applyFill="1" applyBorder="1" applyAlignment="1">
      <alignment horizontal="center" vertical="center"/>
    </xf>
    <xf numFmtId="0" fontId="11" fillId="9" borderId="36" xfId="2" applyFont="1" applyFill="1" applyBorder="1" applyAlignment="1">
      <alignment horizontal="center"/>
    </xf>
    <xf numFmtId="0" fontId="11" fillId="9" borderId="42" xfId="2" applyFont="1" applyFill="1" applyBorder="1" applyAlignment="1">
      <alignment horizontal="center"/>
    </xf>
    <xf numFmtId="0" fontId="11" fillId="9" borderId="55" xfId="2" applyFont="1" applyFill="1" applyBorder="1" applyAlignment="1">
      <alignment horizontal="center"/>
    </xf>
    <xf numFmtId="0" fontId="1" fillId="32" borderId="2" xfId="0" applyFont="1" applyFill="1" applyBorder="1" applyAlignment="1">
      <alignment horizontal="center" wrapText="1"/>
    </xf>
    <xf numFmtId="0" fontId="1" fillId="32" borderId="71" xfId="0" applyFont="1" applyFill="1" applyBorder="1" applyAlignment="1">
      <alignment horizontal="center" wrapText="1"/>
    </xf>
    <xf numFmtId="0" fontId="1" fillId="0" borderId="2" xfId="0" applyFont="1" applyBorder="1" applyAlignment="1">
      <alignment horizontal="center"/>
    </xf>
    <xf numFmtId="0" fontId="1" fillId="0" borderId="4" xfId="0" applyFont="1" applyBorder="1" applyAlignment="1">
      <alignment horizontal="center"/>
    </xf>
    <xf numFmtId="0" fontId="15" fillId="18" borderId="2" xfId="0" applyFont="1" applyFill="1" applyBorder="1" applyAlignment="1">
      <alignment horizontal="center" wrapText="1"/>
    </xf>
    <xf numFmtId="0" fontId="15" fillId="18" borderId="4" xfId="0" applyFont="1" applyFill="1" applyBorder="1" applyAlignment="1">
      <alignment horizontal="center" wrapText="1"/>
    </xf>
    <xf numFmtId="0" fontId="1" fillId="0" borderId="49" xfId="0" applyFont="1" applyBorder="1" applyAlignment="1">
      <alignment horizontal="center"/>
    </xf>
    <xf numFmtId="0" fontId="1" fillId="0" borderId="25" xfId="0" applyFont="1" applyBorder="1" applyAlignment="1">
      <alignment horizontal="center"/>
    </xf>
    <xf numFmtId="0" fontId="1" fillId="0" borderId="6" xfId="0" applyFont="1" applyBorder="1" applyAlignment="1">
      <alignment horizontal="center"/>
    </xf>
    <xf numFmtId="0" fontId="15" fillId="2" borderId="2" xfId="0" applyFont="1" applyFill="1" applyBorder="1" applyAlignment="1">
      <alignment horizontal="center"/>
    </xf>
    <xf numFmtId="0" fontId="15" fillId="2" borderId="3" xfId="0" applyFont="1" applyFill="1" applyBorder="1" applyAlignment="1">
      <alignment horizontal="center"/>
    </xf>
    <xf numFmtId="0" fontId="15" fillId="2" borderId="4" xfId="0" applyFont="1" applyFill="1" applyBorder="1" applyAlignment="1">
      <alignment horizontal="center"/>
    </xf>
    <xf numFmtId="3" fontId="4" fillId="19" borderId="58" xfId="6" applyNumberFormat="1" applyFill="1" applyBorder="1" applyAlignment="1">
      <alignment horizontal="center" vertical="center"/>
    </xf>
    <xf numFmtId="3" fontId="4" fillId="19" borderId="59" xfId="6" applyNumberFormat="1" applyFill="1" applyBorder="1" applyAlignment="1">
      <alignment horizontal="center" vertical="center"/>
    </xf>
    <xf numFmtId="0" fontId="4" fillId="19" borderId="58" xfId="6" applyFill="1" applyBorder="1" applyAlignment="1">
      <alignment horizontal="left" vertical="center" wrapText="1"/>
    </xf>
    <xf numFmtId="0" fontId="4" fillId="19" borderId="61" xfId="6" applyFill="1" applyBorder="1" applyAlignment="1">
      <alignment horizontal="left" vertical="center" wrapText="1"/>
    </xf>
    <xf numFmtId="0" fontId="9" fillId="19" borderId="62" xfId="6" applyFont="1" applyFill="1" applyBorder="1" applyAlignment="1">
      <alignment horizontal="right" vertical="center" wrapText="1"/>
    </xf>
    <xf numFmtId="0" fontId="9" fillId="19" borderId="63" xfId="6" applyFont="1" applyFill="1" applyBorder="1" applyAlignment="1">
      <alignment horizontal="right" vertical="center" wrapText="1"/>
    </xf>
    <xf numFmtId="0" fontId="4" fillId="19" borderId="59" xfId="6" applyFill="1" applyBorder="1" applyAlignment="1">
      <alignment horizontal="left" vertical="center" wrapText="1"/>
    </xf>
    <xf numFmtId="0" fontId="4" fillId="19" borderId="60" xfId="6" applyFill="1" applyBorder="1" applyAlignment="1">
      <alignment horizontal="left" vertical="center" wrapText="1"/>
    </xf>
    <xf numFmtId="3" fontId="4" fillId="19" borderId="60" xfId="6" applyNumberFormat="1" applyFill="1" applyBorder="1" applyAlignment="1">
      <alignment horizontal="center" vertical="center"/>
    </xf>
    <xf numFmtId="0" fontId="9" fillId="12" borderId="62" xfId="6" applyFont="1" applyFill="1" applyBorder="1" applyAlignment="1">
      <alignment horizontal="right" vertical="center" wrapText="1"/>
    </xf>
    <xf numFmtId="0" fontId="9" fillId="12" borderId="23" xfId="6" applyFont="1" applyFill="1" applyBorder="1" applyAlignment="1">
      <alignment horizontal="right" vertical="center" wrapText="1"/>
    </xf>
    <xf numFmtId="0" fontId="9" fillId="12" borderId="63" xfId="6" applyFont="1" applyFill="1" applyBorder="1" applyAlignment="1">
      <alignment horizontal="right" vertical="center" wrapText="1"/>
    </xf>
    <xf numFmtId="0" fontId="4" fillId="17" borderId="58" xfId="6" applyFill="1" applyBorder="1" applyAlignment="1">
      <alignment horizontal="center" vertical="center" wrapText="1"/>
    </xf>
    <xf numFmtId="0" fontId="4" fillId="17" borderId="61" xfId="6" applyFill="1" applyBorder="1" applyAlignment="1">
      <alignment horizontal="center" vertical="center" wrapText="1"/>
    </xf>
    <xf numFmtId="0" fontId="4" fillId="17" borderId="59" xfId="6" applyFill="1" applyBorder="1" applyAlignment="1">
      <alignment horizontal="center" vertical="center" wrapText="1"/>
    </xf>
    <xf numFmtId="0" fontId="4" fillId="17" borderId="58" xfId="6" applyFill="1" applyBorder="1" applyAlignment="1">
      <alignment horizontal="left" vertical="center" wrapText="1"/>
    </xf>
    <xf numFmtId="0" fontId="4" fillId="17" borderId="61" xfId="6" applyFill="1" applyBorder="1" applyAlignment="1">
      <alignment horizontal="left" vertical="center" wrapText="1"/>
    </xf>
    <xf numFmtId="0" fontId="4" fillId="17" borderId="59" xfId="6" applyFill="1" applyBorder="1" applyAlignment="1">
      <alignment horizontal="left" vertical="center" wrapText="1"/>
    </xf>
    <xf numFmtId="0" fontId="4" fillId="17" borderId="60" xfId="6" applyFont="1" applyFill="1" applyBorder="1" applyAlignment="1">
      <alignment horizontal="left" vertical="center" wrapText="1"/>
    </xf>
    <xf numFmtId="0" fontId="9" fillId="17" borderId="62" xfId="6" applyFont="1" applyFill="1" applyBorder="1" applyAlignment="1">
      <alignment horizontal="right" vertical="center"/>
    </xf>
    <xf numFmtId="0" fontId="9" fillId="17" borderId="63" xfId="6" applyFont="1" applyFill="1" applyBorder="1" applyAlignment="1">
      <alignment horizontal="right" vertical="center"/>
    </xf>
    <xf numFmtId="0" fontId="9" fillId="20" borderId="62" xfId="6" applyFont="1" applyFill="1" applyBorder="1" applyAlignment="1">
      <alignment horizontal="right" vertical="center" wrapText="1"/>
    </xf>
    <xf numFmtId="0" fontId="9" fillId="20" borderId="23" xfId="6" applyFont="1" applyFill="1" applyBorder="1" applyAlignment="1">
      <alignment horizontal="right" vertical="center" wrapText="1"/>
    </xf>
    <xf numFmtId="0" fontId="9" fillId="20" borderId="63" xfId="6" applyFont="1" applyFill="1" applyBorder="1" applyAlignment="1">
      <alignment horizontal="right" vertical="center" wrapText="1"/>
    </xf>
    <xf numFmtId="0" fontId="4" fillId="19" borderId="58" xfId="6" applyFill="1" applyBorder="1" applyAlignment="1">
      <alignment horizontal="center" vertical="center" wrapText="1"/>
    </xf>
    <xf numFmtId="0" fontId="4" fillId="19" borderId="61" xfId="6" applyFill="1" applyBorder="1" applyAlignment="1">
      <alignment horizontal="center" vertical="center" wrapText="1"/>
    </xf>
    <xf numFmtId="0" fontId="4" fillId="19" borderId="59" xfId="6" applyFill="1" applyBorder="1" applyAlignment="1">
      <alignment horizontal="center" vertical="center" wrapText="1"/>
    </xf>
    <xf numFmtId="0" fontId="4" fillId="21" borderId="60" xfId="6" applyFill="1" applyBorder="1" applyAlignment="1">
      <alignment horizontal="center" vertical="center" wrapText="1"/>
    </xf>
    <xf numFmtId="3" fontId="4" fillId="21" borderId="58" xfId="6" applyNumberFormat="1" applyFill="1" applyBorder="1" applyAlignment="1">
      <alignment horizontal="center" vertical="center"/>
    </xf>
    <xf numFmtId="3" fontId="4" fillId="21" borderId="61" xfId="6" applyNumberFormat="1" applyFill="1" applyBorder="1" applyAlignment="1">
      <alignment horizontal="center" vertical="center"/>
    </xf>
    <xf numFmtId="3" fontId="4" fillId="21" borderId="59" xfId="6" applyNumberFormat="1" applyFill="1" applyBorder="1" applyAlignment="1">
      <alignment horizontal="center" vertical="center"/>
    </xf>
    <xf numFmtId="0" fontId="4" fillId="21" borderId="58" xfId="6" applyFill="1" applyBorder="1" applyAlignment="1">
      <alignment horizontal="left" vertical="center" wrapText="1"/>
    </xf>
    <xf numFmtId="0" fontId="4" fillId="21" borderId="59" xfId="6" applyFill="1" applyBorder="1" applyAlignment="1">
      <alignment horizontal="left" vertical="center" wrapText="1"/>
    </xf>
    <xf numFmtId="0" fontId="9" fillId="22" borderId="62" xfId="6" applyFont="1" applyFill="1" applyBorder="1" applyAlignment="1">
      <alignment horizontal="right" vertical="center"/>
    </xf>
    <xf numFmtId="0" fontId="9" fillId="22" borderId="23" xfId="6" applyFont="1" applyFill="1" applyBorder="1" applyAlignment="1">
      <alignment horizontal="right" vertical="center"/>
    </xf>
    <xf numFmtId="0" fontId="9" fillId="22" borderId="63" xfId="6" applyFont="1" applyFill="1" applyBorder="1" applyAlignment="1">
      <alignment horizontal="right" vertical="center"/>
    </xf>
    <xf numFmtId="0" fontId="4" fillId="5" borderId="0" xfId="6" applyFill="1" applyAlignment="1">
      <alignment horizontal="left" vertical="center" wrapText="1"/>
    </xf>
    <xf numFmtId="0" fontId="4" fillId="23" borderId="60" xfId="6" applyFill="1" applyBorder="1" applyAlignment="1">
      <alignment horizontal="center" vertical="center" wrapText="1"/>
    </xf>
    <xf numFmtId="3" fontId="4" fillId="23" borderId="58" xfId="6" applyNumberFormat="1" applyFont="1" applyFill="1" applyBorder="1" applyAlignment="1">
      <alignment horizontal="center" vertical="center"/>
    </xf>
    <xf numFmtId="3" fontId="4" fillId="23" borderId="61" xfId="6" applyNumberFormat="1" applyFont="1" applyFill="1" applyBorder="1" applyAlignment="1">
      <alignment horizontal="center" vertical="center"/>
    </xf>
    <xf numFmtId="0" fontId="4" fillId="23" borderId="58" xfId="6" applyFill="1" applyBorder="1" applyAlignment="1">
      <alignment horizontal="left" vertical="center" wrapText="1"/>
    </xf>
    <xf numFmtId="0" fontId="4" fillId="23" borderId="59" xfId="6" applyFill="1" applyBorder="1" applyAlignment="1">
      <alignment horizontal="left" vertical="center" wrapText="1"/>
    </xf>
    <xf numFmtId="0" fontId="9" fillId="24" borderId="62" xfId="6" applyFont="1" applyFill="1" applyBorder="1" applyAlignment="1">
      <alignment horizontal="right" vertical="center"/>
    </xf>
    <xf numFmtId="0" fontId="9" fillId="24" borderId="23" xfId="6" applyFont="1" applyFill="1" applyBorder="1" applyAlignment="1">
      <alignment horizontal="right" vertical="center"/>
    </xf>
    <xf numFmtId="0" fontId="9" fillId="24" borderId="63" xfId="6" applyFont="1" applyFill="1" applyBorder="1" applyAlignment="1">
      <alignment horizontal="right" vertical="center"/>
    </xf>
    <xf numFmtId="0" fontId="4" fillId="5" borderId="35" xfId="6" applyFill="1" applyBorder="1" applyAlignment="1">
      <alignment horizontal="left" wrapText="1"/>
    </xf>
    <xf numFmtId="14" fontId="11" fillId="0" borderId="2" xfId="2" quotePrefix="1" applyNumberFormat="1" applyFont="1" applyBorder="1" applyAlignment="1">
      <alignment horizontal="center"/>
    </xf>
    <xf numFmtId="14" fontId="11" fillId="0" borderId="3" xfId="2" applyNumberFormat="1" applyFont="1" applyBorder="1" applyAlignment="1">
      <alignment horizontal="center"/>
    </xf>
    <xf numFmtId="14" fontId="11" fillId="0" borderId="4" xfId="2" applyNumberFormat="1" applyFont="1" applyBorder="1" applyAlignment="1">
      <alignment horizontal="center"/>
    </xf>
    <xf numFmtId="0" fontId="11" fillId="0" borderId="61" xfId="2" applyFont="1" applyBorder="1" applyAlignment="1">
      <alignment horizontal="center"/>
    </xf>
    <xf numFmtId="0" fontId="11" fillId="0" borderId="59" xfId="2" applyFont="1" applyBorder="1" applyAlignment="1">
      <alignment horizontal="center"/>
    </xf>
    <xf numFmtId="0" fontId="11" fillId="0" borderId="61" xfId="2" applyFont="1" applyBorder="1" applyAlignment="1">
      <alignment horizontal="center" wrapText="1"/>
    </xf>
    <xf numFmtId="0" fontId="11" fillId="0" borderId="59" xfId="2" applyFont="1" applyBorder="1" applyAlignment="1">
      <alignment horizontal="center" wrapText="1"/>
    </xf>
    <xf numFmtId="0" fontId="11" fillId="0" borderId="53" xfId="2" applyFont="1" applyBorder="1" applyAlignment="1">
      <alignment horizontal="center" wrapText="1"/>
    </xf>
    <xf numFmtId="0" fontId="11" fillId="0" borderId="65" xfId="2" applyFont="1" applyBorder="1" applyAlignment="1">
      <alignment horizontal="center" wrapText="1"/>
    </xf>
    <xf numFmtId="0" fontId="11" fillId="0" borderId="57" xfId="2" applyFont="1" applyBorder="1" applyAlignment="1">
      <alignment horizontal="center" wrapText="1"/>
    </xf>
    <xf numFmtId="0" fontId="11" fillId="0" borderId="56" xfId="2" applyFont="1" applyBorder="1" applyAlignment="1">
      <alignment horizontal="center" wrapText="1"/>
    </xf>
    <xf numFmtId="0" fontId="11" fillId="0" borderId="61" xfId="2" applyFont="1" applyFill="1" applyBorder="1" applyAlignment="1">
      <alignment horizontal="center" wrapText="1"/>
    </xf>
    <xf numFmtId="0" fontId="11" fillId="0" borderId="59" xfId="2" applyFont="1" applyFill="1" applyBorder="1" applyAlignment="1">
      <alignment horizontal="center" wrapText="1"/>
    </xf>
    <xf numFmtId="0" fontId="11" fillId="18" borderId="2" xfId="2" applyFont="1" applyFill="1" applyBorder="1" applyAlignment="1">
      <alignment horizontal="center"/>
    </xf>
    <xf numFmtId="0" fontId="11" fillId="18" borderId="3" xfId="2" applyFont="1" applyFill="1" applyBorder="1" applyAlignment="1">
      <alignment horizontal="center"/>
    </xf>
    <xf numFmtId="0" fontId="11" fillId="18" borderId="4" xfId="2" applyFont="1" applyFill="1" applyBorder="1" applyAlignment="1">
      <alignment horizontal="center"/>
    </xf>
    <xf numFmtId="0" fontId="11" fillId="15" borderId="60" xfId="2" applyFont="1" applyFill="1" applyBorder="1" applyAlignment="1">
      <alignment horizontal="left" wrapText="1"/>
    </xf>
    <xf numFmtId="0" fontId="11" fillId="10" borderId="60" xfId="2" applyFont="1" applyFill="1" applyBorder="1" applyAlignment="1">
      <alignment horizontal="center" vertical="center" wrapText="1"/>
    </xf>
    <xf numFmtId="0" fontId="11" fillId="10" borderId="60" xfId="2" applyFont="1" applyFill="1" applyBorder="1" applyAlignment="1">
      <alignment horizontal="center" wrapText="1"/>
    </xf>
    <xf numFmtId="0" fontId="11" fillId="13" borderId="60" xfId="2" applyFont="1" applyFill="1" applyBorder="1" applyAlignment="1">
      <alignment horizontal="center" wrapText="1"/>
    </xf>
    <xf numFmtId="0" fontId="11" fillId="6" borderId="60" xfId="2" applyFont="1" applyFill="1" applyBorder="1" applyAlignment="1">
      <alignment horizontal="center" vertical="center" wrapText="1"/>
    </xf>
    <xf numFmtId="0" fontId="11" fillId="8" borderId="60" xfId="2" applyFont="1" applyFill="1" applyBorder="1" applyAlignment="1">
      <alignment horizontal="center" vertical="center" wrapText="1"/>
    </xf>
    <xf numFmtId="0" fontId="11" fillId="9" borderId="60" xfId="2" applyFont="1" applyFill="1" applyBorder="1" applyAlignment="1">
      <alignment horizontal="center" vertical="center" wrapText="1"/>
    </xf>
    <xf numFmtId="0" fontId="6" fillId="18" borderId="0" xfId="2" applyFont="1" applyFill="1" applyAlignment="1">
      <alignment horizontal="center" wrapText="1"/>
    </xf>
    <xf numFmtId="0" fontId="11" fillId="16" borderId="60" xfId="2" applyFont="1" applyFill="1" applyBorder="1" applyAlignment="1">
      <alignment horizontal="center" vertical="center" wrapText="1"/>
    </xf>
    <xf numFmtId="0" fontId="11" fillId="14" borderId="60" xfId="2" applyFont="1" applyFill="1" applyBorder="1" applyAlignment="1">
      <alignment horizontal="center" wrapText="1"/>
    </xf>
    <xf numFmtId="0" fontId="11" fillId="7" borderId="60" xfId="2" applyFont="1" applyFill="1" applyBorder="1" applyAlignment="1">
      <alignment horizontal="center" vertical="center" wrapText="1"/>
    </xf>
    <xf numFmtId="0" fontId="11" fillId="7" borderId="60" xfId="2" applyFont="1" applyFill="1" applyBorder="1" applyAlignment="1">
      <alignment horizontal="center" wrapText="1"/>
    </xf>
    <xf numFmtId="0" fontId="11" fillId="2" borderId="60" xfId="2" applyFont="1" applyFill="1" applyBorder="1" applyAlignment="1">
      <alignment horizontal="center" vertical="center" wrapText="1"/>
    </xf>
    <xf numFmtId="0" fontId="11" fillId="2" borderId="60" xfId="2" applyFont="1" applyFill="1" applyBorder="1" applyAlignment="1">
      <alignment horizontal="center" wrapText="1"/>
    </xf>
    <xf numFmtId="0" fontId="11" fillId="12" borderId="60" xfId="2" applyFont="1" applyFill="1" applyBorder="1" applyAlignment="1">
      <alignment horizontal="center" vertical="center" wrapText="1"/>
    </xf>
    <xf numFmtId="0" fontId="11" fillId="13" borderId="60" xfId="2" applyFont="1" applyFill="1" applyBorder="1" applyAlignment="1">
      <alignment horizontal="center" vertical="center" wrapText="1"/>
    </xf>
    <xf numFmtId="0" fontId="11" fillId="6" borderId="60" xfId="2" applyFont="1" applyFill="1" applyBorder="1" applyAlignment="1">
      <alignment horizontal="left" vertical="center" wrapText="1"/>
    </xf>
    <xf numFmtId="0" fontId="11" fillId="11" borderId="60" xfId="2" applyFont="1" applyFill="1" applyBorder="1" applyAlignment="1">
      <alignment horizontal="center" vertical="center" wrapText="1"/>
    </xf>
    <xf numFmtId="0" fontId="11" fillId="11" borderId="60" xfId="2" applyFont="1" applyFill="1" applyBorder="1" applyAlignment="1">
      <alignment horizontal="left" wrapText="1"/>
    </xf>
    <xf numFmtId="0" fontId="11" fillId="18" borderId="2" xfId="2" applyFont="1" applyFill="1" applyBorder="1" applyAlignment="1">
      <alignment horizontal="center" wrapText="1"/>
    </xf>
    <xf numFmtId="0" fontId="11" fillId="18" borderId="3" xfId="2" applyFont="1" applyFill="1" applyBorder="1" applyAlignment="1">
      <alignment horizontal="center" wrapText="1"/>
    </xf>
    <xf numFmtId="0" fontId="11" fillId="18" borderId="4" xfId="2" applyFont="1" applyFill="1" applyBorder="1" applyAlignment="1">
      <alignment horizontal="center" wrapText="1"/>
    </xf>
    <xf numFmtId="0" fontId="11" fillId="17" borderId="44" xfId="2" applyFont="1" applyFill="1" applyBorder="1" applyAlignment="1">
      <alignment horizontal="center"/>
    </xf>
    <xf numFmtId="0" fontId="11" fillId="17" borderId="52" xfId="2" applyFont="1" applyFill="1" applyBorder="1" applyAlignment="1">
      <alignment horizontal="center"/>
    </xf>
    <xf numFmtId="0" fontId="11" fillId="17" borderId="66" xfId="2" applyFont="1" applyFill="1" applyBorder="1" applyAlignment="1">
      <alignment horizontal="center"/>
    </xf>
  </cellXfs>
  <cellStyles count="13">
    <cellStyle name="Comma 2" xfId="4" xr:uid="{00000000-0005-0000-0000-000000000000}"/>
    <cellStyle name="Comma 3" xfId="3" xr:uid="{00000000-0005-0000-0000-000001000000}"/>
    <cellStyle name="Comma 4" xfId="10" xr:uid="{766499AB-2EB0-4DF3-A950-2ABDE71B237F}"/>
    <cellStyle name="Comma0 2" xfId="1" xr:uid="{00000000-0005-0000-0000-000002000000}"/>
    <cellStyle name="Hyperlink" xfId="8" builtinId="8"/>
    <cellStyle name="Normal" xfId="0" builtinId="0"/>
    <cellStyle name="Normal 2" xfId="2" xr:uid="{00000000-0005-0000-0000-000004000000}"/>
    <cellStyle name="Normal 3" xfId="5" xr:uid="{00000000-0005-0000-0000-000005000000}"/>
    <cellStyle name="Normal 4" xfId="6" xr:uid="{00000000-0005-0000-0000-000006000000}"/>
    <cellStyle name="Normal 5" xfId="9" xr:uid="{64A6CE49-4D74-4EB6-8057-36BDAA7003D5}"/>
    <cellStyle name="Normal 6" xfId="12" xr:uid="{0BB7CEC5-AC43-47AC-99C4-E6DB33695757}"/>
    <cellStyle name="Percent" xfId="7" builtinId="5"/>
    <cellStyle name="Percent 2" xfId="11" xr:uid="{800E6037-77F0-48F3-9C9D-6C70084CAE6C}"/>
  </cellStyles>
  <dxfs count="4">
    <dxf>
      <font>
        <color theme="0" tint="-0.24994659260841701"/>
      </font>
    </dxf>
    <dxf>
      <font>
        <strike val="0"/>
        <color theme="0" tint="-0.24994659260841701"/>
      </font>
      <fill>
        <patternFill patternType="none">
          <bgColor auto="1"/>
        </patternFill>
      </fill>
    </dxf>
    <dxf>
      <font>
        <color theme="0" tint="-0.24994659260841701"/>
      </font>
    </dxf>
    <dxf>
      <font>
        <strike val="0"/>
        <color theme="0" tint="-0.24994659260841701"/>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AnnualResultsViewer!$E$2</c:f>
          <c:strCache>
            <c:ptCount val="1"/>
            <c:pt idx="0">
              <c:v>Navajo Indian Irrigation Project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Diversion Request</c:v>
          </c:tx>
          <c:spPr>
            <a:ln w="50800" cap="rnd">
              <a:solidFill>
                <a:srgbClr val="0070C0"/>
              </a:solidFill>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AnnualResultsViewer!$C$10:$C$102</c:f>
              <c:numCache>
                <c:formatCode>#,##0</c:formatCode>
                <c:ptCount val="93"/>
                <c:pt idx="1">
                  <c:v>256306.06132200325</c:v>
                </c:pt>
                <c:pt idx="2">
                  <c:v>282633.1342284868</c:v>
                </c:pt>
                <c:pt idx="3">
                  <c:v>280984.58180698927</c:v>
                </c:pt>
                <c:pt idx="4">
                  <c:v>269758.76449078042</c:v>
                </c:pt>
                <c:pt idx="5">
                  <c:v>266475.94502900168</c:v>
                </c:pt>
                <c:pt idx="6">
                  <c:v>258951.3912809937</c:v>
                </c:pt>
                <c:pt idx="7">
                  <c:v>252521.49626077205</c:v>
                </c:pt>
                <c:pt idx="8">
                  <c:v>311007.82891242928</c:v>
                </c:pt>
                <c:pt idx="9">
                  <c:v>281672.87531687622</c:v>
                </c:pt>
                <c:pt idx="10">
                  <c:v>305118.93401434319</c:v>
                </c:pt>
                <c:pt idx="11">
                  <c:v>341334.22774412815</c:v>
                </c:pt>
                <c:pt idx="12">
                  <c:v>291715.04896672955</c:v>
                </c:pt>
                <c:pt idx="13">
                  <c:v>230382.82332724886</c:v>
                </c:pt>
                <c:pt idx="14">
                  <c:v>322547.24514604331</c:v>
                </c:pt>
                <c:pt idx="15">
                  <c:v>307535.29801983177</c:v>
                </c:pt>
                <c:pt idx="16">
                  <c:v>306047.29745635227</c:v>
                </c:pt>
                <c:pt idx="17">
                  <c:v>326124.50167461927</c:v>
                </c:pt>
                <c:pt idx="18">
                  <c:v>334689.46056232491</c:v>
                </c:pt>
                <c:pt idx="19">
                  <c:v>315595.17196876765</c:v>
                </c:pt>
                <c:pt idx="20">
                  <c:v>311208.90849595587</c:v>
                </c:pt>
                <c:pt idx="21">
                  <c:v>294132.68524253421</c:v>
                </c:pt>
                <c:pt idx="22">
                  <c:v>341813.31306500896</c:v>
                </c:pt>
                <c:pt idx="23">
                  <c:v>336449.14005552127</c:v>
                </c:pt>
                <c:pt idx="24">
                  <c:v>328097.25649578829</c:v>
                </c:pt>
                <c:pt idx="25">
                  <c:v>337075.22055351286</c:v>
                </c:pt>
                <c:pt idx="26">
                  <c:v>312822.11246595217</c:v>
                </c:pt>
                <c:pt idx="27">
                  <c:v>304837.42325290432</c:v>
                </c:pt>
                <c:pt idx="28">
                  <c:v>341948.88393321919</c:v>
                </c:pt>
                <c:pt idx="29">
                  <c:v>279209.58319237374</c:v>
                </c:pt>
                <c:pt idx="30">
                  <c:v>340298.53046811133</c:v>
                </c:pt>
                <c:pt idx="31">
                  <c:v>318190.75524783437</c:v>
                </c:pt>
                <c:pt idx="32">
                  <c:v>350132.15831147681</c:v>
                </c:pt>
                <c:pt idx="33">
                  <c:v>283597.80708541931</c:v>
                </c:pt>
                <c:pt idx="34">
                  <c:v>340428.26900487678</c:v>
                </c:pt>
                <c:pt idx="35">
                  <c:v>337368.85589637718</c:v>
                </c:pt>
                <c:pt idx="36">
                  <c:v>306950.95192668249</c:v>
                </c:pt>
                <c:pt idx="37">
                  <c:v>242089.3793973822</c:v>
                </c:pt>
                <c:pt idx="38">
                  <c:v>341166.40358371742</c:v>
                </c:pt>
                <c:pt idx="39">
                  <c:v>307194.71124524897</c:v>
                </c:pt>
                <c:pt idx="40">
                  <c:v>300678.11284606159</c:v>
                </c:pt>
                <c:pt idx="41">
                  <c:v>296077.96178948792</c:v>
                </c:pt>
                <c:pt idx="42">
                  <c:v>303940.89320013527</c:v>
                </c:pt>
                <c:pt idx="43">
                  <c:v>314938.04679149308</c:v>
                </c:pt>
                <c:pt idx="44">
                  <c:v>337655.70419766405</c:v>
                </c:pt>
                <c:pt idx="45">
                  <c:v>291682.04552652931</c:v>
                </c:pt>
                <c:pt idx="46">
                  <c:v>342966.99060753011</c:v>
                </c:pt>
                <c:pt idx="47">
                  <c:v>297398.7253024684</c:v>
                </c:pt>
                <c:pt idx="48">
                  <c:v>310659.60515617736</c:v>
                </c:pt>
                <c:pt idx="49">
                  <c:v>336486.0712340055</c:v>
                </c:pt>
                <c:pt idx="50">
                  <c:v>326695.91785579844</c:v>
                </c:pt>
                <c:pt idx="51">
                  <c:v>312828.70148666896</c:v>
                </c:pt>
                <c:pt idx="52">
                  <c:v>326143.51022362133</c:v>
                </c:pt>
                <c:pt idx="53">
                  <c:v>314294.28666468861</c:v>
                </c:pt>
                <c:pt idx="54">
                  <c:v>272079.47296994139</c:v>
                </c:pt>
                <c:pt idx="55">
                  <c:v>302085.03394643811</c:v>
                </c:pt>
                <c:pt idx="56">
                  <c:v>273092.67609098158</c:v>
                </c:pt>
                <c:pt idx="57">
                  <c:v>312119.1101338414</c:v>
                </c:pt>
                <c:pt idx="58">
                  <c:v>259746.28760702224</c:v>
                </c:pt>
                <c:pt idx="59">
                  <c:v>317988.48264347471</c:v>
                </c:pt>
                <c:pt idx="60">
                  <c:v>308645.39171946753</c:v>
                </c:pt>
                <c:pt idx="61">
                  <c:v>349426.64174525248</c:v>
                </c:pt>
                <c:pt idx="62">
                  <c:v>325486.02302746312</c:v>
                </c:pt>
                <c:pt idx="63">
                  <c:v>320754.19466728065</c:v>
                </c:pt>
                <c:pt idx="64">
                  <c:v>301807.55249811104</c:v>
                </c:pt>
                <c:pt idx="65">
                  <c:v>315770.39264714881</c:v>
                </c:pt>
                <c:pt idx="66">
                  <c:v>360541.97587296693</c:v>
                </c:pt>
                <c:pt idx="67">
                  <c:v>308208.08929385868</c:v>
                </c:pt>
                <c:pt idx="68">
                  <c:v>338753.31990897848</c:v>
                </c:pt>
                <c:pt idx="69">
                  <c:v>284566.43192585016</c:v>
                </c:pt>
                <c:pt idx="70">
                  <c:v>323472.70355071744</c:v>
                </c:pt>
                <c:pt idx="71">
                  <c:v>258745.04568648356</c:v>
                </c:pt>
                <c:pt idx="72">
                  <c:v>362223.33076543163</c:v>
                </c:pt>
                <c:pt idx="73">
                  <c:v>339493.72306087543</c:v>
                </c:pt>
                <c:pt idx="74">
                  <c:v>313356.01231974614</c:v>
                </c:pt>
                <c:pt idx="75">
                  <c:v>362715.08083682926</c:v>
                </c:pt>
                <c:pt idx="76">
                  <c:v>335059.83580421394</c:v>
                </c:pt>
                <c:pt idx="77">
                  <c:v>341508.05251257704</c:v>
                </c:pt>
                <c:pt idx="78">
                  <c:v>325352.79866531043</c:v>
                </c:pt>
                <c:pt idx="79">
                  <c:v>331525.20958774234</c:v>
                </c:pt>
                <c:pt idx="80">
                  <c:v>295948.42324830737</c:v>
                </c:pt>
                <c:pt idx="81">
                  <c:v>326214.85103725677</c:v>
                </c:pt>
                <c:pt idx="82">
                  <c:v>308923.48648392723</c:v>
                </c:pt>
                <c:pt idx="83">
                  <c:v>325691.66300124023</c:v>
                </c:pt>
                <c:pt idx="84">
                  <c:v>347403.96645479649</c:v>
                </c:pt>
                <c:pt idx="85">
                  <c:v>#N/A</c:v>
                </c:pt>
                <c:pt idx="86">
                  <c:v>#N/A</c:v>
                </c:pt>
                <c:pt idx="87">
                  <c:v>#N/A</c:v>
                </c:pt>
                <c:pt idx="88">
                  <c:v>#N/A</c:v>
                </c:pt>
                <c:pt idx="89">
                  <c:v>#N/A</c:v>
                </c:pt>
                <c:pt idx="90">
                  <c:v>#N/A</c:v>
                </c:pt>
                <c:pt idx="91">
                  <c:v>#N/A</c:v>
                </c:pt>
              </c:numCache>
            </c:numRef>
          </c:val>
          <c:smooth val="0"/>
          <c:extLst>
            <c:ext xmlns:c16="http://schemas.microsoft.com/office/drawing/2014/chart" uri="{C3380CC4-5D6E-409C-BE32-E72D297353CC}">
              <c16:uniqueId val="{00000000-FA2E-4CA3-A6AB-D691F9353C14}"/>
            </c:ext>
          </c:extLst>
        </c:ser>
        <c:ser>
          <c:idx val="3"/>
          <c:order val="1"/>
          <c:tx>
            <c:v>Diversion</c:v>
          </c:tx>
          <c:spPr>
            <a:ln w="50800" cap="rnd">
              <a:solidFill>
                <a:srgbClr val="FFC000"/>
              </a:solidFill>
              <a:prstDash val="sysDot"/>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AnnualResultsViewer!$E$10:$E$102</c:f>
              <c:numCache>
                <c:formatCode>#,##0</c:formatCode>
                <c:ptCount val="93"/>
                <c:pt idx="1">
                  <c:v>256306.06132200325</c:v>
                </c:pt>
                <c:pt idx="2">
                  <c:v>282633.1342284868</c:v>
                </c:pt>
                <c:pt idx="3">
                  <c:v>280984.58180698927</c:v>
                </c:pt>
                <c:pt idx="4">
                  <c:v>269758.76449078042</c:v>
                </c:pt>
                <c:pt idx="5">
                  <c:v>266475.94502900168</c:v>
                </c:pt>
                <c:pt idx="6">
                  <c:v>258951.3912809937</c:v>
                </c:pt>
                <c:pt idx="7">
                  <c:v>252521.49626077205</c:v>
                </c:pt>
                <c:pt idx="8">
                  <c:v>311007.82891242928</c:v>
                </c:pt>
                <c:pt idx="9">
                  <c:v>281672.87531687622</c:v>
                </c:pt>
                <c:pt idx="10">
                  <c:v>305118.93401434319</c:v>
                </c:pt>
                <c:pt idx="11">
                  <c:v>341334.22774412815</c:v>
                </c:pt>
                <c:pt idx="12">
                  <c:v>291715.04896672955</c:v>
                </c:pt>
                <c:pt idx="13">
                  <c:v>230382.82332724886</c:v>
                </c:pt>
                <c:pt idx="14">
                  <c:v>322547.24514604331</c:v>
                </c:pt>
                <c:pt idx="15">
                  <c:v>307535.29801983177</c:v>
                </c:pt>
                <c:pt idx="16">
                  <c:v>306047.29745635227</c:v>
                </c:pt>
                <c:pt idx="17">
                  <c:v>326124.50167461927</c:v>
                </c:pt>
                <c:pt idx="18">
                  <c:v>334689.46056232491</c:v>
                </c:pt>
                <c:pt idx="19">
                  <c:v>315595.17196876765</c:v>
                </c:pt>
                <c:pt idx="20">
                  <c:v>311208.90849595587</c:v>
                </c:pt>
                <c:pt idx="21">
                  <c:v>294132.68524253421</c:v>
                </c:pt>
                <c:pt idx="22">
                  <c:v>341813.31306500896</c:v>
                </c:pt>
                <c:pt idx="23">
                  <c:v>336449.14005552127</c:v>
                </c:pt>
                <c:pt idx="24">
                  <c:v>328097.25649578829</c:v>
                </c:pt>
                <c:pt idx="25">
                  <c:v>337075.22055351286</c:v>
                </c:pt>
                <c:pt idx="26">
                  <c:v>312822.11246595217</c:v>
                </c:pt>
                <c:pt idx="27">
                  <c:v>304837.42325290432</c:v>
                </c:pt>
                <c:pt idx="28">
                  <c:v>341948.88393321919</c:v>
                </c:pt>
                <c:pt idx="29">
                  <c:v>279209.58319237374</c:v>
                </c:pt>
                <c:pt idx="30">
                  <c:v>340298.53046811133</c:v>
                </c:pt>
                <c:pt idx="31">
                  <c:v>318190.75524783437</c:v>
                </c:pt>
                <c:pt idx="32">
                  <c:v>350132.15831147681</c:v>
                </c:pt>
                <c:pt idx="33">
                  <c:v>283597.80708541931</c:v>
                </c:pt>
                <c:pt idx="34">
                  <c:v>340428.26900487678</c:v>
                </c:pt>
                <c:pt idx="35">
                  <c:v>337368.85589637718</c:v>
                </c:pt>
                <c:pt idx="36">
                  <c:v>306950.95192668249</c:v>
                </c:pt>
                <c:pt idx="37">
                  <c:v>242089.3793973822</c:v>
                </c:pt>
                <c:pt idx="38">
                  <c:v>341166.40358371742</c:v>
                </c:pt>
                <c:pt idx="39">
                  <c:v>307194.71124524897</c:v>
                </c:pt>
                <c:pt idx="40">
                  <c:v>300678.11284606159</c:v>
                </c:pt>
                <c:pt idx="41">
                  <c:v>296077.96178948792</c:v>
                </c:pt>
                <c:pt idx="42">
                  <c:v>303940.89320013527</c:v>
                </c:pt>
                <c:pt idx="43">
                  <c:v>314938.04679149308</c:v>
                </c:pt>
                <c:pt idx="44">
                  <c:v>337655.70419766405</c:v>
                </c:pt>
                <c:pt idx="45">
                  <c:v>291682.04552652931</c:v>
                </c:pt>
                <c:pt idx="46">
                  <c:v>342966.99060753011</c:v>
                </c:pt>
                <c:pt idx="47">
                  <c:v>297398.7253024684</c:v>
                </c:pt>
                <c:pt idx="48">
                  <c:v>310659.60515617736</c:v>
                </c:pt>
                <c:pt idx="49">
                  <c:v>336486.0712340055</c:v>
                </c:pt>
                <c:pt idx="50">
                  <c:v>326695.91785579844</c:v>
                </c:pt>
                <c:pt idx="51">
                  <c:v>312828.70148666896</c:v>
                </c:pt>
                <c:pt idx="52">
                  <c:v>326143.51022362133</c:v>
                </c:pt>
                <c:pt idx="53">
                  <c:v>314294.28666468861</c:v>
                </c:pt>
                <c:pt idx="54">
                  <c:v>272079.47296994139</c:v>
                </c:pt>
                <c:pt idx="55">
                  <c:v>302085.03394643811</c:v>
                </c:pt>
                <c:pt idx="56">
                  <c:v>273092.67609098158</c:v>
                </c:pt>
                <c:pt idx="57">
                  <c:v>312119.1101338414</c:v>
                </c:pt>
                <c:pt idx="58">
                  <c:v>259746.28760702224</c:v>
                </c:pt>
                <c:pt idx="59">
                  <c:v>317988.48264347471</c:v>
                </c:pt>
                <c:pt idx="60">
                  <c:v>308645.39171946753</c:v>
                </c:pt>
                <c:pt idx="61">
                  <c:v>349426.64174525248</c:v>
                </c:pt>
                <c:pt idx="62">
                  <c:v>325486.02302746312</c:v>
                </c:pt>
                <c:pt idx="63">
                  <c:v>320754.19466728065</c:v>
                </c:pt>
                <c:pt idx="64">
                  <c:v>301807.55249811104</c:v>
                </c:pt>
                <c:pt idx="65">
                  <c:v>315770.39264714881</c:v>
                </c:pt>
                <c:pt idx="66">
                  <c:v>360541.97587296693</c:v>
                </c:pt>
                <c:pt idx="67">
                  <c:v>308208.08929385868</c:v>
                </c:pt>
                <c:pt idx="68">
                  <c:v>338753.31990897848</c:v>
                </c:pt>
                <c:pt idx="69">
                  <c:v>284566.43192585016</c:v>
                </c:pt>
                <c:pt idx="70">
                  <c:v>323472.70355071744</c:v>
                </c:pt>
                <c:pt idx="71">
                  <c:v>258745.04568648356</c:v>
                </c:pt>
                <c:pt idx="72">
                  <c:v>362223.33076543163</c:v>
                </c:pt>
                <c:pt idx="73">
                  <c:v>339493.72306087543</c:v>
                </c:pt>
                <c:pt idx="74">
                  <c:v>313356.01231974614</c:v>
                </c:pt>
                <c:pt idx="75">
                  <c:v>216762.10033226138</c:v>
                </c:pt>
                <c:pt idx="76">
                  <c:v>335059.83580421394</c:v>
                </c:pt>
                <c:pt idx="77">
                  <c:v>341508.05251257704</c:v>
                </c:pt>
                <c:pt idx="78">
                  <c:v>325352.79866531043</c:v>
                </c:pt>
                <c:pt idx="79">
                  <c:v>331525.20958774234</c:v>
                </c:pt>
                <c:pt idx="80">
                  <c:v>295948.42324830737</c:v>
                </c:pt>
                <c:pt idx="81">
                  <c:v>326214.85103725677</c:v>
                </c:pt>
                <c:pt idx="82">
                  <c:v>308923.48648392723</c:v>
                </c:pt>
                <c:pt idx="83">
                  <c:v>325691.66300124023</c:v>
                </c:pt>
                <c:pt idx="84">
                  <c:v>347403.96645479649</c:v>
                </c:pt>
                <c:pt idx="85">
                  <c:v>#N/A</c:v>
                </c:pt>
                <c:pt idx="86">
                  <c:v>#N/A</c:v>
                </c:pt>
                <c:pt idx="87">
                  <c:v>#N/A</c:v>
                </c:pt>
                <c:pt idx="88">
                  <c:v>#N/A</c:v>
                </c:pt>
                <c:pt idx="89">
                  <c:v>#N/A</c:v>
                </c:pt>
                <c:pt idx="90">
                  <c:v>#N/A</c:v>
                </c:pt>
                <c:pt idx="91">
                  <c:v>#N/A</c:v>
                </c:pt>
              </c:numCache>
            </c:numRef>
          </c:val>
          <c:smooth val="0"/>
          <c:extLst>
            <c:ext xmlns:c16="http://schemas.microsoft.com/office/drawing/2014/chart" uri="{C3380CC4-5D6E-409C-BE32-E72D297353CC}">
              <c16:uniqueId val="{00000001-FA2E-4CA3-A6AB-D691F9353C14}"/>
            </c:ext>
          </c:extLst>
        </c:ser>
        <c:ser>
          <c:idx val="5"/>
          <c:order val="2"/>
          <c:tx>
            <c:v>Diversion Shortage</c:v>
          </c:tx>
          <c:spPr>
            <a:ln w="50800" cap="rnd">
              <a:solidFill>
                <a:srgbClr val="FFC000"/>
              </a:solidFill>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AnnualResultsViewer!$G$10:$G$102</c:f>
              <c:numCache>
                <c:formatCode>#,##0</c:formatCode>
                <c:ptCount val="9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145952.98050456788</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2-FA2E-4CA3-A6AB-D691F9353C14}"/>
            </c:ext>
          </c:extLst>
        </c:ser>
        <c:ser>
          <c:idx val="2"/>
          <c:order val="3"/>
          <c:tx>
            <c:v>Depletion Request</c:v>
          </c:tx>
          <c:spPr>
            <a:ln w="50800" cap="rnd">
              <a:solidFill>
                <a:srgbClr val="00B050"/>
              </a:solidFill>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AnnualResultsViewer!$D$10:$D$102</c:f>
              <c:numCache>
                <c:formatCode>#,##0</c:formatCode>
                <c:ptCount val="93"/>
                <c:pt idx="1">
                  <c:v>205044.84905760194</c:v>
                </c:pt>
                <c:pt idx="2">
                  <c:v>226106.50738278934</c:v>
                </c:pt>
                <c:pt idx="3">
                  <c:v>224787.66544559129</c:v>
                </c:pt>
                <c:pt idx="4">
                  <c:v>215807.01159262436</c:v>
                </c:pt>
                <c:pt idx="5">
                  <c:v>213180.75602320075</c:v>
                </c:pt>
                <c:pt idx="6">
                  <c:v>207161.11302479496</c:v>
                </c:pt>
                <c:pt idx="7">
                  <c:v>202017.19700861812</c:v>
                </c:pt>
                <c:pt idx="8">
                  <c:v>248806.2631299436</c:v>
                </c:pt>
                <c:pt idx="9">
                  <c:v>225338.30025350093</c:v>
                </c:pt>
                <c:pt idx="10">
                  <c:v>244095.14721147413</c:v>
                </c:pt>
                <c:pt idx="11">
                  <c:v>273067.38219530316</c:v>
                </c:pt>
                <c:pt idx="12">
                  <c:v>233372.03917338364</c:v>
                </c:pt>
                <c:pt idx="13">
                  <c:v>184306.25866179835</c:v>
                </c:pt>
                <c:pt idx="14">
                  <c:v>258037.79611683503</c:v>
                </c:pt>
                <c:pt idx="15">
                  <c:v>246028.2384158654</c:v>
                </c:pt>
                <c:pt idx="16">
                  <c:v>244837.83796508223</c:v>
                </c:pt>
                <c:pt idx="17">
                  <c:v>260899.60133969504</c:v>
                </c:pt>
                <c:pt idx="18">
                  <c:v>267751.56844986009</c:v>
                </c:pt>
                <c:pt idx="19">
                  <c:v>252476.13757501432</c:v>
                </c:pt>
                <c:pt idx="20">
                  <c:v>248967.12679676482</c:v>
                </c:pt>
                <c:pt idx="21">
                  <c:v>235306.14819402719</c:v>
                </c:pt>
                <c:pt idx="22">
                  <c:v>273450.65045200702</c:v>
                </c:pt>
                <c:pt idx="23">
                  <c:v>269159.31204441667</c:v>
                </c:pt>
                <c:pt idx="24">
                  <c:v>262477.80519662995</c:v>
                </c:pt>
                <c:pt idx="25">
                  <c:v>269660.17644281004</c:v>
                </c:pt>
                <c:pt idx="26">
                  <c:v>250257.68997276097</c:v>
                </c:pt>
                <c:pt idx="27">
                  <c:v>243869.93860232364</c:v>
                </c:pt>
                <c:pt idx="28">
                  <c:v>273559.107146575</c:v>
                </c:pt>
                <c:pt idx="29">
                  <c:v>223367.66655389874</c:v>
                </c:pt>
                <c:pt idx="30">
                  <c:v>272238.82437448908</c:v>
                </c:pt>
                <c:pt idx="31">
                  <c:v>254552.60419826664</c:v>
                </c:pt>
                <c:pt idx="32">
                  <c:v>280105.72664918215</c:v>
                </c:pt>
                <c:pt idx="33">
                  <c:v>226878.24566833526</c:v>
                </c:pt>
                <c:pt idx="34">
                  <c:v>272342.61520390079</c:v>
                </c:pt>
                <c:pt idx="35">
                  <c:v>269895.08471710177</c:v>
                </c:pt>
                <c:pt idx="36">
                  <c:v>245560.76154134652</c:v>
                </c:pt>
                <c:pt idx="37">
                  <c:v>193671.50351790618</c:v>
                </c:pt>
                <c:pt idx="38">
                  <c:v>272933.12286697497</c:v>
                </c:pt>
                <c:pt idx="39">
                  <c:v>245755.76899619837</c:v>
                </c:pt>
                <c:pt idx="40">
                  <c:v>240542.49027684936</c:v>
                </c:pt>
                <c:pt idx="41">
                  <c:v>236862.36943159031</c:v>
                </c:pt>
                <c:pt idx="42">
                  <c:v>243152.71456010779</c:v>
                </c:pt>
                <c:pt idx="43">
                  <c:v>251950.43743319449</c:v>
                </c:pt>
                <c:pt idx="44">
                  <c:v>270124.56335813185</c:v>
                </c:pt>
                <c:pt idx="45">
                  <c:v>233345.63642122349</c:v>
                </c:pt>
                <c:pt idx="46">
                  <c:v>274373.59248602425</c:v>
                </c:pt>
                <c:pt idx="47">
                  <c:v>237918.98024197394</c:v>
                </c:pt>
                <c:pt idx="48">
                  <c:v>248527.6841249415</c:v>
                </c:pt>
                <c:pt idx="49">
                  <c:v>269188.8569872044</c:v>
                </c:pt>
                <c:pt idx="50">
                  <c:v>261356.73428463849</c:v>
                </c:pt>
                <c:pt idx="51">
                  <c:v>250262.96118933489</c:v>
                </c:pt>
                <c:pt idx="52">
                  <c:v>260914.80817889789</c:v>
                </c:pt>
                <c:pt idx="53">
                  <c:v>251435.42933175038</c:v>
                </c:pt>
                <c:pt idx="54">
                  <c:v>217663.57837595366</c:v>
                </c:pt>
                <c:pt idx="55">
                  <c:v>241668.02715715033</c:v>
                </c:pt>
                <c:pt idx="56">
                  <c:v>218474.14087278556</c:v>
                </c:pt>
                <c:pt idx="57">
                  <c:v>249695.28810707264</c:v>
                </c:pt>
                <c:pt idx="58">
                  <c:v>207797.03008561779</c:v>
                </c:pt>
                <c:pt idx="59">
                  <c:v>254390.78611477971</c:v>
                </c:pt>
                <c:pt idx="60">
                  <c:v>246916.31337557448</c:v>
                </c:pt>
                <c:pt idx="61">
                  <c:v>279541.313396201</c:v>
                </c:pt>
                <c:pt idx="62">
                  <c:v>260388.81842197009</c:v>
                </c:pt>
                <c:pt idx="63">
                  <c:v>256603.3557338242</c:v>
                </c:pt>
                <c:pt idx="64">
                  <c:v>241446.04199848979</c:v>
                </c:pt>
                <c:pt idx="65">
                  <c:v>252616.31411771968</c:v>
                </c:pt>
                <c:pt idx="66">
                  <c:v>288433.5806983721</c:v>
                </c:pt>
                <c:pt idx="67">
                  <c:v>246566.47143508683</c:v>
                </c:pt>
                <c:pt idx="68">
                  <c:v>271002.65592718206</c:v>
                </c:pt>
                <c:pt idx="69">
                  <c:v>227653.14554067893</c:v>
                </c:pt>
                <c:pt idx="70">
                  <c:v>258778.16284057341</c:v>
                </c:pt>
                <c:pt idx="71">
                  <c:v>206996.03654918703</c:v>
                </c:pt>
                <c:pt idx="72">
                  <c:v>289778.66461234522</c:v>
                </c:pt>
                <c:pt idx="73">
                  <c:v>271594.97844870068</c:v>
                </c:pt>
                <c:pt idx="74">
                  <c:v>250684.80985579669</c:v>
                </c:pt>
                <c:pt idx="75">
                  <c:v>290172.06466946361</c:v>
                </c:pt>
                <c:pt idx="76">
                  <c:v>268047.8686433718</c:v>
                </c:pt>
                <c:pt idx="77">
                  <c:v>273206.44201006158</c:v>
                </c:pt>
                <c:pt idx="78">
                  <c:v>260282.23893224815</c:v>
                </c:pt>
                <c:pt idx="79">
                  <c:v>265220.16767019412</c:v>
                </c:pt>
                <c:pt idx="80">
                  <c:v>236758.73859864601</c:v>
                </c:pt>
                <c:pt idx="81">
                  <c:v>260971.88082980562</c:v>
                </c:pt>
                <c:pt idx="82">
                  <c:v>247138.78918714239</c:v>
                </c:pt>
                <c:pt idx="83">
                  <c:v>260553.33040099189</c:v>
                </c:pt>
                <c:pt idx="84">
                  <c:v>277923.17316383781</c:v>
                </c:pt>
                <c:pt idx="85">
                  <c:v>#N/A</c:v>
                </c:pt>
                <c:pt idx="86">
                  <c:v>#N/A</c:v>
                </c:pt>
                <c:pt idx="87">
                  <c:v>#N/A</c:v>
                </c:pt>
                <c:pt idx="88">
                  <c:v>#N/A</c:v>
                </c:pt>
                <c:pt idx="89">
                  <c:v>#N/A</c:v>
                </c:pt>
                <c:pt idx="90">
                  <c:v>#N/A</c:v>
                </c:pt>
                <c:pt idx="91">
                  <c:v>#N/A</c:v>
                </c:pt>
              </c:numCache>
            </c:numRef>
          </c:val>
          <c:smooth val="0"/>
          <c:extLst>
            <c:ext xmlns:c16="http://schemas.microsoft.com/office/drawing/2014/chart" uri="{C3380CC4-5D6E-409C-BE32-E72D297353CC}">
              <c16:uniqueId val="{00000003-FA2E-4CA3-A6AB-D691F9353C14}"/>
            </c:ext>
          </c:extLst>
        </c:ser>
        <c:ser>
          <c:idx val="4"/>
          <c:order val="4"/>
          <c:tx>
            <c:v>Depletion</c:v>
          </c:tx>
          <c:spPr>
            <a:ln w="50800" cap="rnd">
              <a:solidFill>
                <a:srgbClr val="FF0000"/>
              </a:solidFill>
              <a:prstDash val="sysDot"/>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AnnualResultsViewer!$F$10:$F$102</c:f>
              <c:numCache>
                <c:formatCode>#,##0</c:formatCode>
                <c:ptCount val="93"/>
                <c:pt idx="1">
                  <c:v>205044.84905760194</c:v>
                </c:pt>
                <c:pt idx="2">
                  <c:v>226106.50738278934</c:v>
                </c:pt>
                <c:pt idx="3">
                  <c:v>224787.66544559129</c:v>
                </c:pt>
                <c:pt idx="4">
                  <c:v>215807.01159262436</c:v>
                </c:pt>
                <c:pt idx="5">
                  <c:v>213180.75602320075</c:v>
                </c:pt>
                <c:pt idx="6">
                  <c:v>207161.11302479496</c:v>
                </c:pt>
                <c:pt idx="7">
                  <c:v>202017.19700861812</c:v>
                </c:pt>
                <c:pt idx="8">
                  <c:v>248806.2631299436</c:v>
                </c:pt>
                <c:pt idx="9">
                  <c:v>225338.30025350093</c:v>
                </c:pt>
                <c:pt idx="10">
                  <c:v>244095.14721147413</c:v>
                </c:pt>
                <c:pt idx="11">
                  <c:v>273067.38219530316</c:v>
                </c:pt>
                <c:pt idx="12">
                  <c:v>233372.03917338364</c:v>
                </c:pt>
                <c:pt idx="13">
                  <c:v>184306.25866179835</c:v>
                </c:pt>
                <c:pt idx="14">
                  <c:v>258037.79611683503</c:v>
                </c:pt>
                <c:pt idx="15">
                  <c:v>246028.2384158654</c:v>
                </c:pt>
                <c:pt idx="16">
                  <c:v>244837.83796508223</c:v>
                </c:pt>
                <c:pt idx="17">
                  <c:v>260899.60133969504</c:v>
                </c:pt>
                <c:pt idx="18">
                  <c:v>267751.56844986009</c:v>
                </c:pt>
                <c:pt idx="19">
                  <c:v>252476.13757501432</c:v>
                </c:pt>
                <c:pt idx="20">
                  <c:v>248967.12679676482</c:v>
                </c:pt>
                <c:pt idx="21">
                  <c:v>235306.14819402719</c:v>
                </c:pt>
                <c:pt idx="22">
                  <c:v>273450.65045200702</c:v>
                </c:pt>
                <c:pt idx="23">
                  <c:v>269159.31204441667</c:v>
                </c:pt>
                <c:pt idx="24">
                  <c:v>262477.80519662995</c:v>
                </c:pt>
                <c:pt idx="25">
                  <c:v>269660.17644281004</c:v>
                </c:pt>
                <c:pt idx="26">
                  <c:v>250257.68997276097</c:v>
                </c:pt>
                <c:pt idx="27">
                  <c:v>243869.93860232364</c:v>
                </c:pt>
                <c:pt idx="28">
                  <c:v>273559.107146575</c:v>
                </c:pt>
                <c:pt idx="29">
                  <c:v>223367.66655389874</c:v>
                </c:pt>
                <c:pt idx="30">
                  <c:v>272238.82437448908</c:v>
                </c:pt>
                <c:pt idx="31">
                  <c:v>254552.60419826664</c:v>
                </c:pt>
                <c:pt idx="32">
                  <c:v>280105.72664918215</c:v>
                </c:pt>
                <c:pt idx="33">
                  <c:v>226878.24566833526</c:v>
                </c:pt>
                <c:pt idx="34">
                  <c:v>272342.61520390079</c:v>
                </c:pt>
                <c:pt idx="35">
                  <c:v>269895.08471710177</c:v>
                </c:pt>
                <c:pt idx="36">
                  <c:v>245560.76154134652</c:v>
                </c:pt>
                <c:pt idx="37">
                  <c:v>193671.50351790618</c:v>
                </c:pt>
                <c:pt idx="38">
                  <c:v>272933.12286697497</c:v>
                </c:pt>
                <c:pt idx="39">
                  <c:v>245755.76899619837</c:v>
                </c:pt>
                <c:pt idx="40">
                  <c:v>240542.49027684936</c:v>
                </c:pt>
                <c:pt idx="41">
                  <c:v>236862.36943159031</c:v>
                </c:pt>
                <c:pt idx="42">
                  <c:v>243152.71456010779</c:v>
                </c:pt>
                <c:pt idx="43">
                  <c:v>251950.43743319449</c:v>
                </c:pt>
                <c:pt idx="44">
                  <c:v>270124.56335813185</c:v>
                </c:pt>
                <c:pt idx="45">
                  <c:v>233345.63642122349</c:v>
                </c:pt>
                <c:pt idx="46">
                  <c:v>274373.59248602425</c:v>
                </c:pt>
                <c:pt idx="47">
                  <c:v>237918.98024197394</c:v>
                </c:pt>
                <c:pt idx="48">
                  <c:v>248527.6841249415</c:v>
                </c:pt>
                <c:pt idx="49">
                  <c:v>269188.8569872044</c:v>
                </c:pt>
                <c:pt idx="50">
                  <c:v>261356.73428463849</c:v>
                </c:pt>
                <c:pt idx="51">
                  <c:v>250262.96118933489</c:v>
                </c:pt>
                <c:pt idx="52">
                  <c:v>260914.80817889789</c:v>
                </c:pt>
                <c:pt idx="53">
                  <c:v>251435.42933175038</c:v>
                </c:pt>
                <c:pt idx="54">
                  <c:v>217663.57837595366</c:v>
                </c:pt>
                <c:pt idx="55">
                  <c:v>241668.02715715033</c:v>
                </c:pt>
                <c:pt idx="56">
                  <c:v>218474.14087278556</c:v>
                </c:pt>
                <c:pt idx="57">
                  <c:v>249695.28810707264</c:v>
                </c:pt>
                <c:pt idx="58">
                  <c:v>207797.03008561779</c:v>
                </c:pt>
                <c:pt idx="59">
                  <c:v>254390.78611477971</c:v>
                </c:pt>
                <c:pt idx="60">
                  <c:v>246916.31337557448</c:v>
                </c:pt>
                <c:pt idx="61">
                  <c:v>279541.313396201</c:v>
                </c:pt>
                <c:pt idx="62">
                  <c:v>260388.81842197009</c:v>
                </c:pt>
                <c:pt idx="63">
                  <c:v>256603.3557338242</c:v>
                </c:pt>
                <c:pt idx="64">
                  <c:v>241446.04199848979</c:v>
                </c:pt>
                <c:pt idx="65">
                  <c:v>252616.31411771968</c:v>
                </c:pt>
                <c:pt idx="66">
                  <c:v>288433.5806983721</c:v>
                </c:pt>
                <c:pt idx="67">
                  <c:v>246566.47143508683</c:v>
                </c:pt>
                <c:pt idx="68">
                  <c:v>271002.65592718206</c:v>
                </c:pt>
                <c:pt idx="69">
                  <c:v>227653.14554067893</c:v>
                </c:pt>
                <c:pt idx="70">
                  <c:v>258778.16284057341</c:v>
                </c:pt>
                <c:pt idx="71">
                  <c:v>206996.03654918703</c:v>
                </c:pt>
                <c:pt idx="72">
                  <c:v>289778.66461234522</c:v>
                </c:pt>
                <c:pt idx="73">
                  <c:v>271594.97844870068</c:v>
                </c:pt>
                <c:pt idx="74">
                  <c:v>250684.80985579669</c:v>
                </c:pt>
                <c:pt idx="75">
                  <c:v>173409.68026580906</c:v>
                </c:pt>
                <c:pt idx="76">
                  <c:v>268047.8686433718</c:v>
                </c:pt>
                <c:pt idx="77">
                  <c:v>273206.44201006158</c:v>
                </c:pt>
                <c:pt idx="78">
                  <c:v>260282.23893224815</c:v>
                </c:pt>
                <c:pt idx="79">
                  <c:v>265220.16767019412</c:v>
                </c:pt>
                <c:pt idx="80">
                  <c:v>236758.73859864601</c:v>
                </c:pt>
                <c:pt idx="81">
                  <c:v>260971.88082980562</c:v>
                </c:pt>
                <c:pt idx="82">
                  <c:v>247138.78918714239</c:v>
                </c:pt>
                <c:pt idx="83">
                  <c:v>260553.33040099189</c:v>
                </c:pt>
                <c:pt idx="84">
                  <c:v>277923.17316383781</c:v>
                </c:pt>
                <c:pt idx="85">
                  <c:v>#N/A</c:v>
                </c:pt>
                <c:pt idx="86">
                  <c:v>#N/A</c:v>
                </c:pt>
                <c:pt idx="87">
                  <c:v>#N/A</c:v>
                </c:pt>
                <c:pt idx="88">
                  <c:v>#N/A</c:v>
                </c:pt>
                <c:pt idx="89">
                  <c:v>#N/A</c:v>
                </c:pt>
                <c:pt idx="90">
                  <c:v>#N/A</c:v>
                </c:pt>
                <c:pt idx="91">
                  <c:v>#N/A</c:v>
                </c:pt>
              </c:numCache>
            </c:numRef>
          </c:val>
          <c:smooth val="0"/>
          <c:extLst>
            <c:ext xmlns:c16="http://schemas.microsoft.com/office/drawing/2014/chart" uri="{C3380CC4-5D6E-409C-BE32-E72D297353CC}">
              <c16:uniqueId val="{00000004-FA2E-4CA3-A6AB-D691F9353C14}"/>
            </c:ext>
          </c:extLst>
        </c:ser>
        <c:ser>
          <c:idx val="6"/>
          <c:order val="5"/>
          <c:tx>
            <c:v>Depletion Shortage</c:v>
          </c:tx>
          <c:spPr>
            <a:ln w="50800" cap="rnd">
              <a:solidFill>
                <a:srgbClr val="FF0000"/>
              </a:solidFill>
              <a:round/>
            </a:ln>
            <a:effectLst/>
          </c:spPr>
          <c:marker>
            <c:symbol val="none"/>
          </c:marker>
          <c:cat>
            <c:numRef>
              <c:f>AnnualResultsViewer!$B$10:$B$102</c:f>
              <c:numCache>
                <c:formatCode>General</c:formatCode>
                <c:ptCount val="93"/>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#N/A</c:v>
                </c:pt>
                <c:pt idx="86">
                  <c:v>#N/A</c:v>
                </c:pt>
                <c:pt idx="87">
                  <c:v>#N/A</c:v>
                </c:pt>
                <c:pt idx="88">
                  <c:v>#N/A</c:v>
                </c:pt>
                <c:pt idx="89">
                  <c:v>#N/A</c:v>
                </c:pt>
                <c:pt idx="90">
                  <c:v>#N/A</c:v>
                </c:pt>
                <c:pt idx="91">
                  <c:v>#N/A</c:v>
                </c:pt>
                <c:pt idx="92">
                  <c:v>#N/A</c:v>
                </c:pt>
              </c:numCache>
            </c:numRef>
          </c:cat>
          <c:val>
            <c:numRef>
              <c:f>AnnualResultsViewer!$H$10:$H$102</c:f>
              <c:numCache>
                <c:formatCode>#,##0</c:formatCode>
                <c:ptCount val="9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116762.38440365455</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5-FA2E-4CA3-A6AB-D691F9353C14}"/>
            </c:ext>
          </c:extLst>
        </c:ser>
        <c:dLbls>
          <c:showLegendKey val="0"/>
          <c:showVal val="0"/>
          <c:showCatName val="0"/>
          <c:showSerName val="0"/>
          <c:showPercent val="0"/>
          <c:showBubbleSize val="0"/>
        </c:dLbls>
        <c:smooth val="0"/>
        <c:axId val="558079712"/>
        <c:axId val="558080040"/>
      </c:lineChart>
      <c:catAx>
        <c:axId val="55807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080040"/>
        <c:crosses val="autoZero"/>
        <c:auto val="1"/>
        <c:lblAlgn val="ctr"/>
        <c:lblOffset val="100"/>
        <c:noMultiLvlLbl val="0"/>
      </c:catAx>
      <c:valAx>
        <c:axId val="558080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Volume, af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07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xdr:col>
      <xdr:colOff>0</xdr:colOff>
      <xdr:row>8</xdr:row>
      <xdr:rowOff>0</xdr:rowOff>
    </xdr:from>
    <xdr:to>
      <xdr:col>23</xdr:col>
      <xdr:colOff>543486</xdr:colOff>
      <xdr:row>28</xdr:row>
      <xdr:rowOff>91889</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25630</xdr:colOff>
      <xdr:row>59</xdr:row>
      <xdr:rowOff>69272</xdr:rowOff>
    </xdr:from>
    <xdr:to>
      <xdr:col>1</xdr:col>
      <xdr:colOff>2034539</xdr:colOff>
      <xdr:row>66</xdr:row>
      <xdr:rowOff>129941</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5740" t="69339" r="13420"/>
        <a:stretch/>
      </xdr:blipFill>
      <xdr:spPr bwMode="auto">
        <a:xfrm>
          <a:off x="520930" y="14394872"/>
          <a:ext cx="2008909" cy="1194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1057275</xdr:colOff>
          <xdr:row>13</xdr:row>
          <xdr:rowOff>161925</xdr:rowOff>
        </xdr:from>
        <xdr:to>
          <xdr:col>13</xdr:col>
          <xdr:colOff>3486150</xdr:colOff>
          <xdr:row>17</xdr:row>
          <xdr:rowOff>133350</xdr:rowOff>
        </xdr:to>
        <xdr:sp macro="" textlink="">
          <xdr:nvSpPr>
            <xdr:cNvPr id="100355" name="Button 3" hidden="1">
              <a:extLst>
                <a:ext uri="{63B3BB69-23CF-44E3-9099-C40C66FF867C}">
                  <a14:compatExt spid="_x0000_s100355"/>
                </a:ext>
                <a:ext uri="{FF2B5EF4-FFF2-40B4-BE49-F238E27FC236}">
                  <a16:creationId xmlns:a16="http://schemas.microsoft.com/office/drawing/2014/main" id="{00000000-0008-0000-0400-0000038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Run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JRIPFlowRecReport_FullNIIP+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Output"/>
      <sheetName val="SJRIPFlowRecSummary"/>
      <sheetName val="RunScenarioInfo_prev"/>
      <sheetName val="RWOutput_Daily"/>
      <sheetName val="RWOutput_Annual"/>
      <sheetName val="RunScenarioInfo"/>
    </sheetNames>
    <sheetDataSet>
      <sheetData sheetId="0">
        <row r="3">
          <cell r="B3">
            <v>85</v>
          </cell>
        </row>
      </sheetData>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5.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fitToPage="1"/>
  </sheetPr>
  <dimension ref="A1:W113"/>
  <sheetViews>
    <sheetView tabSelected="1" zoomScale="70" zoomScaleNormal="70" workbookViewId="0">
      <selection activeCell="O9" sqref="O9"/>
    </sheetView>
  </sheetViews>
  <sheetFormatPr defaultColWidth="9.140625" defaultRowHeight="15" x14ac:dyDescent="0.25"/>
  <cols>
    <col min="1" max="1" width="0.85546875" customWidth="1"/>
    <col min="2" max="2" width="10.42578125" customWidth="1"/>
    <col min="3" max="3" width="10" customWidth="1"/>
    <col min="5" max="5" width="46" customWidth="1"/>
    <col min="6" max="6" width="12.42578125" customWidth="1"/>
    <col min="7" max="7" width="0.85546875" customWidth="1"/>
    <col min="8" max="8" width="11.42578125" customWidth="1"/>
    <col min="9" max="9" width="10.42578125" customWidth="1"/>
    <col min="10" max="10" width="0.85546875" customWidth="1"/>
    <col min="11" max="11" width="15.28515625" customWidth="1"/>
    <col min="12" max="12" width="0.85546875" customWidth="1"/>
    <col min="13" max="13" width="1.85546875" customWidth="1"/>
    <col min="14" max="14" width="19.7109375" style="10" customWidth="1"/>
    <col min="15" max="15" width="34.28515625" style="10" bestFit="1" customWidth="1"/>
    <col min="16" max="16" width="11.85546875" style="10" customWidth="1"/>
    <col min="17" max="17" width="12.85546875" style="10" customWidth="1"/>
    <col min="18" max="18" width="67.85546875" style="9" customWidth="1"/>
    <col min="19" max="16384" width="9.140625" style="10"/>
  </cols>
  <sheetData>
    <row r="1" spans="1:19" ht="13.5" thickBot="1" x14ac:dyDescent="0.25">
      <c r="A1" s="5"/>
      <c r="B1" s="6"/>
      <c r="C1" s="7"/>
      <c r="D1" s="7"/>
      <c r="E1" s="7"/>
      <c r="F1" s="8"/>
      <c r="G1" s="8"/>
      <c r="H1" s="8"/>
      <c r="I1" s="8"/>
      <c r="J1" s="8"/>
      <c r="K1" s="359"/>
      <c r="L1" s="5"/>
      <c r="M1" s="9"/>
      <c r="O1" s="11"/>
      <c r="P1" s="11"/>
      <c r="Q1" s="11"/>
      <c r="R1" s="12"/>
    </row>
    <row r="2" spans="1:19" ht="15.75" thickBot="1" x14ac:dyDescent="0.3">
      <c r="A2" s="13"/>
      <c r="B2" s="594" t="s">
        <v>563</v>
      </c>
      <c r="C2" s="595"/>
      <c r="D2" s="595"/>
      <c r="E2" s="595"/>
      <c r="F2" s="595"/>
      <c r="G2" s="595"/>
      <c r="H2" s="595"/>
      <c r="I2" s="595"/>
      <c r="J2" s="595"/>
      <c r="K2" s="596"/>
      <c r="L2" s="357"/>
      <c r="M2" s="9"/>
      <c r="N2" s="553" t="s">
        <v>631</v>
      </c>
      <c r="R2" s="12"/>
    </row>
    <row r="3" spans="1:19" ht="15.75" thickBot="1" x14ac:dyDescent="0.3">
      <c r="A3" s="14"/>
      <c r="B3" s="588" t="s">
        <v>564</v>
      </c>
      <c r="C3" s="589"/>
      <c r="D3" s="590"/>
      <c r="E3" s="591" t="str">
        <f>RunScenName</f>
        <v>Run C SJRIP Releases - SJBHM Baseline Demands - NIIP w/ DG &amp; NGWSP</v>
      </c>
      <c r="F3" s="592"/>
      <c r="G3" s="592"/>
      <c r="H3" s="592"/>
      <c r="I3" s="592"/>
      <c r="J3" s="592"/>
      <c r="K3" s="593"/>
      <c r="L3" s="358"/>
      <c r="M3" s="9"/>
      <c r="N3" s="553"/>
      <c r="P3" s="10" t="s">
        <v>676</v>
      </c>
      <c r="R3" s="12"/>
    </row>
    <row r="4" spans="1:19" ht="15.75" thickBot="1" x14ac:dyDescent="0.3">
      <c r="A4" s="14"/>
      <c r="B4" s="597"/>
      <c r="C4" s="598"/>
      <c r="D4" s="598"/>
      <c r="E4" s="598"/>
      <c r="F4" s="598"/>
      <c r="G4" s="598"/>
      <c r="H4" s="598"/>
      <c r="I4" s="598"/>
      <c r="J4" s="598"/>
      <c r="K4" s="599"/>
      <c r="L4" s="358"/>
      <c r="M4" s="9"/>
      <c r="N4" s="553"/>
      <c r="O4" s="11"/>
      <c r="P4" s="551" t="s">
        <v>677</v>
      </c>
      <c r="Q4" s="551">
        <v>20782</v>
      </c>
      <c r="R4" s="12"/>
    </row>
    <row r="5" spans="1:19" ht="15" customHeight="1" x14ac:dyDescent="0.2">
      <c r="A5" s="15"/>
      <c r="B5" s="576" t="s">
        <v>64</v>
      </c>
      <c r="C5" s="577"/>
      <c r="D5" s="577"/>
      <c r="E5" s="578"/>
      <c r="F5" s="582" t="s">
        <v>65</v>
      </c>
      <c r="G5" s="155"/>
      <c r="H5" s="584" t="s">
        <v>66</v>
      </c>
      <c r="I5" s="585"/>
      <c r="J5" s="241"/>
      <c r="K5" s="600" t="s">
        <v>635</v>
      </c>
      <c r="L5" s="15"/>
      <c r="M5" s="9"/>
      <c r="P5" s="11"/>
      <c r="Q5" s="11"/>
      <c r="R5" s="12"/>
    </row>
    <row r="6" spans="1:19" ht="15.75" thickBot="1" x14ac:dyDescent="0.25">
      <c r="A6" s="16"/>
      <c r="B6" s="579"/>
      <c r="C6" s="580"/>
      <c r="D6" s="580"/>
      <c r="E6" s="581"/>
      <c r="F6" s="583"/>
      <c r="G6" s="156"/>
      <c r="H6" s="586"/>
      <c r="I6" s="587"/>
      <c r="J6" s="242"/>
      <c r="K6" s="601"/>
      <c r="L6" s="16"/>
      <c r="M6" s="9"/>
      <c r="O6" s="11"/>
      <c r="P6" s="11"/>
      <c r="Q6" s="11"/>
      <c r="R6" s="12"/>
    </row>
    <row r="7" spans="1:19" s="19" customFormat="1" ht="15.75" thickBot="1" x14ac:dyDescent="0.3">
      <c r="A7" s="17"/>
      <c r="B7" s="157"/>
      <c r="C7" s="158"/>
      <c r="D7" s="159"/>
      <c r="E7" s="160"/>
      <c r="F7" s="161" t="s">
        <v>67</v>
      </c>
      <c r="G7" s="162"/>
      <c r="H7" s="233" t="s">
        <v>68</v>
      </c>
      <c r="I7" s="234" t="s">
        <v>69</v>
      </c>
      <c r="J7" s="243"/>
      <c r="K7" s="267" t="s">
        <v>67</v>
      </c>
      <c r="L7" s="17"/>
      <c r="M7" s="18"/>
      <c r="R7" s="9"/>
      <c r="S7" s="10"/>
    </row>
    <row r="8" spans="1:19" x14ac:dyDescent="0.25">
      <c r="A8" s="20"/>
      <c r="B8" s="602" t="s">
        <v>70</v>
      </c>
      <c r="C8" s="604" t="s">
        <v>71</v>
      </c>
      <c r="D8" s="606" t="s">
        <v>72</v>
      </c>
      <c r="E8" s="163" t="s">
        <v>73</v>
      </c>
      <c r="F8" s="164">
        <f ca="1">ROUND(SJRIPSummaryRAW!B9,-2)</f>
        <v>247700</v>
      </c>
      <c r="G8" s="148"/>
      <c r="H8" s="231">
        <f ca="1">ROUND(SJRIPSummaryRAW!D9,-2)</f>
        <v>289800</v>
      </c>
      <c r="I8" s="232">
        <f ca="1">ROUND(SJRIPSummaryRAW!E9,-2)</f>
        <v>173400</v>
      </c>
      <c r="J8" s="244"/>
      <c r="K8" s="268">
        <f>ROUND(SJRIPSummaryRAW!G9,-2)</f>
        <v>270000</v>
      </c>
      <c r="L8" s="20"/>
      <c r="M8" s="21"/>
      <c r="N8" s="477" t="s">
        <v>630</v>
      </c>
    </row>
    <row r="9" spans="1:19" x14ac:dyDescent="0.25">
      <c r="A9" s="22"/>
      <c r="B9" s="602"/>
      <c r="C9" s="604"/>
      <c r="D9" s="607"/>
      <c r="E9" s="163" t="s">
        <v>74</v>
      </c>
      <c r="F9" s="164">
        <f ca="1">ROUND(SJRIPSummaryRAW!B10,-2)</f>
        <v>0</v>
      </c>
      <c r="G9" s="148"/>
      <c r="H9" s="227">
        <f ca="1">ROUND(SJRIPSummaryRAW!D10,-2)</f>
        <v>8300</v>
      </c>
      <c r="I9" s="228">
        <f ca="1">ROUND(SJRIPSummaryRAW!E10,-2)</f>
        <v>-14800</v>
      </c>
      <c r="J9" s="245"/>
      <c r="K9" s="269">
        <f>ROUND(SJRIPSummaryRAW!G10,-2)</f>
        <v>10600</v>
      </c>
      <c r="L9" s="22"/>
      <c r="M9" s="21"/>
      <c r="N9" s="477" t="s">
        <v>630</v>
      </c>
    </row>
    <row r="10" spans="1:19" x14ac:dyDescent="0.25">
      <c r="A10" s="22"/>
      <c r="B10" s="602"/>
      <c r="C10" s="604"/>
      <c r="D10" s="607"/>
      <c r="E10" s="163" t="s">
        <v>75</v>
      </c>
      <c r="F10" s="164">
        <f ca="1">ROUND(SJRIPSummaryRAW!B11,-2)</f>
        <v>12100</v>
      </c>
      <c r="G10" s="148"/>
      <c r="H10" s="227">
        <f ca="1">ROUND(SJRIPSummaryRAW!D11,-2)</f>
        <v>12100</v>
      </c>
      <c r="I10" s="228">
        <f ca="1">ROUND(SJRIPSummaryRAW!E11,-2)</f>
        <v>8800</v>
      </c>
      <c r="J10" s="245"/>
      <c r="K10" s="269">
        <f>ROUND(SJRIPSummaryRAW!G11,-2)</f>
        <v>12100</v>
      </c>
      <c r="L10" s="22"/>
      <c r="M10" s="21"/>
      <c r="N10" s="477" t="s">
        <v>630</v>
      </c>
    </row>
    <row r="11" spans="1:19" x14ac:dyDescent="0.25">
      <c r="A11" s="22"/>
      <c r="B11" s="602"/>
      <c r="C11" s="604"/>
      <c r="D11" s="607"/>
      <c r="E11" s="163" t="s">
        <v>76</v>
      </c>
      <c r="F11" s="164">
        <f ca="1">ROUND(SJRIPSummaryRAW!B12,-2)</f>
        <v>7900</v>
      </c>
      <c r="G11" s="148"/>
      <c r="H11" s="227">
        <f ca="1">ROUND(SJRIPSummaryRAW!D12,-2)</f>
        <v>8000</v>
      </c>
      <c r="I11" s="228">
        <f ca="1">ROUND(SJRIPSummaryRAW!E12,-2)</f>
        <v>5800</v>
      </c>
      <c r="J11" s="245"/>
      <c r="K11" s="269">
        <f>ROUND(SJRIPSummaryRAW!G12,-2)</f>
        <v>7900</v>
      </c>
      <c r="L11" s="22"/>
      <c r="M11" s="21"/>
      <c r="N11" s="477" t="s">
        <v>630</v>
      </c>
    </row>
    <row r="12" spans="1:19" ht="15.75" thickBot="1" x14ac:dyDescent="0.3">
      <c r="A12" s="23"/>
      <c r="B12" s="602"/>
      <c r="C12" s="604"/>
      <c r="D12" s="607"/>
      <c r="E12" s="163" t="s">
        <v>77</v>
      </c>
      <c r="F12" s="164">
        <f ca="1">ROUND(SJRIPSummaryRAW!B13,-2)</f>
        <v>900</v>
      </c>
      <c r="G12" s="148"/>
      <c r="H12" s="229">
        <f ca="1">ROUND(SJRIPSummaryRAW!D13,-2)</f>
        <v>900</v>
      </c>
      <c r="I12" s="230">
        <f ca="1">ROUND(SJRIPSummaryRAW!E13,-2)</f>
        <v>700</v>
      </c>
      <c r="J12" s="246"/>
      <c r="K12" s="270">
        <f>ROUND(SJRIPSummaryRAW!G13,-2)</f>
        <v>900</v>
      </c>
      <c r="L12" s="23"/>
      <c r="M12" s="21"/>
      <c r="N12" s="477" t="s">
        <v>630</v>
      </c>
    </row>
    <row r="13" spans="1:19" ht="15.75" thickBot="1" x14ac:dyDescent="0.3">
      <c r="A13" s="24"/>
      <c r="B13" s="602"/>
      <c r="C13" s="604"/>
      <c r="D13" s="608"/>
      <c r="E13" s="165" t="s">
        <v>78</v>
      </c>
      <c r="F13" s="166">
        <f ca="1">SUM(F8:F12)</f>
        <v>268600</v>
      </c>
      <c r="G13" s="167"/>
      <c r="H13" s="179"/>
      <c r="I13" s="180"/>
      <c r="J13" s="203"/>
      <c r="K13" s="271">
        <f>ROUND(SJRIPSummaryRAW!G14,-2)</f>
        <v>301500</v>
      </c>
      <c r="L13" s="24"/>
      <c r="M13" s="21"/>
      <c r="N13" s="477" t="s">
        <v>630</v>
      </c>
    </row>
    <row r="14" spans="1:19" ht="15.75" thickBot="1" x14ac:dyDescent="0.3">
      <c r="A14" s="24"/>
      <c r="B14" s="602"/>
      <c r="C14" s="604"/>
      <c r="D14" s="170"/>
      <c r="E14" s="171" t="s">
        <v>79</v>
      </c>
      <c r="F14" s="172">
        <f ca="1">ROUND(SJRIPSummaryRAW!B17,-2)</f>
        <v>1100</v>
      </c>
      <c r="G14" s="167"/>
      <c r="H14" s="235">
        <f ca="1">ROUND(SJRIPSummaryRAW!D17,-2)</f>
        <v>1600</v>
      </c>
      <c r="I14" s="236">
        <f ca="1">ROUND(SJRIPSummaryRAW!E17,-2)</f>
        <v>700</v>
      </c>
      <c r="J14" s="203"/>
      <c r="K14" s="268">
        <f>ROUND(SJRIPSummaryRAW!G17,-2)</f>
        <v>2200</v>
      </c>
      <c r="L14" s="24"/>
      <c r="M14" s="21"/>
      <c r="N14" s="477" t="s">
        <v>630</v>
      </c>
    </row>
    <row r="15" spans="1:19" x14ac:dyDescent="0.25">
      <c r="A15" s="20"/>
      <c r="B15" s="602"/>
      <c r="C15" s="605"/>
      <c r="D15" s="609" t="s">
        <v>80</v>
      </c>
      <c r="E15" s="173" t="s">
        <v>81</v>
      </c>
      <c r="F15" s="174">
        <f ca="1">ROUND(SJRIPSummaryRAW!B16,-2)</f>
        <v>1600</v>
      </c>
      <c r="G15" s="148"/>
      <c r="H15" s="219">
        <f ca="1">ROUND(SJRIPSummaryRAW!D16,-2)</f>
        <v>2200</v>
      </c>
      <c r="I15" s="220">
        <f ca="1">ROUND(SJRIPSummaryRAW!E16,-2)</f>
        <v>1200</v>
      </c>
      <c r="J15" s="244"/>
      <c r="K15" s="272">
        <f>ROUND(SJRIPSummaryRAW!G16,-2)</f>
        <v>700</v>
      </c>
      <c r="L15" s="20"/>
      <c r="M15" s="21"/>
      <c r="N15" s="477" t="s">
        <v>630</v>
      </c>
    </row>
    <row r="16" spans="1:19" x14ac:dyDescent="0.25">
      <c r="A16" s="22"/>
      <c r="B16" s="602"/>
      <c r="C16" s="605"/>
      <c r="D16" s="609"/>
      <c r="E16" s="175" t="s">
        <v>82</v>
      </c>
      <c r="F16" s="174">
        <f ca="1">ROUND(SJRIPSummaryRAW!B18,-2)</f>
        <v>32500</v>
      </c>
      <c r="G16" s="148"/>
      <c r="H16" s="221">
        <f ca="1">ROUND(SJRIPSummaryRAW!D18,-2)</f>
        <v>39000</v>
      </c>
      <c r="I16" s="222">
        <f ca="1">ROUND(SJRIPSummaryRAW!E18,-2)</f>
        <v>23000</v>
      </c>
      <c r="J16" s="245"/>
      <c r="K16" s="269">
        <f>ROUND(SJRIPSummaryRAW!G18,-2)</f>
        <v>36700</v>
      </c>
      <c r="L16" s="22"/>
      <c r="M16" s="21"/>
      <c r="N16" s="477" t="s">
        <v>630</v>
      </c>
    </row>
    <row r="17" spans="1:23" x14ac:dyDescent="0.25">
      <c r="A17" s="22"/>
      <c r="B17" s="602"/>
      <c r="C17" s="605"/>
      <c r="D17" s="609"/>
      <c r="E17" s="175" t="s">
        <v>83</v>
      </c>
      <c r="F17" s="174">
        <f ca="1">ROUND(SJRIPSummaryRAW!B19,-2)</f>
        <v>4300</v>
      </c>
      <c r="G17" s="148"/>
      <c r="H17" s="221">
        <f ca="1">ROUND(SJRIPSummaryRAW!D19,-2)</f>
        <v>9000</v>
      </c>
      <c r="I17" s="222">
        <f ca="1">ROUND(SJRIPSummaryRAW!E19,-2)</f>
        <v>600</v>
      </c>
      <c r="J17" s="245"/>
      <c r="K17" s="269">
        <f>ROUND(SJRIPSummaryRAW!G19,-2)</f>
        <v>9800</v>
      </c>
      <c r="L17" s="22"/>
      <c r="M17" s="21"/>
      <c r="N17" s="477" t="s">
        <v>630</v>
      </c>
    </row>
    <row r="18" spans="1:23" x14ac:dyDescent="0.25">
      <c r="A18" s="22"/>
      <c r="B18" s="602"/>
      <c r="C18" s="605"/>
      <c r="D18" s="609"/>
      <c r="E18" s="175" t="s">
        <v>84</v>
      </c>
      <c r="F18" s="174">
        <f ca="1">ROUND(SJRIPSummaryRAW!B20,-2)</f>
        <v>12700</v>
      </c>
      <c r="G18" s="148"/>
      <c r="H18" s="221">
        <f ca="1">ROUND(SJRIPSummaryRAW!D20,-2)</f>
        <v>15000</v>
      </c>
      <c r="I18" s="222">
        <f ca="1">ROUND(SJRIPSummaryRAW!E20,-2)</f>
        <v>9400</v>
      </c>
      <c r="J18" s="245"/>
      <c r="K18" s="269">
        <f>ROUND(SJRIPSummaryRAW!G20,-2)</f>
        <v>9100</v>
      </c>
      <c r="L18" s="22"/>
      <c r="M18" s="21"/>
      <c r="N18" s="477" t="s">
        <v>630</v>
      </c>
      <c r="O18"/>
      <c r="P18"/>
      <c r="Q18"/>
      <c r="R18"/>
      <c r="S18"/>
      <c r="T18"/>
      <c r="U18"/>
      <c r="V18"/>
      <c r="W18"/>
    </row>
    <row r="19" spans="1:23" x14ac:dyDescent="0.25">
      <c r="A19" s="22"/>
      <c r="B19" s="602"/>
      <c r="C19" s="605"/>
      <c r="D19" s="609"/>
      <c r="E19" s="175" t="s">
        <v>85</v>
      </c>
      <c r="F19" s="174">
        <f ca="1">ROUND(SJRIPSummaryRAW!B21,-2)</f>
        <v>10800</v>
      </c>
      <c r="G19" s="148"/>
      <c r="H19" s="221">
        <f ca="1">ROUND(SJRIPSummaryRAW!D21,-2)</f>
        <v>12800</v>
      </c>
      <c r="I19" s="222">
        <f ca="1">ROUND(SJRIPSummaryRAW!E21,-2)</f>
        <v>8100</v>
      </c>
      <c r="J19" s="245"/>
      <c r="K19" s="269">
        <f>ROUND(SJRIPSummaryRAW!G21,-2)</f>
        <v>10300</v>
      </c>
      <c r="L19" s="22"/>
      <c r="M19" s="21"/>
      <c r="N19" s="477" t="s">
        <v>630</v>
      </c>
      <c r="O19"/>
      <c r="P19"/>
      <c r="Q19"/>
      <c r="R19"/>
      <c r="S19"/>
      <c r="T19"/>
      <c r="U19"/>
      <c r="V19"/>
      <c r="W19"/>
    </row>
    <row r="20" spans="1:23" x14ac:dyDescent="0.25">
      <c r="A20" s="22"/>
      <c r="B20" s="602"/>
      <c r="C20" s="605"/>
      <c r="D20" s="609"/>
      <c r="E20" s="175" t="s">
        <v>86</v>
      </c>
      <c r="F20" s="174">
        <f ca="1">ROUND(SJRIPSummaryRAW!B22,-2)</f>
        <v>9200</v>
      </c>
      <c r="G20" s="148"/>
      <c r="H20" s="221">
        <f ca="1">ROUND(SJRIPSummaryRAW!D22,-2)</f>
        <v>11300</v>
      </c>
      <c r="I20" s="222">
        <f ca="1">ROUND(SJRIPSummaryRAW!E22,-2)</f>
        <v>6700</v>
      </c>
      <c r="J20" s="245"/>
      <c r="K20" s="269">
        <f>ROUND(SJRIPSummaryRAW!G22,-2)</f>
        <v>9500</v>
      </c>
      <c r="L20" s="22"/>
      <c r="M20" s="21"/>
      <c r="N20" s="477" t="s">
        <v>630</v>
      </c>
      <c r="O20"/>
      <c r="P20"/>
      <c r="Q20"/>
      <c r="R20"/>
      <c r="S20"/>
      <c r="T20"/>
      <c r="U20"/>
      <c r="V20"/>
      <c r="W20"/>
    </row>
    <row r="21" spans="1:23" ht="15.75" thickBot="1" x14ac:dyDescent="0.3">
      <c r="A21" s="22"/>
      <c r="B21" s="602"/>
      <c r="C21" s="605"/>
      <c r="D21" s="609"/>
      <c r="E21" s="175" t="s">
        <v>87</v>
      </c>
      <c r="F21" s="174">
        <f ca="1">ROUND(SJRIPSummaryRAW!B23,-2)</f>
        <v>3100</v>
      </c>
      <c r="G21" s="148"/>
      <c r="H21" s="223">
        <f ca="1">ROUND(SJRIPSummaryRAW!D23,-2)</f>
        <v>3600</v>
      </c>
      <c r="I21" s="224">
        <f ca="1">ROUND(SJRIPSummaryRAW!E23,-2)</f>
        <v>2300</v>
      </c>
      <c r="J21" s="245"/>
      <c r="K21" s="269">
        <f>ROUND(SJRIPSummaryRAW!G23,-2)</f>
        <v>3100</v>
      </c>
      <c r="L21" s="22"/>
      <c r="M21" s="21"/>
      <c r="N21" s="477" t="s">
        <v>630</v>
      </c>
      <c r="O21"/>
      <c r="P21"/>
      <c r="Q21"/>
      <c r="R21"/>
      <c r="S21"/>
      <c r="T21"/>
      <c r="U21"/>
      <c r="V21"/>
      <c r="W21"/>
    </row>
    <row r="22" spans="1:23" ht="15.75" thickBot="1" x14ac:dyDescent="0.3">
      <c r="A22" s="24"/>
      <c r="B22" s="602"/>
      <c r="C22" s="605"/>
      <c r="D22" s="609"/>
      <c r="E22" s="176" t="s">
        <v>88</v>
      </c>
      <c r="F22" s="177">
        <f ca="1">SUM(F15:F21)</f>
        <v>74200</v>
      </c>
      <c r="G22" s="178"/>
      <c r="H22" s="179"/>
      <c r="I22" s="180"/>
      <c r="J22" s="247"/>
      <c r="K22" s="273">
        <f>ROUND(SJRIPSummaryRAW!G25,-2)</f>
        <v>81600</v>
      </c>
      <c r="L22" s="24"/>
      <c r="M22" s="21"/>
      <c r="N22" s="477" t="s">
        <v>630</v>
      </c>
      <c r="O22"/>
      <c r="P22"/>
      <c r="Q22"/>
      <c r="R22"/>
      <c r="S22"/>
      <c r="T22"/>
      <c r="U22"/>
      <c r="V22"/>
      <c r="W22"/>
    </row>
    <row r="23" spans="1:23" ht="15.75" thickBot="1" x14ac:dyDescent="0.3">
      <c r="A23" s="24"/>
      <c r="B23" s="603"/>
      <c r="C23" s="610" t="s">
        <v>89</v>
      </c>
      <c r="D23" s="611"/>
      <c r="E23" s="612"/>
      <c r="F23" s="182">
        <f ca="1">F13+F22+F14</f>
        <v>343900</v>
      </c>
      <c r="G23" s="183"/>
      <c r="H23" s="184"/>
      <c r="I23" s="185"/>
      <c r="J23" s="195"/>
      <c r="K23" s="274">
        <f>ROUND(SJRIPSummaryRAW!G26,-2)</f>
        <v>383100</v>
      </c>
      <c r="L23" s="24"/>
      <c r="M23" s="21"/>
      <c r="N23" s="477" t="s">
        <v>630</v>
      </c>
      <c r="O23"/>
      <c r="P23"/>
      <c r="Q23"/>
      <c r="R23"/>
      <c r="S23"/>
      <c r="T23"/>
      <c r="U23"/>
      <c r="V23"/>
      <c r="W23"/>
    </row>
    <row r="24" spans="1:23" ht="15.75" thickBot="1" x14ac:dyDescent="0.3">
      <c r="A24" s="24"/>
      <c r="B24" s="603"/>
      <c r="C24" s="186"/>
      <c r="D24" s="187"/>
      <c r="E24" s="188" t="s">
        <v>90</v>
      </c>
      <c r="F24" s="189">
        <f ca="1">ROUND(SJRIPSummaryRAW!B32,-1)</f>
        <v>340</v>
      </c>
      <c r="G24" s="151"/>
      <c r="H24" s="231">
        <f ca="1">ROUND(SJRIPSummaryRAW!D32,-1)</f>
        <v>340</v>
      </c>
      <c r="I24" s="232">
        <f ca="1">ROUND(SJRIPSummaryRAW!E32,-1)</f>
        <v>340</v>
      </c>
      <c r="J24" s="195"/>
      <c r="K24" s="272"/>
      <c r="L24" s="24"/>
      <c r="M24" s="21"/>
      <c r="N24" s="477" t="s">
        <v>630</v>
      </c>
      <c r="O24"/>
      <c r="P24"/>
      <c r="Q24"/>
      <c r="R24"/>
      <c r="S24"/>
      <c r="T24"/>
      <c r="U24"/>
      <c r="V24"/>
      <c r="W24"/>
    </row>
    <row r="25" spans="1:23" x14ac:dyDescent="0.25">
      <c r="A25" s="20"/>
      <c r="B25" s="602"/>
      <c r="C25" s="613" t="s">
        <v>91</v>
      </c>
      <c r="D25" s="614"/>
      <c r="E25" s="175" t="s">
        <v>92</v>
      </c>
      <c r="F25" s="174">
        <f ca="1">ROUND(SJRIPSummaryRAW!B28,-2)</f>
        <v>26800</v>
      </c>
      <c r="G25" s="148"/>
      <c r="H25" s="221">
        <f ca="1">ROUND(SJRIPSummaryRAW!D28,-2)</f>
        <v>30100</v>
      </c>
      <c r="I25" s="222">
        <f ca="1">ROUND(SJRIPSummaryRAW!E28,-2)</f>
        <v>17900</v>
      </c>
      <c r="J25" s="248"/>
      <c r="K25" s="269">
        <f>ROUND(SJRIPSummaryRAW!G28,-2)</f>
        <v>27400</v>
      </c>
      <c r="L25" s="20"/>
      <c r="M25" s="21"/>
      <c r="N25" s="477" t="s">
        <v>630</v>
      </c>
      <c r="O25"/>
      <c r="P25"/>
      <c r="Q25"/>
      <c r="R25"/>
      <c r="S25"/>
      <c r="T25"/>
      <c r="U25"/>
      <c r="V25"/>
      <c r="W25"/>
    </row>
    <row r="26" spans="1:23" x14ac:dyDescent="0.25">
      <c r="A26" s="22"/>
      <c r="B26" s="602"/>
      <c r="C26" s="613"/>
      <c r="D26" s="614"/>
      <c r="E26" s="175" t="s">
        <v>93</v>
      </c>
      <c r="F26" s="174">
        <f ca="1">ROUND(SJRIPSummaryRAW!B29,-2)</f>
        <v>38800</v>
      </c>
      <c r="G26" s="148"/>
      <c r="H26" s="221">
        <f ca="1">ROUND(SJRIPSummaryRAW!D29,-2)</f>
        <v>39000</v>
      </c>
      <c r="I26" s="222">
        <f ca="1">ROUND(SJRIPSummaryRAW!E29,-2)</f>
        <v>23300</v>
      </c>
      <c r="J26" s="245"/>
      <c r="K26" s="269">
        <f>ROUND(SJRIPSummaryRAW!G29,-2)</f>
        <v>39000</v>
      </c>
      <c r="L26" s="22"/>
      <c r="M26" s="21"/>
      <c r="N26" s="477" t="s">
        <v>630</v>
      </c>
      <c r="O26"/>
      <c r="P26"/>
      <c r="Q26"/>
      <c r="R26"/>
      <c r="S26"/>
      <c r="T26"/>
      <c r="U26"/>
      <c r="V26"/>
      <c r="W26"/>
    </row>
    <row r="27" spans="1:23" x14ac:dyDescent="0.25">
      <c r="A27" s="22"/>
      <c r="B27" s="602"/>
      <c r="C27" s="613"/>
      <c r="D27" s="614"/>
      <c r="E27" s="175" t="s">
        <v>94</v>
      </c>
      <c r="F27" s="174">
        <f ca="1">ROUND(SJRIPSummaryRAW!B30,-2)</f>
        <v>16100</v>
      </c>
      <c r="G27" s="148"/>
      <c r="H27" s="221">
        <f ca="1">ROUND(SJRIPSummaryRAW!D30,-2)</f>
        <v>16200</v>
      </c>
      <c r="I27" s="222">
        <f ca="1">ROUND(SJRIPSummaryRAW!E30,-2)</f>
        <v>9700</v>
      </c>
      <c r="J27" s="245"/>
      <c r="K27" s="269">
        <f>ROUND(SJRIPSummaryRAW!G30,-2)</f>
        <v>16200</v>
      </c>
      <c r="L27" s="22"/>
      <c r="M27" s="21"/>
      <c r="N27" s="477" t="s">
        <v>630</v>
      </c>
      <c r="O27"/>
      <c r="P27"/>
      <c r="Q27"/>
      <c r="R27"/>
      <c r="S27"/>
      <c r="T27"/>
      <c r="U27"/>
      <c r="V27"/>
      <c r="W27"/>
    </row>
    <row r="28" spans="1:23" x14ac:dyDescent="0.25">
      <c r="A28" s="22"/>
      <c r="B28" s="602"/>
      <c r="C28" s="613"/>
      <c r="D28" s="614"/>
      <c r="E28" s="175" t="s">
        <v>95</v>
      </c>
      <c r="F28" s="174">
        <f ca="1">ROUND(SJRIPSummaryRAW!B31,-2)</f>
        <v>2500</v>
      </c>
      <c r="G28" s="148"/>
      <c r="H28" s="221">
        <f ca="1">ROUND(SJRIPSummaryRAW!D31,-2)</f>
        <v>2500</v>
      </c>
      <c r="I28" s="222">
        <f ca="1">ROUND(SJRIPSummaryRAW!E31,-2)</f>
        <v>2500</v>
      </c>
      <c r="J28" s="245"/>
      <c r="K28" s="269">
        <f>ROUND(SJRIPSummaryRAW!G31,-2)</f>
        <v>2500</v>
      </c>
      <c r="L28" s="22"/>
      <c r="M28" s="21"/>
      <c r="N28" s="477" t="s">
        <v>630</v>
      </c>
      <c r="O28"/>
      <c r="P28"/>
      <c r="Q28"/>
      <c r="R28"/>
      <c r="S28"/>
      <c r="T28"/>
      <c r="U28"/>
      <c r="V28"/>
      <c r="W28"/>
    </row>
    <row r="29" spans="1:23" ht="15.75" thickBot="1" x14ac:dyDescent="0.3">
      <c r="A29" s="22"/>
      <c r="B29" s="602"/>
      <c r="C29" s="613"/>
      <c r="D29" s="614"/>
      <c r="E29" s="175" t="s">
        <v>96</v>
      </c>
      <c r="F29" s="174">
        <f ca="1">ROUND(SJRIPSummaryRAW!B33,-2)</f>
        <v>11600</v>
      </c>
      <c r="G29" s="152"/>
      <c r="H29" s="223">
        <f ca="1">ROUND(SJRIPSummaryRAW!D33,-2)</f>
        <v>11600</v>
      </c>
      <c r="I29" s="224">
        <f ca="1">ROUND(SJRIPSummaryRAW!E33,-2)</f>
        <v>9600</v>
      </c>
      <c r="J29" s="245"/>
      <c r="K29" s="269">
        <f>ROUND(SJRIPSummaryRAW!G33,-2)</f>
        <v>13500</v>
      </c>
      <c r="L29" s="22"/>
      <c r="M29" s="21"/>
      <c r="N29" s="477" t="s">
        <v>630</v>
      </c>
      <c r="O29"/>
      <c r="P29"/>
      <c r="Q29"/>
      <c r="R29"/>
      <c r="S29"/>
      <c r="T29"/>
      <c r="U29"/>
      <c r="V29"/>
      <c r="W29"/>
    </row>
    <row r="30" spans="1:23" ht="15.75" thickBot="1" x14ac:dyDescent="0.3">
      <c r="A30" s="26"/>
      <c r="B30" s="602"/>
      <c r="C30" s="613"/>
      <c r="D30" s="614"/>
      <c r="E30" s="190" t="s">
        <v>97</v>
      </c>
      <c r="F30" s="174">
        <f ca="1">SUM(F26:F29)+F24</f>
        <v>69340</v>
      </c>
      <c r="G30" s="162"/>
      <c r="H30" s="179"/>
      <c r="I30" s="180"/>
      <c r="J30" s="249"/>
      <c r="K30" s="275"/>
      <c r="L30" s="26"/>
      <c r="M30" s="21"/>
      <c r="N30" s="477" t="s">
        <v>630</v>
      </c>
      <c r="O30"/>
      <c r="P30"/>
      <c r="Q30"/>
      <c r="R30"/>
      <c r="S30"/>
      <c r="T30"/>
      <c r="U30"/>
      <c r="V30"/>
      <c r="W30"/>
    </row>
    <row r="31" spans="1:23" ht="15.75" thickBot="1" x14ac:dyDescent="0.3">
      <c r="A31" s="24"/>
      <c r="B31" s="603"/>
      <c r="C31" s="615" t="s">
        <v>644</v>
      </c>
      <c r="D31" s="616"/>
      <c r="E31" s="617"/>
      <c r="F31" s="191">
        <f ca="1">F25+F30</f>
        <v>96140</v>
      </c>
      <c r="G31" s="162"/>
      <c r="H31" s="184"/>
      <c r="I31" s="185"/>
      <c r="J31" s="247"/>
      <c r="K31" s="271">
        <f>ROUND(SJRIPSummaryRAW!G37,-2)</f>
        <v>98500</v>
      </c>
      <c r="L31" s="24"/>
      <c r="M31" s="21"/>
      <c r="N31" s="477" t="s">
        <v>630</v>
      </c>
      <c r="O31"/>
      <c r="P31"/>
      <c r="Q31"/>
      <c r="R31"/>
      <c r="S31"/>
      <c r="T31"/>
      <c r="U31"/>
      <c r="V31"/>
      <c r="W31"/>
    </row>
    <row r="32" spans="1:23" ht="15.75" thickBot="1" x14ac:dyDescent="0.3">
      <c r="A32" s="24"/>
      <c r="B32" s="556" t="s">
        <v>99</v>
      </c>
      <c r="C32" s="557"/>
      <c r="D32" s="557"/>
      <c r="E32" s="557"/>
      <c r="F32" s="192">
        <f ca="1">F23+F31</f>
        <v>440040</v>
      </c>
      <c r="G32" s="178"/>
      <c r="H32" s="184"/>
      <c r="I32" s="185"/>
      <c r="J32" s="247"/>
      <c r="K32" s="273">
        <f>ROUND(SJRIPSummaryRAW!G38,-2)</f>
        <v>600200</v>
      </c>
      <c r="L32" s="24"/>
      <c r="M32" s="21"/>
      <c r="N32" s="477" t="s">
        <v>630</v>
      </c>
      <c r="O32"/>
      <c r="P32"/>
      <c r="Q32"/>
      <c r="R32"/>
      <c r="S32"/>
      <c r="T32"/>
      <c r="U32"/>
      <c r="V32"/>
      <c r="W32"/>
    </row>
    <row r="33" spans="1:23" ht="15.75" thickBot="1" x14ac:dyDescent="0.3">
      <c r="A33" s="27"/>
      <c r="B33" s="193"/>
      <c r="C33" s="194"/>
      <c r="D33" s="194"/>
      <c r="E33" s="194"/>
      <c r="F33" s="203"/>
      <c r="G33" s="167"/>
      <c r="H33" s="260"/>
      <c r="I33" s="261"/>
      <c r="J33" s="203"/>
      <c r="K33" s="167"/>
      <c r="L33" s="5"/>
      <c r="M33" s="21"/>
      <c r="N33" s="477"/>
      <c r="O33"/>
      <c r="P33"/>
      <c r="Q33"/>
      <c r="R33"/>
      <c r="S33"/>
      <c r="T33"/>
      <c r="U33"/>
      <c r="V33"/>
      <c r="W33"/>
    </row>
    <row r="34" spans="1:23" x14ac:dyDescent="0.25">
      <c r="A34" s="28"/>
      <c r="B34" s="558" t="s">
        <v>100</v>
      </c>
      <c r="C34" s="560" t="s">
        <v>101</v>
      </c>
      <c r="D34" s="561"/>
      <c r="E34" s="257" t="s">
        <v>301</v>
      </c>
      <c r="F34" s="237">
        <f ca="1">ROUND(SJRIPSummaryRAW!B41,-2)</f>
        <v>32700</v>
      </c>
      <c r="G34" s="148"/>
      <c r="H34" s="258">
        <f ca="1">ROUND(SJRIPSummaryRAW!D41,-2)</f>
        <v>38600</v>
      </c>
      <c r="I34" s="259">
        <f ca="1">ROUND(SJRIPSummaryRAW!E41,-2)</f>
        <v>26200</v>
      </c>
      <c r="J34" s="251"/>
      <c r="K34" s="268">
        <f>ROUND(SJRIPSummaryRAW!G41,-2)</f>
        <v>18700</v>
      </c>
      <c r="L34" s="29"/>
      <c r="M34" s="21"/>
      <c r="N34" s="477" t="s">
        <v>630</v>
      </c>
      <c r="O34"/>
      <c r="P34"/>
      <c r="Q34"/>
      <c r="R34"/>
      <c r="S34"/>
      <c r="T34"/>
      <c r="U34"/>
      <c r="V34"/>
      <c r="W34"/>
    </row>
    <row r="35" spans="1:23" x14ac:dyDescent="0.25">
      <c r="A35" s="29"/>
      <c r="B35" s="558"/>
      <c r="C35" s="560"/>
      <c r="D35" s="561"/>
      <c r="E35" s="175" t="s">
        <v>103</v>
      </c>
      <c r="F35" s="174">
        <f ca="1">ROUND(SJRIPSummaryRAW!B43,-2)</f>
        <v>17500</v>
      </c>
      <c r="G35" s="148"/>
      <c r="H35" s="221">
        <f ca="1">ROUND(SJRIPSummaryRAW!D43,-2)</f>
        <v>19500</v>
      </c>
      <c r="I35" s="222">
        <f ca="1">ROUND(SJRIPSummaryRAW!E43,-2)</f>
        <v>12000</v>
      </c>
      <c r="J35" s="251"/>
      <c r="K35" s="269">
        <f>ROUND(SJRIPSummaryRAW!G43,-2)</f>
        <v>8100</v>
      </c>
      <c r="L35" s="29"/>
      <c r="M35" s="21"/>
      <c r="N35" s="477" t="s">
        <v>630</v>
      </c>
      <c r="O35"/>
      <c r="P35"/>
      <c r="Q35"/>
      <c r="R35"/>
      <c r="S35"/>
      <c r="T35"/>
      <c r="U35"/>
      <c r="V35"/>
      <c r="W35"/>
    </row>
    <row r="36" spans="1:23" ht="15.75" thickBot="1" x14ac:dyDescent="0.3">
      <c r="A36" s="30"/>
      <c r="B36" s="558"/>
      <c r="C36" s="560"/>
      <c r="D36" s="561"/>
      <c r="E36" s="175" t="s">
        <v>104</v>
      </c>
      <c r="F36" s="174">
        <f ca="1">ROUND(SJRIPSummaryRAW!B44,-2)</f>
        <v>105000</v>
      </c>
      <c r="G36" s="152"/>
      <c r="H36" s="221">
        <f ca="1">ROUND(SJRIPSummaryRAW!D44,-2)</f>
        <v>117600</v>
      </c>
      <c r="I36" s="222">
        <f ca="1">ROUND(SJRIPSummaryRAW!E44,-2)</f>
        <v>73000</v>
      </c>
      <c r="J36" s="252"/>
      <c r="K36" s="269">
        <f>ROUND(SJRIPSummaryRAW!G44,-2)</f>
        <v>71700</v>
      </c>
      <c r="L36" s="30"/>
      <c r="M36" s="21"/>
      <c r="N36" s="477" t="s">
        <v>630</v>
      </c>
      <c r="O36"/>
      <c r="P36"/>
      <c r="Q36"/>
      <c r="R36"/>
      <c r="S36"/>
      <c r="T36"/>
      <c r="U36"/>
      <c r="V36"/>
      <c r="W36"/>
    </row>
    <row r="37" spans="1:23" ht="15.75" thickBot="1" x14ac:dyDescent="0.3">
      <c r="A37" s="30"/>
      <c r="B37" s="558"/>
      <c r="C37" s="562"/>
      <c r="D37" s="563"/>
      <c r="E37" s="196" t="s">
        <v>105</v>
      </c>
      <c r="F37" s="197">
        <f ca="1">ROUND(SJRIPSummaryRAW!B45,-2)</f>
        <v>24800</v>
      </c>
      <c r="G37" s="152"/>
      <c r="H37" s="229">
        <f ca="1">ROUND(SJRIPSummaryRAW!D45,-2)</f>
        <v>24800</v>
      </c>
      <c r="I37" s="230">
        <f ca="1">ROUND(SJRIPSummaryRAW!E45,-2)</f>
        <v>23600</v>
      </c>
      <c r="J37" s="252"/>
      <c r="K37" s="276"/>
      <c r="L37" s="30"/>
      <c r="M37" s="21"/>
      <c r="N37" s="477" t="s">
        <v>630</v>
      </c>
      <c r="O37"/>
      <c r="P37"/>
      <c r="Q37"/>
      <c r="R37"/>
      <c r="S37"/>
      <c r="T37"/>
      <c r="U37"/>
      <c r="V37"/>
      <c r="W37"/>
    </row>
    <row r="38" spans="1:23" ht="15.75" thickBot="1" x14ac:dyDescent="0.3">
      <c r="A38" s="5"/>
      <c r="B38" s="558"/>
      <c r="C38" s="564" t="s">
        <v>106</v>
      </c>
      <c r="D38" s="565"/>
      <c r="E38" s="566"/>
      <c r="F38" s="198">
        <f ca="1">SUM(F34:F37)</f>
        <v>180000</v>
      </c>
      <c r="G38" s="162"/>
      <c r="H38" s="179"/>
      <c r="I38" s="180"/>
      <c r="J38" s="203"/>
      <c r="K38" s="273">
        <f>ROUND(SJRIPSummaryRAW!G46,-2)</f>
        <v>98500</v>
      </c>
      <c r="L38" s="5"/>
      <c r="M38" s="21"/>
      <c r="N38" s="477" t="s">
        <v>630</v>
      </c>
      <c r="O38"/>
      <c r="P38"/>
      <c r="Q38"/>
      <c r="R38"/>
      <c r="S38"/>
      <c r="T38"/>
      <c r="U38"/>
      <c r="V38"/>
      <c r="W38"/>
    </row>
    <row r="39" spans="1:23" x14ac:dyDescent="0.25">
      <c r="A39" s="28"/>
      <c r="B39" s="558"/>
      <c r="C39" s="567" t="s">
        <v>107</v>
      </c>
      <c r="D39" s="568"/>
      <c r="E39" s="173" t="s">
        <v>108</v>
      </c>
      <c r="F39" s="174">
        <f ca="1">ROUND(SJRIPSummaryRAW!B48,-2)</f>
        <v>38400</v>
      </c>
      <c r="G39" s="148"/>
      <c r="H39" s="219">
        <f ca="1">ROUND(SJRIPSummaryRAW!D48,-2)</f>
        <v>52300</v>
      </c>
      <c r="I39" s="220">
        <f ca="1">ROUND(SJRIPSummaryRAW!E48,-2)</f>
        <v>12000</v>
      </c>
      <c r="J39" s="250"/>
      <c r="K39" s="272">
        <f>ROUND(SJRIPSummaryRAW!G48,-2)</f>
        <v>28600</v>
      </c>
      <c r="L39" s="28"/>
      <c r="M39" s="21"/>
      <c r="N39" s="477" t="s">
        <v>630</v>
      </c>
      <c r="O39"/>
      <c r="P39"/>
      <c r="Q39"/>
      <c r="R39"/>
      <c r="S39"/>
      <c r="T39"/>
      <c r="U39"/>
      <c r="V39"/>
      <c r="W39"/>
    </row>
    <row r="40" spans="1:23" x14ac:dyDescent="0.25">
      <c r="A40" s="29"/>
      <c r="B40" s="558"/>
      <c r="C40" s="569"/>
      <c r="D40" s="570"/>
      <c r="E40" s="175" t="s">
        <v>109</v>
      </c>
      <c r="F40" s="174">
        <f ca="1">ROUND(SJRIPSummaryRAW!B49,-2)</f>
        <v>18500</v>
      </c>
      <c r="G40" s="148"/>
      <c r="H40" s="221">
        <f ca="1">ROUND(SJRIPSummaryRAW!D49,-2)</f>
        <v>21900</v>
      </c>
      <c r="I40" s="222">
        <f ca="1">ROUND(SJRIPSummaryRAW!E49,-2)</f>
        <v>14200</v>
      </c>
      <c r="J40" s="251"/>
      <c r="K40" s="269">
        <f>ROUND(SJRIPSummaryRAW!G49,-2)</f>
        <v>25100</v>
      </c>
      <c r="L40" s="29"/>
      <c r="M40" s="21"/>
      <c r="N40" s="477" t="s">
        <v>630</v>
      </c>
      <c r="O40"/>
      <c r="P40"/>
      <c r="Q40"/>
      <c r="R40"/>
      <c r="S40"/>
      <c r="T40"/>
      <c r="U40"/>
      <c r="V40"/>
      <c r="W40"/>
    </row>
    <row r="41" spans="1:23" x14ac:dyDescent="0.25">
      <c r="A41" s="29"/>
      <c r="B41" s="558"/>
      <c r="C41" s="569"/>
      <c r="D41" s="570"/>
      <c r="E41" s="175" t="s">
        <v>110</v>
      </c>
      <c r="F41" s="174">
        <f ca="1">ROUND(SJRIPSummaryRAW!B51,-2)</f>
        <v>16200</v>
      </c>
      <c r="G41" s="148"/>
      <c r="H41" s="221">
        <f ca="1">ROUND(SJRIPSummaryRAW!D51,-2)</f>
        <v>23800</v>
      </c>
      <c r="I41" s="222">
        <f ca="1">ROUND(SJRIPSummaryRAW!E51,-2)</f>
        <v>5700</v>
      </c>
      <c r="J41" s="251"/>
      <c r="K41" s="269">
        <f>ROUND(SJRIPSummaryRAW!G51,-2)</f>
        <v>14600</v>
      </c>
      <c r="L41" s="29"/>
      <c r="M41" s="21"/>
      <c r="N41" s="477" t="s">
        <v>630</v>
      </c>
      <c r="O41"/>
      <c r="P41"/>
      <c r="Q41"/>
      <c r="R41"/>
      <c r="S41"/>
      <c r="T41"/>
      <c r="U41"/>
      <c r="V41"/>
      <c r="W41"/>
    </row>
    <row r="42" spans="1:23" ht="15.75" thickBot="1" x14ac:dyDescent="0.3">
      <c r="A42" s="30"/>
      <c r="B42" s="558"/>
      <c r="C42" s="569"/>
      <c r="D42" s="570"/>
      <c r="E42" s="175" t="s">
        <v>111</v>
      </c>
      <c r="F42" s="174">
        <f ca="1">ROUND(SJRIPSummaryRAW!B53,-2)</f>
        <v>17400</v>
      </c>
      <c r="G42" s="152"/>
      <c r="H42" s="221">
        <f ca="1">ROUND(SJRIPSummaryRAW!D53,-2)</f>
        <v>28200</v>
      </c>
      <c r="I42" s="222">
        <f ca="1">ROUND(SJRIPSummaryRAW!E53,-2)</f>
        <v>5800</v>
      </c>
      <c r="J42" s="252"/>
      <c r="K42" s="269">
        <f>ROUND(SJRIPSummaryRAW!G53,-2)</f>
        <v>19500</v>
      </c>
      <c r="L42" s="30"/>
      <c r="M42" s="21"/>
      <c r="N42" s="477" t="s">
        <v>630</v>
      </c>
      <c r="O42" s="283"/>
      <c r="P42" s="283"/>
      <c r="Q42" s="283"/>
      <c r="R42" s="283"/>
      <c r="S42"/>
      <c r="T42"/>
      <c r="U42"/>
      <c r="V42"/>
      <c r="W42"/>
    </row>
    <row r="43" spans="1:23" ht="15.75" thickBot="1" x14ac:dyDescent="0.3">
      <c r="A43" s="30"/>
      <c r="B43" s="558"/>
      <c r="C43" s="569"/>
      <c r="D43" s="570"/>
      <c r="E43" s="163" t="s">
        <v>669</v>
      </c>
      <c r="F43" s="164">
        <f ca="1">ROUND(SJRIPSummaryRAW!B50,-2)</f>
        <v>1300</v>
      </c>
      <c r="G43" s="148"/>
      <c r="H43" s="227">
        <f ca="1">ROUND(SJRIPSummaryRAW!D50,-2)</f>
        <v>1300</v>
      </c>
      <c r="I43" s="228">
        <f ca="1">ROUND(SJRIPSummaryRAW!E50,-2)</f>
        <v>1300</v>
      </c>
      <c r="J43" s="251"/>
      <c r="K43" s="269"/>
      <c r="L43" s="30"/>
      <c r="M43" s="21"/>
      <c r="N43" s="477" t="s">
        <v>630</v>
      </c>
      <c r="O43" s="283"/>
      <c r="P43" s="283"/>
      <c r="Q43" s="283"/>
      <c r="R43" s="283"/>
      <c r="S43"/>
      <c r="T43"/>
      <c r="U43"/>
      <c r="V43"/>
      <c r="W43"/>
    </row>
    <row r="44" spans="1:23" ht="15.75" thickBot="1" x14ac:dyDescent="0.3">
      <c r="A44" s="30"/>
      <c r="B44" s="558"/>
      <c r="C44" s="571"/>
      <c r="D44" s="572"/>
      <c r="E44" s="196" t="s">
        <v>113</v>
      </c>
      <c r="F44" s="197">
        <f ca="1">ROUND(SJRIPSummaryRAW!B52,-2)</f>
        <v>11900</v>
      </c>
      <c r="G44" s="148"/>
      <c r="H44" s="229">
        <f ca="1">ROUND(SJRIPSummaryRAW!D52,-2)</f>
        <v>17700</v>
      </c>
      <c r="I44" s="230">
        <f ca="1">ROUND(SJRIPSummaryRAW!E52,-2)</f>
        <v>3100</v>
      </c>
      <c r="J44" s="251"/>
      <c r="K44" s="276"/>
      <c r="L44" s="30"/>
      <c r="M44" s="21"/>
      <c r="N44" s="477" t="s">
        <v>630</v>
      </c>
      <c r="O44" s="283"/>
      <c r="P44" s="283"/>
      <c r="Q44" s="283"/>
      <c r="R44" s="283"/>
      <c r="S44"/>
      <c r="T44"/>
      <c r="U44"/>
      <c r="V44"/>
      <c r="W44"/>
    </row>
    <row r="45" spans="1:23" ht="15.75" thickBot="1" x14ac:dyDescent="0.3">
      <c r="A45" s="5"/>
      <c r="B45" s="559"/>
      <c r="C45" s="573" t="s">
        <v>114</v>
      </c>
      <c r="D45" s="574"/>
      <c r="E45" s="575"/>
      <c r="F45" s="199">
        <f ca="1">SUM(F39:F44)</f>
        <v>103700</v>
      </c>
      <c r="G45" s="162"/>
      <c r="H45" s="200"/>
      <c r="I45" s="201"/>
      <c r="J45" s="203"/>
      <c r="K45" s="277">
        <f>ROUND(SJRIPSummaryRAW!G54,-2)</f>
        <v>87800</v>
      </c>
      <c r="L45" s="5"/>
      <c r="M45" s="21"/>
      <c r="N45" s="477" t="s">
        <v>630</v>
      </c>
      <c r="O45"/>
      <c r="P45"/>
      <c r="Q45"/>
      <c r="R45"/>
      <c r="S45"/>
      <c r="T45"/>
      <c r="U45"/>
      <c r="V45"/>
      <c r="W45"/>
    </row>
    <row r="46" spans="1:23" ht="15.75" thickBot="1" x14ac:dyDescent="0.3">
      <c r="A46" s="5"/>
      <c r="B46" s="554" t="s">
        <v>115</v>
      </c>
      <c r="C46" s="555"/>
      <c r="D46" s="555"/>
      <c r="E46" s="555"/>
      <c r="F46" s="202">
        <f ca="1">F38+F45</f>
        <v>283700</v>
      </c>
      <c r="G46" s="178"/>
      <c r="H46" s="168"/>
      <c r="I46" s="169"/>
      <c r="J46" s="203"/>
      <c r="K46" s="271">
        <f>ROUND(SJRIPSummaryRAW!G55,-2)</f>
        <v>186300</v>
      </c>
      <c r="L46" s="5"/>
      <c r="M46" s="21"/>
      <c r="N46" s="477" t="s">
        <v>630</v>
      </c>
      <c r="O46"/>
      <c r="P46"/>
      <c r="Q46"/>
      <c r="R46"/>
      <c r="S46"/>
      <c r="T46"/>
      <c r="U46"/>
      <c r="V46"/>
      <c r="W46"/>
    </row>
    <row r="47" spans="1:23" ht="15.75" thickBot="1" x14ac:dyDescent="0.3">
      <c r="A47" s="27"/>
      <c r="B47" s="193"/>
      <c r="C47" s="194"/>
      <c r="D47" s="194"/>
      <c r="E47" s="194"/>
      <c r="F47" s="203"/>
      <c r="G47" s="167"/>
      <c r="H47" s="260"/>
      <c r="I47" s="261"/>
      <c r="J47" s="203"/>
      <c r="K47" s="167"/>
      <c r="L47" s="27"/>
      <c r="M47" s="21"/>
      <c r="N47" s="477"/>
      <c r="O47"/>
      <c r="P47"/>
      <c r="Q47"/>
      <c r="R47"/>
      <c r="S47"/>
      <c r="T47"/>
      <c r="U47"/>
      <c r="V47"/>
      <c r="W47"/>
    </row>
    <row r="48" spans="1:23" ht="15.75" thickBot="1" x14ac:dyDescent="0.3">
      <c r="A48" s="31"/>
      <c r="B48" s="618" t="s">
        <v>116</v>
      </c>
      <c r="C48" s="619"/>
      <c r="D48" s="619"/>
      <c r="E48" s="619"/>
      <c r="F48" s="262">
        <f ca="1">F32+F46</f>
        <v>723740</v>
      </c>
      <c r="G48" s="181"/>
      <c r="H48" s="179"/>
      <c r="I48" s="180"/>
      <c r="J48" s="247"/>
      <c r="K48" s="273">
        <f>ROUND(SJRIPSummaryRAW!G56,-2)</f>
        <v>667900</v>
      </c>
      <c r="L48" s="31"/>
      <c r="M48" s="21"/>
      <c r="N48" s="477" t="s">
        <v>630</v>
      </c>
      <c r="O48"/>
      <c r="P48"/>
      <c r="Q48"/>
      <c r="R48"/>
      <c r="S48"/>
      <c r="T48"/>
      <c r="U48"/>
      <c r="V48"/>
      <c r="W48"/>
    </row>
    <row r="49" spans="1:23" ht="15.75" thickBot="1" x14ac:dyDescent="0.3">
      <c r="A49" s="27"/>
      <c r="B49" s="193"/>
      <c r="C49" s="194"/>
      <c r="D49" s="194"/>
      <c r="E49" s="194"/>
      <c r="F49" s="203"/>
      <c r="G49" s="167"/>
      <c r="H49" s="260"/>
      <c r="I49" s="261"/>
      <c r="J49" s="203"/>
      <c r="K49" s="167"/>
      <c r="L49" s="27"/>
      <c r="M49" s="21"/>
      <c r="N49" s="477"/>
      <c r="O49"/>
      <c r="P49"/>
      <c r="Q49"/>
      <c r="R49"/>
      <c r="S49"/>
      <c r="T49"/>
      <c r="U49"/>
      <c r="V49"/>
      <c r="W49"/>
    </row>
    <row r="50" spans="1:23" x14ac:dyDescent="0.25">
      <c r="A50" s="24"/>
      <c r="B50" s="620" t="s">
        <v>117</v>
      </c>
      <c r="C50" s="621"/>
      <c r="D50" s="621"/>
      <c r="E50" s="263" t="s">
        <v>118</v>
      </c>
      <c r="F50" s="237">
        <f ca="1">ROUND(SJRIPSummaryRAW!B60,-2)</f>
        <v>35700</v>
      </c>
      <c r="G50" s="148"/>
      <c r="H50" s="258">
        <f ca="1">ROUND(SJRIPSummaryRAW!D60,-2)</f>
        <v>35900</v>
      </c>
      <c r="I50" s="259">
        <f ca="1">ROUND(SJRIPSummaryRAW!E60,-2)</f>
        <v>21500</v>
      </c>
      <c r="J50" s="251"/>
      <c r="K50" s="268">
        <f>ROUND(SJRIPSummaryRAW!G60,-2)</f>
        <v>6600</v>
      </c>
      <c r="L50" s="24"/>
      <c r="M50" s="21"/>
      <c r="N50" s="477" t="s">
        <v>630</v>
      </c>
      <c r="O50"/>
      <c r="P50"/>
      <c r="Q50"/>
      <c r="R50"/>
      <c r="S50"/>
      <c r="T50"/>
      <c r="U50"/>
      <c r="V50"/>
      <c r="W50"/>
    </row>
    <row r="51" spans="1:23" x14ac:dyDescent="0.25">
      <c r="A51" s="29"/>
      <c r="B51" s="620"/>
      <c r="C51" s="621"/>
      <c r="D51" s="621"/>
      <c r="E51" s="175" t="s">
        <v>119</v>
      </c>
      <c r="F51" s="174">
        <f ca="1">ROUND(SJRIPSummaryRAW!B58,-2)</f>
        <v>57100</v>
      </c>
      <c r="G51" s="148"/>
      <c r="H51" s="221">
        <f ca="1">ROUND(SJRIPSummaryRAW!D58,-2)</f>
        <v>57200</v>
      </c>
      <c r="I51" s="222">
        <f ca="1">ROUND(SJRIPSummaryRAW!E58,-2)</f>
        <v>56600</v>
      </c>
      <c r="J51" s="251"/>
      <c r="K51" s="269">
        <f>ROUND(SJRIPSummaryRAW!G58,-2)</f>
        <v>57100</v>
      </c>
      <c r="L51" s="29"/>
      <c r="M51" s="21"/>
      <c r="N51" s="477" t="s">
        <v>630</v>
      </c>
      <c r="O51"/>
      <c r="P51"/>
      <c r="Q51"/>
      <c r="R51"/>
      <c r="S51"/>
      <c r="T51"/>
      <c r="U51"/>
      <c r="V51"/>
      <c r="W51"/>
    </row>
    <row r="52" spans="1:23" x14ac:dyDescent="0.25">
      <c r="A52" s="29"/>
      <c r="B52" s="620"/>
      <c r="C52" s="621"/>
      <c r="D52" s="621"/>
      <c r="E52" s="175" t="s">
        <v>120</v>
      </c>
      <c r="F52" s="174">
        <f ca="1">ROUND(SJRIPSummaryRAW!B59,-2)</f>
        <v>105200</v>
      </c>
      <c r="G52" s="148"/>
      <c r="H52" s="221">
        <f ca="1">ROUND(SJRIPSummaryRAW!D59,-2)</f>
        <v>233500</v>
      </c>
      <c r="I52" s="222">
        <f ca="1">ROUND(SJRIPSummaryRAW!E59,-2)</f>
        <v>7300</v>
      </c>
      <c r="J52" s="251"/>
      <c r="K52" s="269">
        <f>ROUND(SJRIPSummaryRAW!G59,-2)</f>
        <v>107500</v>
      </c>
      <c r="L52" s="29"/>
      <c r="M52" s="21"/>
      <c r="N52" s="477" t="s">
        <v>630</v>
      </c>
      <c r="O52"/>
      <c r="P52"/>
      <c r="Q52"/>
      <c r="R52"/>
      <c r="S52"/>
      <c r="T52"/>
      <c r="U52"/>
      <c r="V52"/>
      <c r="W52"/>
    </row>
    <row r="53" spans="1:23" ht="15.75" thickBot="1" x14ac:dyDescent="0.3">
      <c r="A53" s="32"/>
      <c r="B53" s="622"/>
      <c r="C53" s="623"/>
      <c r="D53" s="623"/>
      <c r="E53" s="204" t="s">
        <v>121</v>
      </c>
      <c r="F53" s="218">
        <f ca="1">ROUND(SJRIPSummaryRAW!B61,-2)</f>
        <v>5000</v>
      </c>
      <c r="G53" s="153"/>
      <c r="H53" s="223">
        <f ca="1">ROUND(SJRIPSummaryRAW!D61,-2)</f>
        <v>5000</v>
      </c>
      <c r="I53" s="224">
        <f ca="1">ROUND(SJRIPSummaryRAW!E61,-2)</f>
        <v>4900</v>
      </c>
      <c r="J53" s="253"/>
      <c r="K53" s="276">
        <f>ROUND(SJRIPSummaryRAW!G61,-2)</f>
        <v>4500</v>
      </c>
      <c r="L53" s="32"/>
      <c r="M53" s="21"/>
      <c r="N53" s="477" t="s">
        <v>630</v>
      </c>
      <c r="O53"/>
      <c r="P53"/>
      <c r="Q53"/>
      <c r="R53"/>
      <c r="S53"/>
      <c r="T53"/>
      <c r="U53"/>
      <c r="V53"/>
      <c r="W53"/>
    </row>
    <row r="54" spans="1:23" ht="15.75" thickBot="1" x14ac:dyDescent="0.3">
      <c r="A54" s="33"/>
      <c r="B54" s="624" t="s">
        <v>122</v>
      </c>
      <c r="C54" s="625"/>
      <c r="D54" s="625"/>
      <c r="E54" s="626"/>
      <c r="F54" s="238">
        <f ca="1">SUM(F50:F53)</f>
        <v>203000</v>
      </c>
      <c r="G54" s="162"/>
      <c r="H54" s="179"/>
      <c r="I54" s="217"/>
      <c r="J54" s="254"/>
      <c r="K54" s="277">
        <f>ROUND(SJRIPSummaryRAW!G62,-2)</f>
        <v>175700</v>
      </c>
      <c r="L54" s="33"/>
      <c r="M54" s="21"/>
      <c r="N54" s="477" t="s">
        <v>630</v>
      </c>
      <c r="O54"/>
      <c r="P54"/>
      <c r="Q54"/>
      <c r="R54"/>
      <c r="S54"/>
      <c r="T54"/>
      <c r="U54"/>
      <c r="V54"/>
      <c r="W54"/>
    </row>
    <row r="55" spans="1:23" x14ac:dyDescent="0.25">
      <c r="A55" s="34"/>
      <c r="B55" s="627" t="s">
        <v>123</v>
      </c>
      <c r="C55" s="628"/>
      <c r="D55" s="628"/>
      <c r="E55" s="188" t="s">
        <v>124</v>
      </c>
      <c r="F55" s="237">
        <f ca="1">ROUND(SJRIPSummaryRAW!B64,-1)</f>
        <v>210</v>
      </c>
      <c r="G55" s="205"/>
      <c r="H55" s="219">
        <f ca="1">ROUND(SJRIPSummaryRAW!D64,-1)</f>
        <v>210</v>
      </c>
      <c r="I55" s="220">
        <f ca="1">ROUND(SJRIPSummaryRAW!E64,-1)</f>
        <v>210</v>
      </c>
      <c r="J55" s="255"/>
      <c r="K55" s="278"/>
      <c r="L55" s="34"/>
      <c r="M55" s="21"/>
      <c r="N55" s="477" t="s">
        <v>630</v>
      </c>
      <c r="O55"/>
      <c r="P55"/>
      <c r="Q55"/>
      <c r="R55"/>
      <c r="S55"/>
      <c r="T55"/>
      <c r="U55"/>
      <c r="V55"/>
      <c r="W55"/>
    </row>
    <row r="56" spans="1:23" x14ac:dyDescent="0.25">
      <c r="A56" s="34"/>
      <c r="B56" s="629"/>
      <c r="C56" s="630"/>
      <c r="D56" s="630"/>
      <c r="E56" s="175" t="s">
        <v>125</v>
      </c>
      <c r="F56" s="174">
        <f ca="1">ROUND(SJRIPSummaryRAW!B65,-2)</f>
        <v>136300</v>
      </c>
      <c r="G56" s="205"/>
      <c r="H56" s="221">
        <f ca="1">ROUND(SJRIPSummaryRAW!D65,-2)</f>
        <v>168500</v>
      </c>
      <c r="I56" s="222">
        <f ca="1">ROUND(SJRIPSummaryRAW!E65,-2)</f>
        <v>84200</v>
      </c>
      <c r="J56" s="255"/>
      <c r="K56" s="279"/>
      <c r="L56" s="34"/>
      <c r="M56" s="21"/>
      <c r="N56" s="477" t="s">
        <v>630</v>
      </c>
      <c r="O56"/>
      <c r="P56"/>
      <c r="Q56"/>
      <c r="R56"/>
      <c r="S56"/>
      <c r="T56"/>
      <c r="U56"/>
      <c r="V56"/>
      <c r="W56"/>
    </row>
    <row r="57" spans="1:23" x14ac:dyDescent="0.25">
      <c r="A57" s="34"/>
      <c r="B57" s="629"/>
      <c r="C57" s="630"/>
      <c r="D57" s="630"/>
      <c r="E57" s="175" t="s">
        <v>126</v>
      </c>
      <c r="F57" s="174">
        <f ca="1">ROUND(SJRIPSummaryRAW!B66,-2)</f>
        <v>214700</v>
      </c>
      <c r="G57" s="205"/>
      <c r="H57" s="221">
        <f ca="1">ROUND(SJRIPSummaryRAW!D66,-2)</f>
        <v>264000</v>
      </c>
      <c r="I57" s="222">
        <f ca="1">ROUND(SJRIPSummaryRAW!E66,-2)</f>
        <v>130300</v>
      </c>
      <c r="J57" s="255"/>
      <c r="K57" s="279"/>
      <c r="L57" s="34"/>
      <c r="M57" s="21"/>
      <c r="N57" s="477" t="s">
        <v>630</v>
      </c>
      <c r="O57"/>
      <c r="P57"/>
      <c r="Q57"/>
      <c r="R57"/>
      <c r="S57"/>
      <c r="T57"/>
      <c r="U57"/>
      <c r="V57"/>
      <c r="W57"/>
    </row>
    <row r="58" spans="1:23" ht="15.75" thickBot="1" x14ac:dyDescent="0.3">
      <c r="A58" s="35"/>
      <c r="B58" s="629"/>
      <c r="C58" s="630"/>
      <c r="D58" s="630"/>
      <c r="E58" s="204" t="s">
        <v>355</v>
      </c>
      <c r="F58" s="218">
        <f ca="1">ROUND(SJRIPSummaryRAW!B67,-2)</f>
        <v>78200</v>
      </c>
      <c r="G58" s="154"/>
      <c r="H58" s="223">
        <f ca="1">ROUND(SJRIPSummaryRAW!D67,-2)</f>
        <v>129100</v>
      </c>
      <c r="I58" s="224">
        <f ca="1">ROUND(SJRIPSummaryRAW!E67,-2)</f>
        <v>35800</v>
      </c>
      <c r="J58" s="256"/>
      <c r="K58" s="270">
        <f>ROUND(SJRIPSummaryRAW!G67,-2)</f>
        <v>11800</v>
      </c>
      <c r="L58" s="35"/>
      <c r="M58" s="21"/>
      <c r="N58" s="477" t="s">
        <v>630</v>
      </c>
      <c r="O58"/>
      <c r="P58"/>
      <c r="Q58"/>
      <c r="R58"/>
      <c r="S58"/>
      <c r="T58"/>
      <c r="U58"/>
      <c r="V58"/>
      <c r="W58"/>
    </row>
    <row r="59" spans="1:23" ht="15.75" thickBot="1" x14ac:dyDescent="0.3">
      <c r="A59" s="22"/>
      <c r="B59" s="633" t="s">
        <v>127</v>
      </c>
      <c r="C59" s="634"/>
      <c r="D59" s="634"/>
      <c r="E59" s="635"/>
      <c r="F59" s="407">
        <f ca="1">ROUND(SJRIPSummaryRAW!B68,-2)</f>
        <v>12300</v>
      </c>
      <c r="G59" s="149"/>
      <c r="H59" s="225">
        <f ca="1">ROUND(SJRIPSummaryRAW!D68,-2)</f>
        <v>12300</v>
      </c>
      <c r="I59" s="226">
        <f ca="1">ROUND(SJRIPSummaryRAW!E68,-2)</f>
        <v>12300</v>
      </c>
      <c r="J59" s="245"/>
      <c r="K59" s="490">
        <f>ROUND(SJRIPSummaryRAW!G68,-2)</f>
        <v>9100</v>
      </c>
      <c r="L59" s="22"/>
      <c r="M59" s="21"/>
      <c r="N59" s="477" t="s">
        <v>630</v>
      </c>
      <c r="O59"/>
      <c r="P59"/>
      <c r="Q59"/>
      <c r="R59"/>
      <c r="S59"/>
      <c r="T59"/>
      <c r="U59"/>
      <c r="V59"/>
      <c r="W59"/>
    </row>
    <row r="60" spans="1:23" ht="15.75" thickBot="1" x14ac:dyDescent="0.3">
      <c r="A60" s="27"/>
      <c r="B60" s="193"/>
      <c r="C60" s="194"/>
      <c r="D60" s="194"/>
      <c r="E60" s="194"/>
      <c r="F60" s="203"/>
      <c r="G60" s="167"/>
      <c r="H60" s="473"/>
      <c r="I60" s="474"/>
      <c r="J60" s="195"/>
      <c r="K60" s="183"/>
      <c r="L60" s="24"/>
      <c r="M60" s="21"/>
      <c r="N60" s="477"/>
      <c r="O60" s="11"/>
      <c r="P60" s="11"/>
      <c r="Q60" s="11"/>
      <c r="R60" s="12"/>
    </row>
    <row r="61" spans="1:23" customFormat="1" ht="15.75" thickBot="1" x14ac:dyDescent="0.3">
      <c r="A61" s="5"/>
      <c r="B61" s="631" t="s">
        <v>579</v>
      </c>
      <c r="C61" s="632"/>
      <c r="D61" s="632"/>
      <c r="E61" s="632"/>
      <c r="F61" s="422">
        <f ca="1">ROUND(SJRIPSummaryRAW!B69,-2)</f>
        <v>939200</v>
      </c>
      <c r="G61" s="167"/>
      <c r="H61" s="475"/>
      <c r="I61" s="475"/>
      <c r="J61" s="195"/>
      <c r="K61" s="491"/>
      <c r="L61" s="24"/>
      <c r="M61" s="476"/>
      <c r="N61" s="477" t="s">
        <v>630</v>
      </c>
      <c r="O61" s="11"/>
    </row>
    <row r="62" spans="1:23" customFormat="1" ht="15.75" thickBot="1" x14ac:dyDescent="0.3">
      <c r="A62" s="5"/>
      <c r="B62" s="640" t="s">
        <v>580</v>
      </c>
      <c r="C62" s="641"/>
      <c r="D62" s="641"/>
      <c r="E62" s="641"/>
      <c r="F62" s="422">
        <f ca="1">ROUND(SJRIPSummaryRAW!B70,-2)</f>
        <v>861000</v>
      </c>
      <c r="G62" s="167"/>
      <c r="H62" s="400"/>
      <c r="I62" s="400"/>
      <c r="J62" s="195"/>
      <c r="K62" s="489">
        <f>ROUND(SJRIPSummaryRAW!G70,-2)</f>
        <v>851000</v>
      </c>
      <c r="L62" s="24"/>
      <c r="M62" s="476"/>
      <c r="N62" s="477" t="s">
        <v>630</v>
      </c>
      <c r="O62" s="11"/>
    </row>
    <row r="63" spans="1:23" customFormat="1" ht="15.75" thickBot="1" x14ac:dyDescent="0.3">
      <c r="A63" s="393"/>
      <c r="B63" s="642" t="s">
        <v>582</v>
      </c>
      <c r="C63" s="643"/>
      <c r="D63" s="643"/>
      <c r="E63" s="644"/>
      <c r="F63" s="207">
        <f ca="1">ROUND(SJRIPSummaryRAW!B71,-2)</f>
        <v>875900</v>
      </c>
      <c r="G63" s="181"/>
      <c r="H63" s="400"/>
      <c r="I63" s="400"/>
      <c r="J63" s="195"/>
      <c r="K63" s="489">
        <f>ROUND(SJRIPSummaryRAW!G71,-2)</f>
        <v>854400</v>
      </c>
      <c r="L63" s="24"/>
      <c r="M63" s="476"/>
      <c r="N63" s="477" t="s">
        <v>630</v>
      </c>
      <c r="O63" s="11"/>
    </row>
    <row r="64" spans="1:23" ht="15.75" thickBot="1" x14ac:dyDescent="0.3">
      <c r="A64" s="27"/>
      <c r="B64" s="193"/>
      <c r="C64" s="194"/>
      <c r="D64" s="194"/>
      <c r="E64" s="194"/>
      <c r="F64" s="203"/>
      <c r="G64" s="203"/>
      <c r="H64" s="203"/>
      <c r="I64" s="203"/>
      <c r="J64" s="203"/>
      <c r="K64" s="203"/>
      <c r="L64" s="203"/>
      <c r="M64" s="475"/>
      <c r="N64" s="475"/>
      <c r="O64"/>
      <c r="P64"/>
      <c r="Q64"/>
      <c r="R64"/>
      <c r="S64"/>
      <c r="T64"/>
      <c r="U64"/>
      <c r="V64"/>
      <c r="W64"/>
    </row>
    <row r="65" spans="1:18" ht="15.75" thickBot="1" x14ac:dyDescent="0.3">
      <c r="A65" s="27"/>
      <c r="B65" s="645" t="s">
        <v>581</v>
      </c>
      <c r="C65" s="646"/>
      <c r="D65" s="646"/>
      <c r="E65" s="411" t="s">
        <v>151</v>
      </c>
      <c r="F65" s="414">
        <f>ROUND(SJRIPSummaryRAW!B74,-2)</f>
        <v>10000</v>
      </c>
      <c r="G65" s="167"/>
      <c r="H65" s="400"/>
      <c r="I65" s="475"/>
      <c r="J65" s="475"/>
      <c r="K65" s="475"/>
      <c r="L65" s="475"/>
      <c r="M65" s="475"/>
      <c r="N65" s="475"/>
      <c r="O65"/>
      <c r="P65"/>
      <c r="Q65"/>
      <c r="R65"/>
    </row>
    <row r="66" spans="1:18" ht="15.75" thickBot="1" x14ac:dyDescent="0.3">
      <c r="A66" s="27"/>
      <c r="B66" s="647"/>
      <c r="C66" s="609"/>
      <c r="D66" s="609"/>
      <c r="E66" s="412" t="s">
        <v>305</v>
      </c>
      <c r="F66" s="415">
        <f>ROUND(SJRIPSummaryRAW!B75,-2)</f>
        <v>2800</v>
      </c>
      <c r="G66" s="167"/>
      <c r="H66" s="382"/>
      <c r="I66" s="475"/>
      <c r="J66" s="475"/>
      <c r="K66" s="475"/>
      <c r="L66" s="475"/>
      <c r="M66" s="475"/>
      <c r="N66" s="475"/>
      <c r="O66"/>
      <c r="P66"/>
      <c r="Q66"/>
      <c r="R66"/>
    </row>
    <row r="67" spans="1:18" ht="15.75" thickBot="1" x14ac:dyDescent="0.3">
      <c r="A67" s="27"/>
      <c r="B67" s="647"/>
      <c r="C67" s="609"/>
      <c r="D67" s="609"/>
      <c r="E67" s="412" t="s">
        <v>306</v>
      </c>
      <c r="F67" s="415">
        <f>ROUND(SJRIPSummaryRAW!B76,-2)</f>
        <v>500</v>
      </c>
      <c r="G67" s="167"/>
      <c r="I67" s="475"/>
      <c r="J67" s="475"/>
      <c r="K67" s="475"/>
      <c r="L67" s="475"/>
      <c r="M67" s="475"/>
      <c r="N67" s="475"/>
      <c r="O67"/>
      <c r="P67"/>
      <c r="Q67"/>
      <c r="R67"/>
    </row>
    <row r="68" spans="1:18" ht="15.75" thickBot="1" x14ac:dyDescent="0.3">
      <c r="A68" s="27"/>
      <c r="B68" s="647"/>
      <c r="C68" s="609"/>
      <c r="D68" s="609"/>
      <c r="E68" s="412" t="s">
        <v>164</v>
      </c>
      <c r="F68" s="415">
        <f>ROUND(SJRIPSummaryRAW!B77,-2)</f>
        <v>100</v>
      </c>
      <c r="G68" s="167"/>
      <c r="I68" s="475"/>
      <c r="J68" s="475"/>
      <c r="K68" s="475"/>
      <c r="L68" s="475"/>
      <c r="M68" s="475"/>
      <c r="N68" s="475"/>
      <c r="O68"/>
      <c r="P68"/>
      <c r="Q68"/>
      <c r="R68"/>
    </row>
    <row r="69" spans="1:18" ht="15.75" thickBot="1" x14ac:dyDescent="0.3">
      <c r="A69" s="27"/>
      <c r="B69" s="648"/>
      <c r="C69" s="649"/>
      <c r="D69" s="649"/>
      <c r="E69" s="413" t="s">
        <v>304</v>
      </c>
      <c r="F69" s="416">
        <f>ROUND(SJRIPSummaryRAW!B78,-2)</f>
        <v>1400</v>
      </c>
      <c r="G69" s="167"/>
      <c r="I69" s="475"/>
      <c r="J69" s="475"/>
      <c r="K69" s="475"/>
      <c r="L69" s="475"/>
      <c r="M69" s="475"/>
      <c r="N69" s="475"/>
      <c r="O69"/>
      <c r="P69"/>
      <c r="Q69"/>
      <c r="R69"/>
    </row>
    <row r="70" spans="1:18" ht="15.75" thickBot="1" x14ac:dyDescent="0.3">
      <c r="A70" s="27"/>
      <c r="B70" s="665" t="s">
        <v>583</v>
      </c>
      <c r="C70" s="666"/>
      <c r="D70" s="666"/>
      <c r="E70" s="667"/>
      <c r="F70" s="417">
        <f>ROUND(SJRIPSummaryRAW!B79,-2)</f>
        <v>14900</v>
      </c>
      <c r="G70" s="167"/>
      <c r="I70" s="475"/>
      <c r="J70" s="475"/>
      <c r="K70" s="475"/>
      <c r="L70" s="475"/>
      <c r="M70" s="475"/>
      <c r="N70" s="475"/>
      <c r="O70"/>
      <c r="P70"/>
      <c r="Q70"/>
      <c r="R70"/>
    </row>
    <row r="71" spans="1:18" customFormat="1" x14ac:dyDescent="0.25">
      <c r="I71" s="475"/>
      <c r="J71" s="475"/>
      <c r="K71" s="475"/>
      <c r="L71" s="475"/>
      <c r="M71" s="475"/>
      <c r="N71" s="475"/>
    </row>
    <row r="72" spans="1:18" customFormat="1" x14ac:dyDescent="0.25">
      <c r="B72" s="124" t="s">
        <v>641</v>
      </c>
    </row>
    <row r="73" spans="1:18" customFormat="1" x14ac:dyDescent="0.25">
      <c r="B73" t="s">
        <v>663</v>
      </c>
    </row>
    <row r="74" spans="1:18" customFormat="1" x14ac:dyDescent="0.25">
      <c r="B74" t="s">
        <v>664</v>
      </c>
    </row>
    <row r="75" spans="1:18" customFormat="1" x14ac:dyDescent="0.25">
      <c r="B75" t="s">
        <v>642</v>
      </c>
    </row>
    <row r="76" spans="1:18" customFormat="1" x14ac:dyDescent="0.25">
      <c r="B76" t="s">
        <v>662</v>
      </c>
    </row>
    <row r="77" spans="1:18" customFormat="1" ht="15.75" thickBot="1" x14ac:dyDescent="0.3"/>
    <row r="78" spans="1:18" x14ac:dyDescent="0.25">
      <c r="N78" s="653" t="s">
        <v>131</v>
      </c>
      <c r="O78" s="654"/>
      <c r="P78" s="654"/>
      <c r="Q78" s="654"/>
      <c r="R78" s="655"/>
    </row>
    <row r="79" spans="1:18" ht="15.75" thickBot="1" x14ac:dyDescent="0.3">
      <c r="B79" s="10"/>
      <c r="N79" s="656"/>
      <c r="O79" s="657"/>
      <c r="P79" s="657"/>
      <c r="Q79" s="657"/>
      <c r="R79" s="658"/>
    </row>
    <row r="80" spans="1:18" x14ac:dyDescent="0.25">
      <c r="B80" s="10"/>
      <c r="N80" s="659" t="s">
        <v>132</v>
      </c>
      <c r="O80" s="661" t="s">
        <v>64</v>
      </c>
      <c r="P80" s="40" t="s">
        <v>133</v>
      </c>
      <c r="Q80" s="41" t="s">
        <v>134</v>
      </c>
      <c r="R80" s="663" t="s">
        <v>130</v>
      </c>
    </row>
    <row r="81" spans="1:18" ht="26.25" x14ac:dyDescent="0.25">
      <c r="B81" s="10"/>
      <c r="N81" s="659"/>
      <c r="O81" s="661"/>
      <c r="P81" s="43" t="s">
        <v>65</v>
      </c>
      <c r="Q81" s="44" t="s">
        <v>65</v>
      </c>
      <c r="R81" s="663"/>
    </row>
    <row r="82" spans="1:18" ht="15.75" thickBot="1" x14ac:dyDescent="0.3">
      <c r="N82" s="660"/>
      <c r="O82" s="662"/>
      <c r="P82" s="45" t="s">
        <v>67</v>
      </c>
      <c r="Q82" s="46" t="s">
        <v>67</v>
      </c>
      <c r="R82" s="664"/>
    </row>
    <row r="83" spans="1:18" x14ac:dyDescent="0.25">
      <c r="N83" s="47" t="s">
        <v>135</v>
      </c>
      <c r="O83" s="48"/>
      <c r="P83" s="49"/>
      <c r="Q83" s="50"/>
      <c r="R83" s="51"/>
    </row>
    <row r="84" spans="1:18" x14ac:dyDescent="0.25">
      <c r="N84" s="52"/>
      <c r="O84" s="38" t="s">
        <v>73</v>
      </c>
      <c r="P84" s="53">
        <f ca="1">F8</f>
        <v>247700</v>
      </c>
      <c r="Q84" s="54">
        <v>270000</v>
      </c>
      <c r="R84" s="55" t="s">
        <v>136</v>
      </c>
    </row>
    <row r="85" spans="1:18" x14ac:dyDescent="0.25">
      <c r="N85" s="52"/>
      <c r="O85" s="38" t="s">
        <v>137</v>
      </c>
      <c r="P85" s="53">
        <f ca="1">F10+F12</f>
        <v>13000</v>
      </c>
      <c r="Q85" s="54">
        <v>21280</v>
      </c>
      <c r="R85" s="55"/>
    </row>
    <row r="86" spans="1:18" x14ac:dyDescent="0.25">
      <c r="N86" s="52"/>
      <c r="O86" s="38" t="s">
        <v>138</v>
      </c>
      <c r="P86" s="53">
        <f ca="1">F11</f>
        <v>7900</v>
      </c>
      <c r="Q86" s="54">
        <v>7970</v>
      </c>
      <c r="R86" s="55"/>
    </row>
    <row r="87" spans="1:18" x14ac:dyDescent="0.25">
      <c r="N87" s="52"/>
      <c r="O87" s="38" t="s">
        <v>139</v>
      </c>
      <c r="P87" s="405">
        <f ca="1">AnnualDepletions!$BB$1</f>
        <v>1300.0000000005816</v>
      </c>
      <c r="Q87" s="57">
        <v>1300</v>
      </c>
      <c r="R87" s="55"/>
    </row>
    <row r="88" spans="1:18" ht="15.75" thickBot="1" x14ac:dyDescent="0.3">
      <c r="N88" s="58"/>
      <c r="O88" s="59"/>
      <c r="P88" s="60"/>
      <c r="Q88" s="61"/>
      <c r="R88" s="62"/>
    </row>
    <row r="89" spans="1:18" s="39" customFormat="1" x14ac:dyDescent="0.25">
      <c r="A89"/>
      <c r="B89"/>
      <c r="C89"/>
      <c r="D89"/>
      <c r="E89"/>
      <c r="F89"/>
      <c r="G89"/>
      <c r="H89"/>
      <c r="I89"/>
      <c r="J89"/>
      <c r="K89"/>
      <c r="L89"/>
      <c r="M89"/>
      <c r="N89" s="47" t="s">
        <v>140</v>
      </c>
      <c r="O89" s="48"/>
      <c r="P89" s="63"/>
      <c r="Q89" s="64"/>
      <c r="R89" s="51"/>
    </row>
    <row r="90" spans="1:18" ht="26.25" x14ac:dyDescent="0.25">
      <c r="N90" s="52"/>
      <c r="O90" s="38" t="s">
        <v>141</v>
      </c>
      <c r="P90" s="53">
        <f ca="1">F24+F14</f>
        <v>1440</v>
      </c>
      <c r="Q90" s="57">
        <v>2195</v>
      </c>
      <c r="R90" s="353" t="s">
        <v>567</v>
      </c>
    </row>
    <row r="91" spans="1:18" x14ac:dyDescent="0.25">
      <c r="N91" s="52"/>
      <c r="O91" s="38" t="s">
        <v>142</v>
      </c>
      <c r="P91" s="53">
        <f>Q91</f>
        <v>16800</v>
      </c>
      <c r="Q91" s="57">
        <v>16800</v>
      </c>
      <c r="R91" s="650" t="s">
        <v>143</v>
      </c>
    </row>
    <row r="92" spans="1:18" ht="15.75" thickBot="1" x14ac:dyDescent="0.3">
      <c r="N92" s="58"/>
      <c r="O92" s="65"/>
      <c r="P92" s="60"/>
      <c r="Q92" s="61"/>
      <c r="R92" s="651"/>
    </row>
    <row r="93" spans="1:18" x14ac:dyDescent="0.25">
      <c r="N93" s="47" t="s">
        <v>665</v>
      </c>
      <c r="O93" s="48"/>
      <c r="P93" s="63"/>
      <c r="Q93" s="64"/>
      <c r="R93" s="652" t="s">
        <v>144</v>
      </c>
    </row>
    <row r="94" spans="1:18" x14ac:dyDescent="0.25">
      <c r="N94" s="66"/>
      <c r="O94" s="38" t="s">
        <v>145</v>
      </c>
      <c r="P94" s="53">
        <f ca="1">F44</f>
        <v>11900</v>
      </c>
      <c r="Q94" s="57">
        <v>15510</v>
      </c>
      <c r="R94" s="650"/>
    </row>
    <row r="95" spans="1:18" x14ac:dyDescent="0.25">
      <c r="N95" s="52"/>
      <c r="O95" s="38" t="s">
        <v>123</v>
      </c>
      <c r="P95" s="53">
        <f ca="1">F55</f>
        <v>210</v>
      </c>
      <c r="Q95" s="57">
        <v>17780</v>
      </c>
      <c r="R95" s="650"/>
    </row>
    <row r="96" spans="1:18" ht="15.75" thickBot="1" x14ac:dyDescent="0.3">
      <c r="N96" s="58"/>
      <c r="O96" s="59"/>
      <c r="P96" s="60"/>
      <c r="Q96" s="61"/>
      <c r="R96" s="651"/>
    </row>
    <row r="97" spans="14:20" x14ac:dyDescent="0.25">
      <c r="N97" s="47" t="s">
        <v>146</v>
      </c>
      <c r="O97" s="48"/>
      <c r="P97" s="63"/>
      <c r="Q97" s="64"/>
      <c r="R97" s="51"/>
    </row>
    <row r="98" spans="14:20" x14ac:dyDescent="0.25">
      <c r="N98" s="52"/>
      <c r="O98" s="38" t="s">
        <v>147</v>
      </c>
      <c r="P98" s="53">
        <f ca="1">F37</f>
        <v>24800</v>
      </c>
      <c r="Q98" s="67" t="s">
        <v>148</v>
      </c>
      <c r="R98" s="636" t="s">
        <v>149</v>
      </c>
      <c r="S98" s="39"/>
      <c r="T98" s="39"/>
    </row>
    <row r="99" spans="14:20" x14ac:dyDescent="0.25">
      <c r="N99" s="52"/>
      <c r="O99" s="38" t="s">
        <v>142</v>
      </c>
      <c r="P99" s="53">
        <f ca="1">F43</f>
        <v>1300</v>
      </c>
      <c r="Q99" s="67" t="s">
        <v>148</v>
      </c>
      <c r="R99" s="636"/>
    </row>
    <row r="100" spans="14:20" ht="15.75" thickBot="1" x14ac:dyDescent="0.3">
      <c r="N100" s="58"/>
      <c r="O100" s="59"/>
      <c r="P100" s="60"/>
      <c r="Q100" s="61"/>
      <c r="R100" s="68"/>
    </row>
    <row r="101" spans="14:20" ht="15.75" thickBot="1" x14ac:dyDescent="0.3">
      <c r="N101" s="637" t="s">
        <v>150</v>
      </c>
      <c r="O101" s="638"/>
      <c r="P101" s="638"/>
      <c r="Q101" s="638"/>
      <c r="R101" s="639"/>
    </row>
    <row r="102" spans="14:20" x14ac:dyDescent="0.25">
      <c r="N102" s="52"/>
      <c r="O102" s="69" t="s">
        <v>135</v>
      </c>
      <c r="P102" s="53"/>
      <c r="Q102" s="57">
        <v>20780</v>
      </c>
      <c r="R102" s="70"/>
    </row>
    <row r="103" spans="14:20" x14ac:dyDescent="0.25">
      <c r="N103" s="52"/>
      <c r="O103" s="69" t="s">
        <v>140</v>
      </c>
      <c r="P103" s="53"/>
      <c r="Q103" s="57">
        <f>1200+7500</f>
        <v>8700</v>
      </c>
      <c r="R103" s="70"/>
    </row>
    <row r="104" spans="14:20" x14ac:dyDescent="0.25">
      <c r="N104" s="52"/>
      <c r="O104" s="69" t="s">
        <v>151</v>
      </c>
      <c r="P104" s="53"/>
      <c r="Q104" s="57">
        <v>6411</v>
      </c>
      <c r="R104" s="70"/>
    </row>
    <row r="105" spans="14:20" x14ac:dyDescent="0.25">
      <c r="N105" s="52"/>
      <c r="O105" s="71" t="s">
        <v>62</v>
      </c>
      <c r="P105" s="53">
        <f ca="1">F50</f>
        <v>35700</v>
      </c>
      <c r="Q105" s="57">
        <f>SUM(Q102:Q104)</f>
        <v>35891</v>
      </c>
      <c r="R105" s="55" t="s">
        <v>152</v>
      </c>
    </row>
    <row r="106" spans="14:20" ht="15.75" thickBot="1" x14ac:dyDescent="0.3">
      <c r="N106" s="58"/>
      <c r="O106" s="59"/>
      <c r="P106" s="60"/>
      <c r="Q106" s="61"/>
      <c r="R106" s="72"/>
    </row>
    <row r="107" spans="14:20" ht="15.75" thickBot="1" x14ac:dyDescent="0.3">
      <c r="N107" s="637" t="s">
        <v>153</v>
      </c>
      <c r="O107" s="638"/>
      <c r="P107" s="638"/>
      <c r="Q107" s="638"/>
      <c r="R107" s="639"/>
    </row>
    <row r="108" spans="14:20" x14ac:dyDescent="0.25">
      <c r="N108" s="52"/>
      <c r="O108" s="69" t="s">
        <v>154</v>
      </c>
      <c r="P108" s="73">
        <f ca="1">AnnualDepletions!$G$1</f>
        <v>2334.4100000015387</v>
      </c>
      <c r="Q108" s="57">
        <v>2340</v>
      </c>
      <c r="R108" s="70"/>
    </row>
    <row r="109" spans="14:20" x14ac:dyDescent="0.25">
      <c r="N109" s="52"/>
      <c r="O109" s="69" t="s">
        <v>155</v>
      </c>
      <c r="P109" s="552"/>
      <c r="Q109" s="57">
        <v>16525</v>
      </c>
      <c r="R109" s="70" t="s">
        <v>156</v>
      </c>
    </row>
    <row r="110" spans="14:20" x14ac:dyDescent="0.25">
      <c r="N110" s="52"/>
      <c r="O110" s="504" t="s">
        <v>670</v>
      </c>
      <c r="P110" s="552"/>
      <c r="Q110" s="57">
        <v>16525</v>
      </c>
      <c r="R110" s="70"/>
    </row>
    <row r="111" spans="14:20" x14ac:dyDescent="0.25">
      <c r="N111" s="52"/>
      <c r="O111" s="38"/>
      <c r="P111" s="56"/>
      <c r="Q111" s="52"/>
      <c r="R111" s="70"/>
    </row>
    <row r="112" spans="14:20" x14ac:dyDescent="0.25">
      <c r="N112" s="52"/>
      <c r="O112" s="71" t="s">
        <v>157</v>
      </c>
      <c r="P112" s="53">
        <f ca="1">F51</f>
        <v>57100</v>
      </c>
      <c r="Q112" s="57"/>
      <c r="R112" s="70"/>
    </row>
    <row r="113" spans="14:18" ht="15.75" thickBot="1" x14ac:dyDescent="0.3">
      <c r="N113" s="58"/>
      <c r="O113" s="59"/>
      <c r="P113" s="74"/>
      <c r="Q113" s="58"/>
      <c r="R113" s="72"/>
    </row>
  </sheetData>
  <mergeCells count="43">
    <mergeCell ref="R98:R99"/>
    <mergeCell ref="N101:R101"/>
    <mergeCell ref="N107:R107"/>
    <mergeCell ref="B62:E62"/>
    <mergeCell ref="B63:E63"/>
    <mergeCell ref="B65:D69"/>
    <mergeCell ref="R91:R92"/>
    <mergeCell ref="R93:R96"/>
    <mergeCell ref="N78:R78"/>
    <mergeCell ref="N79:R79"/>
    <mergeCell ref="N80:N82"/>
    <mergeCell ref="O80:O82"/>
    <mergeCell ref="R80:R82"/>
    <mergeCell ref="B70:E70"/>
    <mergeCell ref="B48:E48"/>
    <mergeCell ref="B50:D53"/>
    <mergeCell ref="B54:E54"/>
    <mergeCell ref="B55:D58"/>
    <mergeCell ref="B61:E61"/>
    <mergeCell ref="B59:E59"/>
    <mergeCell ref="B8:B31"/>
    <mergeCell ref="C8:C22"/>
    <mergeCell ref="D8:D13"/>
    <mergeCell ref="D15:D22"/>
    <mergeCell ref="C23:E23"/>
    <mergeCell ref="C25:D30"/>
    <mergeCell ref="C31:E31"/>
    <mergeCell ref="N2:N4"/>
    <mergeCell ref="B46:E46"/>
    <mergeCell ref="B32:E32"/>
    <mergeCell ref="B34:B45"/>
    <mergeCell ref="C34:D37"/>
    <mergeCell ref="C38:E38"/>
    <mergeCell ref="C39:D44"/>
    <mergeCell ref="C45:E45"/>
    <mergeCell ref="B5:E6"/>
    <mergeCell ref="F5:F6"/>
    <mergeCell ref="H5:I6"/>
    <mergeCell ref="B3:D3"/>
    <mergeCell ref="E3:K3"/>
    <mergeCell ref="B2:K2"/>
    <mergeCell ref="B4:K4"/>
    <mergeCell ref="K5:K6"/>
  </mergeCells>
  <hyperlinks>
    <hyperlink ref="N8" location="AnnualResultsViewer!E2" display="View Annual Results" xr:uid="{00000000-0004-0000-0000-000000000000}"/>
    <hyperlink ref="N9:N32" location="AnnualResultsViewer!E2" display="View Annual Results" xr:uid="{00000000-0004-0000-0000-000001000000}"/>
    <hyperlink ref="N34:N46" location="AnnualResultsViewer!E2" display="View Annual Results" xr:uid="{00000000-0004-0000-0000-000002000000}"/>
    <hyperlink ref="N48" location="AnnualResultsViewer!E2" display="View Annual Results" xr:uid="{00000000-0004-0000-0000-000003000000}"/>
    <hyperlink ref="N50:N59" location="AnnualResultsViewer!E2" display="View Annual Results" xr:uid="{00000000-0004-0000-0000-000004000000}"/>
    <hyperlink ref="N61:N63" location="AnnualResultsViewer!E2" display="View Annual Results" xr:uid="{00000000-0004-0000-0000-000005000000}"/>
  </hyperlinks>
  <pageMargins left="0.75" right="0.75" top="1" bottom="1" header="0.5" footer="0.5"/>
  <pageSetup scale="31"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A9E8B-DFD5-4315-B52D-8D6F8CB0B89A}">
  <sheetPr codeName="Sheet2">
    <tabColor rgb="FF00B0F0"/>
  </sheetPr>
  <dimension ref="B1:AQ107"/>
  <sheetViews>
    <sheetView zoomScale="85" zoomScaleNormal="85" workbookViewId="0">
      <selection activeCell="K3" sqref="K3"/>
    </sheetView>
  </sheetViews>
  <sheetFormatPr defaultRowHeight="15" x14ac:dyDescent="0.25"/>
  <cols>
    <col min="1" max="1" width="3.42578125" customWidth="1"/>
    <col min="2" max="2" width="12.85546875" bestFit="1" customWidth="1"/>
    <col min="3" max="9" width="13.7109375" customWidth="1"/>
    <col min="10" max="10" width="9.140625" customWidth="1"/>
    <col min="11" max="13" width="10.85546875" customWidth="1"/>
    <col min="14" max="14" width="10.28515625" customWidth="1"/>
    <col min="39" max="39" width="10.140625" customWidth="1"/>
    <col min="40" max="40" width="10.85546875" customWidth="1"/>
    <col min="41" max="41" width="11.85546875" customWidth="1"/>
    <col min="42" max="42" width="10.85546875" customWidth="1"/>
    <col min="43" max="43" width="11.85546875" customWidth="1"/>
  </cols>
  <sheetData>
    <row r="1" spans="2:43" ht="15.75" thickBot="1" x14ac:dyDescent="0.3">
      <c r="AM1" s="444" t="s">
        <v>599</v>
      </c>
      <c r="AN1" s="444"/>
      <c r="AO1" s="444"/>
      <c r="AP1" s="444"/>
      <c r="AQ1" s="444"/>
    </row>
    <row r="2" spans="2:43" ht="30.75" thickBot="1" x14ac:dyDescent="0.3">
      <c r="C2" s="672" t="s">
        <v>601</v>
      </c>
      <c r="D2" s="673"/>
      <c r="E2" s="677" t="s">
        <v>73</v>
      </c>
      <c r="F2" s="678"/>
      <c r="G2" s="678"/>
      <c r="H2" s="678"/>
      <c r="I2" s="679"/>
      <c r="AM2" s="445" t="s">
        <v>598</v>
      </c>
      <c r="AN2" s="445" t="s">
        <v>568</v>
      </c>
      <c r="AO2" s="445" t="s">
        <v>569</v>
      </c>
      <c r="AP2" s="445" t="s">
        <v>570</v>
      </c>
      <c r="AQ2" s="445" t="s">
        <v>571</v>
      </c>
    </row>
    <row r="3" spans="2:43" ht="15.75" thickBot="1" x14ac:dyDescent="0.3">
      <c r="AM3" s="445"/>
      <c r="AN3" s="445">
        <v>1</v>
      </c>
      <c r="AO3" s="445">
        <v>2</v>
      </c>
      <c r="AP3" s="445">
        <v>3</v>
      </c>
      <c r="AQ3" s="445">
        <v>4</v>
      </c>
    </row>
    <row r="4" spans="2:43" ht="15.75" thickBot="1" x14ac:dyDescent="0.3">
      <c r="C4" s="670" t="s">
        <v>584</v>
      </c>
      <c r="D4" s="671"/>
      <c r="E4" s="670" t="s">
        <v>602</v>
      </c>
      <c r="F4" s="671"/>
      <c r="G4" s="674" t="s">
        <v>585</v>
      </c>
      <c r="H4" s="675"/>
      <c r="I4" s="676"/>
      <c r="AM4" s="444"/>
      <c r="AN4" s="445">
        <f>INDEX(SJRIPSummary_Annuals!$D$16:$G$71,MATCH(AnnualResultsViewer!$E$2,SJRIPSummary_Annuals!$C$16:$C$71,0),AnnualResultsViewer!AN$3)</f>
        <v>1</v>
      </c>
      <c r="AO4" s="445">
        <f>INDEX(SJRIPSummary_Annuals!$D$16:$G$71,MATCH(AnnualResultsViewer!$E$2,SJRIPSummary_Annuals!$C$16:$C$71,0),AnnualResultsViewer!AO$3)</f>
        <v>62</v>
      </c>
      <c r="AP4" s="445">
        <f>INDEX(SJRIPSummary_Annuals!$D$16:$G$71,MATCH(AnnualResultsViewer!$E$2,SJRIPSummary_Annuals!$C$16:$C$71,0),AnnualResultsViewer!AP$3)</f>
        <v>123</v>
      </c>
      <c r="AQ4" s="445">
        <f>INDEX(SJRIPSummary_Annuals!$D$16:$G$71,MATCH(AnnualResultsViewer!$E$2,SJRIPSummary_Annuals!$C$16:$C$71,0),AnnualResultsViewer!AQ$3)</f>
        <v>184</v>
      </c>
    </row>
    <row r="5" spans="2:43" ht="30.6" customHeight="1" thickBot="1" x14ac:dyDescent="0.3">
      <c r="C5" s="455"/>
      <c r="D5" s="456"/>
      <c r="E5" s="455"/>
      <c r="F5" s="408"/>
      <c r="G5" s="668" t="str">
        <f>"Number of Years with Shortage     (out of "&amp;COUNT($B$11:$B$102)&amp;")"</f>
        <v>Number of Years with Shortage     (out of 84)</v>
      </c>
      <c r="H5" s="669"/>
      <c r="I5" s="470">
        <f>IF(COUNT($H$11:$H$94)=0,"n/a",COUNTIFS($H$11:$H$94,"&gt;=1"))</f>
        <v>1</v>
      </c>
    </row>
    <row r="6" spans="2:43" x14ac:dyDescent="0.25">
      <c r="B6" s="354" t="s">
        <v>588</v>
      </c>
      <c r="C6" s="463">
        <f t="shared" ref="C6:I6" ca="1" si="0">IF(COUNT(OFFSET(C$11,0,0,NumRunYears-1))=0,"n/a",AVERAGE(OFFSET(C$11,0,0,NumRunYears-1)))</f>
        <v>311399.59844100586</v>
      </c>
      <c r="D6" s="464">
        <f t="shared" ca="1" si="0"/>
        <v>249119.67875280461</v>
      </c>
      <c r="E6" s="463">
        <f t="shared" ca="1" si="0"/>
        <v>309662.06295880862</v>
      </c>
      <c r="F6" s="465">
        <f t="shared" ca="1" si="0"/>
        <v>247729.65036704685</v>
      </c>
      <c r="G6" s="463">
        <f t="shared" ca="1" si="0"/>
        <v>1737.5354821972367</v>
      </c>
      <c r="H6" s="465">
        <f t="shared" ca="1" si="0"/>
        <v>1390.0283857577922</v>
      </c>
      <c r="I6" s="471">
        <f t="shared" ca="1" si="0"/>
        <v>4.7903590834671838E-3</v>
      </c>
    </row>
    <row r="7" spans="2:43" x14ac:dyDescent="0.25">
      <c r="B7" s="461" t="s">
        <v>586</v>
      </c>
      <c r="C7" s="463">
        <f t="shared" ref="C7:I7" ca="1" si="1">IF(COUNT(OFFSET(C$11,0,0,NumRunYears-1))=0,"n/a",MIN(OFFSET(C$11,0,0,NumRunYears-1)))</f>
        <v>230382.82332724886</v>
      </c>
      <c r="D7" s="464">
        <f t="shared" ca="1" si="1"/>
        <v>184306.25866179835</v>
      </c>
      <c r="E7" s="463">
        <f t="shared" ca="1" si="1"/>
        <v>216762.10033226138</v>
      </c>
      <c r="F7" s="465">
        <f t="shared" ca="1" si="1"/>
        <v>173409.68026580906</v>
      </c>
      <c r="G7" s="463">
        <f t="shared" ca="1" si="1"/>
        <v>0</v>
      </c>
      <c r="H7" s="465">
        <f t="shared" ca="1" si="1"/>
        <v>0</v>
      </c>
      <c r="I7" s="471">
        <f t="shared" ca="1" si="1"/>
        <v>0</v>
      </c>
      <c r="L7" s="283"/>
    </row>
    <row r="8" spans="2:43" ht="15.75" thickBot="1" x14ac:dyDescent="0.3">
      <c r="B8" s="462" t="s">
        <v>587</v>
      </c>
      <c r="C8" s="463">
        <f t="shared" ref="C8:I8" ca="1" si="2">IF(COUNT(OFFSET(C$11,0,0,NumRunYears-1))=0,"n/a",MAX(OFFSET(C$11,0,0,NumRunYears-1)))</f>
        <v>362715.08083682926</v>
      </c>
      <c r="D8" s="464">
        <f t="shared" ca="1" si="2"/>
        <v>290172.06466946361</v>
      </c>
      <c r="E8" s="463">
        <f t="shared" ca="1" si="2"/>
        <v>362223.33076543163</v>
      </c>
      <c r="F8" s="465">
        <f t="shared" ca="1" si="2"/>
        <v>289778.66461234522</v>
      </c>
      <c r="G8" s="463">
        <f t="shared" ca="1" si="2"/>
        <v>145952.98050456788</v>
      </c>
      <c r="H8" s="465">
        <f t="shared" ca="1" si="2"/>
        <v>116762.38440365455</v>
      </c>
      <c r="I8" s="471">
        <f t="shared" ca="1" si="2"/>
        <v>0.40239016301124347</v>
      </c>
    </row>
    <row r="9" spans="2:43" ht="60.75" thickBot="1" x14ac:dyDescent="0.3">
      <c r="B9" s="460" t="s">
        <v>313</v>
      </c>
      <c r="C9" s="446" t="s">
        <v>573</v>
      </c>
      <c r="D9" s="448" t="s">
        <v>574</v>
      </c>
      <c r="E9" s="446" t="s">
        <v>575</v>
      </c>
      <c r="F9" s="457" t="s">
        <v>576</v>
      </c>
      <c r="G9" s="446" t="s">
        <v>577</v>
      </c>
      <c r="H9" s="447" t="s">
        <v>578</v>
      </c>
      <c r="I9" s="458" t="s">
        <v>603</v>
      </c>
    </row>
    <row r="10" spans="2:43" x14ac:dyDescent="0.25">
      <c r="B10" s="459">
        <v>1928</v>
      </c>
      <c r="C10" s="449"/>
      <c r="D10" s="451"/>
      <c r="E10" s="449"/>
      <c r="F10" s="451"/>
      <c r="G10" s="449"/>
      <c r="H10" s="450"/>
      <c r="I10" s="451"/>
    </row>
    <row r="11" spans="2:43" x14ac:dyDescent="0.25">
      <c r="B11" s="355">
        <f t="shared" ref="B11:B42" si="3">IF(B10+1&gt;1928+NumRunYears-1,NA(),B10+1)</f>
        <v>1929</v>
      </c>
      <c r="C11" s="468">
        <f>INDEX(SJRIPSummary_Annuals!$U$16:$IZ$106,MATCH(AnnualResultsViewer!$B11,SJRIPSummary_Annuals!$T$16:$T$106,0),$AQ$4)</f>
        <v>256306.06132200325</v>
      </c>
      <c r="D11" s="467">
        <f>INDEX(SJRIPSummary_Annuals!$U$16:$IZ$106,MATCH(AnnualResultsViewer!$B11,SJRIPSummary_Annuals!$T$16:$T$106,0),$AO$4)</f>
        <v>205044.84905760194</v>
      </c>
      <c r="E11" s="468">
        <f>INDEX(SJRIPSummary_Annuals!$U$16:$IZ$106,MATCH(AnnualResultsViewer!$B11,SJRIPSummary_Annuals!$T$16:$T$106,0),$AP$4)</f>
        <v>256306.06132200325</v>
      </c>
      <c r="F11" s="467">
        <f>INDEX(SJRIPSummary_Annuals!$U$16:$IZ$106,MATCH(AnnualResultsViewer!$B11,SJRIPSummary_Annuals!$T$16:$T$106,0),$AN$4)</f>
        <v>205044.84905760194</v>
      </c>
      <c r="G11" s="468">
        <f>IFERROR(C11-E11,"n/a")</f>
        <v>0</v>
      </c>
      <c r="H11" s="466">
        <f>IFERROR(D11-F11,"n/a")</f>
        <v>0</v>
      </c>
      <c r="I11" s="469">
        <f>IFERROR(H11/D11,"n/a")</f>
        <v>0</v>
      </c>
    </row>
    <row r="12" spans="2:43" x14ac:dyDescent="0.25">
      <c r="B12" s="355">
        <f t="shared" si="3"/>
        <v>1930</v>
      </c>
      <c r="C12" s="468">
        <f>INDEX(SJRIPSummary_Annuals!$U$16:$IZ$106,MATCH(AnnualResultsViewer!$B12,SJRIPSummary_Annuals!$T$16:$T$106,0),$AQ$4)</f>
        <v>282633.1342284868</v>
      </c>
      <c r="D12" s="467">
        <f>INDEX(SJRIPSummary_Annuals!$U$16:$IZ$106,MATCH(AnnualResultsViewer!$B12,SJRIPSummary_Annuals!$T$16:$T$106,0),$AO$4)</f>
        <v>226106.50738278934</v>
      </c>
      <c r="E12" s="468">
        <f>INDEX(SJRIPSummary_Annuals!$U$16:$IZ$106,MATCH(AnnualResultsViewer!$B12,SJRIPSummary_Annuals!$T$16:$T$106,0),$AP$4)</f>
        <v>282633.1342284868</v>
      </c>
      <c r="F12" s="467">
        <f>INDEX(SJRIPSummary_Annuals!$U$16:$IZ$106,MATCH(AnnualResultsViewer!$B12,SJRIPSummary_Annuals!$T$16:$T$106,0),$AN$4)</f>
        <v>226106.50738278934</v>
      </c>
      <c r="G12" s="468">
        <f t="shared" ref="G12:G75" si="4">IFERROR(C12-E12,"n/a")</f>
        <v>0</v>
      </c>
      <c r="H12" s="466">
        <f t="shared" ref="H12:H75" si="5">IFERROR(D12-F12,"n/a")</f>
        <v>0</v>
      </c>
      <c r="I12" s="469">
        <f t="shared" ref="I12:I75" si="6">IFERROR(H12/D12,"n/a")</f>
        <v>0</v>
      </c>
    </row>
    <row r="13" spans="2:43" x14ac:dyDescent="0.25">
      <c r="B13" s="355">
        <f t="shared" si="3"/>
        <v>1931</v>
      </c>
      <c r="C13" s="468">
        <f>INDEX(SJRIPSummary_Annuals!$U$16:$IZ$106,MATCH(AnnualResultsViewer!$B13,SJRIPSummary_Annuals!$T$16:$T$106,0),$AQ$4)</f>
        <v>280984.58180698927</v>
      </c>
      <c r="D13" s="467">
        <f>INDEX(SJRIPSummary_Annuals!$U$16:$IZ$106,MATCH(AnnualResultsViewer!$B13,SJRIPSummary_Annuals!$T$16:$T$106,0),$AO$4)</f>
        <v>224787.66544559129</v>
      </c>
      <c r="E13" s="468">
        <f>INDEX(SJRIPSummary_Annuals!$U$16:$IZ$106,MATCH(AnnualResultsViewer!$B13,SJRIPSummary_Annuals!$T$16:$T$106,0),$AP$4)</f>
        <v>280984.58180698927</v>
      </c>
      <c r="F13" s="467">
        <f>INDEX(SJRIPSummary_Annuals!$U$16:$IZ$106,MATCH(AnnualResultsViewer!$B13,SJRIPSummary_Annuals!$T$16:$T$106,0),$AN$4)</f>
        <v>224787.66544559129</v>
      </c>
      <c r="G13" s="468">
        <f t="shared" si="4"/>
        <v>0</v>
      </c>
      <c r="H13" s="466">
        <f t="shared" si="5"/>
        <v>0</v>
      </c>
      <c r="I13" s="469">
        <f t="shared" si="6"/>
        <v>0</v>
      </c>
    </row>
    <row r="14" spans="2:43" x14ac:dyDescent="0.25">
      <c r="B14" s="355">
        <f t="shared" si="3"/>
        <v>1932</v>
      </c>
      <c r="C14" s="468">
        <f>INDEX(SJRIPSummary_Annuals!$U$16:$IZ$106,MATCH(AnnualResultsViewer!$B14,SJRIPSummary_Annuals!$T$16:$T$106,0),$AQ$4)</f>
        <v>269758.76449078042</v>
      </c>
      <c r="D14" s="467">
        <f>INDEX(SJRIPSummary_Annuals!$U$16:$IZ$106,MATCH(AnnualResultsViewer!$B14,SJRIPSummary_Annuals!$T$16:$T$106,0),$AO$4)</f>
        <v>215807.01159262436</v>
      </c>
      <c r="E14" s="468">
        <f>INDEX(SJRIPSummary_Annuals!$U$16:$IZ$106,MATCH(AnnualResultsViewer!$B14,SJRIPSummary_Annuals!$T$16:$T$106,0),$AP$4)</f>
        <v>269758.76449078042</v>
      </c>
      <c r="F14" s="467">
        <f>INDEX(SJRIPSummary_Annuals!$U$16:$IZ$106,MATCH(AnnualResultsViewer!$B14,SJRIPSummary_Annuals!$T$16:$T$106,0),$AN$4)</f>
        <v>215807.01159262436</v>
      </c>
      <c r="G14" s="468">
        <f t="shared" si="4"/>
        <v>0</v>
      </c>
      <c r="H14" s="466">
        <f t="shared" si="5"/>
        <v>0</v>
      </c>
      <c r="I14" s="469">
        <f t="shared" si="6"/>
        <v>0</v>
      </c>
    </row>
    <row r="15" spans="2:43" x14ac:dyDescent="0.25">
      <c r="B15" s="355">
        <f t="shared" si="3"/>
        <v>1933</v>
      </c>
      <c r="C15" s="468">
        <f>INDEX(SJRIPSummary_Annuals!$U$16:$IZ$106,MATCH(AnnualResultsViewer!$B15,SJRIPSummary_Annuals!$T$16:$T$106,0),$AQ$4)</f>
        <v>266475.94502900168</v>
      </c>
      <c r="D15" s="467">
        <f>INDEX(SJRIPSummary_Annuals!$U$16:$IZ$106,MATCH(AnnualResultsViewer!$B15,SJRIPSummary_Annuals!$T$16:$T$106,0),$AO$4)</f>
        <v>213180.75602320075</v>
      </c>
      <c r="E15" s="468">
        <f>INDEX(SJRIPSummary_Annuals!$U$16:$IZ$106,MATCH(AnnualResultsViewer!$B15,SJRIPSummary_Annuals!$T$16:$T$106,0),$AP$4)</f>
        <v>266475.94502900168</v>
      </c>
      <c r="F15" s="467">
        <f>INDEX(SJRIPSummary_Annuals!$U$16:$IZ$106,MATCH(AnnualResultsViewer!$B15,SJRIPSummary_Annuals!$T$16:$T$106,0),$AN$4)</f>
        <v>213180.75602320075</v>
      </c>
      <c r="G15" s="468">
        <f t="shared" si="4"/>
        <v>0</v>
      </c>
      <c r="H15" s="466">
        <f t="shared" si="5"/>
        <v>0</v>
      </c>
      <c r="I15" s="469">
        <f t="shared" si="6"/>
        <v>0</v>
      </c>
    </row>
    <row r="16" spans="2:43" x14ac:dyDescent="0.25">
      <c r="B16" s="355">
        <f t="shared" si="3"/>
        <v>1934</v>
      </c>
      <c r="C16" s="468">
        <f>INDEX(SJRIPSummary_Annuals!$U$16:$IZ$106,MATCH(AnnualResultsViewer!$B16,SJRIPSummary_Annuals!$T$16:$T$106,0),$AQ$4)</f>
        <v>258951.3912809937</v>
      </c>
      <c r="D16" s="467">
        <f>INDEX(SJRIPSummary_Annuals!$U$16:$IZ$106,MATCH(AnnualResultsViewer!$B16,SJRIPSummary_Annuals!$T$16:$T$106,0),$AO$4)</f>
        <v>207161.11302479496</v>
      </c>
      <c r="E16" s="468">
        <f>INDEX(SJRIPSummary_Annuals!$U$16:$IZ$106,MATCH(AnnualResultsViewer!$B16,SJRIPSummary_Annuals!$T$16:$T$106,0),$AP$4)</f>
        <v>258951.3912809937</v>
      </c>
      <c r="F16" s="467">
        <f>INDEX(SJRIPSummary_Annuals!$U$16:$IZ$106,MATCH(AnnualResultsViewer!$B16,SJRIPSummary_Annuals!$T$16:$T$106,0),$AN$4)</f>
        <v>207161.11302479496</v>
      </c>
      <c r="G16" s="468">
        <f t="shared" si="4"/>
        <v>0</v>
      </c>
      <c r="H16" s="466">
        <f t="shared" si="5"/>
        <v>0</v>
      </c>
      <c r="I16" s="469">
        <f t="shared" si="6"/>
        <v>0</v>
      </c>
    </row>
    <row r="17" spans="2:12" x14ac:dyDescent="0.25">
      <c r="B17" s="355">
        <f t="shared" si="3"/>
        <v>1935</v>
      </c>
      <c r="C17" s="468">
        <f>INDEX(SJRIPSummary_Annuals!$U$16:$IZ$106,MATCH(AnnualResultsViewer!$B17,SJRIPSummary_Annuals!$T$16:$T$106,0),$AQ$4)</f>
        <v>252521.49626077205</v>
      </c>
      <c r="D17" s="467">
        <f>INDEX(SJRIPSummary_Annuals!$U$16:$IZ$106,MATCH(AnnualResultsViewer!$B17,SJRIPSummary_Annuals!$T$16:$T$106,0),$AO$4)</f>
        <v>202017.19700861812</v>
      </c>
      <c r="E17" s="468">
        <f>INDEX(SJRIPSummary_Annuals!$U$16:$IZ$106,MATCH(AnnualResultsViewer!$B17,SJRIPSummary_Annuals!$T$16:$T$106,0),$AP$4)</f>
        <v>252521.49626077205</v>
      </c>
      <c r="F17" s="467">
        <f>INDEX(SJRIPSummary_Annuals!$U$16:$IZ$106,MATCH(AnnualResultsViewer!$B17,SJRIPSummary_Annuals!$T$16:$T$106,0),$AN$4)</f>
        <v>202017.19700861812</v>
      </c>
      <c r="G17" s="468">
        <f t="shared" si="4"/>
        <v>0</v>
      </c>
      <c r="H17" s="466">
        <f t="shared" si="5"/>
        <v>0</v>
      </c>
      <c r="I17" s="469">
        <f t="shared" si="6"/>
        <v>0</v>
      </c>
    </row>
    <row r="18" spans="2:12" x14ac:dyDescent="0.25">
      <c r="B18" s="355">
        <f t="shared" si="3"/>
        <v>1936</v>
      </c>
      <c r="C18" s="468">
        <f>INDEX(SJRIPSummary_Annuals!$U$16:$IZ$106,MATCH(AnnualResultsViewer!$B18,SJRIPSummary_Annuals!$T$16:$T$106,0),$AQ$4)</f>
        <v>311007.82891242928</v>
      </c>
      <c r="D18" s="467">
        <f>INDEX(SJRIPSummary_Annuals!$U$16:$IZ$106,MATCH(AnnualResultsViewer!$B18,SJRIPSummary_Annuals!$T$16:$T$106,0),$AO$4)</f>
        <v>248806.2631299436</v>
      </c>
      <c r="E18" s="468">
        <f>INDEX(SJRIPSummary_Annuals!$U$16:$IZ$106,MATCH(AnnualResultsViewer!$B18,SJRIPSummary_Annuals!$T$16:$T$106,0),$AP$4)</f>
        <v>311007.82891242928</v>
      </c>
      <c r="F18" s="467">
        <f>INDEX(SJRIPSummary_Annuals!$U$16:$IZ$106,MATCH(AnnualResultsViewer!$B18,SJRIPSummary_Annuals!$T$16:$T$106,0),$AN$4)</f>
        <v>248806.2631299436</v>
      </c>
      <c r="G18" s="468">
        <f t="shared" si="4"/>
        <v>0</v>
      </c>
      <c r="H18" s="466">
        <f t="shared" si="5"/>
        <v>0</v>
      </c>
      <c r="I18" s="469">
        <f t="shared" si="6"/>
        <v>0</v>
      </c>
    </row>
    <row r="19" spans="2:12" x14ac:dyDescent="0.25">
      <c r="B19" s="355">
        <f t="shared" si="3"/>
        <v>1937</v>
      </c>
      <c r="C19" s="468">
        <f>INDEX(SJRIPSummary_Annuals!$U$16:$IZ$106,MATCH(AnnualResultsViewer!$B19,SJRIPSummary_Annuals!$T$16:$T$106,0),$AQ$4)</f>
        <v>281672.87531687622</v>
      </c>
      <c r="D19" s="467">
        <f>INDEX(SJRIPSummary_Annuals!$U$16:$IZ$106,MATCH(AnnualResultsViewer!$B19,SJRIPSummary_Annuals!$T$16:$T$106,0),$AO$4)</f>
        <v>225338.30025350093</v>
      </c>
      <c r="E19" s="468">
        <f>INDEX(SJRIPSummary_Annuals!$U$16:$IZ$106,MATCH(AnnualResultsViewer!$B19,SJRIPSummary_Annuals!$T$16:$T$106,0),$AP$4)</f>
        <v>281672.87531687622</v>
      </c>
      <c r="F19" s="467">
        <f>INDEX(SJRIPSummary_Annuals!$U$16:$IZ$106,MATCH(AnnualResultsViewer!$B19,SJRIPSummary_Annuals!$T$16:$T$106,0),$AN$4)</f>
        <v>225338.30025350093</v>
      </c>
      <c r="G19" s="468">
        <f t="shared" si="4"/>
        <v>0</v>
      </c>
      <c r="H19" s="466">
        <f t="shared" si="5"/>
        <v>0</v>
      </c>
      <c r="I19" s="469">
        <f t="shared" si="6"/>
        <v>0</v>
      </c>
    </row>
    <row r="20" spans="2:12" x14ac:dyDescent="0.25">
      <c r="B20" s="355">
        <f t="shared" si="3"/>
        <v>1938</v>
      </c>
      <c r="C20" s="468">
        <f>INDEX(SJRIPSummary_Annuals!$U$16:$IZ$106,MATCH(AnnualResultsViewer!$B20,SJRIPSummary_Annuals!$T$16:$T$106,0),$AQ$4)</f>
        <v>305118.93401434319</v>
      </c>
      <c r="D20" s="467">
        <f>INDEX(SJRIPSummary_Annuals!$U$16:$IZ$106,MATCH(AnnualResultsViewer!$B20,SJRIPSummary_Annuals!$T$16:$T$106,0),$AO$4)</f>
        <v>244095.14721147413</v>
      </c>
      <c r="E20" s="468">
        <f>INDEX(SJRIPSummary_Annuals!$U$16:$IZ$106,MATCH(AnnualResultsViewer!$B20,SJRIPSummary_Annuals!$T$16:$T$106,0),$AP$4)</f>
        <v>305118.93401434319</v>
      </c>
      <c r="F20" s="467">
        <f>INDEX(SJRIPSummary_Annuals!$U$16:$IZ$106,MATCH(AnnualResultsViewer!$B20,SJRIPSummary_Annuals!$T$16:$T$106,0),$AN$4)</f>
        <v>244095.14721147413</v>
      </c>
      <c r="G20" s="468">
        <f t="shared" si="4"/>
        <v>0</v>
      </c>
      <c r="H20" s="466">
        <f t="shared" si="5"/>
        <v>0</v>
      </c>
      <c r="I20" s="469">
        <f t="shared" si="6"/>
        <v>0</v>
      </c>
    </row>
    <row r="21" spans="2:12" x14ac:dyDescent="0.25">
      <c r="B21" s="355">
        <f t="shared" si="3"/>
        <v>1939</v>
      </c>
      <c r="C21" s="468">
        <f>INDEX(SJRIPSummary_Annuals!$U$16:$IZ$106,MATCH(AnnualResultsViewer!$B21,SJRIPSummary_Annuals!$T$16:$T$106,0),$AQ$4)</f>
        <v>341334.22774412815</v>
      </c>
      <c r="D21" s="467">
        <f>INDEX(SJRIPSummary_Annuals!$U$16:$IZ$106,MATCH(AnnualResultsViewer!$B21,SJRIPSummary_Annuals!$T$16:$T$106,0),$AO$4)</f>
        <v>273067.38219530316</v>
      </c>
      <c r="E21" s="468">
        <f>INDEX(SJRIPSummary_Annuals!$U$16:$IZ$106,MATCH(AnnualResultsViewer!$B21,SJRIPSummary_Annuals!$T$16:$T$106,0),$AP$4)</f>
        <v>341334.22774412815</v>
      </c>
      <c r="F21" s="467">
        <f>INDEX(SJRIPSummary_Annuals!$U$16:$IZ$106,MATCH(AnnualResultsViewer!$B21,SJRIPSummary_Annuals!$T$16:$T$106,0),$AN$4)</f>
        <v>273067.38219530316</v>
      </c>
      <c r="G21" s="468">
        <f t="shared" si="4"/>
        <v>0</v>
      </c>
      <c r="H21" s="466">
        <f t="shared" si="5"/>
        <v>0</v>
      </c>
      <c r="I21" s="469">
        <f t="shared" si="6"/>
        <v>0</v>
      </c>
    </row>
    <row r="22" spans="2:12" x14ac:dyDescent="0.25">
      <c r="B22" s="355">
        <f t="shared" si="3"/>
        <v>1940</v>
      </c>
      <c r="C22" s="468">
        <f>INDEX(SJRIPSummary_Annuals!$U$16:$IZ$106,MATCH(AnnualResultsViewer!$B22,SJRIPSummary_Annuals!$T$16:$T$106,0),$AQ$4)</f>
        <v>291715.04896672955</v>
      </c>
      <c r="D22" s="467">
        <f>INDEX(SJRIPSummary_Annuals!$U$16:$IZ$106,MATCH(AnnualResultsViewer!$B22,SJRIPSummary_Annuals!$T$16:$T$106,0),$AO$4)</f>
        <v>233372.03917338364</v>
      </c>
      <c r="E22" s="468">
        <f>INDEX(SJRIPSummary_Annuals!$U$16:$IZ$106,MATCH(AnnualResultsViewer!$B22,SJRIPSummary_Annuals!$T$16:$T$106,0),$AP$4)</f>
        <v>291715.04896672955</v>
      </c>
      <c r="F22" s="467">
        <f>INDEX(SJRIPSummary_Annuals!$U$16:$IZ$106,MATCH(AnnualResultsViewer!$B22,SJRIPSummary_Annuals!$T$16:$T$106,0),$AN$4)</f>
        <v>233372.03917338364</v>
      </c>
      <c r="G22" s="468">
        <f t="shared" si="4"/>
        <v>0</v>
      </c>
      <c r="H22" s="466">
        <f t="shared" si="5"/>
        <v>0</v>
      </c>
      <c r="I22" s="469">
        <f t="shared" si="6"/>
        <v>0</v>
      </c>
    </row>
    <row r="23" spans="2:12" x14ac:dyDescent="0.25">
      <c r="B23" s="355">
        <f t="shared" si="3"/>
        <v>1941</v>
      </c>
      <c r="C23" s="468">
        <f>INDEX(SJRIPSummary_Annuals!$U$16:$IZ$106,MATCH(AnnualResultsViewer!$B23,SJRIPSummary_Annuals!$T$16:$T$106,0),$AQ$4)</f>
        <v>230382.82332724886</v>
      </c>
      <c r="D23" s="467">
        <f>INDEX(SJRIPSummary_Annuals!$U$16:$IZ$106,MATCH(AnnualResultsViewer!$B23,SJRIPSummary_Annuals!$T$16:$T$106,0),$AO$4)</f>
        <v>184306.25866179835</v>
      </c>
      <c r="E23" s="468">
        <f>INDEX(SJRIPSummary_Annuals!$U$16:$IZ$106,MATCH(AnnualResultsViewer!$B23,SJRIPSummary_Annuals!$T$16:$T$106,0),$AP$4)</f>
        <v>230382.82332724886</v>
      </c>
      <c r="F23" s="467">
        <f>INDEX(SJRIPSummary_Annuals!$U$16:$IZ$106,MATCH(AnnualResultsViewer!$B23,SJRIPSummary_Annuals!$T$16:$T$106,0),$AN$4)</f>
        <v>184306.25866179835</v>
      </c>
      <c r="G23" s="468">
        <f t="shared" si="4"/>
        <v>0</v>
      </c>
      <c r="H23" s="466">
        <f t="shared" si="5"/>
        <v>0</v>
      </c>
      <c r="I23" s="469">
        <f t="shared" si="6"/>
        <v>0</v>
      </c>
    </row>
    <row r="24" spans="2:12" x14ac:dyDescent="0.25">
      <c r="B24" s="355">
        <f t="shared" si="3"/>
        <v>1942</v>
      </c>
      <c r="C24" s="468">
        <f>INDEX(SJRIPSummary_Annuals!$U$16:$IZ$106,MATCH(AnnualResultsViewer!$B24,SJRIPSummary_Annuals!$T$16:$T$106,0),$AQ$4)</f>
        <v>322547.24514604331</v>
      </c>
      <c r="D24" s="467">
        <f>INDEX(SJRIPSummary_Annuals!$U$16:$IZ$106,MATCH(AnnualResultsViewer!$B24,SJRIPSummary_Annuals!$T$16:$T$106,0),$AO$4)</f>
        <v>258037.79611683503</v>
      </c>
      <c r="E24" s="468">
        <f>INDEX(SJRIPSummary_Annuals!$U$16:$IZ$106,MATCH(AnnualResultsViewer!$B24,SJRIPSummary_Annuals!$T$16:$T$106,0),$AP$4)</f>
        <v>322547.24514604331</v>
      </c>
      <c r="F24" s="467">
        <f>INDEX(SJRIPSummary_Annuals!$U$16:$IZ$106,MATCH(AnnualResultsViewer!$B24,SJRIPSummary_Annuals!$T$16:$T$106,0),$AN$4)</f>
        <v>258037.79611683503</v>
      </c>
      <c r="G24" s="468">
        <f t="shared" si="4"/>
        <v>0</v>
      </c>
      <c r="H24" s="466">
        <f t="shared" si="5"/>
        <v>0</v>
      </c>
      <c r="I24" s="469">
        <f t="shared" si="6"/>
        <v>0</v>
      </c>
    </row>
    <row r="25" spans="2:12" x14ac:dyDescent="0.25">
      <c r="B25" s="355">
        <f t="shared" si="3"/>
        <v>1943</v>
      </c>
      <c r="C25" s="468">
        <f>INDEX(SJRIPSummary_Annuals!$U$16:$IZ$106,MATCH(AnnualResultsViewer!$B25,SJRIPSummary_Annuals!$T$16:$T$106,0),$AQ$4)</f>
        <v>307535.29801983177</v>
      </c>
      <c r="D25" s="467">
        <f>INDEX(SJRIPSummary_Annuals!$U$16:$IZ$106,MATCH(AnnualResultsViewer!$B25,SJRIPSummary_Annuals!$T$16:$T$106,0),$AO$4)</f>
        <v>246028.2384158654</v>
      </c>
      <c r="E25" s="468">
        <f>INDEX(SJRIPSummary_Annuals!$U$16:$IZ$106,MATCH(AnnualResultsViewer!$B25,SJRIPSummary_Annuals!$T$16:$T$106,0),$AP$4)</f>
        <v>307535.29801983177</v>
      </c>
      <c r="F25" s="467">
        <f>INDEX(SJRIPSummary_Annuals!$U$16:$IZ$106,MATCH(AnnualResultsViewer!$B25,SJRIPSummary_Annuals!$T$16:$T$106,0),$AN$4)</f>
        <v>246028.2384158654</v>
      </c>
      <c r="G25" s="468">
        <f t="shared" si="4"/>
        <v>0</v>
      </c>
      <c r="H25" s="466">
        <f t="shared" si="5"/>
        <v>0</v>
      </c>
      <c r="I25" s="469">
        <f t="shared" si="6"/>
        <v>0</v>
      </c>
    </row>
    <row r="26" spans="2:12" x14ac:dyDescent="0.25">
      <c r="B26" s="355">
        <f t="shared" si="3"/>
        <v>1944</v>
      </c>
      <c r="C26" s="468">
        <f>INDEX(SJRIPSummary_Annuals!$U$16:$IZ$106,MATCH(AnnualResultsViewer!$B26,SJRIPSummary_Annuals!$T$16:$T$106,0),$AQ$4)</f>
        <v>306047.29745635227</v>
      </c>
      <c r="D26" s="467">
        <f>INDEX(SJRIPSummary_Annuals!$U$16:$IZ$106,MATCH(AnnualResultsViewer!$B26,SJRIPSummary_Annuals!$T$16:$T$106,0),$AO$4)</f>
        <v>244837.83796508223</v>
      </c>
      <c r="E26" s="468">
        <f>INDEX(SJRIPSummary_Annuals!$U$16:$IZ$106,MATCH(AnnualResultsViewer!$B26,SJRIPSummary_Annuals!$T$16:$T$106,0),$AP$4)</f>
        <v>306047.29745635227</v>
      </c>
      <c r="F26" s="467">
        <f>INDEX(SJRIPSummary_Annuals!$U$16:$IZ$106,MATCH(AnnualResultsViewer!$B26,SJRIPSummary_Annuals!$T$16:$T$106,0),$AN$4)</f>
        <v>244837.83796508223</v>
      </c>
      <c r="G26" s="468">
        <f t="shared" si="4"/>
        <v>0</v>
      </c>
      <c r="H26" s="466">
        <f t="shared" si="5"/>
        <v>0</v>
      </c>
      <c r="I26" s="469">
        <f t="shared" si="6"/>
        <v>0</v>
      </c>
    </row>
    <row r="27" spans="2:12" x14ac:dyDescent="0.25">
      <c r="B27" s="355">
        <f t="shared" si="3"/>
        <v>1945</v>
      </c>
      <c r="C27" s="468">
        <f>INDEX(SJRIPSummary_Annuals!$U$16:$IZ$106,MATCH(AnnualResultsViewer!$B27,SJRIPSummary_Annuals!$T$16:$T$106,0),$AQ$4)</f>
        <v>326124.50167461927</v>
      </c>
      <c r="D27" s="467">
        <f>INDEX(SJRIPSummary_Annuals!$U$16:$IZ$106,MATCH(AnnualResultsViewer!$B27,SJRIPSummary_Annuals!$T$16:$T$106,0),$AO$4)</f>
        <v>260899.60133969504</v>
      </c>
      <c r="E27" s="468">
        <f>INDEX(SJRIPSummary_Annuals!$U$16:$IZ$106,MATCH(AnnualResultsViewer!$B27,SJRIPSummary_Annuals!$T$16:$T$106,0),$AP$4)</f>
        <v>326124.50167461927</v>
      </c>
      <c r="F27" s="467">
        <f>INDEX(SJRIPSummary_Annuals!$U$16:$IZ$106,MATCH(AnnualResultsViewer!$B27,SJRIPSummary_Annuals!$T$16:$T$106,0),$AN$4)</f>
        <v>260899.60133969504</v>
      </c>
      <c r="G27" s="468">
        <f t="shared" si="4"/>
        <v>0</v>
      </c>
      <c r="H27" s="466">
        <f t="shared" si="5"/>
        <v>0</v>
      </c>
      <c r="I27" s="469">
        <f t="shared" si="6"/>
        <v>0</v>
      </c>
    </row>
    <row r="28" spans="2:12" x14ac:dyDescent="0.25">
      <c r="B28" s="355">
        <f t="shared" si="3"/>
        <v>1946</v>
      </c>
      <c r="C28" s="468">
        <f>INDEX(SJRIPSummary_Annuals!$U$16:$IZ$106,MATCH(AnnualResultsViewer!$B28,SJRIPSummary_Annuals!$T$16:$T$106,0),$AQ$4)</f>
        <v>334689.46056232491</v>
      </c>
      <c r="D28" s="467">
        <f>INDEX(SJRIPSummary_Annuals!$U$16:$IZ$106,MATCH(AnnualResultsViewer!$B28,SJRIPSummary_Annuals!$T$16:$T$106,0),$AO$4)</f>
        <v>267751.56844986009</v>
      </c>
      <c r="E28" s="468">
        <f>INDEX(SJRIPSummary_Annuals!$U$16:$IZ$106,MATCH(AnnualResultsViewer!$B28,SJRIPSummary_Annuals!$T$16:$T$106,0),$AP$4)</f>
        <v>334689.46056232491</v>
      </c>
      <c r="F28" s="467">
        <f>INDEX(SJRIPSummary_Annuals!$U$16:$IZ$106,MATCH(AnnualResultsViewer!$B28,SJRIPSummary_Annuals!$T$16:$T$106,0),$AN$4)</f>
        <v>267751.56844986009</v>
      </c>
      <c r="G28" s="468">
        <f t="shared" si="4"/>
        <v>0</v>
      </c>
      <c r="H28" s="466">
        <f t="shared" si="5"/>
        <v>0</v>
      </c>
      <c r="I28" s="469">
        <f t="shared" si="6"/>
        <v>0</v>
      </c>
    </row>
    <row r="29" spans="2:12" x14ac:dyDescent="0.25">
      <c r="B29" s="355">
        <f t="shared" si="3"/>
        <v>1947</v>
      </c>
      <c r="C29" s="468">
        <f>INDEX(SJRIPSummary_Annuals!$U$16:$IZ$106,MATCH(AnnualResultsViewer!$B29,SJRIPSummary_Annuals!$T$16:$T$106,0),$AQ$4)</f>
        <v>315595.17196876765</v>
      </c>
      <c r="D29" s="467">
        <f>INDEX(SJRIPSummary_Annuals!$U$16:$IZ$106,MATCH(AnnualResultsViewer!$B29,SJRIPSummary_Annuals!$T$16:$T$106,0),$AO$4)</f>
        <v>252476.13757501432</v>
      </c>
      <c r="E29" s="468">
        <f>INDEX(SJRIPSummary_Annuals!$U$16:$IZ$106,MATCH(AnnualResultsViewer!$B29,SJRIPSummary_Annuals!$T$16:$T$106,0),$AP$4)</f>
        <v>315595.17196876765</v>
      </c>
      <c r="F29" s="467">
        <f>INDEX(SJRIPSummary_Annuals!$U$16:$IZ$106,MATCH(AnnualResultsViewer!$B29,SJRIPSummary_Annuals!$T$16:$T$106,0),$AN$4)</f>
        <v>252476.13757501432</v>
      </c>
      <c r="G29" s="468">
        <f t="shared" si="4"/>
        <v>0</v>
      </c>
      <c r="H29" s="466">
        <f t="shared" si="5"/>
        <v>0</v>
      </c>
      <c r="I29" s="469">
        <f t="shared" si="6"/>
        <v>0</v>
      </c>
    </row>
    <row r="30" spans="2:12" x14ac:dyDescent="0.25">
      <c r="B30" s="355">
        <f t="shared" si="3"/>
        <v>1948</v>
      </c>
      <c r="C30" s="468">
        <f>INDEX(SJRIPSummary_Annuals!$U$16:$IZ$106,MATCH(AnnualResultsViewer!$B30,SJRIPSummary_Annuals!$T$16:$T$106,0),$AQ$4)</f>
        <v>311208.90849595587</v>
      </c>
      <c r="D30" s="467">
        <f>INDEX(SJRIPSummary_Annuals!$U$16:$IZ$106,MATCH(AnnualResultsViewer!$B30,SJRIPSummary_Annuals!$T$16:$T$106,0),$AO$4)</f>
        <v>248967.12679676482</v>
      </c>
      <c r="E30" s="468">
        <f>INDEX(SJRIPSummary_Annuals!$U$16:$IZ$106,MATCH(AnnualResultsViewer!$B30,SJRIPSummary_Annuals!$T$16:$T$106,0),$AP$4)</f>
        <v>311208.90849595587</v>
      </c>
      <c r="F30" s="467">
        <f>INDEX(SJRIPSummary_Annuals!$U$16:$IZ$106,MATCH(AnnualResultsViewer!$B30,SJRIPSummary_Annuals!$T$16:$T$106,0),$AN$4)</f>
        <v>248967.12679676482</v>
      </c>
      <c r="G30" s="468">
        <f t="shared" si="4"/>
        <v>0</v>
      </c>
      <c r="H30" s="466">
        <f t="shared" si="5"/>
        <v>0</v>
      </c>
      <c r="I30" s="469">
        <f t="shared" si="6"/>
        <v>0</v>
      </c>
      <c r="L30" t="s">
        <v>604</v>
      </c>
    </row>
    <row r="31" spans="2:12" x14ac:dyDescent="0.25">
      <c r="B31" s="355">
        <f t="shared" si="3"/>
        <v>1949</v>
      </c>
      <c r="C31" s="468">
        <f>INDEX(SJRIPSummary_Annuals!$U$16:$IZ$106,MATCH(AnnualResultsViewer!$B31,SJRIPSummary_Annuals!$T$16:$T$106,0),$AQ$4)</f>
        <v>294132.68524253421</v>
      </c>
      <c r="D31" s="467">
        <f>INDEX(SJRIPSummary_Annuals!$U$16:$IZ$106,MATCH(AnnualResultsViewer!$B31,SJRIPSummary_Annuals!$T$16:$T$106,0),$AO$4)</f>
        <v>235306.14819402719</v>
      </c>
      <c r="E31" s="468">
        <f>INDEX(SJRIPSummary_Annuals!$U$16:$IZ$106,MATCH(AnnualResultsViewer!$B31,SJRIPSummary_Annuals!$T$16:$T$106,0),$AP$4)</f>
        <v>294132.68524253421</v>
      </c>
      <c r="F31" s="467">
        <f>INDEX(SJRIPSummary_Annuals!$U$16:$IZ$106,MATCH(AnnualResultsViewer!$B31,SJRIPSummary_Annuals!$T$16:$T$106,0),$AN$4)</f>
        <v>235306.14819402719</v>
      </c>
      <c r="G31" s="468">
        <f t="shared" si="4"/>
        <v>0</v>
      </c>
      <c r="H31" s="466">
        <f t="shared" si="5"/>
        <v>0</v>
      </c>
      <c r="I31" s="469">
        <f t="shared" si="6"/>
        <v>0</v>
      </c>
    </row>
    <row r="32" spans="2:12" x14ac:dyDescent="0.25">
      <c r="B32" s="355">
        <f t="shared" si="3"/>
        <v>1950</v>
      </c>
      <c r="C32" s="468">
        <f>INDEX(SJRIPSummary_Annuals!$U$16:$IZ$106,MATCH(AnnualResultsViewer!$B32,SJRIPSummary_Annuals!$T$16:$T$106,0),$AQ$4)</f>
        <v>341813.31306500896</v>
      </c>
      <c r="D32" s="467">
        <f>INDEX(SJRIPSummary_Annuals!$U$16:$IZ$106,MATCH(AnnualResultsViewer!$B32,SJRIPSummary_Annuals!$T$16:$T$106,0),$AO$4)</f>
        <v>273450.65045200702</v>
      </c>
      <c r="E32" s="468">
        <f>INDEX(SJRIPSummary_Annuals!$U$16:$IZ$106,MATCH(AnnualResultsViewer!$B32,SJRIPSummary_Annuals!$T$16:$T$106,0),$AP$4)</f>
        <v>341813.31306500896</v>
      </c>
      <c r="F32" s="467">
        <f>INDEX(SJRIPSummary_Annuals!$U$16:$IZ$106,MATCH(AnnualResultsViewer!$B32,SJRIPSummary_Annuals!$T$16:$T$106,0),$AN$4)</f>
        <v>273450.65045200702</v>
      </c>
      <c r="G32" s="468">
        <f t="shared" si="4"/>
        <v>0</v>
      </c>
      <c r="H32" s="466">
        <f t="shared" si="5"/>
        <v>0</v>
      </c>
      <c r="I32" s="469">
        <f t="shared" si="6"/>
        <v>0</v>
      </c>
    </row>
    <row r="33" spans="2:9" x14ac:dyDescent="0.25">
      <c r="B33" s="355">
        <f t="shared" si="3"/>
        <v>1951</v>
      </c>
      <c r="C33" s="468">
        <f>INDEX(SJRIPSummary_Annuals!$U$16:$IZ$106,MATCH(AnnualResultsViewer!$B33,SJRIPSummary_Annuals!$T$16:$T$106,0),$AQ$4)</f>
        <v>336449.14005552127</v>
      </c>
      <c r="D33" s="467">
        <f>INDEX(SJRIPSummary_Annuals!$U$16:$IZ$106,MATCH(AnnualResultsViewer!$B33,SJRIPSummary_Annuals!$T$16:$T$106,0),$AO$4)</f>
        <v>269159.31204441667</v>
      </c>
      <c r="E33" s="468">
        <f>INDEX(SJRIPSummary_Annuals!$U$16:$IZ$106,MATCH(AnnualResultsViewer!$B33,SJRIPSummary_Annuals!$T$16:$T$106,0),$AP$4)</f>
        <v>336449.14005552127</v>
      </c>
      <c r="F33" s="467">
        <f>INDEX(SJRIPSummary_Annuals!$U$16:$IZ$106,MATCH(AnnualResultsViewer!$B33,SJRIPSummary_Annuals!$T$16:$T$106,0),$AN$4)</f>
        <v>269159.31204441667</v>
      </c>
      <c r="G33" s="468">
        <f t="shared" si="4"/>
        <v>0</v>
      </c>
      <c r="H33" s="466">
        <f t="shared" si="5"/>
        <v>0</v>
      </c>
      <c r="I33" s="469">
        <f t="shared" si="6"/>
        <v>0</v>
      </c>
    </row>
    <row r="34" spans="2:9" x14ac:dyDescent="0.25">
      <c r="B34" s="355">
        <f t="shared" si="3"/>
        <v>1952</v>
      </c>
      <c r="C34" s="468">
        <f>INDEX(SJRIPSummary_Annuals!$U$16:$IZ$106,MATCH(AnnualResultsViewer!$B34,SJRIPSummary_Annuals!$T$16:$T$106,0),$AQ$4)</f>
        <v>328097.25649578829</v>
      </c>
      <c r="D34" s="467">
        <f>INDEX(SJRIPSummary_Annuals!$U$16:$IZ$106,MATCH(AnnualResultsViewer!$B34,SJRIPSummary_Annuals!$T$16:$T$106,0),$AO$4)</f>
        <v>262477.80519662995</v>
      </c>
      <c r="E34" s="468">
        <f>INDEX(SJRIPSummary_Annuals!$U$16:$IZ$106,MATCH(AnnualResultsViewer!$B34,SJRIPSummary_Annuals!$T$16:$T$106,0),$AP$4)</f>
        <v>328097.25649578829</v>
      </c>
      <c r="F34" s="467">
        <f>INDEX(SJRIPSummary_Annuals!$U$16:$IZ$106,MATCH(AnnualResultsViewer!$B34,SJRIPSummary_Annuals!$T$16:$T$106,0),$AN$4)</f>
        <v>262477.80519662995</v>
      </c>
      <c r="G34" s="468">
        <f t="shared" si="4"/>
        <v>0</v>
      </c>
      <c r="H34" s="466">
        <f t="shared" si="5"/>
        <v>0</v>
      </c>
      <c r="I34" s="469">
        <f t="shared" si="6"/>
        <v>0</v>
      </c>
    </row>
    <row r="35" spans="2:9" x14ac:dyDescent="0.25">
      <c r="B35" s="355">
        <f t="shared" si="3"/>
        <v>1953</v>
      </c>
      <c r="C35" s="468">
        <f>INDEX(SJRIPSummary_Annuals!$U$16:$IZ$106,MATCH(AnnualResultsViewer!$B35,SJRIPSummary_Annuals!$T$16:$T$106,0),$AQ$4)</f>
        <v>337075.22055351286</v>
      </c>
      <c r="D35" s="467">
        <f>INDEX(SJRIPSummary_Annuals!$U$16:$IZ$106,MATCH(AnnualResultsViewer!$B35,SJRIPSummary_Annuals!$T$16:$T$106,0),$AO$4)</f>
        <v>269660.17644281004</v>
      </c>
      <c r="E35" s="468">
        <f>INDEX(SJRIPSummary_Annuals!$U$16:$IZ$106,MATCH(AnnualResultsViewer!$B35,SJRIPSummary_Annuals!$T$16:$T$106,0),$AP$4)</f>
        <v>337075.22055351286</v>
      </c>
      <c r="F35" s="467">
        <f>INDEX(SJRIPSummary_Annuals!$U$16:$IZ$106,MATCH(AnnualResultsViewer!$B35,SJRIPSummary_Annuals!$T$16:$T$106,0),$AN$4)</f>
        <v>269660.17644281004</v>
      </c>
      <c r="G35" s="468">
        <f t="shared" si="4"/>
        <v>0</v>
      </c>
      <c r="H35" s="466">
        <f t="shared" si="5"/>
        <v>0</v>
      </c>
      <c r="I35" s="469">
        <f t="shared" si="6"/>
        <v>0</v>
      </c>
    </row>
    <row r="36" spans="2:9" x14ac:dyDescent="0.25">
      <c r="B36" s="355">
        <f t="shared" si="3"/>
        <v>1954</v>
      </c>
      <c r="C36" s="468">
        <f>INDEX(SJRIPSummary_Annuals!$U$16:$IZ$106,MATCH(AnnualResultsViewer!$B36,SJRIPSummary_Annuals!$T$16:$T$106,0),$AQ$4)</f>
        <v>312822.11246595217</v>
      </c>
      <c r="D36" s="467">
        <f>INDEX(SJRIPSummary_Annuals!$U$16:$IZ$106,MATCH(AnnualResultsViewer!$B36,SJRIPSummary_Annuals!$T$16:$T$106,0),$AO$4)</f>
        <v>250257.68997276097</v>
      </c>
      <c r="E36" s="468">
        <f>INDEX(SJRIPSummary_Annuals!$U$16:$IZ$106,MATCH(AnnualResultsViewer!$B36,SJRIPSummary_Annuals!$T$16:$T$106,0),$AP$4)</f>
        <v>312822.11246595217</v>
      </c>
      <c r="F36" s="467">
        <f>INDEX(SJRIPSummary_Annuals!$U$16:$IZ$106,MATCH(AnnualResultsViewer!$B36,SJRIPSummary_Annuals!$T$16:$T$106,0),$AN$4)</f>
        <v>250257.68997276097</v>
      </c>
      <c r="G36" s="468">
        <f t="shared" si="4"/>
        <v>0</v>
      </c>
      <c r="H36" s="466">
        <f t="shared" si="5"/>
        <v>0</v>
      </c>
      <c r="I36" s="469">
        <f t="shared" si="6"/>
        <v>0</v>
      </c>
    </row>
    <row r="37" spans="2:9" x14ac:dyDescent="0.25">
      <c r="B37" s="355">
        <f t="shared" si="3"/>
        <v>1955</v>
      </c>
      <c r="C37" s="468">
        <f>INDEX(SJRIPSummary_Annuals!$U$16:$IZ$106,MATCH(AnnualResultsViewer!$B37,SJRIPSummary_Annuals!$T$16:$T$106,0),$AQ$4)</f>
        <v>304837.42325290432</v>
      </c>
      <c r="D37" s="467">
        <f>INDEX(SJRIPSummary_Annuals!$U$16:$IZ$106,MATCH(AnnualResultsViewer!$B37,SJRIPSummary_Annuals!$T$16:$T$106,0),$AO$4)</f>
        <v>243869.93860232364</v>
      </c>
      <c r="E37" s="468">
        <f>INDEX(SJRIPSummary_Annuals!$U$16:$IZ$106,MATCH(AnnualResultsViewer!$B37,SJRIPSummary_Annuals!$T$16:$T$106,0),$AP$4)</f>
        <v>304837.42325290432</v>
      </c>
      <c r="F37" s="467">
        <f>INDEX(SJRIPSummary_Annuals!$U$16:$IZ$106,MATCH(AnnualResultsViewer!$B37,SJRIPSummary_Annuals!$T$16:$T$106,0),$AN$4)</f>
        <v>243869.93860232364</v>
      </c>
      <c r="G37" s="468">
        <f t="shared" si="4"/>
        <v>0</v>
      </c>
      <c r="H37" s="466">
        <f t="shared" si="5"/>
        <v>0</v>
      </c>
      <c r="I37" s="469">
        <f t="shared" si="6"/>
        <v>0</v>
      </c>
    </row>
    <row r="38" spans="2:9" x14ac:dyDescent="0.25">
      <c r="B38" s="355">
        <f t="shared" si="3"/>
        <v>1956</v>
      </c>
      <c r="C38" s="468">
        <f>INDEX(SJRIPSummary_Annuals!$U$16:$IZ$106,MATCH(AnnualResultsViewer!$B38,SJRIPSummary_Annuals!$T$16:$T$106,0),$AQ$4)</f>
        <v>341948.88393321919</v>
      </c>
      <c r="D38" s="467">
        <f>INDEX(SJRIPSummary_Annuals!$U$16:$IZ$106,MATCH(AnnualResultsViewer!$B38,SJRIPSummary_Annuals!$T$16:$T$106,0),$AO$4)</f>
        <v>273559.107146575</v>
      </c>
      <c r="E38" s="468">
        <f>INDEX(SJRIPSummary_Annuals!$U$16:$IZ$106,MATCH(AnnualResultsViewer!$B38,SJRIPSummary_Annuals!$T$16:$T$106,0),$AP$4)</f>
        <v>341948.88393321919</v>
      </c>
      <c r="F38" s="467">
        <f>INDEX(SJRIPSummary_Annuals!$U$16:$IZ$106,MATCH(AnnualResultsViewer!$B38,SJRIPSummary_Annuals!$T$16:$T$106,0),$AN$4)</f>
        <v>273559.107146575</v>
      </c>
      <c r="G38" s="468">
        <f t="shared" si="4"/>
        <v>0</v>
      </c>
      <c r="H38" s="466">
        <f t="shared" si="5"/>
        <v>0</v>
      </c>
      <c r="I38" s="469">
        <f t="shared" si="6"/>
        <v>0</v>
      </c>
    </row>
    <row r="39" spans="2:9" x14ac:dyDescent="0.25">
      <c r="B39" s="355">
        <f t="shared" si="3"/>
        <v>1957</v>
      </c>
      <c r="C39" s="468">
        <f>INDEX(SJRIPSummary_Annuals!$U$16:$IZ$106,MATCH(AnnualResultsViewer!$B39,SJRIPSummary_Annuals!$T$16:$T$106,0),$AQ$4)</f>
        <v>279209.58319237374</v>
      </c>
      <c r="D39" s="467">
        <f>INDEX(SJRIPSummary_Annuals!$U$16:$IZ$106,MATCH(AnnualResultsViewer!$B39,SJRIPSummary_Annuals!$T$16:$T$106,0),$AO$4)</f>
        <v>223367.66655389874</v>
      </c>
      <c r="E39" s="468">
        <f>INDEX(SJRIPSummary_Annuals!$U$16:$IZ$106,MATCH(AnnualResultsViewer!$B39,SJRIPSummary_Annuals!$T$16:$T$106,0),$AP$4)</f>
        <v>279209.58319237374</v>
      </c>
      <c r="F39" s="467">
        <f>INDEX(SJRIPSummary_Annuals!$U$16:$IZ$106,MATCH(AnnualResultsViewer!$B39,SJRIPSummary_Annuals!$T$16:$T$106,0),$AN$4)</f>
        <v>223367.66655389874</v>
      </c>
      <c r="G39" s="468">
        <f t="shared" si="4"/>
        <v>0</v>
      </c>
      <c r="H39" s="466">
        <f t="shared" si="5"/>
        <v>0</v>
      </c>
      <c r="I39" s="469">
        <f t="shared" si="6"/>
        <v>0</v>
      </c>
    </row>
    <row r="40" spans="2:9" x14ac:dyDescent="0.25">
      <c r="B40" s="355">
        <f t="shared" si="3"/>
        <v>1958</v>
      </c>
      <c r="C40" s="468">
        <f>INDEX(SJRIPSummary_Annuals!$U$16:$IZ$106,MATCH(AnnualResultsViewer!$B40,SJRIPSummary_Annuals!$T$16:$T$106,0),$AQ$4)</f>
        <v>340298.53046811133</v>
      </c>
      <c r="D40" s="467">
        <f>INDEX(SJRIPSummary_Annuals!$U$16:$IZ$106,MATCH(AnnualResultsViewer!$B40,SJRIPSummary_Annuals!$T$16:$T$106,0),$AO$4)</f>
        <v>272238.82437448908</v>
      </c>
      <c r="E40" s="468">
        <f>INDEX(SJRIPSummary_Annuals!$U$16:$IZ$106,MATCH(AnnualResultsViewer!$B40,SJRIPSummary_Annuals!$T$16:$T$106,0),$AP$4)</f>
        <v>340298.53046811133</v>
      </c>
      <c r="F40" s="467">
        <f>INDEX(SJRIPSummary_Annuals!$U$16:$IZ$106,MATCH(AnnualResultsViewer!$B40,SJRIPSummary_Annuals!$T$16:$T$106,0),$AN$4)</f>
        <v>272238.82437448908</v>
      </c>
      <c r="G40" s="468">
        <f t="shared" si="4"/>
        <v>0</v>
      </c>
      <c r="H40" s="466">
        <f t="shared" si="5"/>
        <v>0</v>
      </c>
      <c r="I40" s="469">
        <f t="shared" si="6"/>
        <v>0</v>
      </c>
    </row>
    <row r="41" spans="2:9" x14ac:dyDescent="0.25">
      <c r="B41" s="355">
        <f t="shared" si="3"/>
        <v>1959</v>
      </c>
      <c r="C41" s="468">
        <f>INDEX(SJRIPSummary_Annuals!$U$16:$IZ$106,MATCH(AnnualResultsViewer!$B41,SJRIPSummary_Annuals!$T$16:$T$106,0),$AQ$4)</f>
        <v>318190.75524783437</v>
      </c>
      <c r="D41" s="467">
        <f>INDEX(SJRIPSummary_Annuals!$U$16:$IZ$106,MATCH(AnnualResultsViewer!$B41,SJRIPSummary_Annuals!$T$16:$T$106,0),$AO$4)</f>
        <v>254552.60419826664</v>
      </c>
      <c r="E41" s="468">
        <f>INDEX(SJRIPSummary_Annuals!$U$16:$IZ$106,MATCH(AnnualResultsViewer!$B41,SJRIPSummary_Annuals!$T$16:$T$106,0),$AP$4)</f>
        <v>318190.75524783437</v>
      </c>
      <c r="F41" s="467">
        <f>INDEX(SJRIPSummary_Annuals!$U$16:$IZ$106,MATCH(AnnualResultsViewer!$B41,SJRIPSummary_Annuals!$T$16:$T$106,0),$AN$4)</f>
        <v>254552.60419826664</v>
      </c>
      <c r="G41" s="468">
        <f t="shared" si="4"/>
        <v>0</v>
      </c>
      <c r="H41" s="466">
        <f t="shared" si="5"/>
        <v>0</v>
      </c>
      <c r="I41" s="469">
        <f t="shared" si="6"/>
        <v>0</v>
      </c>
    </row>
    <row r="42" spans="2:9" x14ac:dyDescent="0.25">
      <c r="B42" s="355">
        <f t="shared" si="3"/>
        <v>1960</v>
      </c>
      <c r="C42" s="468">
        <f>INDEX(SJRIPSummary_Annuals!$U$16:$IZ$106,MATCH(AnnualResultsViewer!$B42,SJRIPSummary_Annuals!$T$16:$T$106,0),$AQ$4)</f>
        <v>350132.15831147681</v>
      </c>
      <c r="D42" s="467">
        <f>INDEX(SJRIPSummary_Annuals!$U$16:$IZ$106,MATCH(AnnualResultsViewer!$B42,SJRIPSummary_Annuals!$T$16:$T$106,0),$AO$4)</f>
        <v>280105.72664918215</v>
      </c>
      <c r="E42" s="468">
        <f>INDEX(SJRIPSummary_Annuals!$U$16:$IZ$106,MATCH(AnnualResultsViewer!$B42,SJRIPSummary_Annuals!$T$16:$T$106,0),$AP$4)</f>
        <v>350132.15831147681</v>
      </c>
      <c r="F42" s="467">
        <f>INDEX(SJRIPSummary_Annuals!$U$16:$IZ$106,MATCH(AnnualResultsViewer!$B42,SJRIPSummary_Annuals!$T$16:$T$106,0),$AN$4)</f>
        <v>280105.72664918215</v>
      </c>
      <c r="G42" s="468">
        <f t="shared" si="4"/>
        <v>0</v>
      </c>
      <c r="H42" s="466">
        <f t="shared" si="5"/>
        <v>0</v>
      </c>
      <c r="I42" s="469">
        <f t="shared" si="6"/>
        <v>0</v>
      </c>
    </row>
    <row r="43" spans="2:9" x14ac:dyDescent="0.25">
      <c r="B43" s="355">
        <f t="shared" ref="B43:B74" si="7">IF(B42+1&gt;1928+NumRunYears-1,NA(),B42+1)</f>
        <v>1961</v>
      </c>
      <c r="C43" s="468">
        <f>INDEX(SJRIPSummary_Annuals!$U$16:$IZ$106,MATCH(AnnualResultsViewer!$B43,SJRIPSummary_Annuals!$T$16:$T$106,0),$AQ$4)</f>
        <v>283597.80708541931</v>
      </c>
      <c r="D43" s="467">
        <f>INDEX(SJRIPSummary_Annuals!$U$16:$IZ$106,MATCH(AnnualResultsViewer!$B43,SJRIPSummary_Annuals!$T$16:$T$106,0),$AO$4)</f>
        <v>226878.24566833526</v>
      </c>
      <c r="E43" s="468">
        <f>INDEX(SJRIPSummary_Annuals!$U$16:$IZ$106,MATCH(AnnualResultsViewer!$B43,SJRIPSummary_Annuals!$T$16:$T$106,0),$AP$4)</f>
        <v>283597.80708541931</v>
      </c>
      <c r="F43" s="467">
        <f>INDEX(SJRIPSummary_Annuals!$U$16:$IZ$106,MATCH(AnnualResultsViewer!$B43,SJRIPSummary_Annuals!$T$16:$T$106,0),$AN$4)</f>
        <v>226878.24566833526</v>
      </c>
      <c r="G43" s="468">
        <f t="shared" si="4"/>
        <v>0</v>
      </c>
      <c r="H43" s="466">
        <f t="shared" si="5"/>
        <v>0</v>
      </c>
      <c r="I43" s="469">
        <f t="shared" si="6"/>
        <v>0</v>
      </c>
    </row>
    <row r="44" spans="2:9" x14ac:dyDescent="0.25">
      <c r="B44" s="355">
        <f t="shared" si="7"/>
        <v>1962</v>
      </c>
      <c r="C44" s="468">
        <f>INDEX(SJRIPSummary_Annuals!$U$16:$IZ$106,MATCH(AnnualResultsViewer!$B44,SJRIPSummary_Annuals!$T$16:$T$106,0),$AQ$4)</f>
        <v>340428.26900487678</v>
      </c>
      <c r="D44" s="467">
        <f>INDEX(SJRIPSummary_Annuals!$U$16:$IZ$106,MATCH(AnnualResultsViewer!$B44,SJRIPSummary_Annuals!$T$16:$T$106,0),$AO$4)</f>
        <v>272342.61520390079</v>
      </c>
      <c r="E44" s="468">
        <f>INDEX(SJRIPSummary_Annuals!$U$16:$IZ$106,MATCH(AnnualResultsViewer!$B44,SJRIPSummary_Annuals!$T$16:$T$106,0),$AP$4)</f>
        <v>340428.26900487678</v>
      </c>
      <c r="F44" s="467">
        <f>INDEX(SJRIPSummary_Annuals!$U$16:$IZ$106,MATCH(AnnualResultsViewer!$B44,SJRIPSummary_Annuals!$T$16:$T$106,0),$AN$4)</f>
        <v>272342.61520390079</v>
      </c>
      <c r="G44" s="468">
        <f t="shared" si="4"/>
        <v>0</v>
      </c>
      <c r="H44" s="466">
        <f t="shared" si="5"/>
        <v>0</v>
      </c>
      <c r="I44" s="469">
        <f t="shared" si="6"/>
        <v>0</v>
      </c>
    </row>
    <row r="45" spans="2:9" x14ac:dyDescent="0.25">
      <c r="B45" s="355">
        <f t="shared" si="7"/>
        <v>1963</v>
      </c>
      <c r="C45" s="468">
        <f>INDEX(SJRIPSummary_Annuals!$U$16:$IZ$106,MATCH(AnnualResultsViewer!$B45,SJRIPSummary_Annuals!$T$16:$T$106,0),$AQ$4)</f>
        <v>337368.85589637718</v>
      </c>
      <c r="D45" s="467">
        <f>INDEX(SJRIPSummary_Annuals!$U$16:$IZ$106,MATCH(AnnualResultsViewer!$B45,SJRIPSummary_Annuals!$T$16:$T$106,0),$AO$4)</f>
        <v>269895.08471710177</v>
      </c>
      <c r="E45" s="468">
        <f>INDEX(SJRIPSummary_Annuals!$U$16:$IZ$106,MATCH(AnnualResultsViewer!$B45,SJRIPSummary_Annuals!$T$16:$T$106,0),$AP$4)</f>
        <v>337368.85589637718</v>
      </c>
      <c r="F45" s="467">
        <f>INDEX(SJRIPSummary_Annuals!$U$16:$IZ$106,MATCH(AnnualResultsViewer!$B45,SJRIPSummary_Annuals!$T$16:$T$106,0),$AN$4)</f>
        <v>269895.08471710177</v>
      </c>
      <c r="G45" s="468">
        <f t="shared" si="4"/>
        <v>0</v>
      </c>
      <c r="H45" s="466">
        <f t="shared" si="5"/>
        <v>0</v>
      </c>
      <c r="I45" s="469">
        <f t="shared" si="6"/>
        <v>0</v>
      </c>
    </row>
    <row r="46" spans="2:9" x14ac:dyDescent="0.25">
      <c r="B46" s="355">
        <f t="shared" si="7"/>
        <v>1964</v>
      </c>
      <c r="C46" s="468">
        <f>INDEX(SJRIPSummary_Annuals!$U$16:$IZ$106,MATCH(AnnualResultsViewer!$B46,SJRIPSummary_Annuals!$T$16:$T$106,0),$AQ$4)</f>
        <v>306950.95192668249</v>
      </c>
      <c r="D46" s="467">
        <f>INDEX(SJRIPSummary_Annuals!$U$16:$IZ$106,MATCH(AnnualResultsViewer!$B46,SJRIPSummary_Annuals!$T$16:$T$106,0),$AO$4)</f>
        <v>245560.76154134652</v>
      </c>
      <c r="E46" s="468">
        <f>INDEX(SJRIPSummary_Annuals!$U$16:$IZ$106,MATCH(AnnualResultsViewer!$B46,SJRIPSummary_Annuals!$T$16:$T$106,0),$AP$4)</f>
        <v>306950.95192668249</v>
      </c>
      <c r="F46" s="467">
        <f>INDEX(SJRIPSummary_Annuals!$U$16:$IZ$106,MATCH(AnnualResultsViewer!$B46,SJRIPSummary_Annuals!$T$16:$T$106,0),$AN$4)</f>
        <v>245560.76154134652</v>
      </c>
      <c r="G46" s="468">
        <f t="shared" si="4"/>
        <v>0</v>
      </c>
      <c r="H46" s="466">
        <f t="shared" si="5"/>
        <v>0</v>
      </c>
      <c r="I46" s="469">
        <f t="shared" si="6"/>
        <v>0</v>
      </c>
    </row>
    <row r="47" spans="2:9" x14ac:dyDescent="0.25">
      <c r="B47" s="355">
        <f t="shared" si="7"/>
        <v>1965</v>
      </c>
      <c r="C47" s="468">
        <f>INDEX(SJRIPSummary_Annuals!$U$16:$IZ$106,MATCH(AnnualResultsViewer!$B47,SJRIPSummary_Annuals!$T$16:$T$106,0),$AQ$4)</f>
        <v>242089.3793973822</v>
      </c>
      <c r="D47" s="467">
        <f>INDEX(SJRIPSummary_Annuals!$U$16:$IZ$106,MATCH(AnnualResultsViewer!$B47,SJRIPSummary_Annuals!$T$16:$T$106,0),$AO$4)</f>
        <v>193671.50351790618</v>
      </c>
      <c r="E47" s="468">
        <f>INDEX(SJRIPSummary_Annuals!$U$16:$IZ$106,MATCH(AnnualResultsViewer!$B47,SJRIPSummary_Annuals!$T$16:$T$106,0),$AP$4)</f>
        <v>242089.3793973822</v>
      </c>
      <c r="F47" s="467">
        <f>INDEX(SJRIPSummary_Annuals!$U$16:$IZ$106,MATCH(AnnualResultsViewer!$B47,SJRIPSummary_Annuals!$T$16:$T$106,0),$AN$4)</f>
        <v>193671.50351790618</v>
      </c>
      <c r="G47" s="468">
        <f t="shared" si="4"/>
        <v>0</v>
      </c>
      <c r="H47" s="466">
        <f t="shared" si="5"/>
        <v>0</v>
      </c>
      <c r="I47" s="469">
        <f t="shared" si="6"/>
        <v>0</v>
      </c>
    </row>
    <row r="48" spans="2:9" x14ac:dyDescent="0.25">
      <c r="B48" s="355">
        <f t="shared" si="7"/>
        <v>1966</v>
      </c>
      <c r="C48" s="468">
        <f>INDEX(SJRIPSummary_Annuals!$U$16:$IZ$106,MATCH(AnnualResultsViewer!$B48,SJRIPSummary_Annuals!$T$16:$T$106,0),$AQ$4)</f>
        <v>341166.40358371742</v>
      </c>
      <c r="D48" s="467">
        <f>INDEX(SJRIPSummary_Annuals!$U$16:$IZ$106,MATCH(AnnualResultsViewer!$B48,SJRIPSummary_Annuals!$T$16:$T$106,0),$AO$4)</f>
        <v>272933.12286697497</v>
      </c>
      <c r="E48" s="468">
        <f>INDEX(SJRIPSummary_Annuals!$U$16:$IZ$106,MATCH(AnnualResultsViewer!$B48,SJRIPSummary_Annuals!$T$16:$T$106,0),$AP$4)</f>
        <v>341166.40358371742</v>
      </c>
      <c r="F48" s="467">
        <f>INDEX(SJRIPSummary_Annuals!$U$16:$IZ$106,MATCH(AnnualResultsViewer!$B48,SJRIPSummary_Annuals!$T$16:$T$106,0),$AN$4)</f>
        <v>272933.12286697497</v>
      </c>
      <c r="G48" s="468">
        <f t="shared" si="4"/>
        <v>0</v>
      </c>
      <c r="H48" s="466">
        <f t="shared" si="5"/>
        <v>0</v>
      </c>
      <c r="I48" s="469">
        <f t="shared" si="6"/>
        <v>0</v>
      </c>
    </row>
    <row r="49" spans="2:9" x14ac:dyDescent="0.25">
      <c r="B49" s="355">
        <f t="shared" si="7"/>
        <v>1967</v>
      </c>
      <c r="C49" s="468">
        <f>INDEX(SJRIPSummary_Annuals!$U$16:$IZ$106,MATCH(AnnualResultsViewer!$B49,SJRIPSummary_Annuals!$T$16:$T$106,0),$AQ$4)</f>
        <v>307194.71124524897</v>
      </c>
      <c r="D49" s="467">
        <f>INDEX(SJRIPSummary_Annuals!$U$16:$IZ$106,MATCH(AnnualResultsViewer!$B49,SJRIPSummary_Annuals!$T$16:$T$106,0),$AO$4)</f>
        <v>245755.76899619837</v>
      </c>
      <c r="E49" s="468">
        <f>INDEX(SJRIPSummary_Annuals!$U$16:$IZ$106,MATCH(AnnualResultsViewer!$B49,SJRIPSummary_Annuals!$T$16:$T$106,0),$AP$4)</f>
        <v>307194.71124524897</v>
      </c>
      <c r="F49" s="467">
        <f>INDEX(SJRIPSummary_Annuals!$U$16:$IZ$106,MATCH(AnnualResultsViewer!$B49,SJRIPSummary_Annuals!$T$16:$T$106,0),$AN$4)</f>
        <v>245755.76899619837</v>
      </c>
      <c r="G49" s="468">
        <f t="shared" si="4"/>
        <v>0</v>
      </c>
      <c r="H49" s="466">
        <f t="shared" si="5"/>
        <v>0</v>
      </c>
      <c r="I49" s="469">
        <f t="shared" si="6"/>
        <v>0</v>
      </c>
    </row>
    <row r="50" spans="2:9" x14ac:dyDescent="0.25">
      <c r="B50" s="355">
        <f t="shared" si="7"/>
        <v>1968</v>
      </c>
      <c r="C50" s="468">
        <f>INDEX(SJRIPSummary_Annuals!$U$16:$IZ$106,MATCH(AnnualResultsViewer!$B50,SJRIPSummary_Annuals!$T$16:$T$106,0),$AQ$4)</f>
        <v>300678.11284606159</v>
      </c>
      <c r="D50" s="467">
        <f>INDEX(SJRIPSummary_Annuals!$U$16:$IZ$106,MATCH(AnnualResultsViewer!$B50,SJRIPSummary_Annuals!$T$16:$T$106,0),$AO$4)</f>
        <v>240542.49027684936</v>
      </c>
      <c r="E50" s="468">
        <f>INDEX(SJRIPSummary_Annuals!$U$16:$IZ$106,MATCH(AnnualResultsViewer!$B50,SJRIPSummary_Annuals!$T$16:$T$106,0),$AP$4)</f>
        <v>300678.11284606159</v>
      </c>
      <c r="F50" s="467">
        <f>INDEX(SJRIPSummary_Annuals!$U$16:$IZ$106,MATCH(AnnualResultsViewer!$B50,SJRIPSummary_Annuals!$T$16:$T$106,0),$AN$4)</f>
        <v>240542.49027684936</v>
      </c>
      <c r="G50" s="468">
        <f t="shared" si="4"/>
        <v>0</v>
      </c>
      <c r="H50" s="466">
        <f t="shared" si="5"/>
        <v>0</v>
      </c>
      <c r="I50" s="469">
        <f t="shared" si="6"/>
        <v>0</v>
      </c>
    </row>
    <row r="51" spans="2:9" x14ac:dyDescent="0.25">
      <c r="B51" s="355">
        <f t="shared" si="7"/>
        <v>1969</v>
      </c>
      <c r="C51" s="468">
        <f>INDEX(SJRIPSummary_Annuals!$U$16:$IZ$106,MATCH(AnnualResultsViewer!$B51,SJRIPSummary_Annuals!$T$16:$T$106,0),$AQ$4)</f>
        <v>296077.96178948792</v>
      </c>
      <c r="D51" s="467">
        <f>INDEX(SJRIPSummary_Annuals!$U$16:$IZ$106,MATCH(AnnualResultsViewer!$B51,SJRIPSummary_Annuals!$T$16:$T$106,0),$AO$4)</f>
        <v>236862.36943159031</v>
      </c>
      <c r="E51" s="468">
        <f>INDEX(SJRIPSummary_Annuals!$U$16:$IZ$106,MATCH(AnnualResultsViewer!$B51,SJRIPSummary_Annuals!$T$16:$T$106,0),$AP$4)</f>
        <v>296077.96178948792</v>
      </c>
      <c r="F51" s="467">
        <f>INDEX(SJRIPSummary_Annuals!$U$16:$IZ$106,MATCH(AnnualResultsViewer!$B51,SJRIPSummary_Annuals!$T$16:$T$106,0),$AN$4)</f>
        <v>236862.36943159031</v>
      </c>
      <c r="G51" s="468">
        <f t="shared" si="4"/>
        <v>0</v>
      </c>
      <c r="H51" s="466">
        <f t="shared" si="5"/>
        <v>0</v>
      </c>
      <c r="I51" s="469">
        <f t="shared" si="6"/>
        <v>0</v>
      </c>
    </row>
    <row r="52" spans="2:9" x14ac:dyDescent="0.25">
      <c r="B52" s="355">
        <f t="shared" si="7"/>
        <v>1970</v>
      </c>
      <c r="C52" s="468">
        <f>INDEX(SJRIPSummary_Annuals!$U$16:$IZ$106,MATCH(AnnualResultsViewer!$B52,SJRIPSummary_Annuals!$T$16:$T$106,0),$AQ$4)</f>
        <v>303940.89320013527</v>
      </c>
      <c r="D52" s="467">
        <f>INDEX(SJRIPSummary_Annuals!$U$16:$IZ$106,MATCH(AnnualResultsViewer!$B52,SJRIPSummary_Annuals!$T$16:$T$106,0),$AO$4)</f>
        <v>243152.71456010779</v>
      </c>
      <c r="E52" s="468">
        <f>INDEX(SJRIPSummary_Annuals!$U$16:$IZ$106,MATCH(AnnualResultsViewer!$B52,SJRIPSummary_Annuals!$T$16:$T$106,0),$AP$4)</f>
        <v>303940.89320013527</v>
      </c>
      <c r="F52" s="467">
        <f>INDEX(SJRIPSummary_Annuals!$U$16:$IZ$106,MATCH(AnnualResultsViewer!$B52,SJRIPSummary_Annuals!$T$16:$T$106,0),$AN$4)</f>
        <v>243152.71456010779</v>
      </c>
      <c r="G52" s="468">
        <f t="shared" si="4"/>
        <v>0</v>
      </c>
      <c r="H52" s="466">
        <f t="shared" si="5"/>
        <v>0</v>
      </c>
      <c r="I52" s="469">
        <f t="shared" si="6"/>
        <v>0</v>
      </c>
    </row>
    <row r="53" spans="2:9" x14ac:dyDescent="0.25">
      <c r="B53" s="355">
        <f t="shared" si="7"/>
        <v>1971</v>
      </c>
      <c r="C53" s="468">
        <f>INDEX(SJRIPSummary_Annuals!$U$16:$IZ$106,MATCH(AnnualResultsViewer!$B53,SJRIPSummary_Annuals!$T$16:$T$106,0),$AQ$4)</f>
        <v>314938.04679149308</v>
      </c>
      <c r="D53" s="467">
        <f>INDEX(SJRIPSummary_Annuals!$U$16:$IZ$106,MATCH(AnnualResultsViewer!$B53,SJRIPSummary_Annuals!$T$16:$T$106,0),$AO$4)</f>
        <v>251950.43743319449</v>
      </c>
      <c r="E53" s="468">
        <f>INDEX(SJRIPSummary_Annuals!$U$16:$IZ$106,MATCH(AnnualResultsViewer!$B53,SJRIPSummary_Annuals!$T$16:$T$106,0),$AP$4)</f>
        <v>314938.04679149308</v>
      </c>
      <c r="F53" s="467">
        <f>INDEX(SJRIPSummary_Annuals!$U$16:$IZ$106,MATCH(AnnualResultsViewer!$B53,SJRIPSummary_Annuals!$T$16:$T$106,0),$AN$4)</f>
        <v>251950.43743319449</v>
      </c>
      <c r="G53" s="468">
        <f t="shared" si="4"/>
        <v>0</v>
      </c>
      <c r="H53" s="466">
        <f t="shared" si="5"/>
        <v>0</v>
      </c>
      <c r="I53" s="469">
        <f t="shared" si="6"/>
        <v>0</v>
      </c>
    </row>
    <row r="54" spans="2:9" x14ac:dyDescent="0.25">
      <c r="B54" s="355">
        <f t="shared" si="7"/>
        <v>1972</v>
      </c>
      <c r="C54" s="468">
        <f>INDEX(SJRIPSummary_Annuals!$U$16:$IZ$106,MATCH(AnnualResultsViewer!$B54,SJRIPSummary_Annuals!$T$16:$T$106,0),$AQ$4)</f>
        <v>337655.70419766405</v>
      </c>
      <c r="D54" s="467">
        <f>INDEX(SJRIPSummary_Annuals!$U$16:$IZ$106,MATCH(AnnualResultsViewer!$B54,SJRIPSummary_Annuals!$T$16:$T$106,0),$AO$4)</f>
        <v>270124.56335813185</v>
      </c>
      <c r="E54" s="468">
        <f>INDEX(SJRIPSummary_Annuals!$U$16:$IZ$106,MATCH(AnnualResultsViewer!$B54,SJRIPSummary_Annuals!$T$16:$T$106,0),$AP$4)</f>
        <v>337655.70419766405</v>
      </c>
      <c r="F54" s="467">
        <f>INDEX(SJRIPSummary_Annuals!$U$16:$IZ$106,MATCH(AnnualResultsViewer!$B54,SJRIPSummary_Annuals!$T$16:$T$106,0),$AN$4)</f>
        <v>270124.56335813185</v>
      </c>
      <c r="G54" s="468">
        <f t="shared" si="4"/>
        <v>0</v>
      </c>
      <c r="H54" s="466">
        <f t="shared" si="5"/>
        <v>0</v>
      </c>
      <c r="I54" s="469">
        <f t="shared" si="6"/>
        <v>0</v>
      </c>
    </row>
    <row r="55" spans="2:9" x14ac:dyDescent="0.25">
      <c r="B55" s="355">
        <f t="shared" si="7"/>
        <v>1973</v>
      </c>
      <c r="C55" s="468">
        <f>INDEX(SJRIPSummary_Annuals!$U$16:$IZ$106,MATCH(AnnualResultsViewer!$B55,SJRIPSummary_Annuals!$T$16:$T$106,0),$AQ$4)</f>
        <v>291682.04552652931</v>
      </c>
      <c r="D55" s="467">
        <f>INDEX(SJRIPSummary_Annuals!$U$16:$IZ$106,MATCH(AnnualResultsViewer!$B55,SJRIPSummary_Annuals!$T$16:$T$106,0),$AO$4)</f>
        <v>233345.63642122349</v>
      </c>
      <c r="E55" s="468">
        <f>INDEX(SJRIPSummary_Annuals!$U$16:$IZ$106,MATCH(AnnualResultsViewer!$B55,SJRIPSummary_Annuals!$T$16:$T$106,0),$AP$4)</f>
        <v>291682.04552652931</v>
      </c>
      <c r="F55" s="467">
        <f>INDEX(SJRIPSummary_Annuals!$U$16:$IZ$106,MATCH(AnnualResultsViewer!$B55,SJRIPSummary_Annuals!$T$16:$T$106,0),$AN$4)</f>
        <v>233345.63642122349</v>
      </c>
      <c r="G55" s="468">
        <f t="shared" si="4"/>
        <v>0</v>
      </c>
      <c r="H55" s="466">
        <f t="shared" si="5"/>
        <v>0</v>
      </c>
      <c r="I55" s="469">
        <f t="shared" si="6"/>
        <v>0</v>
      </c>
    </row>
    <row r="56" spans="2:9" x14ac:dyDescent="0.25">
      <c r="B56" s="355">
        <f t="shared" si="7"/>
        <v>1974</v>
      </c>
      <c r="C56" s="468">
        <f>INDEX(SJRIPSummary_Annuals!$U$16:$IZ$106,MATCH(AnnualResultsViewer!$B56,SJRIPSummary_Annuals!$T$16:$T$106,0),$AQ$4)</f>
        <v>342966.99060753011</v>
      </c>
      <c r="D56" s="467">
        <f>INDEX(SJRIPSummary_Annuals!$U$16:$IZ$106,MATCH(AnnualResultsViewer!$B56,SJRIPSummary_Annuals!$T$16:$T$106,0),$AO$4)</f>
        <v>274373.59248602425</v>
      </c>
      <c r="E56" s="468">
        <f>INDEX(SJRIPSummary_Annuals!$U$16:$IZ$106,MATCH(AnnualResultsViewer!$B56,SJRIPSummary_Annuals!$T$16:$T$106,0),$AP$4)</f>
        <v>342966.99060753011</v>
      </c>
      <c r="F56" s="467">
        <f>INDEX(SJRIPSummary_Annuals!$U$16:$IZ$106,MATCH(AnnualResultsViewer!$B56,SJRIPSummary_Annuals!$T$16:$T$106,0),$AN$4)</f>
        <v>274373.59248602425</v>
      </c>
      <c r="G56" s="468">
        <f t="shared" si="4"/>
        <v>0</v>
      </c>
      <c r="H56" s="466">
        <f t="shared" si="5"/>
        <v>0</v>
      </c>
      <c r="I56" s="469">
        <f t="shared" si="6"/>
        <v>0</v>
      </c>
    </row>
    <row r="57" spans="2:9" x14ac:dyDescent="0.25">
      <c r="B57" s="355">
        <f t="shared" si="7"/>
        <v>1975</v>
      </c>
      <c r="C57" s="468">
        <f>INDEX(SJRIPSummary_Annuals!$U$16:$IZ$106,MATCH(AnnualResultsViewer!$B57,SJRIPSummary_Annuals!$T$16:$T$106,0),$AQ$4)</f>
        <v>297398.7253024684</v>
      </c>
      <c r="D57" s="467">
        <f>INDEX(SJRIPSummary_Annuals!$U$16:$IZ$106,MATCH(AnnualResultsViewer!$B57,SJRIPSummary_Annuals!$T$16:$T$106,0),$AO$4)</f>
        <v>237918.98024197394</v>
      </c>
      <c r="E57" s="468">
        <f>INDEX(SJRIPSummary_Annuals!$U$16:$IZ$106,MATCH(AnnualResultsViewer!$B57,SJRIPSummary_Annuals!$T$16:$T$106,0),$AP$4)</f>
        <v>297398.7253024684</v>
      </c>
      <c r="F57" s="467">
        <f>INDEX(SJRIPSummary_Annuals!$U$16:$IZ$106,MATCH(AnnualResultsViewer!$B57,SJRIPSummary_Annuals!$T$16:$T$106,0),$AN$4)</f>
        <v>237918.98024197394</v>
      </c>
      <c r="G57" s="468">
        <f t="shared" si="4"/>
        <v>0</v>
      </c>
      <c r="H57" s="466">
        <f t="shared" si="5"/>
        <v>0</v>
      </c>
      <c r="I57" s="469">
        <f t="shared" si="6"/>
        <v>0</v>
      </c>
    </row>
    <row r="58" spans="2:9" x14ac:dyDescent="0.25">
      <c r="B58" s="355">
        <f t="shared" si="7"/>
        <v>1976</v>
      </c>
      <c r="C58" s="468">
        <f>INDEX(SJRIPSummary_Annuals!$U$16:$IZ$106,MATCH(AnnualResultsViewer!$B58,SJRIPSummary_Annuals!$T$16:$T$106,0),$AQ$4)</f>
        <v>310659.60515617736</v>
      </c>
      <c r="D58" s="467">
        <f>INDEX(SJRIPSummary_Annuals!$U$16:$IZ$106,MATCH(AnnualResultsViewer!$B58,SJRIPSummary_Annuals!$T$16:$T$106,0),$AO$4)</f>
        <v>248527.6841249415</v>
      </c>
      <c r="E58" s="468">
        <f>INDEX(SJRIPSummary_Annuals!$U$16:$IZ$106,MATCH(AnnualResultsViewer!$B58,SJRIPSummary_Annuals!$T$16:$T$106,0),$AP$4)</f>
        <v>310659.60515617736</v>
      </c>
      <c r="F58" s="467">
        <f>INDEX(SJRIPSummary_Annuals!$U$16:$IZ$106,MATCH(AnnualResultsViewer!$B58,SJRIPSummary_Annuals!$T$16:$T$106,0),$AN$4)</f>
        <v>248527.6841249415</v>
      </c>
      <c r="G58" s="468">
        <f t="shared" si="4"/>
        <v>0</v>
      </c>
      <c r="H58" s="466">
        <f t="shared" si="5"/>
        <v>0</v>
      </c>
      <c r="I58" s="469">
        <f t="shared" si="6"/>
        <v>0</v>
      </c>
    </row>
    <row r="59" spans="2:9" x14ac:dyDescent="0.25">
      <c r="B59" s="355">
        <f t="shared" si="7"/>
        <v>1977</v>
      </c>
      <c r="C59" s="468">
        <f>INDEX(SJRIPSummary_Annuals!$U$16:$IZ$106,MATCH(AnnualResultsViewer!$B59,SJRIPSummary_Annuals!$T$16:$T$106,0),$AQ$4)</f>
        <v>336486.0712340055</v>
      </c>
      <c r="D59" s="467">
        <f>INDEX(SJRIPSummary_Annuals!$U$16:$IZ$106,MATCH(AnnualResultsViewer!$B59,SJRIPSummary_Annuals!$T$16:$T$106,0),$AO$4)</f>
        <v>269188.8569872044</v>
      </c>
      <c r="E59" s="468">
        <f>INDEX(SJRIPSummary_Annuals!$U$16:$IZ$106,MATCH(AnnualResultsViewer!$B59,SJRIPSummary_Annuals!$T$16:$T$106,0),$AP$4)</f>
        <v>336486.0712340055</v>
      </c>
      <c r="F59" s="467">
        <f>INDEX(SJRIPSummary_Annuals!$U$16:$IZ$106,MATCH(AnnualResultsViewer!$B59,SJRIPSummary_Annuals!$T$16:$T$106,0),$AN$4)</f>
        <v>269188.8569872044</v>
      </c>
      <c r="G59" s="468">
        <f t="shared" si="4"/>
        <v>0</v>
      </c>
      <c r="H59" s="466">
        <f t="shared" si="5"/>
        <v>0</v>
      </c>
      <c r="I59" s="469">
        <f t="shared" si="6"/>
        <v>0</v>
      </c>
    </row>
    <row r="60" spans="2:9" x14ac:dyDescent="0.25">
      <c r="B60" s="355">
        <f t="shared" si="7"/>
        <v>1978</v>
      </c>
      <c r="C60" s="468">
        <f>INDEX(SJRIPSummary_Annuals!$U$16:$IZ$106,MATCH(AnnualResultsViewer!$B60,SJRIPSummary_Annuals!$T$16:$T$106,0),$AQ$4)</f>
        <v>326695.91785579844</v>
      </c>
      <c r="D60" s="467">
        <f>INDEX(SJRIPSummary_Annuals!$U$16:$IZ$106,MATCH(AnnualResultsViewer!$B60,SJRIPSummary_Annuals!$T$16:$T$106,0),$AO$4)</f>
        <v>261356.73428463849</v>
      </c>
      <c r="E60" s="468">
        <f>INDEX(SJRIPSummary_Annuals!$U$16:$IZ$106,MATCH(AnnualResultsViewer!$B60,SJRIPSummary_Annuals!$T$16:$T$106,0),$AP$4)</f>
        <v>326695.91785579844</v>
      </c>
      <c r="F60" s="467">
        <f>INDEX(SJRIPSummary_Annuals!$U$16:$IZ$106,MATCH(AnnualResultsViewer!$B60,SJRIPSummary_Annuals!$T$16:$T$106,0),$AN$4)</f>
        <v>261356.73428463849</v>
      </c>
      <c r="G60" s="468">
        <f t="shared" si="4"/>
        <v>0</v>
      </c>
      <c r="H60" s="466">
        <f t="shared" si="5"/>
        <v>0</v>
      </c>
      <c r="I60" s="469">
        <f t="shared" si="6"/>
        <v>0</v>
      </c>
    </row>
    <row r="61" spans="2:9" x14ac:dyDescent="0.25">
      <c r="B61" s="355">
        <f t="shared" si="7"/>
        <v>1979</v>
      </c>
      <c r="C61" s="468">
        <f>INDEX(SJRIPSummary_Annuals!$U$16:$IZ$106,MATCH(AnnualResultsViewer!$B61,SJRIPSummary_Annuals!$T$16:$T$106,0),$AQ$4)</f>
        <v>312828.70148666896</v>
      </c>
      <c r="D61" s="467">
        <f>INDEX(SJRIPSummary_Annuals!$U$16:$IZ$106,MATCH(AnnualResultsViewer!$B61,SJRIPSummary_Annuals!$T$16:$T$106,0),$AO$4)</f>
        <v>250262.96118933489</v>
      </c>
      <c r="E61" s="468">
        <f>INDEX(SJRIPSummary_Annuals!$U$16:$IZ$106,MATCH(AnnualResultsViewer!$B61,SJRIPSummary_Annuals!$T$16:$T$106,0),$AP$4)</f>
        <v>312828.70148666896</v>
      </c>
      <c r="F61" s="467">
        <f>INDEX(SJRIPSummary_Annuals!$U$16:$IZ$106,MATCH(AnnualResultsViewer!$B61,SJRIPSummary_Annuals!$T$16:$T$106,0),$AN$4)</f>
        <v>250262.96118933489</v>
      </c>
      <c r="G61" s="468">
        <f t="shared" si="4"/>
        <v>0</v>
      </c>
      <c r="H61" s="466">
        <f t="shared" si="5"/>
        <v>0</v>
      </c>
      <c r="I61" s="469">
        <f t="shared" si="6"/>
        <v>0</v>
      </c>
    </row>
    <row r="62" spans="2:9" x14ac:dyDescent="0.25">
      <c r="B62" s="355">
        <f t="shared" si="7"/>
        <v>1980</v>
      </c>
      <c r="C62" s="468">
        <f>INDEX(SJRIPSummary_Annuals!$U$16:$IZ$106,MATCH(AnnualResultsViewer!$B62,SJRIPSummary_Annuals!$T$16:$T$106,0),$AQ$4)</f>
        <v>326143.51022362133</v>
      </c>
      <c r="D62" s="467">
        <f>INDEX(SJRIPSummary_Annuals!$U$16:$IZ$106,MATCH(AnnualResultsViewer!$B62,SJRIPSummary_Annuals!$T$16:$T$106,0),$AO$4)</f>
        <v>260914.80817889789</v>
      </c>
      <c r="E62" s="468">
        <f>INDEX(SJRIPSummary_Annuals!$U$16:$IZ$106,MATCH(AnnualResultsViewer!$B62,SJRIPSummary_Annuals!$T$16:$T$106,0),$AP$4)</f>
        <v>326143.51022362133</v>
      </c>
      <c r="F62" s="467">
        <f>INDEX(SJRIPSummary_Annuals!$U$16:$IZ$106,MATCH(AnnualResultsViewer!$B62,SJRIPSummary_Annuals!$T$16:$T$106,0),$AN$4)</f>
        <v>260914.80817889789</v>
      </c>
      <c r="G62" s="468">
        <f t="shared" si="4"/>
        <v>0</v>
      </c>
      <c r="H62" s="466">
        <f t="shared" si="5"/>
        <v>0</v>
      </c>
      <c r="I62" s="469">
        <f t="shared" si="6"/>
        <v>0</v>
      </c>
    </row>
    <row r="63" spans="2:9" x14ac:dyDescent="0.25">
      <c r="B63" s="355">
        <f t="shared" si="7"/>
        <v>1981</v>
      </c>
      <c r="C63" s="468">
        <f>INDEX(SJRIPSummary_Annuals!$U$16:$IZ$106,MATCH(AnnualResultsViewer!$B63,SJRIPSummary_Annuals!$T$16:$T$106,0),$AQ$4)</f>
        <v>314294.28666468861</v>
      </c>
      <c r="D63" s="467">
        <f>INDEX(SJRIPSummary_Annuals!$U$16:$IZ$106,MATCH(AnnualResultsViewer!$B63,SJRIPSummary_Annuals!$T$16:$T$106,0),$AO$4)</f>
        <v>251435.42933175038</v>
      </c>
      <c r="E63" s="468">
        <f>INDEX(SJRIPSummary_Annuals!$U$16:$IZ$106,MATCH(AnnualResultsViewer!$B63,SJRIPSummary_Annuals!$T$16:$T$106,0),$AP$4)</f>
        <v>314294.28666468861</v>
      </c>
      <c r="F63" s="467">
        <f>INDEX(SJRIPSummary_Annuals!$U$16:$IZ$106,MATCH(AnnualResultsViewer!$B63,SJRIPSummary_Annuals!$T$16:$T$106,0),$AN$4)</f>
        <v>251435.42933175038</v>
      </c>
      <c r="G63" s="468">
        <f t="shared" si="4"/>
        <v>0</v>
      </c>
      <c r="H63" s="466">
        <f t="shared" si="5"/>
        <v>0</v>
      </c>
      <c r="I63" s="469">
        <f t="shared" si="6"/>
        <v>0</v>
      </c>
    </row>
    <row r="64" spans="2:9" x14ac:dyDescent="0.25">
      <c r="B64" s="355">
        <f t="shared" si="7"/>
        <v>1982</v>
      </c>
      <c r="C64" s="468">
        <f>INDEX(SJRIPSummary_Annuals!$U$16:$IZ$106,MATCH(AnnualResultsViewer!$B64,SJRIPSummary_Annuals!$T$16:$T$106,0),$AQ$4)</f>
        <v>272079.47296994139</v>
      </c>
      <c r="D64" s="467">
        <f>INDEX(SJRIPSummary_Annuals!$U$16:$IZ$106,MATCH(AnnualResultsViewer!$B64,SJRIPSummary_Annuals!$T$16:$T$106,0),$AO$4)</f>
        <v>217663.57837595366</v>
      </c>
      <c r="E64" s="468">
        <f>INDEX(SJRIPSummary_Annuals!$U$16:$IZ$106,MATCH(AnnualResultsViewer!$B64,SJRIPSummary_Annuals!$T$16:$T$106,0),$AP$4)</f>
        <v>272079.47296994139</v>
      </c>
      <c r="F64" s="467">
        <f>INDEX(SJRIPSummary_Annuals!$U$16:$IZ$106,MATCH(AnnualResultsViewer!$B64,SJRIPSummary_Annuals!$T$16:$T$106,0),$AN$4)</f>
        <v>217663.57837595366</v>
      </c>
      <c r="G64" s="468">
        <f t="shared" si="4"/>
        <v>0</v>
      </c>
      <c r="H64" s="466">
        <f t="shared" si="5"/>
        <v>0</v>
      </c>
      <c r="I64" s="469">
        <f t="shared" si="6"/>
        <v>0</v>
      </c>
    </row>
    <row r="65" spans="2:9" x14ac:dyDescent="0.25">
      <c r="B65" s="355">
        <f t="shared" si="7"/>
        <v>1983</v>
      </c>
      <c r="C65" s="468">
        <f>INDEX(SJRIPSummary_Annuals!$U$16:$IZ$106,MATCH(AnnualResultsViewer!$B65,SJRIPSummary_Annuals!$T$16:$T$106,0),$AQ$4)</f>
        <v>302085.03394643811</v>
      </c>
      <c r="D65" s="467">
        <f>INDEX(SJRIPSummary_Annuals!$U$16:$IZ$106,MATCH(AnnualResultsViewer!$B65,SJRIPSummary_Annuals!$T$16:$T$106,0),$AO$4)</f>
        <v>241668.02715715033</v>
      </c>
      <c r="E65" s="468">
        <f>INDEX(SJRIPSummary_Annuals!$U$16:$IZ$106,MATCH(AnnualResultsViewer!$B65,SJRIPSummary_Annuals!$T$16:$T$106,0),$AP$4)</f>
        <v>302085.03394643811</v>
      </c>
      <c r="F65" s="467">
        <f>INDEX(SJRIPSummary_Annuals!$U$16:$IZ$106,MATCH(AnnualResultsViewer!$B65,SJRIPSummary_Annuals!$T$16:$T$106,0),$AN$4)</f>
        <v>241668.02715715033</v>
      </c>
      <c r="G65" s="468">
        <f t="shared" si="4"/>
        <v>0</v>
      </c>
      <c r="H65" s="466">
        <f t="shared" si="5"/>
        <v>0</v>
      </c>
      <c r="I65" s="469">
        <f t="shared" si="6"/>
        <v>0</v>
      </c>
    </row>
    <row r="66" spans="2:9" x14ac:dyDescent="0.25">
      <c r="B66" s="355">
        <f t="shared" si="7"/>
        <v>1984</v>
      </c>
      <c r="C66" s="468">
        <f>INDEX(SJRIPSummary_Annuals!$U$16:$IZ$106,MATCH(AnnualResultsViewer!$B66,SJRIPSummary_Annuals!$T$16:$T$106,0),$AQ$4)</f>
        <v>273092.67609098158</v>
      </c>
      <c r="D66" s="467">
        <f>INDEX(SJRIPSummary_Annuals!$U$16:$IZ$106,MATCH(AnnualResultsViewer!$B66,SJRIPSummary_Annuals!$T$16:$T$106,0),$AO$4)</f>
        <v>218474.14087278556</v>
      </c>
      <c r="E66" s="468">
        <f>INDEX(SJRIPSummary_Annuals!$U$16:$IZ$106,MATCH(AnnualResultsViewer!$B66,SJRIPSummary_Annuals!$T$16:$T$106,0),$AP$4)</f>
        <v>273092.67609098158</v>
      </c>
      <c r="F66" s="467">
        <f>INDEX(SJRIPSummary_Annuals!$U$16:$IZ$106,MATCH(AnnualResultsViewer!$B66,SJRIPSummary_Annuals!$T$16:$T$106,0),$AN$4)</f>
        <v>218474.14087278556</v>
      </c>
      <c r="G66" s="468">
        <f t="shared" si="4"/>
        <v>0</v>
      </c>
      <c r="H66" s="466">
        <f t="shared" si="5"/>
        <v>0</v>
      </c>
      <c r="I66" s="469">
        <f t="shared" si="6"/>
        <v>0</v>
      </c>
    </row>
    <row r="67" spans="2:9" x14ac:dyDescent="0.25">
      <c r="B67" s="355">
        <f t="shared" si="7"/>
        <v>1985</v>
      </c>
      <c r="C67" s="468">
        <f>INDEX(SJRIPSummary_Annuals!$U$16:$IZ$106,MATCH(AnnualResultsViewer!$B67,SJRIPSummary_Annuals!$T$16:$T$106,0),$AQ$4)</f>
        <v>312119.1101338414</v>
      </c>
      <c r="D67" s="467">
        <f>INDEX(SJRIPSummary_Annuals!$U$16:$IZ$106,MATCH(AnnualResultsViewer!$B67,SJRIPSummary_Annuals!$T$16:$T$106,0),$AO$4)</f>
        <v>249695.28810707264</v>
      </c>
      <c r="E67" s="468">
        <f>INDEX(SJRIPSummary_Annuals!$U$16:$IZ$106,MATCH(AnnualResultsViewer!$B67,SJRIPSummary_Annuals!$T$16:$T$106,0),$AP$4)</f>
        <v>312119.1101338414</v>
      </c>
      <c r="F67" s="467">
        <f>INDEX(SJRIPSummary_Annuals!$U$16:$IZ$106,MATCH(AnnualResultsViewer!$B67,SJRIPSummary_Annuals!$T$16:$T$106,0),$AN$4)</f>
        <v>249695.28810707264</v>
      </c>
      <c r="G67" s="468">
        <f t="shared" si="4"/>
        <v>0</v>
      </c>
      <c r="H67" s="466">
        <f t="shared" si="5"/>
        <v>0</v>
      </c>
      <c r="I67" s="469">
        <f t="shared" si="6"/>
        <v>0</v>
      </c>
    </row>
    <row r="68" spans="2:9" x14ac:dyDescent="0.25">
      <c r="B68" s="355">
        <f t="shared" si="7"/>
        <v>1986</v>
      </c>
      <c r="C68" s="468">
        <f>INDEX(SJRIPSummary_Annuals!$U$16:$IZ$106,MATCH(AnnualResultsViewer!$B68,SJRIPSummary_Annuals!$T$16:$T$106,0),$AQ$4)</f>
        <v>259746.28760702224</v>
      </c>
      <c r="D68" s="467">
        <f>INDEX(SJRIPSummary_Annuals!$U$16:$IZ$106,MATCH(AnnualResultsViewer!$B68,SJRIPSummary_Annuals!$T$16:$T$106,0),$AO$4)</f>
        <v>207797.03008561779</v>
      </c>
      <c r="E68" s="468">
        <f>INDEX(SJRIPSummary_Annuals!$U$16:$IZ$106,MATCH(AnnualResultsViewer!$B68,SJRIPSummary_Annuals!$T$16:$T$106,0),$AP$4)</f>
        <v>259746.28760702224</v>
      </c>
      <c r="F68" s="467">
        <f>INDEX(SJRIPSummary_Annuals!$U$16:$IZ$106,MATCH(AnnualResultsViewer!$B68,SJRIPSummary_Annuals!$T$16:$T$106,0),$AN$4)</f>
        <v>207797.03008561779</v>
      </c>
      <c r="G68" s="468">
        <f t="shared" si="4"/>
        <v>0</v>
      </c>
      <c r="H68" s="466">
        <f t="shared" si="5"/>
        <v>0</v>
      </c>
      <c r="I68" s="469">
        <f t="shared" si="6"/>
        <v>0</v>
      </c>
    </row>
    <row r="69" spans="2:9" x14ac:dyDescent="0.25">
      <c r="B69" s="355">
        <f t="shared" si="7"/>
        <v>1987</v>
      </c>
      <c r="C69" s="468">
        <f>INDEX(SJRIPSummary_Annuals!$U$16:$IZ$106,MATCH(AnnualResultsViewer!$B69,SJRIPSummary_Annuals!$T$16:$T$106,0),$AQ$4)</f>
        <v>317988.48264347471</v>
      </c>
      <c r="D69" s="467">
        <f>INDEX(SJRIPSummary_Annuals!$U$16:$IZ$106,MATCH(AnnualResultsViewer!$B69,SJRIPSummary_Annuals!$T$16:$T$106,0),$AO$4)</f>
        <v>254390.78611477971</v>
      </c>
      <c r="E69" s="468">
        <f>INDEX(SJRIPSummary_Annuals!$U$16:$IZ$106,MATCH(AnnualResultsViewer!$B69,SJRIPSummary_Annuals!$T$16:$T$106,0),$AP$4)</f>
        <v>317988.48264347471</v>
      </c>
      <c r="F69" s="467">
        <f>INDEX(SJRIPSummary_Annuals!$U$16:$IZ$106,MATCH(AnnualResultsViewer!$B69,SJRIPSummary_Annuals!$T$16:$T$106,0),$AN$4)</f>
        <v>254390.78611477971</v>
      </c>
      <c r="G69" s="468">
        <f t="shared" si="4"/>
        <v>0</v>
      </c>
      <c r="H69" s="466">
        <f t="shared" si="5"/>
        <v>0</v>
      </c>
      <c r="I69" s="469">
        <f t="shared" si="6"/>
        <v>0</v>
      </c>
    </row>
    <row r="70" spans="2:9" x14ac:dyDescent="0.25">
      <c r="B70" s="355">
        <f t="shared" si="7"/>
        <v>1988</v>
      </c>
      <c r="C70" s="468">
        <f>INDEX(SJRIPSummary_Annuals!$U$16:$IZ$106,MATCH(AnnualResultsViewer!$B70,SJRIPSummary_Annuals!$T$16:$T$106,0),$AQ$4)</f>
        <v>308645.39171946753</v>
      </c>
      <c r="D70" s="467">
        <f>INDEX(SJRIPSummary_Annuals!$U$16:$IZ$106,MATCH(AnnualResultsViewer!$B70,SJRIPSummary_Annuals!$T$16:$T$106,0),$AO$4)</f>
        <v>246916.31337557448</v>
      </c>
      <c r="E70" s="468">
        <f>INDEX(SJRIPSummary_Annuals!$U$16:$IZ$106,MATCH(AnnualResultsViewer!$B70,SJRIPSummary_Annuals!$T$16:$T$106,0),$AP$4)</f>
        <v>308645.39171946753</v>
      </c>
      <c r="F70" s="467">
        <f>INDEX(SJRIPSummary_Annuals!$U$16:$IZ$106,MATCH(AnnualResultsViewer!$B70,SJRIPSummary_Annuals!$T$16:$T$106,0),$AN$4)</f>
        <v>246916.31337557448</v>
      </c>
      <c r="G70" s="468">
        <f t="shared" si="4"/>
        <v>0</v>
      </c>
      <c r="H70" s="466">
        <f t="shared" si="5"/>
        <v>0</v>
      </c>
      <c r="I70" s="469">
        <f t="shared" si="6"/>
        <v>0</v>
      </c>
    </row>
    <row r="71" spans="2:9" x14ac:dyDescent="0.25">
      <c r="B71" s="355">
        <f t="shared" si="7"/>
        <v>1989</v>
      </c>
      <c r="C71" s="468">
        <f>INDEX(SJRIPSummary_Annuals!$U$16:$IZ$106,MATCH(AnnualResultsViewer!$B71,SJRIPSummary_Annuals!$T$16:$T$106,0),$AQ$4)</f>
        <v>349426.64174525248</v>
      </c>
      <c r="D71" s="467">
        <f>INDEX(SJRIPSummary_Annuals!$U$16:$IZ$106,MATCH(AnnualResultsViewer!$B71,SJRIPSummary_Annuals!$T$16:$T$106,0),$AO$4)</f>
        <v>279541.313396201</v>
      </c>
      <c r="E71" s="468">
        <f>INDEX(SJRIPSummary_Annuals!$U$16:$IZ$106,MATCH(AnnualResultsViewer!$B71,SJRIPSummary_Annuals!$T$16:$T$106,0),$AP$4)</f>
        <v>349426.64174525248</v>
      </c>
      <c r="F71" s="467">
        <f>INDEX(SJRIPSummary_Annuals!$U$16:$IZ$106,MATCH(AnnualResultsViewer!$B71,SJRIPSummary_Annuals!$T$16:$T$106,0),$AN$4)</f>
        <v>279541.313396201</v>
      </c>
      <c r="G71" s="468">
        <f t="shared" si="4"/>
        <v>0</v>
      </c>
      <c r="H71" s="466">
        <f t="shared" si="5"/>
        <v>0</v>
      </c>
      <c r="I71" s="469">
        <f t="shared" si="6"/>
        <v>0</v>
      </c>
    </row>
    <row r="72" spans="2:9" x14ac:dyDescent="0.25">
      <c r="B72" s="355">
        <f t="shared" si="7"/>
        <v>1990</v>
      </c>
      <c r="C72" s="468">
        <f>INDEX(SJRIPSummary_Annuals!$U$16:$IZ$106,MATCH(AnnualResultsViewer!$B72,SJRIPSummary_Annuals!$T$16:$T$106,0),$AQ$4)</f>
        <v>325486.02302746312</v>
      </c>
      <c r="D72" s="467">
        <f>INDEX(SJRIPSummary_Annuals!$U$16:$IZ$106,MATCH(AnnualResultsViewer!$B72,SJRIPSummary_Annuals!$T$16:$T$106,0),$AO$4)</f>
        <v>260388.81842197009</v>
      </c>
      <c r="E72" s="468">
        <f>INDEX(SJRIPSummary_Annuals!$U$16:$IZ$106,MATCH(AnnualResultsViewer!$B72,SJRIPSummary_Annuals!$T$16:$T$106,0),$AP$4)</f>
        <v>325486.02302746312</v>
      </c>
      <c r="F72" s="467">
        <f>INDEX(SJRIPSummary_Annuals!$U$16:$IZ$106,MATCH(AnnualResultsViewer!$B72,SJRIPSummary_Annuals!$T$16:$T$106,0),$AN$4)</f>
        <v>260388.81842197009</v>
      </c>
      <c r="G72" s="468">
        <f t="shared" si="4"/>
        <v>0</v>
      </c>
      <c r="H72" s="466">
        <f t="shared" si="5"/>
        <v>0</v>
      </c>
      <c r="I72" s="469">
        <f t="shared" si="6"/>
        <v>0</v>
      </c>
    </row>
    <row r="73" spans="2:9" x14ac:dyDescent="0.25">
      <c r="B73" s="355">
        <f t="shared" si="7"/>
        <v>1991</v>
      </c>
      <c r="C73" s="468">
        <f>INDEX(SJRIPSummary_Annuals!$U$16:$IZ$106,MATCH(AnnualResultsViewer!$B73,SJRIPSummary_Annuals!$T$16:$T$106,0),$AQ$4)</f>
        <v>320754.19466728065</v>
      </c>
      <c r="D73" s="467">
        <f>INDEX(SJRIPSummary_Annuals!$U$16:$IZ$106,MATCH(AnnualResultsViewer!$B73,SJRIPSummary_Annuals!$T$16:$T$106,0),$AO$4)</f>
        <v>256603.3557338242</v>
      </c>
      <c r="E73" s="468">
        <f>INDEX(SJRIPSummary_Annuals!$U$16:$IZ$106,MATCH(AnnualResultsViewer!$B73,SJRIPSummary_Annuals!$T$16:$T$106,0),$AP$4)</f>
        <v>320754.19466728065</v>
      </c>
      <c r="F73" s="467">
        <f>INDEX(SJRIPSummary_Annuals!$U$16:$IZ$106,MATCH(AnnualResultsViewer!$B73,SJRIPSummary_Annuals!$T$16:$T$106,0),$AN$4)</f>
        <v>256603.3557338242</v>
      </c>
      <c r="G73" s="468">
        <f t="shared" si="4"/>
        <v>0</v>
      </c>
      <c r="H73" s="466">
        <f t="shared" si="5"/>
        <v>0</v>
      </c>
      <c r="I73" s="469">
        <f t="shared" si="6"/>
        <v>0</v>
      </c>
    </row>
    <row r="74" spans="2:9" x14ac:dyDescent="0.25">
      <c r="B74" s="355">
        <f t="shared" si="7"/>
        <v>1992</v>
      </c>
      <c r="C74" s="468">
        <f>INDEX(SJRIPSummary_Annuals!$U$16:$IZ$106,MATCH(AnnualResultsViewer!$B74,SJRIPSummary_Annuals!$T$16:$T$106,0),$AQ$4)</f>
        <v>301807.55249811104</v>
      </c>
      <c r="D74" s="467">
        <f>INDEX(SJRIPSummary_Annuals!$U$16:$IZ$106,MATCH(AnnualResultsViewer!$B74,SJRIPSummary_Annuals!$T$16:$T$106,0),$AO$4)</f>
        <v>241446.04199848979</v>
      </c>
      <c r="E74" s="468">
        <f>INDEX(SJRIPSummary_Annuals!$U$16:$IZ$106,MATCH(AnnualResultsViewer!$B74,SJRIPSummary_Annuals!$T$16:$T$106,0),$AP$4)</f>
        <v>301807.55249811104</v>
      </c>
      <c r="F74" s="467">
        <f>INDEX(SJRIPSummary_Annuals!$U$16:$IZ$106,MATCH(AnnualResultsViewer!$B74,SJRIPSummary_Annuals!$T$16:$T$106,0),$AN$4)</f>
        <v>241446.04199848979</v>
      </c>
      <c r="G74" s="468">
        <f t="shared" si="4"/>
        <v>0</v>
      </c>
      <c r="H74" s="466">
        <f t="shared" si="5"/>
        <v>0</v>
      </c>
      <c r="I74" s="469">
        <f t="shared" si="6"/>
        <v>0</v>
      </c>
    </row>
    <row r="75" spans="2:9" x14ac:dyDescent="0.25">
      <c r="B75" s="355">
        <f t="shared" ref="B75:B102" si="8">IF(B74+1&gt;1928+NumRunYears-1,NA(),B74+1)</f>
        <v>1993</v>
      </c>
      <c r="C75" s="468">
        <f>INDEX(SJRIPSummary_Annuals!$U$16:$IZ$106,MATCH(AnnualResultsViewer!$B75,SJRIPSummary_Annuals!$T$16:$T$106,0),$AQ$4)</f>
        <v>315770.39264714881</v>
      </c>
      <c r="D75" s="467">
        <f>INDEX(SJRIPSummary_Annuals!$U$16:$IZ$106,MATCH(AnnualResultsViewer!$B75,SJRIPSummary_Annuals!$T$16:$T$106,0),$AO$4)</f>
        <v>252616.31411771968</v>
      </c>
      <c r="E75" s="468">
        <f>INDEX(SJRIPSummary_Annuals!$U$16:$IZ$106,MATCH(AnnualResultsViewer!$B75,SJRIPSummary_Annuals!$T$16:$T$106,0),$AP$4)</f>
        <v>315770.39264714881</v>
      </c>
      <c r="F75" s="467">
        <f>INDEX(SJRIPSummary_Annuals!$U$16:$IZ$106,MATCH(AnnualResultsViewer!$B75,SJRIPSummary_Annuals!$T$16:$T$106,0),$AN$4)</f>
        <v>252616.31411771968</v>
      </c>
      <c r="G75" s="468">
        <f t="shared" si="4"/>
        <v>0</v>
      </c>
      <c r="H75" s="466">
        <f t="shared" si="5"/>
        <v>0</v>
      </c>
      <c r="I75" s="469">
        <f t="shared" si="6"/>
        <v>0</v>
      </c>
    </row>
    <row r="76" spans="2:9" x14ac:dyDescent="0.25">
      <c r="B76" s="355">
        <f t="shared" si="8"/>
        <v>1994</v>
      </c>
      <c r="C76" s="468">
        <f>INDEX(SJRIPSummary_Annuals!$U$16:$IZ$106,MATCH(AnnualResultsViewer!$B76,SJRIPSummary_Annuals!$T$16:$T$106,0),$AQ$4)</f>
        <v>360541.97587296693</v>
      </c>
      <c r="D76" s="467">
        <f>INDEX(SJRIPSummary_Annuals!$U$16:$IZ$106,MATCH(AnnualResultsViewer!$B76,SJRIPSummary_Annuals!$T$16:$T$106,0),$AO$4)</f>
        <v>288433.5806983721</v>
      </c>
      <c r="E76" s="468">
        <f>INDEX(SJRIPSummary_Annuals!$U$16:$IZ$106,MATCH(AnnualResultsViewer!$B76,SJRIPSummary_Annuals!$T$16:$T$106,0),$AP$4)</f>
        <v>360541.97587296693</v>
      </c>
      <c r="F76" s="467">
        <f>INDEX(SJRIPSummary_Annuals!$U$16:$IZ$106,MATCH(AnnualResultsViewer!$B76,SJRIPSummary_Annuals!$T$16:$T$106,0),$AN$4)</f>
        <v>288433.5806983721</v>
      </c>
      <c r="G76" s="468">
        <f t="shared" ref="G76:G94" si="9">IFERROR(C76-E76,"n/a")</f>
        <v>0</v>
      </c>
      <c r="H76" s="466">
        <f t="shared" ref="H76:H94" si="10">IFERROR(D76-F76,"n/a")</f>
        <v>0</v>
      </c>
      <c r="I76" s="469">
        <f t="shared" ref="I76:I94" si="11">IFERROR(H76/D76,"n/a")</f>
        <v>0</v>
      </c>
    </row>
    <row r="77" spans="2:9" x14ac:dyDescent="0.25">
      <c r="B77" s="355">
        <f t="shared" si="8"/>
        <v>1995</v>
      </c>
      <c r="C77" s="468">
        <f>INDEX(SJRIPSummary_Annuals!$U$16:$IZ$106,MATCH(AnnualResultsViewer!$B77,SJRIPSummary_Annuals!$T$16:$T$106,0),$AQ$4)</f>
        <v>308208.08929385868</v>
      </c>
      <c r="D77" s="467">
        <f>INDEX(SJRIPSummary_Annuals!$U$16:$IZ$106,MATCH(AnnualResultsViewer!$B77,SJRIPSummary_Annuals!$T$16:$T$106,0),$AO$4)</f>
        <v>246566.47143508683</v>
      </c>
      <c r="E77" s="468">
        <f>INDEX(SJRIPSummary_Annuals!$U$16:$IZ$106,MATCH(AnnualResultsViewer!$B77,SJRIPSummary_Annuals!$T$16:$T$106,0),$AP$4)</f>
        <v>308208.08929385868</v>
      </c>
      <c r="F77" s="467">
        <f>INDEX(SJRIPSummary_Annuals!$U$16:$IZ$106,MATCH(AnnualResultsViewer!$B77,SJRIPSummary_Annuals!$T$16:$T$106,0),$AN$4)</f>
        <v>246566.47143508683</v>
      </c>
      <c r="G77" s="468">
        <f t="shared" si="9"/>
        <v>0</v>
      </c>
      <c r="H77" s="466">
        <f t="shared" si="10"/>
        <v>0</v>
      </c>
      <c r="I77" s="469">
        <f t="shared" si="11"/>
        <v>0</v>
      </c>
    </row>
    <row r="78" spans="2:9" x14ac:dyDescent="0.25">
      <c r="B78" s="355">
        <f t="shared" si="8"/>
        <v>1996</v>
      </c>
      <c r="C78" s="468">
        <f>INDEX(SJRIPSummary_Annuals!$U$16:$IZ$106,MATCH(AnnualResultsViewer!$B78,SJRIPSummary_Annuals!$T$16:$T$106,0),$AQ$4)</f>
        <v>338753.31990897848</v>
      </c>
      <c r="D78" s="467">
        <f>INDEX(SJRIPSummary_Annuals!$U$16:$IZ$106,MATCH(AnnualResultsViewer!$B78,SJRIPSummary_Annuals!$T$16:$T$106,0),$AO$4)</f>
        <v>271002.65592718206</v>
      </c>
      <c r="E78" s="468">
        <f>INDEX(SJRIPSummary_Annuals!$U$16:$IZ$106,MATCH(AnnualResultsViewer!$B78,SJRIPSummary_Annuals!$T$16:$T$106,0),$AP$4)</f>
        <v>338753.31990897848</v>
      </c>
      <c r="F78" s="467">
        <f>INDEX(SJRIPSummary_Annuals!$U$16:$IZ$106,MATCH(AnnualResultsViewer!$B78,SJRIPSummary_Annuals!$T$16:$T$106,0),$AN$4)</f>
        <v>271002.65592718206</v>
      </c>
      <c r="G78" s="468">
        <f t="shared" si="9"/>
        <v>0</v>
      </c>
      <c r="H78" s="466">
        <f t="shared" si="10"/>
        <v>0</v>
      </c>
      <c r="I78" s="469">
        <f t="shared" si="11"/>
        <v>0</v>
      </c>
    </row>
    <row r="79" spans="2:9" x14ac:dyDescent="0.25">
      <c r="B79" s="355">
        <f t="shared" si="8"/>
        <v>1997</v>
      </c>
      <c r="C79" s="468">
        <f>INDEX(SJRIPSummary_Annuals!$U$16:$IZ$106,MATCH(AnnualResultsViewer!$B79,SJRIPSummary_Annuals!$T$16:$T$106,0),$AQ$4)</f>
        <v>284566.43192585016</v>
      </c>
      <c r="D79" s="467">
        <f>INDEX(SJRIPSummary_Annuals!$U$16:$IZ$106,MATCH(AnnualResultsViewer!$B79,SJRIPSummary_Annuals!$T$16:$T$106,0),$AO$4)</f>
        <v>227653.14554067893</v>
      </c>
      <c r="E79" s="468">
        <f>INDEX(SJRIPSummary_Annuals!$U$16:$IZ$106,MATCH(AnnualResultsViewer!$B79,SJRIPSummary_Annuals!$T$16:$T$106,0),$AP$4)</f>
        <v>284566.43192585016</v>
      </c>
      <c r="F79" s="467">
        <f>INDEX(SJRIPSummary_Annuals!$U$16:$IZ$106,MATCH(AnnualResultsViewer!$B79,SJRIPSummary_Annuals!$T$16:$T$106,0),$AN$4)</f>
        <v>227653.14554067893</v>
      </c>
      <c r="G79" s="468">
        <f t="shared" si="9"/>
        <v>0</v>
      </c>
      <c r="H79" s="466">
        <f t="shared" si="10"/>
        <v>0</v>
      </c>
      <c r="I79" s="469">
        <f t="shared" si="11"/>
        <v>0</v>
      </c>
    </row>
    <row r="80" spans="2:9" x14ac:dyDescent="0.25">
      <c r="B80" s="355">
        <f t="shared" si="8"/>
        <v>1998</v>
      </c>
      <c r="C80" s="468">
        <f>INDEX(SJRIPSummary_Annuals!$U$16:$IZ$106,MATCH(AnnualResultsViewer!$B80,SJRIPSummary_Annuals!$T$16:$T$106,0),$AQ$4)</f>
        <v>323472.70355071744</v>
      </c>
      <c r="D80" s="467">
        <f>INDEX(SJRIPSummary_Annuals!$U$16:$IZ$106,MATCH(AnnualResultsViewer!$B80,SJRIPSummary_Annuals!$T$16:$T$106,0),$AO$4)</f>
        <v>258778.16284057341</v>
      </c>
      <c r="E80" s="468">
        <f>INDEX(SJRIPSummary_Annuals!$U$16:$IZ$106,MATCH(AnnualResultsViewer!$B80,SJRIPSummary_Annuals!$T$16:$T$106,0),$AP$4)</f>
        <v>323472.70355071744</v>
      </c>
      <c r="F80" s="467">
        <f>INDEX(SJRIPSummary_Annuals!$U$16:$IZ$106,MATCH(AnnualResultsViewer!$B80,SJRIPSummary_Annuals!$T$16:$T$106,0),$AN$4)</f>
        <v>258778.16284057341</v>
      </c>
      <c r="G80" s="468">
        <f t="shared" si="9"/>
        <v>0</v>
      </c>
      <c r="H80" s="466">
        <f t="shared" si="10"/>
        <v>0</v>
      </c>
      <c r="I80" s="469">
        <f t="shared" si="11"/>
        <v>0</v>
      </c>
    </row>
    <row r="81" spans="2:9" x14ac:dyDescent="0.25">
      <c r="B81" s="355">
        <f t="shared" si="8"/>
        <v>1999</v>
      </c>
      <c r="C81" s="468">
        <f>INDEX(SJRIPSummary_Annuals!$U$16:$IZ$106,MATCH(AnnualResultsViewer!$B81,SJRIPSummary_Annuals!$T$16:$T$106,0),$AQ$4)</f>
        <v>258745.04568648356</v>
      </c>
      <c r="D81" s="467">
        <f>INDEX(SJRIPSummary_Annuals!$U$16:$IZ$106,MATCH(AnnualResultsViewer!$B81,SJRIPSummary_Annuals!$T$16:$T$106,0),$AO$4)</f>
        <v>206996.03654918703</v>
      </c>
      <c r="E81" s="468">
        <f>INDEX(SJRIPSummary_Annuals!$U$16:$IZ$106,MATCH(AnnualResultsViewer!$B81,SJRIPSummary_Annuals!$T$16:$T$106,0),$AP$4)</f>
        <v>258745.04568648356</v>
      </c>
      <c r="F81" s="467">
        <f>INDEX(SJRIPSummary_Annuals!$U$16:$IZ$106,MATCH(AnnualResultsViewer!$B81,SJRIPSummary_Annuals!$T$16:$T$106,0),$AN$4)</f>
        <v>206996.03654918703</v>
      </c>
      <c r="G81" s="468">
        <f t="shared" si="9"/>
        <v>0</v>
      </c>
      <c r="H81" s="466">
        <f t="shared" si="10"/>
        <v>0</v>
      </c>
      <c r="I81" s="469">
        <f t="shared" si="11"/>
        <v>0</v>
      </c>
    </row>
    <row r="82" spans="2:9" x14ac:dyDescent="0.25">
      <c r="B82" s="355">
        <f t="shared" si="8"/>
        <v>2000</v>
      </c>
      <c r="C82" s="468">
        <f>INDEX(SJRIPSummary_Annuals!$U$16:$IZ$106,MATCH(AnnualResultsViewer!$B82,SJRIPSummary_Annuals!$T$16:$T$106,0),$AQ$4)</f>
        <v>362223.33076543163</v>
      </c>
      <c r="D82" s="467">
        <f>INDEX(SJRIPSummary_Annuals!$U$16:$IZ$106,MATCH(AnnualResultsViewer!$B82,SJRIPSummary_Annuals!$T$16:$T$106,0),$AO$4)</f>
        <v>289778.66461234522</v>
      </c>
      <c r="E82" s="468">
        <f>INDEX(SJRIPSummary_Annuals!$U$16:$IZ$106,MATCH(AnnualResultsViewer!$B82,SJRIPSummary_Annuals!$T$16:$T$106,0),$AP$4)</f>
        <v>362223.33076543163</v>
      </c>
      <c r="F82" s="467">
        <f>INDEX(SJRIPSummary_Annuals!$U$16:$IZ$106,MATCH(AnnualResultsViewer!$B82,SJRIPSummary_Annuals!$T$16:$T$106,0),$AN$4)</f>
        <v>289778.66461234522</v>
      </c>
      <c r="G82" s="468">
        <f t="shared" si="9"/>
        <v>0</v>
      </c>
      <c r="H82" s="466">
        <f t="shared" si="10"/>
        <v>0</v>
      </c>
      <c r="I82" s="469">
        <f t="shared" si="11"/>
        <v>0</v>
      </c>
    </row>
    <row r="83" spans="2:9" x14ac:dyDescent="0.25">
      <c r="B83" s="355">
        <f t="shared" si="8"/>
        <v>2001</v>
      </c>
      <c r="C83" s="468">
        <f>INDEX(SJRIPSummary_Annuals!$U$16:$IZ$106,MATCH(AnnualResultsViewer!$B83,SJRIPSummary_Annuals!$T$16:$T$106,0),$AQ$4)</f>
        <v>339493.72306087543</v>
      </c>
      <c r="D83" s="467">
        <f>INDEX(SJRIPSummary_Annuals!$U$16:$IZ$106,MATCH(AnnualResultsViewer!$B83,SJRIPSummary_Annuals!$T$16:$T$106,0),$AO$4)</f>
        <v>271594.97844870068</v>
      </c>
      <c r="E83" s="468">
        <f>INDEX(SJRIPSummary_Annuals!$U$16:$IZ$106,MATCH(AnnualResultsViewer!$B83,SJRIPSummary_Annuals!$T$16:$T$106,0),$AP$4)</f>
        <v>339493.72306087543</v>
      </c>
      <c r="F83" s="467">
        <f>INDEX(SJRIPSummary_Annuals!$U$16:$IZ$106,MATCH(AnnualResultsViewer!$B83,SJRIPSummary_Annuals!$T$16:$T$106,0),$AN$4)</f>
        <v>271594.97844870068</v>
      </c>
      <c r="G83" s="468">
        <f t="shared" si="9"/>
        <v>0</v>
      </c>
      <c r="H83" s="466">
        <f t="shared" si="10"/>
        <v>0</v>
      </c>
      <c r="I83" s="469">
        <f t="shared" si="11"/>
        <v>0</v>
      </c>
    </row>
    <row r="84" spans="2:9" x14ac:dyDescent="0.25">
      <c r="B84" s="355">
        <f t="shared" si="8"/>
        <v>2002</v>
      </c>
      <c r="C84" s="468">
        <f>INDEX(SJRIPSummary_Annuals!$U$16:$IZ$106,MATCH(AnnualResultsViewer!$B84,SJRIPSummary_Annuals!$T$16:$T$106,0),$AQ$4)</f>
        <v>313356.01231974614</v>
      </c>
      <c r="D84" s="467">
        <f>INDEX(SJRIPSummary_Annuals!$U$16:$IZ$106,MATCH(AnnualResultsViewer!$B84,SJRIPSummary_Annuals!$T$16:$T$106,0),$AO$4)</f>
        <v>250684.80985579669</v>
      </c>
      <c r="E84" s="468">
        <f>INDEX(SJRIPSummary_Annuals!$U$16:$IZ$106,MATCH(AnnualResultsViewer!$B84,SJRIPSummary_Annuals!$T$16:$T$106,0),$AP$4)</f>
        <v>313356.01231974614</v>
      </c>
      <c r="F84" s="467">
        <f>INDEX(SJRIPSummary_Annuals!$U$16:$IZ$106,MATCH(AnnualResultsViewer!$B84,SJRIPSummary_Annuals!$T$16:$T$106,0),$AN$4)</f>
        <v>250684.80985579669</v>
      </c>
      <c r="G84" s="468">
        <f t="shared" si="9"/>
        <v>0</v>
      </c>
      <c r="H84" s="466">
        <f t="shared" si="10"/>
        <v>0</v>
      </c>
      <c r="I84" s="469">
        <f t="shared" si="11"/>
        <v>0</v>
      </c>
    </row>
    <row r="85" spans="2:9" x14ac:dyDescent="0.25">
      <c r="B85" s="355">
        <f t="shared" si="8"/>
        <v>2003</v>
      </c>
      <c r="C85" s="468">
        <f>INDEX(SJRIPSummary_Annuals!$U$16:$IZ$106,MATCH(AnnualResultsViewer!$B85,SJRIPSummary_Annuals!$T$16:$T$106,0),$AQ$4)</f>
        <v>362715.08083682926</v>
      </c>
      <c r="D85" s="467">
        <f>INDEX(SJRIPSummary_Annuals!$U$16:$IZ$106,MATCH(AnnualResultsViewer!$B85,SJRIPSummary_Annuals!$T$16:$T$106,0),$AO$4)</f>
        <v>290172.06466946361</v>
      </c>
      <c r="E85" s="468">
        <f>INDEX(SJRIPSummary_Annuals!$U$16:$IZ$106,MATCH(AnnualResultsViewer!$B85,SJRIPSummary_Annuals!$T$16:$T$106,0),$AP$4)</f>
        <v>216762.10033226138</v>
      </c>
      <c r="F85" s="467">
        <f>INDEX(SJRIPSummary_Annuals!$U$16:$IZ$106,MATCH(AnnualResultsViewer!$B85,SJRIPSummary_Annuals!$T$16:$T$106,0),$AN$4)</f>
        <v>173409.68026580906</v>
      </c>
      <c r="G85" s="468">
        <f t="shared" si="9"/>
        <v>145952.98050456788</v>
      </c>
      <c r="H85" s="466">
        <f t="shared" si="10"/>
        <v>116762.38440365455</v>
      </c>
      <c r="I85" s="469">
        <f t="shared" si="11"/>
        <v>0.40239016301124347</v>
      </c>
    </row>
    <row r="86" spans="2:9" x14ac:dyDescent="0.25">
      <c r="B86" s="355">
        <f t="shared" si="8"/>
        <v>2004</v>
      </c>
      <c r="C86" s="468">
        <f>INDEX(SJRIPSummary_Annuals!$U$16:$IZ$106,MATCH(AnnualResultsViewer!$B86,SJRIPSummary_Annuals!$T$16:$T$106,0),$AQ$4)</f>
        <v>335059.83580421394</v>
      </c>
      <c r="D86" s="467">
        <f>INDEX(SJRIPSummary_Annuals!$U$16:$IZ$106,MATCH(AnnualResultsViewer!$B86,SJRIPSummary_Annuals!$T$16:$T$106,0),$AO$4)</f>
        <v>268047.8686433718</v>
      </c>
      <c r="E86" s="468">
        <f>INDEX(SJRIPSummary_Annuals!$U$16:$IZ$106,MATCH(AnnualResultsViewer!$B86,SJRIPSummary_Annuals!$T$16:$T$106,0),$AP$4)</f>
        <v>335059.83580421394</v>
      </c>
      <c r="F86" s="467">
        <f>INDEX(SJRIPSummary_Annuals!$U$16:$IZ$106,MATCH(AnnualResultsViewer!$B86,SJRIPSummary_Annuals!$T$16:$T$106,0),$AN$4)</f>
        <v>268047.8686433718</v>
      </c>
      <c r="G86" s="468">
        <f t="shared" si="9"/>
        <v>0</v>
      </c>
      <c r="H86" s="466">
        <f t="shared" si="10"/>
        <v>0</v>
      </c>
      <c r="I86" s="469">
        <f t="shared" si="11"/>
        <v>0</v>
      </c>
    </row>
    <row r="87" spans="2:9" x14ac:dyDescent="0.25">
      <c r="B87" s="355">
        <f t="shared" si="8"/>
        <v>2005</v>
      </c>
      <c r="C87" s="468">
        <f>INDEX(SJRIPSummary_Annuals!$U$16:$IZ$106,MATCH(AnnualResultsViewer!$B87,SJRIPSummary_Annuals!$T$16:$T$106,0),$AQ$4)</f>
        <v>341508.05251257704</v>
      </c>
      <c r="D87" s="467">
        <f>INDEX(SJRIPSummary_Annuals!$U$16:$IZ$106,MATCH(AnnualResultsViewer!$B87,SJRIPSummary_Annuals!$T$16:$T$106,0),$AO$4)</f>
        <v>273206.44201006158</v>
      </c>
      <c r="E87" s="468">
        <f>INDEX(SJRIPSummary_Annuals!$U$16:$IZ$106,MATCH(AnnualResultsViewer!$B87,SJRIPSummary_Annuals!$T$16:$T$106,0),$AP$4)</f>
        <v>341508.05251257704</v>
      </c>
      <c r="F87" s="467">
        <f>INDEX(SJRIPSummary_Annuals!$U$16:$IZ$106,MATCH(AnnualResultsViewer!$B87,SJRIPSummary_Annuals!$T$16:$T$106,0),$AN$4)</f>
        <v>273206.44201006158</v>
      </c>
      <c r="G87" s="468">
        <f t="shared" si="9"/>
        <v>0</v>
      </c>
      <c r="H87" s="466">
        <f t="shared" si="10"/>
        <v>0</v>
      </c>
      <c r="I87" s="469">
        <f t="shared" si="11"/>
        <v>0</v>
      </c>
    </row>
    <row r="88" spans="2:9" x14ac:dyDescent="0.25">
      <c r="B88" s="355">
        <f t="shared" si="8"/>
        <v>2006</v>
      </c>
      <c r="C88" s="468">
        <f>INDEX(SJRIPSummary_Annuals!$U$16:$IZ$106,MATCH(AnnualResultsViewer!$B88,SJRIPSummary_Annuals!$T$16:$T$106,0),$AQ$4)</f>
        <v>325352.79866531043</v>
      </c>
      <c r="D88" s="467">
        <f>INDEX(SJRIPSummary_Annuals!$U$16:$IZ$106,MATCH(AnnualResultsViewer!$B88,SJRIPSummary_Annuals!$T$16:$T$106,0),$AO$4)</f>
        <v>260282.23893224815</v>
      </c>
      <c r="E88" s="468">
        <f>INDEX(SJRIPSummary_Annuals!$U$16:$IZ$106,MATCH(AnnualResultsViewer!$B88,SJRIPSummary_Annuals!$T$16:$T$106,0),$AP$4)</f>
        <v>325352.79866531043</v>
      </c>
      <c r="F88" s="467">
        <f>INDEX(SJRIPSummary_Annuals!$U$16:$IZ$106,MATCH(AnnualResultsViewer!$B88,SJRIPSummary_Annuals!$T$16:$T$106,0),$AN$4)</f>
        <v>260282.23893224815</v>
      </c>
      <c r="G88" s="468">
        <f t="shared" si="9"/>
        <v>0</v>
      </c>
      <c r="H88" s="466">
        <f t="shared" si="10"/>
        <v>0</v>
      </c>
      <c r="I88" s="469">
        <f t="shared" si="11"/>
        <v>0</v>
      </c>
    </row>
    <row r="89" spans="2:9" x14ac:dyDescent="0.25">
      <c r="B89" s="355">
        <f t="shared" si="8"/>
        <v>2007</v>
      </c>
      <c r="C89" s="468">
        <f>INDEX(SJRIPSummary_Annuals!$U$16:$IZ$106,MATCH(AnnualResultsViewer!$B89,SJRIPSummary_Annuals!$T$16:$T$106,0),$AQ$4)</f>
        <v>331525.20958774234</v>
      </c>
      <c r="D89" s="467">
        <f>INDEX(SJRIPSummary_Annuals!$U$16:$IZ$106,MATCH(AnnualResultsViewer!$B89,SJRIPSummary_Annuals!$T$16:$T$106,0),$AO$4)</f>
        <v>265220.16767019412</v>
      </c>
      <c r="E89" s="468">
        <f>INDEX(SJRIPSummary_Annuals!$U$16:$IZ$106,MATCH(AnnualResultsViewer!$B89,SJRIPSummary_Annuals!$T$16:$T$106,0),$AP$4)</f>
        <v>331525.20958774234</v>
      </c>
      <c r="F89" s="467">
        <f>INDEX(SJRIPSummary_Annuals!$U$16:$IZ$106,MATCH(AnnualResultsViewer!$B89,SJRIPSummary_Annuals!$T$16:$T$106,0),$AN$4)</f>
        <v>265220.16767019412</v>
      </c>
      <c r="G89" s="468">
        <f t="shared" si="9"/>
        <v>0</v>
      </c>
      <c r="H89" s="466">
        <f t="shared" si="10"/>
        <v>0</v>
      </c>
      <c r="I89" s="469">
        <f t="shared" si="11"/>
        <v>0</v>
      </c>
    </row>
    <row r="90" spans="2:9" x14ac:dyDescent="0.25">
      <c r="B90" s="355">
        <f t="shared" si="8"/>
        <v>2008</v>
      </c>
      <c r="C90" s="468">
        <f>INDEX(SJRIPSummary_Annuals!$U$16:$IZ$106,MATCH(AnnualResultsViewer!$B90,SJRIPSummary_Annuals!$T$16:$T$106,0),$AQ$4)</f>
        <v>295948.42324830737</v>
      </c>
      <c r="D90" s="467">
        <f>INDEX(SJRIPSummary_Annuals!$U$16:$IZ$106,MATCH(AnnualResultsViewer!$B90,SJRIPSummary_Annuals!$T$16:$T$106,0),$AO$4)</f>
        <v>236758.73859864601</v>
      </c>
      <c r="E90" s="468">
        <f>INDEX(SJRIPSummary_Annuals!$U$16:$IZ$106,MATCH(AnnualResultsViewer!$B90,SJRIPSummary_Annuals!$T$16:$T$106,0),$AP$4)</f>
        <v>295948.42324830737</v>
      </c>
      <c r="F90" s="467">
        <f>INDEX(SJRIPSummary_Annuals!$U$16:$IZ$106,MATCH(AnnualResultsViewer!$B90,SJRIPSummary_Annuals!$T$16:$T$106,0),$AN$4)</f>
        <v>236758.73859864601</v>
      </c>
      <c r="G90" s="468">
        <f t="shared" si="9"/>
        <v>0</v>
      </c>
      <c r="H90" s="466">
        <f t="shared" si="10"/>
        <v>0</v>
      </c>
      <c r="I90" s="469">
        <f t="shared" si="11"/>
        <v>0</v>
      </c>
    </row>
    <row r="91" spans="2:9" x14ac:dyDescent="0.25">
      <c r="B91" s="355">
        <f t="shared" si="8"/>
        <v>2009</v>
      </c>
      <c r="C91" s="468">
        <f>INDEX(SJRIPSummary_Annuals!$U$16:$IZ$106,MATCH(AnnualResultsViewer!$B91,SJRIPSummary_Annuals!$T$16:$T$106,0),$AQ$4)</f>
        <v>326214.85103725677</v>
      </c>
      <c r="D91" s="467">
        <f>INDEX(SJRIPSummary_Annuals!$U$16:$IZ$106,MATCH(AnnualResultsViewer!$B91,SJRIPSummary_Annuals!$T$16:$T$106,0),$AO$4)</f>
        <v>260971.88082980562</v>
      </c>
      <c r="E91" s="468">
        <f>INDEX(SJRIPSummary_Annuals!$U$16:$IZ$106,MATCH(AnnualResultsViewer!$B91,SJRIPSummary_Annuals!$T$16:$T$106,0),$AP$4)</f>
        <v>326214.85103725677</v>
      </c>
      <c r="F91" s="467">
        <f>INDEX(SJRIPSummary_Annuals!$U$16:$IZ$106,MATCH(AnnualResultsViewer!$B91,SJRIPSummary_Annuals!$T$16:$T$106,0),$AN$4)</f>
        <v>260971.88082980562</v>
      </c>
      <c r="G91" s="468">
        <f t="shared" si="9"/>
        <v>0</v>
      </c>
      <c r="H91" s="466">
        <f t="shared" si="10"/>
        <v>0</v>
      </c>
      <c r="I91" s="469">
        <f t="shared" si="11"/>
        <v>0</v>
      </c>
    </row>
    <row r="92" spans="2:9" x14ac:dyDescent="0.25">
      <c r="B92" s="355">
        <f t="shared" si="8"/>
        <v>2010</v>
      </c>
      <c r="C92" s="468">
        <f>INDEX(SJRIPSummary_Annuals!$U$16:$IZ$106,MATCH(AnnualResultsViewer!$B92,SJRIPSummary_Annuals!$T$16:$T$106,0),$AQ$4)</f>
        <v>308923.48648392723</v>
      </c>
      <c r="D92" s="467">
        <f>INDEX(SJRIPSummary_Annuals!$U$16:$IZ$106,MATCH(AnnualResultsViewer!$B92,SJRIPSummary_Annuals!$T$16:$T$106,0),$AO$4)</f>
        <v>247138.78918714239</v>
      </c>
      <c r="E92" s="468">
        <f>INDEX(SJRIPSummary_Annuals!$U$16:$IZ$106,MATCH(AnnualResultsViewer!$B92,SJRIPSummary_Annuals!$T$16:$T$106,0),$AP$4)</f>
        <v>308923.48648392723</v>
      </c>
      <c r="F92" s="467">
        <f>INDEX(SJRIPSummary_Annuals!$U$16:$IZ$106,MATCH(AnnualResultsViewer!$B92,SJRIPSummary_Annuals!$T$16:$T$106,0),$AN$4)</f>
        <v>247138.78918714239</v>
      </c>
      <c r="G92" s="468">
        <f t="shared" si="9"/>
        <v>0</v>
      </c>
      <c r="H92" s="466">
        <f t="shared" si="10"/>
        <v>0</v>
      </c>
      <c r="I92" s="469">
        <f t="shared" si="11"/>
        <v>0</v>
      </c>
    </row>
    <row r="93" spans="2:9" x14ac:dyDescent="0.25">
      <c r="B93" s="355">
        <f t="shared" si="8"/>
        <v>2011</v>
      </c>
      <c r="C93" s="468">
        <f>INDEX(SJRIPSummary_Annuals!$U$16:$IZ$106,MATCH(AnnualResultsViewer!$B93,SJRIPSummary_Annuals!$T$16:$T$106,0),$AQ$4)</f>
        <v>325691.66300124023</v>
      </c>
      <c r="D93" s="467">
        <f>INDEX(SJRIPSummary_Annuals!$U$16:$IZ$106,MATCH(AnnualResultsViewer!$B93,SJRIPSummary_Annuals!$T$16:$T$106,0),$AO$4)</f>
        <v>260553.33040099189</v>
      </c>
      <c r="E93" s="468">
        <f>INDEX(SJRIPSummary_Annuals!$U$16:$IZ$106,MATCH(AnnualResultsViewer!$B93,SJRIPSummary_Annuals!$T$16:$T$106,0),$AP$4)</f>
        <v>325691.66300124023</v>
      </c>
      <c r="F93" s="467">
        <f>INDEX(SJRIPSummary_Annuals!$U$16:$IZ$106,MATCH(AnnualResultsViewer!$B93,SJRIPSummary_Annuals!$T$16:$T$106,0),$AN$4)</f>
        <v>260553.33040099189</v>
      </c>
      <c r="G93" s="468">
        <f t="shared" si="9"/>
        <v>0</v>
      </c>
      <c r="H93" s="466">
        <f t="shared" si="10"/>
        <v>0</v>
      </c>
      <c r="I93" s="469">
        <f t="shared" si="11"/>
        <v>0</v>
      </c>
    </row>
    <row r="94" spans="2:9" x14ac:dyDescent="0.25">
      <c r="B94" s="355">
        <f t="shared" si="8"/>
        <v>2012</v>
      </c>
      <c r="C94" s="468">
        <f>INDEX(SJRIPSummary_Annuals!$U$16:$IZ$106,MATCH(AnnualResultsViewer!$B94,SJRIPSummary_Annuals!$T$16:$T$106,0),$AQ$4)</f>
        <v>347403.96645479649</v>
      </c>
      <c r="D94" s="467">
        <f>INDEX(SJRIPSummary_Annuals!$U$16:$IZ$106,MATCH(AnnualResultsViewer!$B94,SJRIPSummary_Annuals!$T$16:$T$106,0),$AO$4)</f>
        <v>277923.17316383781</v>
      </c>
      <c r="E94" s="468">
        <f>INDEX(SJRIPSummary_Annuals!$U$16:$IZ$106,MATCH(AnnualResultsViewer!$B94,SJRIPSummary_Annuals!$T$16:$T$106,0),$AP$4)</f>
        <v>347403.96645479649</v>
      </c>
      <c r="F94" s="467">
        <f>INDEX(SJRIPSummary_Annuals!$U$16:$IZ$106,MATCH(AnnualResultsViewer!$B94,SJRIPSummary_Annuals!$T$16:$T$106,0),$AN$4)</f>
        <v>277923.17316383781</v>
      </c>
      <c r="G94" s="468">
        <f t="shared" si="9"/>
        <v>0</v>
      </c>
      <c r="H94" s="466">
        <f t="shared" si="10"/>
        <v>0</v>
      </c>
      <c r="I94" s="469">
        <f t="shared" si="11"/>
        <v>0</v>
      </c>
    </row>
    <row r="95" spans="2:9" x14ac:dyDescent="0.25">
      <c r="B95" s="355" t="e">
        <f t="shared" si="8"/>
        <v>#N/A</v>
      </c>
      <c r="C95" s="468" t="e">
        <f>INDEX(SJRIPSummary_Annuals!$U$16:$IZ$106,MATCH(AnnualResultsViewer!$B95,SJRIPSummary_Annuals!$T$16:$T$106,0),$AQ$4)</f>
        <v>#N/A</v>
      </c>
      <c r="D95" s="467" t="e">
        <f>INDEX(SJRIPSummary_Annuals!$U$16:$IZ$106,MATCH(AnnualResultsViewer!$B95,SJRIPSummary_Annuals!$T$16:$T$106,0),$AO$4)</f>
        <v>#N/A</v>
      </c>
      <c r="E95" s="468" t="e">
        <f>INDEX(SJRIPSummary_Annuals!$U$16:$IZ$106,MATCH(AnnualResultsViewer!$B95,SJRIPSummary_Annuals!$T$16:$T$106,0),$AP$4)</f>
        <v>#N/A</v>
      </c>
      <c r="F95" s="467" t="e">
        <f>INDEX(SJRIPSummary_Annuals!$U$16:$IZ$106,MATCH(AnnualResultsViewer!$B95,SJRIPSummary_Annuals!$T$16:$T$106,0),$AN$4)</f>
        <v>#N/A</v>
      </c>
      <c r="G95" s="468" t="str">
        <f t="shared" ref="G95:G101" si="12">IFERROR(C95-E95,"n/a")</f>
        <v>n/a</v>
      </c>
      <c r="H95" s="466" t="str">
        <f t="shared" ref="H95:H101" si="13">IFERROR(D95-F95,"n/a")</f>
        <v>n/a</v>
      </c>
      <c r="I95" s="469" t="str">
        <f t="shared" ref="I95:I101" si="14">IFERROR(H95/D95,"n/a")</f>
        <v>n/a</v>
      </c>
    </row>
    <row r="96" spans="2:9" x14ac:dyDescent="0.25">
      <c r="B96" s="355" t="e">
        <f t="shared" si="8"/>
        <v>#N/A</v>
      </c>
      <c r="C96" s="468" t="e">
        <f>INDEX(SJRIPSummary_Annuals!$U$16:$IZ$106,MATCH(AnnualResultsViewer!$B96,SJRIPSummary_Annuals!$T$16:$T$106,0),$AQ$4)</f>
        <v>#N/A</v>
      </c>
      <c r="D96" s="467" t="e">
        <f>INDEX(SJRIPSummary_Annuals!$U$16:$IZ$106,MATCH(AnnualResultsViewer!$B96,SJRIPSummary_Annuals!$T$16:$T$106,0),$AO$4)</f>
        <v>#N/A</v>
      </c>
      <c r="E96" s="468" t="e">
        <f>INDEX(SJRIPSummary_Annuals!$U$16:$IZ$106,MATCH(AnnualResultsViewer!$B96,SJRIPSummary_Annuals!$T$16:$T$106,0),$AP$4)</f>
        <v>#N/A</v>
      </c>
      <c r="F96" s="467" t="e">
        <f>INDEX(SJRIPSummary_Annuals!$U$16:$IZ$106,MATCH(AnnualResultsViewer!$B96,SJRIPSummary_Annuals!$T$16:$T$106,0),$AN$4)</f>
        <v>#N/A</v>
      </c>
      <c r="G96" s="468" t="str">
        <f t="shared" si="12"/>
        <v>n/a</v>
      </c>
      <c r="H96" s="466" t="str">
        <f t="shared" si="13"/>
        <v>n/a</v>
      </c>
      <c r="I96" s="469" t="str">
        <f t="shared" si="14"/>
        <v>n/a</v>
      </c>
    </row>
    <row r="97" spans="2:9" x14ac:dyDescent="0.25">
      <c r="B97" s="355" t="e">
        <f t="shared" si="8"/>
        <v>#N/A</v>
      </c>
      <c r="C97" s="468" t="e">
        <f>INDEX(SJRIPSummary_Annuals!$U$16:$IZ$106,MATCH(AnnualResultsViewer!$B97,SJRIPSummary_Annuals!$T$16:$T$106,0),$AQ$4)</f>
        <v>#N/A</v>
      </c>
      <c r="D97" s="467" t="e">
        <f>INDEX(SJRIPSummary_Annuals!$U$16:$IZ$106,MATCH(AnnualResultsViewer!$B97,SJRIPSummary_Annuals!$T$16:$T$106,0),$AO$4)</f>
        <v>#N/A</v>
      </c>
      <c r="E97" s="468" t="e">
        <f>INDEX(SJRIPSummary_Annuals!$U$16:$IZ$106,MATCH(AnnualResultsViewer!$B97,SJRIPSummary_Annuals!$T$16:$T$106,0),$AP$4)</f>
        <v>#N/A</v>
      </c>
      <c r="F97" s="467" t="e">
        <f>INDEX(SJRIPSummary_Annuals!$U$16:$IZ$106,MATCH(AnnualResultsViewer!$B97,SJRIPSummary_Annuals!$T$16:$T$106,0),$AN$4)</f>
        <v>#N/A</v>
      </c>
      <c r="G97" s="468" t="str">
        <f t="shared" si="12"/>
        <v>n/a</v>
      </c>
      <c r="H97" s="466" t="str">
        <f t="shared" si="13"/>
        <v>n/a</v>
      </c>
      <c r="I97" s="469" t="str">
        <f t="shared" si="14"/>
        <v>n/a</v>
      </c>
    </row>
    <row r="98" spans="2:9" x14ac:dyDescent="0.25">
      <c r="B98" s="355" t="e">
        <f t="shared" si="8"/>
        <v>#N/A</v>
      </c>
      <c r="C98" s="468" t="e">
        <f>INDEX(SJRIPSummary_Annuals!$U$16:$IZ$106,MATCH(AnnualResultsViewer!$B98,SJRIPSummary_Annuals!$T$16:$T$106,0),$AQ$4)</f>
        <v>#N/A</v>
      </c>
      <c r="D98" s="467" t="e">
        <f>INDEX(SJRIPSummary_Annuals!$U$16:$IZ$106,MATCH(AnnualResultsViewer!$B98,SJRIPSummary_Annuals!$T$16:$T$106,0),$AO$4)</f>
        <v>#N/A</v>
      </c>
      <c r="E98" s="468" t="e">
        <f>INDEX(SJRIPSummary_Annuals!$U$16:$IZ$106,MATCH(AnnualResultsViewer!$B98,SJRIPSummary_Annuals!$T$16:$T$106,0),$AP$4)</f>
        <v>#N/A</v>
      </c>
      <c r="F98" s="467" t="e">
        <f>INDEX(SJRIPSummary_Annuals!$U$16:$IZ$106,MATCH(AnnualResultsViewer!$B98,SJRIPSummary_Annuals!$T$16:$T$106,0),$AN$4)</f>
        <v>#N/A</v>
      </c>
      <c r="G98" s="468" t="str">
        <f t="shared" si="12"/>
        <v>n/a</v>
      </c>
      <c r="H98" s="466" t="str">
        <f t="shared" si="13"/>
        <v>n/a</v>
      </c>
      <c r="I98" s="469" t="str">
        <f t="shared" si="14"/>
        <v>n/a</v>
      </c>
    </row>
    <row r="99" spans="2:9" x14ac:dyDescent="0.25">
      <c r="B99" s="355" t="e">
        <f t="shared" si="8"/>
        <v>#N/A</v>
      </c>
      <c r="C99" s="468" t="e">
        <f>INDEX(SJRIPSummary_Annuals!$U$16:$IZ$106,MATCH(AnnualResultsViewer!$B99,SJRIPSummary_Annuals!$T$16:$T$106,0),$AQ$4)</f>
        <v>#N/A</v>
      </c>
      <c r="D99" s="467" t="e">
        <f>INDEX(SJRIPSummary_Annuals!$U$16:$IZ$106,MATCH(AnnualResultsViewer!$B99,SJRIPSummary_Annuals!$T$16:$T$106,0),$AO$4)</f>
        <v>#N/A</v>
      </c>
      <c r="E99" s="468" t="e">
        <f>INDEX(SJRIPSummary_Annuals!$U$16:$IZ$106,MATCH(AnnualResultsViewer!$B99,SJRIPSummary_Annuals!$T$16:$T$106,0),$AP$4)</f>
        <v>#N/A</v>
      </c>
      <c r="F99" s="467" t="e">
        <f>INDEX(SJRIPSummary_Annuals!$U$16:$IZ$106,MATCH(AnnualResultsViewer!$B99,SJRIPSummary_Annuals!$T$16:$T$106,0),$AN$4)</f>
        <v>#N/A</v>
      </c>
      <c r="G99" s="468" t="str">
        <f t="shared" si="12"/>
        <v>n/a</v>
      </c>
      <c r="H99" s="466" t="str">
        <f t="shared" si="13"/>
        <v>n/a</v>
      </c>
      <c r="I99" s="469" t="str">
        <f t="shared" si="14"/>
        <v>n/a</v>
      </c>
    </row>
    <row r="100" spans="2:9" x14ac:dyDescent="0.25">
      <c r="B100" s="355" t="e">
        <f t="shared" si="8"/>
        <v>#N/A</v>
      </c>
      <c r="C100" s="468" t="e">
        <f>INDEX(SJRIPSummary_Annuals!$U$16:$IZ$106,MATCH(AnnualResultsViewer!$B100,SJRIPSummary_Annuals!$T$16:$T$106,0),$AQ$4)</f>
        <v>#N/A</v>
      </c>
      <c r="D100" s="467" t="e">
        <f>INDEX(SJRIPSummary_Annuals!$U$16:$IZ$106,MATCH(AnnualResultsViewer!$B100,SJRIPSummary_Annuals!$T$16:$T$106,0),$AO$4)</f>
        <v>#N/A</v>
      </c>
      <c r="E100" s="468" t="e">
        <f>INDEX(SJRIPSummary_Annuals!$U$16:$IZ$106,MATCH(AnnualResultsViewer!$B100,SJRIPSummary_Annuals!$T$16:$T$106,0),$AP$4)</f>
        <v>#N/A</v>
      </c>
      <c r="F100" s="467" t="e">
        <f>INDEX(SJRIPSummary_Annuals!$U$16:$IZ$106,MATCH(AnnualResultsViewer!$B100,SJRIPSummary_Annuals!$T$16:$T$106,0),$AN$4)</f>
        <v>#N/A</v>
      </c>
      <c r="G100" s="468" t="str">
        <f t="shared" si="12"/>
        <v>n/a</v>
      </c>
      <c r="H100" s="466" t="str">
        <f t="shared" si="13"/>
        <v>n/a</v>
      </c>
      <c r="I100" s="469" t="str">
        <f t="shared" si="14"/>
        <v>n/a</v>
      </c>
    </row>
    <row r="101" spans="2:9" x14ac:dyDescent="0.25">
      <c r="B101" s="355" t="e">
        <f t="shared" si="8"/>
        <v>#N/A</v>
      </c>
      <c r="C101" s="468" t="e">
        <f>INDEX(SJRIPSummary_Annuals!$U$16:$IZ$106,MATCH(AnnualResultsViewer!$B101,SJRIPSummary_Annuals!$T$16:$T$106,0),$AQ$4)</f>
        <v>#N/A</v>
      </c>
      <c r="D101" s="467" t="e">
        <f>INDEX(SJRIPSummary_Annuals!$U$16:$IZ$106,MATCH(AnnualResultsViewer!$B101,SJRIPSummary_Annuals!$T$16:$T$106,0),$AO$4)</f>
        <v>#N/A</v>
      </c>
      <c r="E101" s="468" t="e">
        <f>INDEX(SJRIPSummary_Annuals!$U$16:$IZ$106,MATCH(AnnualResultsViewer!$B101,SJRIPSummary_Annuals!$T$16:$T$106,0),$AP$4)</f>
        <v>#N/A</v>
      </c>
      <c r="F101" s="467" t="e">
        <f>INDEX(SJRIPSummary_Annuals!$U$16:$IZ$106,MATCH(AnnualResultsViewer!$B101,SJRIPSummary_Annuals!$T$16:$T$106,0),$AN$4)</f>
        <v>#N/A</v>
      </c>
      <c r="G101" s="468" t="str">
        <f t="shared" si="12"/>
        <v>n/a</v>
      </c>
      <c r="H101" s="466" t="str">
        <f t="shared" si="13"/>
        <v>n/a</v>
      </c>
      <c r="I101" s="469" t="str">
        <f t="shared" si="14"/>
        <v>n/a</v>
      </c>
    </row>
    <row r="102" spans="2:9" ht="15.75" thickBot="1" x14ac:dyDescent="0.3">
      <c r="B102" s="355" t="e">
        <f t="shared" si="8"/>
        <v>#N/A</v>
      </c>
      <c r="C102" s="452"/>
      <c r="D102" s="454"/>
      <c r="E102" s="452"/>
      <c r="F102" s="454"/>
      <c r="G102" s="452"/>
      <c r="H102" s="453"/>
      <c r="I102" s="454"/>
    </row>
    <row r="104" spans="2:9" x14ac:dyDescent="0.25">
      <c r="B104" t="s">
        <v>600</v>
      </c>
    </row>
    <row r="105" spans="2:9" x14ac:dyDescent="0.25">
      <c r="B105" t="s">
        <v>629</v>
      </c>
    </row>
    <row r="106" spans="2:9" x14ac:dyDescent="0.25">
      <c r="B106" t="s">
        <v>608</v>
      </c>
    </row>
    <row r="107" spans="2:9" x14ac:dyDescent="0.25">
      <c r="B107" t="s">
        <v>625</v>
      </c>
    </row>
  </sheetData>
  <mergeCells count="6">
    <mergeCell ref="G5:H5"/>
    <mergeCell ref="C4:D4"/>
    <mergeCell ref="E4:F4"/>
    <mergeCell ref="C2:D2"/>
    <mergeCell ref="G4:I4"/>
    <mergeCell ref="E2:I2"/>
  </mergeCells>
  <conditionalFormatting sqref="G11:I94">
    <cfRule type="cellIs" dxfId="3" priority="4" operator="lessThan">
      <formula>0.0009</formula>
    </cfRule>
  </conditionalFormatting>
  <conditionalFormatting sqref="C11:I11 G12:I94 C12:F101">
    <cfRule type="expression" dxfId="2" priority="3">
      <formula>ISTEXT(C11)</formula>
    </cfRule>
  </conditionalFormatting>
  <conditionalFormatting sqref="G95:I101">
    <cfRule type="cellIs" dxfId="1" priority="2" operator="lessThan">
      <formula>0.0009</formula>
    </cfRule>
  </conditionalFormatting>
  <conditionalFormatting sqref="G95:I101">
    <cfRule type="expression" dxfId="0" priority="1">
      <formula>ISTEXT(G95)</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FA46A8-A6AA-4CF8-A341-55780893136D}">
          <x14:formula1>
            <xm:f>SJRIPSummary_Annuals!$C$16:$C$71</xm:f>
          </x14:formula1>
          <xm:sqref>E2:I2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tint="-0.34998626667073579"/>
  </sheetPr>
  <dimension ref="A1:H65"/>
  <sheetViews>
    <sheetView topLeftCell="A17" zoomScale="70" zoomScaleNormal="70" workbookViewId="0">
      <selection activeCell="J15" sqref="J15"/>
    </sheetView>
  </sheetViews>
  <sheetFormatPr defaultColWidth="9.5703125" defaultRowHeight="12.75" x14ac:dyDescent="0.2"/>
  <cols>
    <col min="1" max="1" width="7.42578125" style="10" customWidth="1"/>
    <col min="2" max="3" width="30.5703125" style="10" customWidth="1"/>
    <col min="4" max="4" width="66.5703125" style="10" customWidth="1"/>
    <col min="5" max="6" width="17.5703125" style="10" customWidth="1"/>
    <col min="7" max="7" width="141.42578125" style="10" customWidth="1"/>
    <col min="8" max="8" width="9.5703125" style="37"/>
    <col min="9" max="16384" width="9.5703125" style="10"/>
  </cols>
  <sheetData>
    <row r="1" spans="1:8" s="42" customFormat="1" ht="52.7" customHeight="1" x14ac:dyDescent="0.2">
      <c r="A1" s="75" t="s">
        <v>132</v>
      </c>
      <c r="B1" s="76" t="s">
        <v>178</v>
      </c>
      <c r="C1" s="76" t="s">
        <v>179</v>
      </c>
      <c r="D1" s="76" t="s">
        <v>180</v>
      </c>
      <c r="E1" s="75" t="s">
        <v>181</v>
      </c>
      <c r="F1" s="75" t="s">
        <v>182</v>
      </c>
      <c r="G1" s="77" t="s">
        <v>183</v>
      </c>
      <c r="H1" s="78"/>
    </row>
    <row r="2" spans="1:8" ht="30" x14ac:dyDescent="0.2">
      <c r="A2" s="704" t="s">
        <v>135</v>
      </c>
      <c r="B2" s="79" t="s">
        <v>184</v>
      </c>
      <c r="C2" s="79" t="s">
        <v>61</v>
      </c>
      <c r="D2" s="80" t="s">
        <v>184</v>
      </c>
      <c r="E2" s="81">
        <v>508000</v>
      </c>
      <c r="F2" s="81">
        <v>270000</v>
      </c>
      <c r="G2" s="82" t="s">
        <v>185</v>
      </c>
    </row>
    <row r="3" spans="1:8" ht="15" x14ac:dyDescent="0.2">
      <c r="A3" s="705"/>
      <c r="B3" s="682" t="s">
        <v>186</v>
      </c>
      <c r="C3" s="682" t="s">
        <v>187</v>
      </c>
      <c r="D3" s="80" t="s">
        <v>188</v>
      </c>
      <c r="E3" s="81">
        <v>3445</v>
      </c>
      <c r="F3" s="680">
        <v>20780</v>
      </c>
      <c r="G3" s="82" t="s">
        <v>189</v>
      </c>
    </row>
    <row r="4" spans="1:8" ht="15" x14ac:dyDescent="0.2">
      <c r="A4" s="705"/>
      <c r="B4" s="683"/>
      <c r="C4" s="683"/>
      <c r="D4" s="80" t="s">
        <v>190</v>
      </c>
      <c r="E4" s="81">
        <v>19205</v>
      </c>
      <c r="F4" s="681"/>
      <c r="G4" s="82" t="s">
        <v>191</v>
      </c>
    </row>
    <row r="5" spans="1:8" ht="15" x14ac:dyDescent="0.2">
      <c r="A5" s="705"/>
      <c r="B5" s="683"/>
      <c r="C5" s="683"/>
      <c r="D5" s="83" t="s">
        <v>192</v>
      </c>
      <c r="E5" s="84">
        <f>SUM(E3:E4)</f>
        <v>22650</v>
      </c>
      <c r="F5" s="84">
        <f>SUM(F3:F4)</f>
        <v>20780</v>
      </c>
      <c r="G5" s="85"/>
    </row>
    <row r="6" spans="1:8" ht="15" x14ac:dyDescent="0.2">
      <c r="A6" s="705"/>
      <c r="B6" s="686"/>
      <c r="C6" s="686"/>
      <c r="D6" s="80" t="s">
        <v>193</v>
      </c>
      <c r="E6" s="81">
        <v>6411</v>
      </c>
      <c r="F6" s="86"/>
      <c r="G6" s="87" t="s">
        <v>194</v>
      </c>
    </row>
    <row r="7" spans="1:8" ht="30" x14ac:dyDescent="0.2">
      <c r="A7" s="705"/>
      <c r="B7" s="79" t="s">
        <v>82</v>
      </c>
      <c r="C7" s="79" t="s">
        <v>195</v>
      </c>
      <c r="D7" s="80" t="s">
        <v>196</v>
      </c>
      <c r="E7" s="81">
        <v>4680</v>
      </c>
      <c r="F7" s="81">
        <v>2340</v>
      </c>
      <c r="G7" s="82" t="s">
        <v>667</v>
      </c>
    </row>
    <row r="8" spans="1:8" ht="15" x14ac:dyDescent="0.2">
      <c r="A8" s="705"/>
      <c r="B8" s="682" t="s">
        <v>197</v>
      </c>
      <c r="C8" s="79" t="s">
        <v>198</v>
      </c>
      <c r="D8" s="80" t="s">
        <v>199</v>
      </c>
      <c r="E8" s="81">
        <v>48550</v>
      </c>
      <c r="F8" s="81">
        <v>21280</v>
      </c>
      <c r="G8" s="82" t="s">
        <v>200</v>
      </c>
    </row>
    <row r="9" spans="1:8" ht="15" x14ac:dyDescent="0.2">
      <c r="A9" s="705"/>
      <c r="B9" s="683"/>
      <c r="C9" s="79" t="s">
        <v>201</v>
      </c>
      <c r="D9" s="80" t="s">
        <v>202</v>
      </c>
      <c r="E9" s="81">
        <v>18180</v>
      </c>
      <c r="F9" s="81">
        <v>7970</v>
      </c>
      <c r="G9" s="82" t="s">
        <v>203</v>
      </c>
    </row>
    <row r="10" spans="1:8" ht="15" x14ac:dyDescent="0.2">
      <c r="A10" s="705"/>
      <c r="B10" s="683"/>
      <c r="C10" s="684" t="s">
        <v>204</v>
      </c>
      <c r="D10" s="685"/>
      <c r="E10" s="84">
        <f>SUM(E8:E9)</f>
        <v>66730</v>
      </c>
      <c r="F10" s="84">
        <f>SUM(F8:F9)</f>
        <v>29250</v>
      </c>
      <c r="G10" s="88"/>
    </row>
    <row r="11" spans="1:8" ht="15" x14ac:dyDescent="0.2">
      <c r="A11" s="705"/>
      <c r="B11" s="683"/>
      <c r="C11" s="79" t="s">
        <v>205</v>
      </c>
      <c r="D11" s="80" t="s">
        <v>206</v>
      </c>
      <c r="E11" s="81">
        <v>2600</v>
      </c>
      <c r="F11" s="81">
        <v>1300</v>
      </c>
      <c r="G11" s="82" t="s">
        <v>207</v>
      </c>
    </row>
    <row r="12" spans="1:8" ht="30" x14ac:dyDescent="0.2">
      <c r="A12" s="705"/>
      <c r="B12" s="79" t="s">
        <v>208</v>
      </c>
      <c r="C12" s="79" t="s">
        <v>209</v>
      </c>
      <c r="D12" s="80" t="s">
        <v>210</v>
      </c>
      <c r="E12" s="81">
        <v>2000</v>
      </c>
      <c r="F12" s="81">
        <v>2000</v>
      </c>
      <c r="G12" s="82" t="s">
        <v>211</v>
      </c>
    </row>
    <row r="13" spans="1:8" ht="15" x14ac:dyDescent="0.2">
      <c r="A13" s="705"/>
      <c r="B13" s="682" t="s">
        <v>212</v>
      </c>
      <c r="C13" s="687" t="s">
        <v>213</v>
      </c>
      <c r="D13" s="682" t="s">
        <v>214</v>
      </c>
      <c r="E13" s="688">
        <v>26872</v>
      </c>
      <c r="F13" s="81">
        <v>11061</v>
      </c>
      <c r="G13" s="82" t="s">
        <v>215</v>
      </c>
    </row>
    <row r="14" spans="1:8" ht="15" x14ac:dyDescent="0.2">
      <c r="A14" s="705"/>
      <c r="B14" s="686"/>
      <c r="C14" s="687"/>
      <c r="D14" s="686"/>
      <c r="E14" s="688"/>
      <c r="F14" s="81">
        <v>1819</v>
      </c>
      <c r="G14" s="85" t="s">
        <v>216</v>
      </c>
    </row>
    <row r="15" spans="1:8" ht="15" x14ac:dyDescent="0.2">
      <c r="A15" s="705"/>
      <c r="B15" s="79" t="s">
        <v>208</v>
      </c>
      <c r="C15" s="79" t="s">
        <v>217</v>
      </c>
      <c r="D15" s="80" t="s">
        <v>218</v>
      </c>
      <c r="E15" s="81">
        <v>86</v>
      </c>
      <c r="F15" s="81">
        <v>86</v>
      </c>
      <c r="G15" s="82" t="s">
        <v>219</v>
      </c>
    </row>
    <row r="16" spans="1:8" ht="15" x14ac:dyDescent="0.2">
      <c r="A16" s="706"/>
      <c r="B16" s="689" t="s">
        <v>220</v>
      </c>
      <c r="C16" s="690"/>
      <c r="D16" s="691"/>
      <c r="E16" s="89">
        <f>SUM(E11:E15,E6:E9,E2:E4)</f>
        <v>640029</v>
      </c>
      <c r="F16" s="89">
        <f>SUM(F11:F15,F6:F9,F2:F4)</f>
        <v>338636</v>
      </c>
      <c r="G16" s="90"/>
    </row>
    <row r="17" spans="1:7" ht="75" x14ac:dyDescent="0.2">
      <c r="A17" s="692" t="s">
        <v>140</v>
      </c>
      <c r="B17" s="695" t="s">
        <v>221</v>
      </c>
      <c r="C17" s="91" t="s">
        <v>222</v>
      </c>
      <c r="D17" s="92" t="s">
        <v>223</v>
      </c>
      <c r="E17" s="93">
        <v>24800</v>
      </c>
      <c r="F17" s="93">
        <v>16800</v>
      </c>
      <c r="G17" s="94" t="s">
        <v>224</v>
      </c>
    </row>
    <row r="18" spans="1:7" ht="15" x14ac:dyDescent="0.2">
      <c r="A18" s="693"/>
      <c r="B18" s="696"/>
      <c r="C18" s="698" t="s">
        <v>225</v>
      </c>
      <c r="D18" s="95" t="s">
        <v>188</v>
      </c>
      <c r="E18" s="96">
        <v>1200</v>
      </c>
      <c r="F18" s="96">
        <v>1200</v>
      </c>
      <c r="G18" s="97" t="s">
        <v>226</v>
      </c>
    </row>
    <row r="19" spans="1:7" ht="15" x14ac:dyDescent="0.2">
      <c r="A19" s="693"/>
      <c r="B19" s="696"/>
      <c r="C19" s="698"/>
      <c r="D19" s="95" t="s">
        <v>227</v>
      </c>
      <c r="E19" s="96">
        <v>7500</v>
      </c>
      <c r="F19" s="96">
        <v>7500</v>
      </c>
      <c r="G19" s="97" t="s">
        <v>228</v>
      </c>
    </row>
    <row r="20" spans="1:7" ht="15" x14ac:dyDescent="0.2">
      <c r="A20" s="693"/>
      <c r="B20" s="697"/>
      <c r="C20" s="699" t="s">
        <v>229</v>
      </c>
      <c r="D20" s="700"/>
      <c r="E20" s="98">
        <f>SUM(E17:E19)</f>
        <v>33500</v>
      </c>
      <c r="F20" s="98">
        <f>SUM(F17:F19)</f>
        <v>25500</v>
      </c>
      <c r="G20" s="99"/>
    </row>
    <row r="21" spans="1:7" ht="15" x14ac:dyDescent="0.2">
      <c r="A21" s="693"/>
      <c r="B21" s="91" t="s">
        <v>230</v>
      </c>
      <c r="C21" s="91" t="s">
        <v>231</v>
      </c>
      <c r="D21" s="92" t="s">
        <v>232</v>
      </c>
      <c r="E21" s="93">
        <v>6500</v>
      </c>
      <c r="F21" s="93">
        <v>6500</v>
      </c>
      <c r="G21" s="94"/>
    </row>
    <row r="22" spans="1:7" ht="15" x14ac:dyDescent="0.2">
      <c r="A22" s="693"/>
      <c r="B22" s="91"/>
      <c r="C22" s="699" t="s">
        <v>233</v>
      </c>
      <c r="D22" s="700"/>
      <c r="E22" s="98">
        <f>SUM(E20:E21)</f>
        <v>40000</v>
      </c>
      <c r="F22" s="98">
        <f>SUM(F20:F21)</f>
        <v>32000</v>
      </c>
      <c r="G22" s="94"/>
    </row>
    <row r="23" spans="1:7" ht="30" x14ac:dyDescent="0.2">
      <c r="A23" s="693"/>
      <c r="B23" s="91" t="s">
        <v>234</v>
      </c>
      <c r="C23" s="91" t="s">
        <v>235</v>
      </c>
      <c r="D23" s="92" t="s">
        <v>236</v>
      </c>
      <c r="E23" s="93">
        <v>5682.92</v>
      </c>
      <c r="F23" s="93">
        <v>2194.58</v>
      </c>
      <c r="G23" s="97" t="s">
        <v>237</v>
      </c>
    </row>
    <row r="24" spans="1:7" ht="15" x14ac:dyDescent="0.2">
      <c r="A24" s="693"/>
      <c r="B24" s="91" t="s">
        <v>238</v>
      </c>
      <c r="C24" s="91" t="s">
        <v>239</v>
      </c>
      <c r="D24" s="92" t="s">
        <v>236</v>
      </c>
      <c r="E24" s="93">
        <v>2187.16</v>
      </c>
      <c r="F24" s="93">
        <v>2187.16</v>
      </c>
      <c r="G24" s="94" t="s">
        <v>240</v>
      </c>
    </row>
    <row r="25" spans="1:7" ht="15" x14ac:dyDescent="0.2">
      <c r="A25" s="694"/>
      <c r="B25" s="701" t="s">
        <v>220</v>
      </c>
      <c r="C25" s="702"/>
      <c r="D25" s="703"/>
      <c r="E25" s="100">
        <f>SUM(E23:E24,E21,E17:E19)</f>
        <v>47870.080000000002</v>
      </c>
      <c r="F25" s="100">
        <f>SUM(F23:F24,F21,F17:F19)</f>
        <v>36381.74</v>
      </c>
      <c r="G25" s="101"/>
    </row>
    <row r="26" spans="1:7" ht="15" x14ac:dyDescent="0.2">
      <c r="A26" s="707" t="s">
        <v>241</v>
      </c>
      <c r="B26" s="102" t="s">
        <v>197</v>
      </c>
      <c r="C26" s="103" t="s">
        <v>242</v>
      </c>
      <c r="D26" s="104" t="s">
        <v>243</v>
      </c>
      <c r="E26" s="105">
        <v>1715.51</v>
      </c>
      <c r="F26" s="105">
        <v>915.51</v>
      </c>
      <c r="G26" s="106" t="s">
        <v>244</v>
      </c>
    </row>
    <row r="27" spans="1:7" ht="30" x14ac:dyDescent="0.2">
      <c r="A27" s="707"/>
      <c r="B27" s="102" t="s">
        <v>245</v>
      </c>
      <c r="C27" s="103" t="s">
        <v>242</v>
      </c>
      <c r="D27" s="104" t="s">
        <v>246</v>
      </c>
      <c r="E27" s="105">
        <v>33050</v>
      </c>
      <c r="F27" s="105">
        <v>16525</v>
      </c>
      <c r="G27" s="106" t="s">
        <v>666</v>
      </c>
    </row>
    <row r="28" spans="1:7" ht="15" x14ac:dyDescent="0.2">
      <c r="A28" s="707"/>
      <c r="B28" s="102" t="s">
        <v>110</v>
      </c>
      <c r="C28" s="103" t="s">
        <v>242</v>
      </c>
      <c r="D28" s="107" t="s">
        <v>243</v>
      </c>
      <c r="E28" s="105">
        <v>4</v>
      </c>
      <c r="F28" s="105">
        <v>4</v>
      </c>
      <c r="G28" s="106" t="s">
        <v>247</v>
      </c>
    </row>
    <row r="29" spans="1:7" ht="15" x14ac:dyDescent="0.2">
      <c r="A29" s="707"/>
      <c r="B29" s="102" t="s">
        <v>111</v>
      </c>
      <c r="C29" s="103" t="s">
        <v>242</v>
      </c>
      <c r="D29" s="107" t="s">
        <v>243</v>
      </c>
      <c r="E29" s="105">
        <v>21000</v>
      </c>
      <c r="F29" s="708">
        <v>15510</v>
      </c>
      <c r="G29" s="711" t="s">
        <v>248</v>
      </c>
    </row>
    <row r="30" spans="1:7" ht="15" x14ac:dyDescent="0.2">
      <c r="A30" s="707"/>
      <c r="B30" s="102" t="s">
        <v>249</v>
      </c>
      <c r="C30" s="103" t="s">
        <v>242</v>
      </c>
      <c r="D30" s="107" t="s">
        <v>243</v>
      </c>
      <c r="E30" s="105">
        <v>4800</v>
      </c>
      <c r="F30" s="709"/>
      <c r="G30" s="712"/>
    </row>
    <row r="31" spans="1:7" ht="15" x14ac:dyDescent="0.2">
      <c r="A31" s="707"/>
      <c r="B31" s="102" t="s">
        <v>250</v>
      </c>
      <c r="C31" s="103" t="s">
        <v>242</v>
      </c>
      <c r="D31" s="107" t="s">
        <v>243</v>
      </c>
      <c r="E31" s="105">
        <v>872.74</v>
      </c>
      <c r="F31" s="709"/>
      <c r="G31" s="711" t="s">
        <v>251</v>
      </c>
    </row>
    <row r="32" spans="1:7" ht="30" x14ac:dyDescent="0.2">
      <c r="A32" s="707"/>
      <c r="B32" s="711" t="s">
        <v>252</v>
      </c>
      <c r="C32" s="102" t="s">
        <v>253</v>
      </c>
      <c r="D32" s="107" t="s">
        <v>243</v>
      </c>
      <c r="E32" s="105">
        <v>3</v>
      </c>
      <c r="F32" s="709"/>
      <c r="G32" s="712"/>
    </row>
    <row r="33" spans="1:7" ht="15" x14ac:dyDescent="0.2">
      <c r="A33" s="707"/>
      <c r="B33" s="712"/>
      <c r="C33" s="102" t="s">
        <v>209</v>
      </c>
      <c r="D33" s="107" t="s">
        <v>243</v>
      </c>
      <c r="E33" s="105">
        <v>1500</v>
      </c>
      <c r="F33" s="710"/>
      <c r="G33" s="106" t="s">
        <v>254</v>
      </c>
    </row>
    <row r="34" spans="1:7" ht="15" x14ac:dyDescent="0.2">
      <c r="A34" s="707"/>
      <c r="B34" s="711" t="s">
        <v>255</v>
      </c>
      <c r="C34" s="108" t="s">
        <v>209</v>
      </c>
      <c r="D34" s="107" t="s">
        <v>243</v>
      </c>
      <c r="E34" s="105">
        <v>350</v>
      </c>
      <c r="F34" s="708">
        <v>347</v>
      </c>
      <c r="G34" s="106" t="s">
        <v>254</v>
      </c>
    </row>
    <row r="35" spans="1:7" ht="15" x14ac:dyDescent="0.2">
      <c r="A35" s="707"/>
      <c r="B35" s="712"/>
      <c r="C35" s="103" t="s">
        <v>242</v>
      </c>
      <c r="D35" s="107" t="s">
        <v>243</v>
      </c>
      <c r="E35" s="105">
        <v>262.37</v>
      </c>
      <c r="F35" s="710"/>
      <c r="G35" s="106" t="s">
        <v>256</v>
      </c>
    </row>
    <row r="36" spans="1:7" ht="15" x14ac:dyDescent="0.2">
      <c r="A36" s="707"/>
      <c r="B36" s="102" t="s">
        <v>257</v>
      </c>
      <c r="C36" s="103" t="s">
        <v>242</v>
      </c>
      <c r="D36" s="107" t="s">
        <v>243</v>
      </c>
      <c r="E36" s="105">
        <v>25100</v>
      </c>
      <c r="F36" s="105">
        <v>17780</v>
      </c>
      <c r="G36" s="106" t="s">
        <v>258</v>
      </c>
    </row>
    <row r="37" spans="1:7" ht="15" x14ac:dyDescent="0.2">
      <c r="A37" s="707"/>
      <c r="B37" s="713" t="s">
        <v>220</v>
      </c>
      <c r="C37" s="714"/>
      <c r="D37" s="715"/>
      <c r="E37" s="109">
        <f>SUM(E26:E36)</f>
        <v>88657.62</v>
      </c>
      <c r="F37" s="109">
        <f>SUM(F26:F36)</f>
        <v>51081.509999999995</v>
      </c>
      <c r="G37" s="110" t="s">
        <v>259</v>
      </c>
    </row>
    <row r="38" spans="1:7" ht="15" x14ac:dyDescent="0.2">
      <c r="A38" s="717" t="s">
        <v>260</v>
      </c>
      <c r="B38" s="111" t="s">
        <v>83</v>
      </c>
      <c r="C38" s="112" t="s">
        <v>242</v>
      </c>
      <c r="D38" s="113" t="s">
        <v>243</v>
      </c>
      <c r="E38" s="114">
        <v>771.5</v>
      </c>
      <c r="F38" s="718">
        <v>59800</v>
      </c>
      <c r="G38" s="115" t="s">
        <v>261</v>
      </c>
    </row>
    <row r="39" spans="1:7" ht="15" x14ac:dyDescent="0.2">
      <c r="A39" s="717"/>
      <c r="B39" s="111" t="s">
        <v>82</v>
      </c>
      <c r="C39" s="112" t="s">
        <v>242</v>
      </c>
      <c r="D39" s="113" t="s">
        <v>243</v>
      </c>
      <c r="E39" s="114">
        <v>1530</v>
      </c>
      <c r="F39" s="719"/>
      <c r="G39" s="115" t="s">
        <v>261</v>
      </c>
    </row>
    <row r="40" spans="1:7" ht="15" x14ac:dyDescent="0.2">
      <c r="A40" s="717"/>
      <c r="B40" s="720" t="s">
        <v>262</v>
      </c>
      <c r="C40" s="112" t="s">
        <v>242</v>
      </c>
      <c r="D40" s="113" t="s">
        <v>243</v>
      </c>
      <c r="E40" s="114">
        <v>1129</v>
      </c>
      <c r="F40" s="719"/>
      <c r="G40" s="115" t="s">
        <v>263</v>
      </c>
    </row>
    <row r="41" spans="1:7" ht="15" x14ac:dyDescent="0.2">
      <c r="A41" s="717"/>
      <c r="B41" s="721"/>
      <c r="C41" s="113" t="s">
        <v>264</v>
      </c>
      <c r="D41" s="113" t="s">
        <v>243</v>
      </c>
      <c r="E41" s="114">
        <v>2563</v>
      </c>
      <c r="F41" s="719"/>
      <c r="G41" s="115"/>
    </row>
    <row r="42" spans="1:7" ht="30" x14ac:dyDescent="0.2">
      <c r="A42" s="717"/>
      <c r="B42" s="720" t="s">
        <v>265</v>
      </c>
      <c r="C42" s="112" t="s">
        <v>242</v>
      </c>
      <c r="D42" s="113" t="s">
        <v>243</v>
      </c>
      <c r="E42" s="114">
        <v>62046</v>
      </c>
      <c r="F42" s="719"/>
      <c r="G42" s="115" t="s">
        <v>266</v>
      </c>
    </row>
    <row r="43" spans="1:7" ht="15" x14ac:dyDescent="0.2">
      <c r="A43" s="717"/>
      <c r="B43" s="721"/>
      <c r="C43" s="113" t="s">
        <v>267</v>
      </c>
      <c r="D43" s="113" t="s">
        <v>243</v>
      </c>
      <c r="E43" s="114">
        <v>21612</v>
      </c>
      <c r="F43" s="719"/>
      <c r="G43" s="115"/>
    </row>
    <row r="44" spans="1:7" ht="30" x14ac:dyDescent="0.2">
      <c r="A44" s="717"/>
      <c r="B44" s="111" t="s">
        <v>268</v>
      </c>
      <c r="C44" s="112" t="s">
        <v>242</v>
      </c>
      <c r="D44" s="113" t="s">
        <v>243</v>
      </c>
      <c r="E44" s="114">
        <v>7368</v>
      </c>
      <c r="F44" s="719"/>
      <c r="G44" s="115" t="s">
        <v>269</v>
      </c>
    </row>
    <row r="45" spans="1:7" ht="30" x14ac:dyDescent="0.2">
      <c r="A45" s="717"/>
      <c r="B45" s="111" t="s">
        <v>197</v>
      </c>
      <c r="C45" s="112" t="s">
        <v>242</v>
      </c>
      <c r="D45" s="113" t="s">
        <v>243</v>
      </c>
      <c r="E45" s="114">
        <v>2339</v>
      </c>
      <c r="F45" s="719"/>
      <c r="G45" s="115" t="s">
        <v>270</v>
      </c>
    </row>
    <row r="46" spans="1:7" ht="15" x14ac:dyDescent="0.2">
      <c r="A46" s="717"/>
      <c r="B46" s="111" t="s">
        <v>271</v>
      </c>
      <c r="C46" s="112" t="s">
        <v>242</v>
      </c>
      <c r="D46" s="113" t="s">
        <v>243</v>
      </c>
      <c r="E46" s="114">
        <v>16.47</v>
      </c>
      <c r="F46" s="719"/>
      <c r="G46" s="115" t="s">
        <v>261</v>
      </c>
    </row>
    <row r="47" spans="1:7" ht="15" x14ac:dyDescent="0.2">
      <c r="A47" s="717"/>
      <c r="B47" s="111" t="s">
        <v>272</v>
      </c>
      <c r="C47" s="112" t="s">
        <v>242</v>
      </c>
      <c r="D47" s="113" t="s">
        <v>243</v>
      </c>
      <c r="E47" s="114">
        <v>2000</v>
      </c>
      <c r="F47" s="719"/>
      <c r="G47" s="115" t="s">
        <v>273</v>
      </c>
    </row>
    <row r="48" spans="1:7" ht="15" x14ac:dyDescent="0.2">
      <c r="A48" s="717"/>
      <c r="B48" s="111" t="s">
        <v>274</v>
      </c>
      <c r="C48" s="112" t="s">
        <v>242</v>
      </c>
      <c r="D48" s="113" t="s">
        <v>243</v>
      </c>
      <c r="E48" s="114">
        <v>130</v>
      </c>
      <c r="F48" s="719"/>
      <c r="G48" s="115" t="s">
        <v>275</v>
      </c>
    </row>
    <row r="49" spans="1:7" ht="30" x14ac:dyDescent="0.2">
      <c r="A49" s="717"/>
      <c r="B49" s="111" t="s">
        <v>276</v>
      </c>
      <c r="C49" s="113" t="s">
        <v>276</v>
      </c>
      <c r="D49" s="113" t="s">
        <v>246</v>
      </c>
      <c r="E49" s="114">
        <v>33050</v>
      </c>
      <c r="F49" s="116">
        <v>16525</v>
      </c>
      <c r="G49" s="115" t="s">
        <v>668</v>
      </c>
    </row>
    <row r="50" spans="1:7" ht="15" x14ac:dyDescent="0.2">
      <c r="A50" s="717"/>
      <c r="B50" s="722" t="s">
        <v>220</v>
      </c>
      <c r="C50" s="723"/>
      <c r="D50" s="724"/>
      <c r="E50" s="117">
        <f>SUM(E38:E49)</f>
        <v>134554.97</v>
      </c>
      <c r="F50" s="117">
        <f>SUM(F38:F49)</f>
        <v>76325</v>
      </c>
      <c r="G50" s="118" t="s">
        <v>277</v>
      </c>
    </row>
    <row r="51" spans="1:7" ht="15" x14ac:dyDescent="0.25">
      <c r="A51" s="725" t="s">
        <v>278</v>
      </c>
      <c r="B51" s="725"/>
      <c r="C51" s="725"/>
      <c r="D51" s="725"/>
      <c r="E51" s="725"/>
      <c r="F51" s="725"/>
      <c r="G51" s="725"/>
    </row>
    <row r="52" spans="1:7" ht="15" x14ac:dyDescent="0.25">
      <c r="A52" s="119" t="s">
        <v>135</v>
      </c>
      <c r="B52" s="716" t="s">
        <v>279</v>
      </c>
      <c r="C52" s="716"/>
      <c r="D52" s="716"/>
      <c r="E52" s="716"/>
      <c r="F52" s="716"/>
      <c r="G52" s="716"/>
    </row>
    <row r="53" spans="1:7" ht="30" x14ac:dyDescent="0.25">
      <c r="A53" s="119" t="s">
        <v>140</v>
      </c>
      <c r="B53" s="716" t="s">
        <v>280</v>
      </c>
      <c r="C53" s="716"/>
      <c r="D53" s="716"/>
      <c r="E53" s="716"/>
      <c r="F53" s="716"/>
      <c r="G53" s="716"/>
    </row>
    <row r="54" spans="1:7" ht="15" x14ac:dyDescent="0.25">
      <c r="A54" s="119" t="s">
        <v>281</v>
      </c>
      <c r="B54" s="716" t="s">
        <v>282</v>
      </c>
      <c r="C54" s="716"/>
      <c r="D54" s="716"/>
      <c r="E54" s="716"/>
      <c r="F54" s="716"/>
      <c r="G54" s="716"/>
    </row>
    <row r="55" spans="1:7" ht="15" x14ac:dyDescent="0.25">
      <c r="A55" s="119" t="s">
        <v>260</v>
      </c>
      <c r="B55" s="25" t="s">
        <v>283</v>
      </c>
    </row>
    <row r="56" spans="1:7" ht="30" x14ac:dyDescent="0.25">
      <c r="A56" s="119" t="s">
        <v>187</v>
      </c>
      <c r="B56" s="716" t="s">
        <v>284</v>
      </c>
      <c r="C56" s="716"/>
      <c r="D56" s="716"/>
      <c r="E56" s="716"/>
      <c r="F56" s="716"/>
      <c r="G56" s="716"/>
    </row>
    <row r="57" spans="1:7" ht="30" x14ac:dyDescent="0.25">
      <c r="A57" s="120"/>
      <c r="B57" s="121" t="s">
        <v>285</v>
      </c>
      <c r="C57" s="121"/>
      <c r="D57" s="121"/>
      <c r="E57" s="121"/>
      <c r="F57" s="121"/>
      <c r="G57" s="121"/>
    </row>
    <row r="58" spans="1:7" x14ac:dyDescent="0.2">
      <c r="A58" s="37"/>
      <c r="B58" s="37"/>
      <c r="C58" s="37"/>
      <c r="D58" s="37"/>
      <c r="E58" s="37"/>
      <c r="F58" s="37"/>
      <c r="G58" s="37"/>
    </row>
    <row r="59" spans="1:7" x14ac:dyDescent="0.2">
      <c r="A59" s="37"/>
      <c r="B59" s="37"/>
      <c r="C59" s="37"/>
      <c r="D59" s="37"/>
      <c r="E59" s="37"/>
      <c r="F59" s="37"/>
      <c r="G59" s="37"/>
    </row>
    <row r="60" spans="1:7" x14ac:dyDescent="0.2">
      <c r="A60" s="37"/>
      <c r="B60" s="37"/>
      <c r="C60" s="37"/>
      <c r="D60" s="37"/>
      <c r="E60" s="37"/>
      <c r="F60" s="37"/>
      <c r="G60" s="37"/>
    </row>
    <row r="61" spans="1:7" x14ac:dyDescent="0.2">
      <c r="A61" s="37"/>
      <c r="B61" s="37"/>
      <c r="C61" s="37"/>
      <c r="D61" s="37"/>
      <c r="E61" s="37"/>
      <c r="F61" s="37"/>
      <c r="G61" s="37"/>
    </row>
    <row r="62" spans="1:7" x14ac:dyDescent="0.2">
      <c r="A62" s="37"/>
      <c r="B62" s="37"/>
      <c r="C62" s="37"/>
      <c r="D62" s="37"/>
      <c r="E62" s="37"/>
      <c r="F62" s="37"/>
      <c r="G62" s="37"/>
    </row>
    <row r="63" spans="1:7" x14ac:dyDescent="0.2">
      <c r="A63" s="37"/>
      <c r="B63" s="37"/>
      <c r="C63" s="37"/>
      <c r="D63" s="37"/>
      <c r="E63" s="37"/>
      <c r="F63" s="37"/>
      <c r="G63" s="37"/>
    </row>
    <row r="64" spans="1:7" x14ac:dyDescent="0.2">
      <c r="A64" s="37"/>
      <c r="B64" s="37"/>
      <c r="C64" s="37"/>
      <c r="D64" s="37"/>
      <c r="E64" s="37"/>
      <c r="F64" s="37"/>
      <c r="G64" s="37"/>
    </row>
    <row r="65" spans="1:7" x14ac:dyDescent="0.2">
      <c r="A65" s="37"/>
      <c r="B65" s="37"/>
      <c r="C65" s="37"/>
      <c r="D65" s="37"/>
      <c r="E65" s="37"/>
      <c r="F65" s="37"/>
      <c r="G65" s="37"/>
    </row>
  </sheetData>
  <mergeCells count="35">
    <mergeCell ref="B52:G52"/>
    <mergeCell ref="B53:G53"/>
    <mergeCell ref="B54:G54"/>
    <mergeCell ref="B56:G56"/>
    <mergeCell ref="A38:A50"/>
    <mergeCell ref="F38:F48"/>
    <mergeCell ref="B40:B41"/>
    <mergeCell ref="B42:B43"/>
    <mergeCell ref="B50:D50"/>
    <mergeCell ref="A51:G51"/>
    <mergeCell ref="A26:A37"/>
    <mergeCell ref="F29:F33"/>
    <mergeCell ref="G29:G30"/>
    <mergeCell ref="G31:G32"/>
    <mergeCell ref="B32:B33"/>
    <mergeCell ref="B34:B35"/>
    <mergeCell ref="F34:F35"/>
    <mergeCell ref="B37:D37"/>
    <mergeCell ref="B16:D16"/>
    <mergeCell ref="A17:A25"/>
    <mergeCell ref="B17:B20"/>
    <mergeCell ref="C18:C19"/>
    <mergeCell ref="C20:D20"/>
    <mergeCell ref="C22:D22"/>
    <mergeCell ref="B25:D25"/>
    <mergeCell ref="A2:A16"/>
    <mergeCell ref="B3:B6"/>
    <mergeCell ref="C3:C6"/>
    <mergeCell ref="F3:F4"/>
    <mergeCell ref="B8:B11"/>
    <mergeCell ref="C10:D10"/>
    <mergeCell ref="B13:B14"/>
    <mergeCell ref="C13:C14"/>
    <mergeCell ref="D13:D14"/>
    <mergeCell ref="E13:E14"/>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0" tint="-0.24994659260841701"/>
    <pageSetUpPr fitToPage="1"/>
  </sheetPr>
  <dimension ref="A1:N101"/>
  <sheetViews>
    <sheetView zoomScale="70" zoomScaleNormal="70" workbookViewId="0">
      <selection activeCell="B9" sqref="B9"/>
    </sheetView>
  </sheetViews>
  <sheetFormatPr defaultRowHeight="15" x14ac:dyDescent="0.25"/>
  <cols>
    <col min="1" max="1" width="40.5703125" style="10" customWidth="1"/>
    <col min="2" max="2" width="24.5703125" style="10" bestFit="1" customWidth="1"/>
    <col min="3" max="3" width="1.42578125" style="10" customWidth="1"/>
    <col min="4" max="4" width="11.42578125" style="10" customWidth="1"/>
    <col min="5" max="5" width="10.42578125" style="10" customWidth="1"/>
    <col min="6" max="6" width="13" customWidth="1"/>
    <col min="7" max="7" width="15.28515625" style="10" customWidth="1"/>
    <col min="8" max="8" width="12.5703125" style="10" bestFit="1" customWidth="1"/>
    <col min="9" max="9" width="16.140625" style="10" customWidth="1"/>
    <col min="10" max="16384" width="9.140625" style="10"/>
  </cols>
  <sheetData>
    <row r="1" spans="1:9" ht="15.75" thickBot="1" x14ac:dyDescent="0.3">
      <c r="A1" s="588" t="s">
        <v>563</v>
      </c>
      <c r="B1" s="589"/>
      <c r="C1" s="589"/>
      <c r="D1" s="589"/>
      <c r="E1" s="589"/>
      <c r="F1" s="589"/>
      <c r="G1" s="590"/>
    </row>
    <row r="2" spans="1:9" ht="15.75" thickBot="1" x14ac:dyDescent="0.3">
      <c r="A2" s="360" t="s">
        <v>564</v>
      </c>
      <c r="B2" s="739" t="str">
        <f>RunScenName</f>
        <v>Run C SJRIP Releases - SJBHM Baseline Demands - NIIP w/ DG &amp; NGWSP</v>
      </c>
      <c r="C2" s="740"/>
      <c r="D2" s="740"/>
      <c r="E2" s="740"/>
      <c r="F2" s="740"/>
      <c r="G2" s="741"/>
    </row>
    <row r="3" spans="1:9" ht="15.75" thickBot="1" x14ac:dyDescent="0.3">
      <c r="A3" s="726"/>
      <c r="B3" s="727"/>
      <c r="C3" s="727"/>
      <c r="D3" s="727"/>
      <c r="E3" s="727"/>
      <c r="F3" s="727"/>
      <c r="G3" s="728"/>
    </row>
    <row r="4" spans="1:9" x14ac:dyDescent="0.25">
      <c r="A4" s="729" t="s">
        <v>64</v>
      </c>
      <c r="B4" s="731" t="s">
        <v>65</v>
      </c>
      <c r="C4" s="361"/>
      <c r="D4" s="733" t="s">
        <v>66</v>
      </c>
      <c r="E4" s="734"/>
      <c r="F4" s="737"/>
      <c r="G4" s="731" t="s">
        <v>635</v>
      </c>
      <c r="I4" s="418"/>
    </row>
    <row r="5" spans="1:9" x14ac:dyDescent="0.25">
      <c r="A5" s="730"/>
      <c r="B5" s="732"/>
      <c r="C5" s="208"/>
      <c r="D5" s="735"/>
      <c r="E5" s="736"/>
      <c r="F5" s="738"/>
      <c r="G5" s="732"/>
    </row>
    <row r="6" spans="1:9" x14ac:dyDescent="0.25">
      <c r="A6" s="147"/>
      <c r="B6" s="143" t="s">
        <v>67</v>
      </c>
      <c r="C6" s="143"/>
      <c r="D6" s="143" t="s">
        <v>68</v>
      </c>
      <c r="E6" s="143" t="s">
        <v>69</v>
      </c>
      <c r="F6" s="141"/>
      <c r="G6" s="144" t="s">
        <v>67</v>
      </c>
    </row>
    <row r="7" spans="1:9" x14ac:dyDescent="0.25">
      <c r="A7" s="137" t="s">
        <v>158</v>
      </c>
      <c r="B7" s="137"/>
      <c r="C7" s="137"/>
      <c r="D7" s="137"/>
      <c r="E7" s="137"/>
      <c r="F7" s="481"/>
      <c r="G7" s="135">
        <v>249218</v>
      </c>
      <c r="H7" s="483" t="s">
        <v>159</v>
      </c>
    </row>
    <row r="8" spans="1:9" x14ac:dyDescent="0.25">
      <c r="A8" s="209" t="s">
        <v>160</v>
      </c>
      <c r="B8" s="139"/>
      <c r="C8" s="139"/>
      <c r="D8" s="126"/>
      <c r="E8" s="126"/>
      <c r="F8" s="482"/>
      <c r="G8" s="135">
        <v>270000</v>
      </c>
      <c r="H8" s="483" t="s">
        <v>161</v>
      </c>
    </row>
    <row r="9" spans="1:9" x14ac:dyDescent="0.25">
      <c r="A9" s="210" t="s">
        <v>73</v>
      </c>
      <c r="B9" s="127">
        <f ca="1">AnnualAggregations!$C$1</f>
        <v>247729.65036704685</v>
      </c>
      <c r="C9" s="127"/>
      <c r="D9" s="127">
        <f ca="1">AnnualAggregations!$C$3</f>
        <v>289778.66461234522</v>
      </c>
      <c r="E9" s="127">
        <f ca="1">AnnualAggregations!$C$2</f>
        <v>173409.68026580906</v>
      </c>
      <c r="F9" s="127"/>
      <c r="G9" s="126">
        <v>270000</v>
      </c>
      <c r="H9" s="36"/>
    </row>
    <row r="10" spans="1:9" x14ac:dyDescent="0.25">
      <c r="A10" s="210" t="s">
        <v>74</v>
      </c>
      <c r="B10" s="127">
        <f ca="1">AnnualDepletions!$BI$1</f>
        <v>-2.2883063794822754E-3</v>
      </c>
      <c r="C10" s="127"/>
      <c r="D10" s="127">
        <f ca="1">AnnualDepletions!BI3</f>
        <v>8308.0635333164664</v>
      </c>
      <c r="E10" s="127">
        <f ca="1">AnnualDepletions!BI2</f>
        <v>-14830.083966075032</v>
      </c>
      <c r="F10" s="127"/>
      <c r="G10" s="127">
        <v>10600</v>
      </c>
    </row>
    <row r="11" spans="1:9" x14ac:dyDescent="0.25">
      <c r="A11" s="210" t="s">
        <v>75</v>
      </c>
      <c r="B11" s="127">
        <f ca="1">AnnualDepletions!$AM$1</f>
        <v>12060.458315847007</v>
      </c>
      <c r="C11" s="127"/>
      <c r="D11" s="127">
        <f ca="1">AnnualDepletions!$AM$3</f>
        <v>12100.000000000022</v>
      </c>
      <c r="E11" s="127">
        <f ca="1">AnnualDepletions!$AM$2</f>
        <v>8778.4985311485234</v>
      </c>
      <c r="F11" s="127"/>
      <c r="G11" s="127">
        <v>12100</v>
      </c>
      <c r="H11" s="36"/>
    </row>
    <row r="12" spans="1:9" x14ac:dyDescent="0.25">
      <c r="A12" s="210" t="s">
        <v>76</v>
      </c>
      <c r="B12" s="127">
        <f ca="1">AnnualDepletions!$AK$1</f>
        <v>7922.5263543329256</v>
      </c>
      <c r="C12" s="127"/>
      <c r="D12" s="127">
        <f ca="1">AnnualDepletions!$AK$3</f>
        <v>7970.0000000000155</v>
      </c>
      <c r="E12" s="127">
        <f ca="1">AnnualDepletions!$AK$2</f>
        <v>5782.2010986160012</v>
      </c>
      <c r="F12" s="127"/>
      <c r="G12" s="127">
        <v>7898</v>
      </c>
      <c r="H12" s="36"/>
    </row>
    <row r="13" spans="1:9" x14ac:dyDescent="0.25">
      <c r="A13" s="211" t="s">
        <v>77</v>
      </c>
      <c r="B13" s="127">
        <f ca="1">AnnualDepletions!$L$1</f>
        <v>897.05888299688479</v>
      </c>
      <c r="C13" s="127"/>
      <c r="D13" s="127">
        <f ca="1">AnnualDepletions!$L$3</f>
        <v>900.00000000000125</v>
      </c>
      <c r="E13" s="127">
        <f ca="1">AnnualDepletions!$L$2</f>
        <v>652.94617173831989</v>
      </c>
      <c r="F13" s="127"/>
      <c r="G13" s="127">
        <v>900</v>
      </c>
      <c r="H13" s="36"/>
    </row>
    <row r="14" spans="1:9" x14ac:dyDescent="0.25">
      <c r="A14" s="212" t="s">
        <v>88</v>
      </c>
      <c r="B14" s="141">
        <f ca="1">SUM(B9:B13)</f>
        <v>268609.69163191732</v>
      </c>
      <c r="C14" s="141"/>
      <c r="D14" s="141"/>
      <c r="E14" s="141"/>
      <c r="F14" s="141"/>
      <c r="G14" s="141">
        <f>SUM(G9:G13)</f>
        <v>301498</v>
      </c>
    </row>
    <row r="15" spans="1:9" x14ac:dyDescent="0.25">
      <c r="A15" s="213" t="s">
        <v>162</v>
      </c>
      <c r="B15" s="128"/>
      <c r="C15" s="128"/>
      <c r="D15" s="128"/>
      <c r="E15" s="128"/>
      <c r="F15" s="128"/>
      <c r="G15" s="128"/>
    </row>
    <row r="16" spans="1:9" x14ac:dyDescent="0.25">
      <c r="A16" s="210" t="s">
        <v>81</v>
      </c>
      <c r="B16" s="127">
        <f ca="1">AnnualDepletions!$AY$1</f>
        <v>1610.8333333331479</v>
      </c>
      <c r="C16" s="127"/>
      <c r="D16" s="127">
        <f ca="1">AnnualDepletions!$AY$3</f>
        <v>2157.9999999997526</v>
      </c>
      <c r="E16" s="127">
        <f ca="1">AnnualDepletions!$AY$2</f>
        <v>1230.9999999998588</v>
      </c>
      <c r="F16" s="127"/>
      <c r="G16" s="127">
        <v>738</v>
      </c>
      <c r="H16" s="36"/>
    </row>
    <row r="17" spans="1:8" x14ac:dyDescent="0.25">
      <c r="A17" s="210" t="s">
        <v>163</v>
      </c>
      <c r="B17" s="127">
        <f ca="1">AnnualDepletions!$AO$1</f>
        <v>1121.7380952379663</v>
      </c>
      <c r="C17" s="127"/>
      <c r="D17" s="127">
        <f ca="1">AnnualDepletions!$AO$3</f>
        <v>1628.9999999998124</v>
      </c>
      <c r="E17" s="127">
        <f ca="1">AnnualDepletions!$AO$2</f>
        <v>698.99999999991951</v>
      </c>
      <c r="F17" s="127"/>
      <c r="G17" s="127">
        <v>2190</v>
      </c>
      <c r="H17" s="36"/>
    </row>
    <row r="18" spans="1:8" x14ac:dyDescent="0.25">
      <c r="A18" s="214" t="s">
        <v>82</v>
      </c>
      <c r="B18" s="127">
        <f ca="1">AnnualAggregations!$F$1</f>
        <v>32521.700642911706</v>
      </c>
      <c r="C18" s="127"/>
      <c r="D18" s="127">
        <f ca="1">AnnualAggregations!$F$3</f>
        <v>38964.931142319867</v>
      </c>
      <c r="E18" s="127">
        <f ca="1">AnnualAggregations!$F$2</f>
        <v>22952.62091931374</v>
      </c>
      <c r="F18" s="127"/>
      <c r="G18" s="127">
        <v>36711</v>
      </c>
      <c r="H18" s="36"/>
    </row>
    <row r="19" spans="1:8" x14ac:dyDescent="0.25">
      <c r="A19" s="214" t="s">
        <v>83</v>
      </c>
      <c r="B19" s="127">
        <f ca="1">AnnualAggregations!$G$1</f>
        <v>4272.1169815672793</v>
      </c>
      <c r="C19" s="127"/>
      <c r="D19" s="127">
        <f ca="1">AnnualAggregations!$G$3</f>
        <v>8965.8565144055046</v>
      </c>
      <c r="E19" s="127">
        <f ca="1">AnnualAggregations!$G$2</f>
        <v>609.41459971539052</v>
      </c>
      <c r="F19" s="127"/>
      <c r="G19" s="127">
        <v>9808</v>
      </c>
      <c r="H19" s="36"/>
    </row>
    <row r="20" spans="1:8" x14ac:dyDescent="0.25">
      <c r="A20" s="214" t="s">
        <v>84</v>
      </c>
      <c r="B20" s="127">
        <f ca="1">AnnualAggregations!$H$1</f>
        <v>12680.522362047484</v>
      </c>
      <c r="C20" s="127"/>
      <c r="D20" s="127">
        <f ca="1">AnnualAggregations!$H$3</f>
        <v>15006.999999998281</v>
      </c>
      <c r="E20" s="127">
        <f ca="1">AnnualAggregations!$H$2</f>
        <v>9405.9999999989268</v>
      </c>
      <c r="F20" s="127"/>
      <c r="G20" s="127">
        <v>9137</v>
      </c>
      <c r="H20" s="36"/>
    </row>
    <row r="21" spans="1:8" x14ac:dyDescent="0.25">
      <c r="A21" s="210" t="s">
        <v>85</v>
      </c>
      <c r="B21" s="127">
        <f ca="1">AnnualDepletions!$AL$1</f>
        <v>10753.632695306689</v>
      </c>
      <c r="C21" s="127"/>
      <c r="D21" s="127">
        <f ca="1">AnnualDepletions!$AL$3</f>
        <v>12812.99999999853</v>
      </c>
      <c r="E21" s="127">
        <f ca="1">AnnualDepletions!$AL$2</f>
        <v>8081.9999999990669</v>
      </c>
      <c r="F21" s="127"/>
      <c r="G21" s="127">
        <v>10268</v>
      </c>
      <c r="H21" s="36"/>
    </row>
    <row r="22" spans="1:8" x14ac:dyDescent="0.25">
      <c r="A22" s="210" t="s">
        <v>86</v>
      </c>
      <c r="B22" s="127">
        <f ca="1">AnnualDepletions!$AG$1</f>
        <v>9222.9508156565262</v>
      </c>
      <c r="C22" s="127"/>
      <c r="D22" s="127">
        <f ca="1">AnnualDepletions!$AG$3</f>
        <v>11255.999999998705</v>
      </c>
      <c r="E22" s="127">
        <f ca="1">AnnualDepletions!$AG$2</f>
        <v>6718.9999999992287</v>
      </c>
      <c r="F22" s="127"/>
      <c r="G22" s="127">
        <v>9532</v>
      </c>
      <c r="H22" s="36"/>
    </row>
    <row r="23" spans="1:8" x14ac:dyDescent="0.25">
      <c r="A23" s="210" t="s">
        <v>87</v>
      </c>
      <c r="B23" s="127">
        <f ca="1">AnnualDepletions!$AN$1</f>
        <v>3112.3888909530197</v>
      </c>
      <c r="C23" s="127"/>
      <c r="D23" s="127">
        <f ca="1">AnnualDepletions!$AN$3</f>
        <v>3601.9999999995866</v>
      </c>
      <c r="E23" s="127">
        <f ca="1">AnnualDepletions!$AN$2</f>
        <v>2270.9999999997381</v>
      </c>
      <c r="F23" s="127"/>
      <c r="G23" s="127">
        <v>3088</v>
      </c>
      <c r="H23" s="36"/>
    </row>
    <row r="24" spans="1:8" x14ac:dyDescent="0.25">
      <c r="A24" s="211" t="s">
        <v>164</v>
      </c>
      <c r="B24" s="129"/>
      <c r="C24" s="129"/>
      <c r="D24" s="130"/>
      <c r="E24" s="130"/>
      <c r="F24" s="130"/>
      <c r="G24" s="130">
        <v>110</v>
      </c>
      <c r="H24" s="36"/>
    </row>
    <row r="25" spans="1:8" x14ac:dyDescent="0.25">
      <c r="A25" s="212" t="s">
        <v>88</v>
      </c>
      <c r="B25" s="141">
        <f ca="1">SUM(B16:B24)</f>
        <v>75295.883817013819</v>
      </c>
      <c r="C25" s="141"/>
      <c r="D25" s="141"/>
      <c r="E25" s="141"/>
      <c r="F25" s="141"/>
      <c r="G25" s="141">
        <f>SUM(G16:G24)</f>
        <v>81582</v>
      </c>
    </row>
    <row r="26" spans="1:8" x14ac:dyDescent="0.25">
      <c r="A26" s="215" t="s">
        <v>165</v>
      </c>
      <c r="B26" s="141">
        <f ca="1">B14+B25</f>
        <v>343905.57544893114</v>
      </c>
      <c r="C26" s="141"/>
      <c r="D26" s="141"/>
      <c r="E26" s="141"/>
      <c r="F26" s="141"/>
      <c r="G26" s="141">
        <f>G14+G25</f>
        <v>383080</v>
      </c>
    </row>
    <row r="27" spans="1:8" x14ac:dyDescent="0.25">
      <c r="A27" s="213" t="s">
        <v>166</v>
      </c>
      <c r="B27" s="128"/>
      <c r="C27" s="128"/>
      <c r="D27" s="128"/>
      <c r="E27" s="128"/>
      <c r="F27" s="128"/>
      <c r="G27" s="128"/>
    </row>
    <row r="28" spans="1:8" x14ac:dyDescent="0.25">
      <c r="A28" s="210" t="s">
        <v>92</v>
      </c>
      <c r="B28" s="127">
        <f ca="1">AnnualDepletions!$BH$1</f>
        <v>26807.243690189778</v>
      </c>
      <c r="C28" s="127"/>
      <c r="D28" s="127">
        <f ca="1">AnnualDepletions!$BH$3</f>
        <v>30080.49319905684</v>
      </c>
      <c r="E28" s="127">
        <f ca="1">AnnualDepletions!$BH$2</f>
        <v>17908.818234993741</v>
      </c>
      <c r="F28" s="127"/>
      <c r="G28" s="127">
        <v>27350</v>
      </c>
    </row>
    <row r="29" spans="1:8" x14ac:dyDescent="0.25">
      <c r="A29" s="210" t="s">
        <v>93</v>
      </c>
      <c r="B29" s="127">
        <f ca="1">AnnualDepletions!$AJ$1</f>
        <v>38813.175994733545</v>
      </c>
      <c r="C29" s="127"/>
      <c r="D29" s="127">
        <f ca="1">AnnualDepletions!$AJ$3</f>
        <v>38999.999998983862</v>
      </c>
      <c r="E29" s="127">
        <f ca="1">AnnualDepletions!$AJ$2</f>
        <v>23306.78364195428</v>
      </c>
      <c r="F29" s="127"/>
      <c r="G29" s="127">
        <v>39000</v>
      </c>
      <c r="H29" s="36"/>
    </row>
    <row r="30" spans="1:8" x14ac:dyDescent="0.25">
      <c r="A30" s="210" t="s">
        <v>94</v>
      </c>
      <c r="B30" s="127">
        <f ca="1">AnnualDepletions!$BC$1</f>
        <v>16122.396181823256</v>
      </c>
      <c r="C30" s="127"/>
      <c r="D30" s="127">
        <f ca="1">AnnualDepletions!$BC$3</f>
        <v>16199.999998970494</v>
      </c>
      <c r="E30" s="127">
        <f ca="1">AnnualDepletions!$BC$2</f>
        <v>9681.2793586026637</v>
      </c>
      <c r="F30" s="127"/>
      <c r="G30" s="127">
        <v>16200</v>
      </c>
      <c r="H30" s="36"/>
    </row>
    <row r="31" spans="1:8" x14ac:dyDescent="0.25">
      <c r="A31" s="210" t="s">
        <v>95</v>
      </c>
      <c r="B31" s="127">
        <f ca="1">AnnualDepletions!$J$1</f>
        <v>2499.9900000012694</v>
      </c>
      <c r="C31" s="127"/>
      <c r="D31" s="127">
        <f ca="1">AnnualDepletions!$J$3</f>
        <v>2499.9900000012672</v>
      </c>
      <c r="E31" s="127">
        <f ca="1">AnnualDepletions!$J$2</f>
        <v>2499.9900000012672</v>
      </c>
      <c r="F31" s="127"/>
      <c r="G31" s="127">
        <v>2500</v>
      </c>
      <c r="H31" s="36"/>
    </row>
    <row r="32" spans="1:8" x14ac:dyDescent="0.25">
      <c r="A32" s="210" t="s">
        <v>90</v>
      </c>
      <c r="B32" s="127">
        <f ca="1">AnnualDepletions!$AP$1</f>
        <v>340.98999999997534</v>
      </c>
      <c r="C32" s="127"/>
      <c r="D32" s="127">
        <f ca="1">AnnualDepletions!$AP$3</f>
        <v>340.98999999997511</v>
      </c>
      <c r="E32" s="127">
        <f ca="1">AnnualDepletions!$AP$2</f>
        <v>340.98999999997505</v>
      </c>
      <c r="F32" s="127"/>
      <c r="G32" s="127"/>
      <c r="H32" s="36"/>
    </row>
    <row r="33" spans="1:13" x14ac:dyDescent="0.25">
      <c r="A33" s="216" t="s">
        <v>96</v>
      </c>
      <c r="B33" s="130">
        <f ca="1">AnnualAggregations!$I$1</f>
        <v>11601.038156680661</v>
      </c>
      <c r="C33" s="130"/>
      <c r="D33" s="130">
        <f ca="1">AnnualAggregations!$I$3</f>
        <v>11624.990000001573</v>
      </c>
      <c r="E33" s="130">
        <f ca="1">AnnualAggregations!$I$2</f>
        <v>9613.0351610433954</v>
      </c>
      <c r="F33" s="130"/>
      <c r="G33" s="130">
        <v>13453</v>
      </c>
      <c r="H33" s="36"/>
    </row>
    <row r="34" spans="1:13" x14ac:dyDescent="0.25">
      <c r="A34" s="215" t="s">
        <v>97</v>
      </c>
      <c r="B34" s="141">
        <f ca="1">SUM(B29:B33)</f>
        <v>69377.59033323871</v>
      </c>
      <c r="C34" s="141"/>
      <c r="D34" s="141"/>
      <c r="E34" s="141"/>
      <c r="F34" s="141"/>
      <c r="G34" s="141"/>
    </row>
    <row r="35" spans="1:13" x14ac:dyDescent="0.25">
      <c r="A35" s="215" t="s">
        <v>167</v>
      </c>
      <c r="B35" s="141"/>
      <c r="C35" s="141"/>
      <c r="D35" s="141"/>
      <c r="E35" s="141"/>
      <c r="F35" s="141"/>
      <c r="G35" s="141"/>
    </row>
    <row r="36" spans="1:13" x14ac:dyDescent="0.25">
      <c r="A36" s="215" t="s">
        <v>97</v>
      </c>
      <c r="B36" s="141">
        <f ca="1">B34+B35</f>
        <v>69377.59033323871</v>
      </c>
      <c r="C36" s="141"/>
      <c r="D36" s="141"/>
      <c r="E36" s="141"/>
      <c r="F36" s="141"/>
      <c r="G36" s="141"/>
    </row>
    <row r="37" spans="1:13" x14ac:dyDescent="0.25">
      <c r="A37" s="215" t="s">
        <v>98</v>
      </c>
      <c r="B37" s="141">
        <f ca="1">B28+B34</f>
        <v>96184.834023428484</v>
      </c>
      <c r="C37" s="141"/>
      <c r="D37" s="141"/>
      <c r="E37" s="141"/>
      <c r="F37" s="141"/>
      <c r="G37" s="141">
        <f>SUM(G28:G33)</f>
        <v>98503</v>
      </c>
    </row>
    <row r="38" spans="1:13" x14ac:dyDescent="0.25">
      <c r="A38" s="215" t="s">
        <v>636</v>
      </c>
      <c r="B38" s="141">
        <f ca="1">B26+B37</f>
        <v>440090.40947235964</v>
      </c>
      <c r="C38" s="141"/>
      <c r="D38" s="141"/>
      <c r="E38" s="141"/>
      <c r="F38" s="141"/>
      <c r="G38" s="141">
        <f>G37+G26+SUM(G59:G61)</f>
        <v>600167</v>
      </c>
    </row>
    <row r="39" spans="1:13" x14ac:dyDescent="0.25">
      <c r="A39" s="137" t="s">
        <v>168</v>
      </c>
      <c r="B39" s="138"/>
      <c r="C39" s="138"/>
      <c r="D39" s="138"/>
      <c r="E39" s="138"/>
      <c r="F39" s="138"/>
      <c r="G39" s="138"/>
      <c r="I39" s="364" t="s">
        <v>565</v>
      </c>
      <c r="J39" s="364"/>
      <c r="K39" s="364"/>
      <c r="L39" s="284"/>
      <c r="M39" s="284"/>
    </row>
    <row r="40" spans="1:13" x14ac:dyDescent="0.25">
      <c r="A40" s="209" t="s">
        <v>169</v>
      </c>
      <c r="B40" s="140"/>
      <c r="C40" s="140"/>
      <c r="D40" s="140"/>
      <c r="E40" s="140"/>
      <c r="F40" s="140"/>
      <c r="G40" s="140"/>
    </row>
    <row r="41" spans="1:13" x14ac:dyDescent="0.25">
      <c r="A41" s="210" t="s">
        <v>84</v>
      </c>
      <c r="B41" s="131">
        <f ca="1">StateModDepletions_ThisScenario!$AC$1</f>
        <v>32747.66166859883</v>
      </c>
      <c r="C41" s="131"/>
      <c r="D41" s="131">
        <f ca="1">StateModDepletions_ThisScenario!$AC$3</f>
        <v>38594.153846025467</v>
      </c>
      <c r="E41" s="131">
        <f ca="1">StateModDepletions_ThisScenario!$AC$2</f>
        <v>26185.443499982357</v>
      </c>
      <c r="F41" s="142"/>
      <c r="G41" s="127">
        <v>18723</v>
      </c>
      <c r="I41" s="10" t="s">
        <v>566</v>
      </c>
    </row>
    <row r="42" spans="1:13" x14ac:dyDescent="0.25">
      <c r="A42" s="210" t="s">
        <v>102</v>
      </c>
      <c r="B42" s="127" t="s">
        <v>299</v>
      </c>
      <c r="C42" s="127"/>
      <c r="D42" s="127"/>
      <c r="E42" s="127"/>
      <c r="F42" s="142"/>
      <c r="G42" s="127"/>
      <c r="I42" s="10" t="s">
        <v>566</v>
      </c>
    </row>
    <row r="43" spans="1:13" x14ac:dyDescent="0.25">
      <c r="A43" s="210" t="s">
        <v>103</v>
      </c>
      <c r="B43" s="131">
        <f ca="1">StateModDepletions_ThisScenario!$AD$1</f>
        <v>17488.531633803028</v>
      </c>
      <c r="C43" s="131"/>
      <c r="D43" s="131">
        <f ca="1">StateModDepletions_ThisScenario!$AD$3</f>
        <v>19504.484992802143</v>
      </c>
      <c r="E43" s="131">
        <f ca="1">StateModDepletions_ThisScenario!$AD$2</f>
        <v>11955.725285999477</v>
      </c>
      <c r="F43" s="142"/>
      <c r="G43" s="127">
        <v>8098</v>
      </c>
      <c r="I43" s="10" t="s">
        <v>566</v>
      </c>
    </row>
    <row r="44" spans="1:13" x14ac:dyDescent="0.25">
      <c r="A44" s="210" t="s">
        <v>104</v>
      </c>
      <c r="B44" s="131">
        <f ca="1">StateModDepletions_ThisScenario!$AE$1</f>
        <v>104963.91890761061</v>
      </c>
      <c r="C44" s="131"/>
      <c r="D44" s="131">
        <f ca="1">StateModDepletions_ThisScenario!$AE$3</f>
        <v>117572.51014709473</v>
      </c>
      <c r="E44" s="131">
        <f ca="1">StateModDepletions_ThisScenario!$AE$2</f>
        <v>72955.914783716202</v>
      </c>
      <c r="F44" s="142"/>
      <c r="G44" s="127">
        <v>71671</v>
      </c>
      <c r="I44" s="10" t="s">
        <v>566</v>
      </c>
    </row>
    <row r="45" spans="1:13" x14ac:dyDescent="0.25">
      <c r="A45" s="211" t="s">
        <v>170</v>
      </c>
      <c r="B45" s="131">
        <f ca="1">StateModDepletions_ThisScenario!$AB$1</f>
        <v>24751.756629228592</v>
      </c>
      <c r="C45" s="131"/>
      <c r="D45" s="131">
        <f ca="1">StateModDepletions_ThisScenario!$AB$3</f>
        <v>24765.810481309891</v>
      </c>
      <c r="E45" s="131">
        <f ca="1">StateModDepletions_ThisScenario!$AB$2</f>
        <v>23585.286906480789</v>
      </c>
      <c r="F45" s="142"/>
      <c r="G45" s="130"/>
    </row>
    <row r="46" spans="1:13" x14ac:dyDescent="0.25">
      <c r="A46" s="212" t="s">
        <v>88</v>
      </c>
      <c r="B46" s="141">
        <f ca="1">SUM(B41:B45)</f>
        <v>179951.86883924107</v>
      </c>
      <c r="C46" s="141"/>
      <c r="D46" s="141"/>
      <c r="E46" s="141"/>
      <c r="F46" s="141"/>
      <c r="G46" s="141">
        <f>SUM(G41:G44)</f>
        <v>98492</v>
      </c>
    </row>
    <row r="47" spans="1:13" x14ac:dyDescent="0.25">
      <c r="A47" s="213" t="s">
        <v>171</v>
      </c>
      <c r="B47" s="132"/>
      <c r="C47" s="132"/>
      <c r="D47" s="132"/>
      <c r="E47" s="132"/>
      <c r="F47" s="128"/>
      <c r="G47" s="132"/>
    </row>
    <row r="48" spans="1:13" x14ac:dyDescent="0.25">
      <c r="A48" s="210" t="s">
        <v>108</v>
      </c>
      <c r="B48" s="131">
        <f ca="1">StateModDepletions_ThisScenario!$AG$1</f>
        <v>38382.42012163972</v>
      </c>
      <c r="C48" s="131"/>
      <c r="D48" s="131">
        <f ca="1">StateModDepletions_ThisScenario!$AG$3</f>
        <v>52287.211341945906</v>
      </c>
      <c r="E48" s="131">
        <f ca="1">StateModDepletions_ThisScenario!$AG$2</f>
        <v>11987.918047180623</v>
      </c>
      <c r="F48" s="142"/>
      <c r="G48" s="126">
        <v>28607</v>
      </c>
      <c r="I48" s="10" t="s">
        <v>566</v>
      </c>
    </row>
    <row r="49" spans="1:9" x14ac:dyDescent="0.25">
      <c r="A49" s="210" t="s">
        <v>109</v>
      </c>
      <c r="B49" s="131">
        <f ca="1">StateModDepletions_ThisScenario!$AF$1</f>
        <v>18519.004397885245</v>
      </c>
      <c r="C49" s="131"/>
      <c r="D49" s="131">
        <f ca="1">StateModDepletions_ThisScenario!$AF$3</f>
        <v>21872.030249141142</v>
      </c>
      <c r="E49" s="131">
        <f ca="1">StateModDepletions_ThisScenario!$AF$2</f>
        <v>14232.487855978306</v>
      </c>
      <c r="F49" s="142"/>
      <c r="G49" s="126">
        <v>25119</v>
      </c>
      <c r="I49" s="10" t="s">
        <v>566</v>
      </c>
    </row>
    <row r="50" spans="1:9" x14ac:dyDescent="0.25">
      <c r="A50" s="210" t="s">
        <v>170</v>
      </c>
      <c r="B50" s="131">
        <f ca="1">StateModDepletions_ThisScenario!$N$1</f>
        <v>1326.6977829933167</v>
      </c>
      <c r="C50" s="131"/>
      <c r="D50" s="131">
        <f ca="1">StateModDepletions_ThisScenario!$N$3</f>
        <v>1326.6977829933167</v>
      </c>
      <c r="E50" s="131">
        <f ca="1">StateModDepletions_ThisScenario!$N$2</f>
        <v>1326.6977829933167</v>
      </c>
      <c r="F50" s="142"/>
      <c r="G50" s="126"/>
      <c r="I50" s="10" t="s">
        <v>566</v>
      </c>
    </row>
    <row r="51" spans="1:9" x14ac:dyDescent="0.25">
      <c r="A51" s="210" t="s">
        <v>110</v>
      </c>
      <c r="B51" s="131">
        <f ca="1">StateModDepletions_ThisScenario!$AH$1</f>
        <v>16216.587120551383</v>
      </c>
      <c r="C51" s="131"/>
      <c r="D51" s="131">
        <f ca="1">StateModDepletions_ThisScenario!$AH$3</f>
        <v>23792.84720429033</v>
      </c>
      <c r="E51" s="131">
        <f ca="1">StateModDepletions_ThisScenario!$AH$2</f>
        <v>5703.4624698832631</v>
      </c>
      <c r="F51" s="142"/>
      <c r="G51" s="126">
        <v>14584</v>
      </c>
      <c r="I51" s="10" t="s">
        <v>566</v>
      </c>
    </row>
    <row r="52" spans="1:9" x14ac:dyDescent="0.25">
      <c r="A52" s="210" t="s">
        <v>172</v>
      </c>
      <c r="B52" s="131">
        <f ca="1">StateModDepletions_ThisScenario!$V$1</f>
        <v>11945.651914360267</v>
      </c>
      <c r="C52" s="131"/>
      <c r="D52" s="131">
        <f ca="1">StateModDepletions_ThisScenario!$V$3</f>
        <v>17656.200043678284</v>
      </c>
      <c r="E52" s="131">
        <f ca="1">StateModDepletions_ThisScenario!$V$2</f>
        <v>3064.0313931107521</v>
      </c>
      <c r="F52" s="142"/>
      <c r="G52" s="126"/>
      <c r="I52" s="10" t="s">
        <v>566</v>
      </c>
    </row>
    <row r="53" spans="1:9" x14ac:dyDescent="0.25">
      <c r="A53" s="211" t="s">
        <v>111</v>
      </c>
      <c r="B53" s="131">
        <f ca="1">StateModDepletions_ThisScenario!$AI$1</f>
        <v>17408.221141461116</v>
      </c>
      <c r="C53" s="131"/>
      <c r="D53" s="131">
        <f ca="1">StateModDepletions_ThisScenario!$AI$3</f>
        <v>28213.801593901942</v>
      </c>
      <c r="E53" s="131">
        <f ca="1">StateModDepletions_ThisScenario!$AI$2</f>
        <v>5804.9668499975278</v>
      </c>
      <c r="F53" s="142"/>
      <c r="G53" s="133">
        <v>19532</v>
      </c>
      <c r="I53" s="10" t="s">
        <v>566</v>
      </c>
    </row>
    <row r="54" spans="1:9" x14ac:dyDescent="0.25">
      <c r="A54" s="212" t="s">
        <v>88</v>
      </c>
      <c r="B54" s="143">
        <f ca="1">SUM(B48:B53)</f>
        <v>103798.58247889104</v>
      </c>
      <c r="C54" s="143"/>
      <c r="D54" s="143"/>
      <c r="E54" s="143"/>
      <c r="F54" s="141"/>
      <c r="G54" s="143">
        <f>SUM(G48:G53)</f>
        <v>87842</v>
      </c>
    </row>
    <row r="55" spans="1:9" x14ac:dyDescent="0.25">
      <c r="A55" s="215" t="s">
        <v>637</v>
      </c>
      <c r="B55" s="143">
        <f ca="1">B46+B54</f>
        <v>283750.45131813211</v>
      </c>
      <c r="C55" s="143"/>
      <c r="D55" s="143"/>
      <c r="E55" s="143"/>
      <c r="F55" s="141"/>
      <c r="G55" s="143">
        <f>G46+G54</f>
        <v>186334</v>
      </c>
    </row>
    <row r="56" spans="1:9" x14ac:dyDescent="0.25">
      <c r="A56" s="147" t="s">
        <v>173</v>
      </c>
      <c r="B56" s="143">
        <f ca="1">B38+B55</f>
        <v>723840.8607904918</v>
      </c>
      <c r="C56" s="143"/>
      <c r="D56" s="143"/>
      <c r="E56" s="143"/>
      <c r="F56" s="141"/>
      <c r="G56" s="143">
        <f>G37+G55+G26</f>
        <v>667917</v>
      </c>
    </row>
    <row r="57" spans="1:9" x14ac:dyDescent="0.25">
      <c r="A57" s="137" t="s">
        <v>174</v>
      </c>
      <c r="B57" s="144"/>
      <c r="C57" s="144"/>
      <c r="D57" s="144"/>
      <c r="E57" s="144"/>
      <c r="F57" s="145"/>
      <c r="G57" s="144"/>
    </row>
    <row r="58" spans="1:9" x14ac:dyDescent="0.25">
      <c r="A58" s="210" t="s">
        <v>175</v>
      </c>
      <c r="B58" s="126">
        <f ca="1">AnnualAggregations!$B$1</f>
        <v>57124.467573165828</v>
      </c>
      <c r="C58" s="126"/>
      <c r="D58" s="126">
        <f ca="1">AnnualAggregations!$B$3</f>
        <v>57174.024543631749</v>
      </c>
      <c r="E58" s="126">
        <f ca="1">AnnualAggregations!$B$2</f>
        <v>56587.390162499345</v>
      </c>
      <c r="F58" s="127"/>
      <c r="G58" s="126">
        <v>57133</v>
      </c>
      <c r="H58" s="36"/>
    </row>
    <row r="59" spans="1:9" x14ac:dyDescent="0.25">
      <c r="A59" s="210" t="s">
        <v>120</v>
      </c>
      <c r="B59" s="126">
        <f ca="1">AnnualDepletions!$BK$1</f>
        <v>105234.36637774424</v>
      </c>
      <c r="C59" s="126"/>
      <c r="D59" s="126">
        <f ca="1">AnnualDepletions!$BK$3</f>
        <v>233454.25910427465</v>
      </c>
      <c r="E59" s="126">
        <f ca="1">AnnualDepletions!$BK$2</f>
        <v>7345.5348732380489</v>
      </c>
      <c r="F59" s="146"/>
      <c r="G59" s="126">
        <v>107514</v>
      </c>
    </row>
    <row r="60" spans="1:9" x14ac:dyDescent="0.25">
      <c r="A60" s="210" t="s">
        <v>118</v>
      </c>
      <c r="B60" s="126">
        <f ca="1">AnnualAggregations!$D$1</f>
        <v>35721.05964141713</v>
      </c>
      <c r="C60" s="126"/>
      <c r="D60" s="126">
        <f ca="1">AnnualAggregations!$D$3</f>
        <v>35893.000000000073</v>
      </c>
      <c r="E60" s="126">
        <f ca="1">AnnualAggregations!$D$2</f>
        <v>21450.009879037338</v>
      </c>
      <c r="F60" s="127"/>
      <c r="G60" s="126">
        <v>6570</v>
      </c>
      <c r="H60" s="36"/>
    </row>
    <row r="61" spans="1:9" x14ac:dyDescent="0.25">
      <c r="A61" s="211" t="s">
        <v>121</v>
      </c>
      <c r="B61" s="134">
        <f ca="1">AnnualAggregations!$E$1</f>
        <v>4998.0196399097404</v>
      </c>
      <c r="C61" s="134"/>
      <c r="D61" s="134">
        <f ca="1">AnnualAggregations!$E$3</f>
        <v>5000.0000000019463</v>
      </c>
      <c r="E61" s="134">
        <f ca="1">AnnualAggregations!$E$2</f>
        <v>4908.395374850008</v>
      </c>
      <c r="F61" s="129"/>
      <c r="G61" s="133">
        <v>4500</v>
      </c>
      <c r="H61" s="36"/>
    </row>
    <row r="62" spans="1:9" x14ac:dyDescent="0.25">
      <c r="A62" s="212" t="s">
        <v>88</v>
      </c>
      <c r="B62" s="143">
        <f ca="1">SUM(B58:B61)</f>
        <v>203077.91323223693</v>
      </c>
      <c r="C62" s="143"/>
      <c r="D62" s="143"/>
      <c r="E62" s="147"/>
      <c r="F62" s="141"/>
      <c r="G62" s="143">
        <f>SUM(G58:G61)</f>
        <v>175717</v>
      </c>
    </row>
    <row r="63" spans="1:9" x14ac:dyDescent="0.25">
      <c r="A63" s="137" t="s">
        <v>123</v>
      </c>
      <c r="B63" s="137"/>
      <c r="C63" s="137"/>
      <c r="D63" s="137"/>
      <c r="E63" s="137"/>
      <c r="F63" s="138"/>
      <c r="G63" s="137"/>
    </row>
    <row r="64" spans="1:9" x14ac:dyDescent="0.25">
      <c r="A64" s="210" t="s">
        <v>176</v>
      </c>
      <c r="B64" s="131">
        <f ca="1">StateModDepletions_ThisScenario!$Y$1</f>
        <v>212.11356273293495</v>
      </c>
      <c r="C64" s="131"/>
      <c r="D64" s="131">
        <f ca="1">StateModDepletions_ThisScenario!$Y$3</f>
        <v>212.11356273293495</v>
      </c>
      <c r="E64" s="131">
        <f ca="1">StateModDepletions_ThisScenario!$Y$2</f>
        <v>212.11356273293495</v>
      </c>
      <c r="F64" s="142"/>
      <c r="G64" s="139"/>
      <c r="I64" s="10" t="s">
        <v>566</v>
      </c>
    </row>
    <row r="65" spans="1:14" x14ac:dyDescent="0.25">
      <c r="A65" s="210" t="s">
        <v>125</v>
      </c>
      <c r="B65" s="131">
        <f ca="1">StateModDepletions_ThisScenario!$AJ$1</f>
        <v>136253.15143199329</v>
      </c>
      <c r="C65" s="131"/>
      <c r="D65" s="131">
        <f ca="1">StateModDepletions_ThisScenario!$AJ$3</f>
        <v>168542.3329720904</v>
      </c>
      <c r="E65" s="131">
        <f ca="1">StateModDepletions_ThisScenario!$AJ$2</f>
        <v>84245.374887656028</v>
      </c>
      <c r="F65" s="140"/>
      <c r="G65" s="139"/>
      <c r="I65" s="10" t="s">
        <v>566</v>
      </c>
    </row>
    <row r="66" spans="1:14" x14ac:dyDescent="0.25">
      <c r="A66" s="210" t="s">
        <v>126</v>
      </c>
      <c r="B66" s="131">
        <f ca="1">StateModDepletions_ThisScenario!$Z$1</f>
        <v>214663.79801429046</v>
      </c>
      <c r="C66" s="131"/>
      <c r="D66" s="131">
        <f ca="1">StateModDepletions_ThisScenario!$Z$3</f>
        <v>264037.38139343262</v>
      </c>
      <c r="E66" s="131">
        <f ca="1">StateModDepletions_ThisScenario!$Z$2</f>
        <v>130283.96319517493</v>
      </c>
      <c r="F66" s="140"/>
      <c r="G66" s="139"/>
      <c r="I66" s="10" t="s">
        <v>566</v>
      </c>
    </row>
    <row r="67" spans="1:14" x14ac:dyDescent="0.25">
      <c r="A67" s="211" t="s">
        <v>177</v>
      </c>
      <c r="B67" s="131">
        <f ca="1">StateModDepletions_ThisScenario!$AA$1</f>
        <v>78198.533019564318</v>
      </c>
      <c r="C67" s="131"/>
      <c r="D67" s="131">
        <f ca="1">StateModDepletions_ThisScenario!$AA$3</f>
        <v>129147.41309344798</v>
      </c>
      <c r="E67" s="131">
        <f ca="1">StateModDepletions_ThisScenario!$AA$2</f>
        <v>35823.23022418256</v>
      </c>
      <c r="F67" s="130"/>
      <c r="G67" s="133">
        <v>11769</v>
      </c>
      <c r="I67" s="10" t="s">
        <v>566</v>
      </c>
      <c r="K67" s="36"/>
    </row>
    <row r="68" spans="1:14" x14ac:dyDescent="0.25">
      <c r="A68" s="147" t="s">
        <v>127</v>
      </c>
      <c r="B68" s="135">
        <f ca="1">AnnualDepletions!$BG$1</f>
        <v>12296.800000006129</v>
      </c>
      <c r="C68" s="135"/>
      <c r="D68" s="135">
        <f ca="1">AnnualDepletions!$BG$3</f>
        <v>12296.800000006155</v>
      </c>
      <c r="E68" s="135">
        <f ca="1">AnnualDepletions!$BG$2</f>
        <v>12296.800000006155</v>
      </c>
      <c r="F68" s="136"/>
      <c r="G68" s="147">
        <v>9140</v>
      </c>
      <c r="H68" s="36"/>
    </row>
    <row r="69" spans="1:14" x14ac:dyDescent="0.25">
      <c r="A69" s="406" t="s">
        <v>129</v>
      </c>
      <c r="B69" s="143">
        <f ca="1">B56+B62+B68</f>
        <v>939215.57402273477</v>
      </c>
      <c r="C69" s="429"/>
      <c r="D69" s="430"/>
      <c r="E69" s="431"/>
      <c r="F69" s="432"/>
      <c r="G69" s="147"/>
      <c r="N69" s="36"/>
    </row>
    <row r="70" spans="1:14" x14ac:dyDescent="0.25">
      <c r="A70" s="406" t="s">
        <v>356</v>
      </c>
      <c r="B70" s="143">
        <f ca="1">B69-B67</f>
        <v>861017.04100317042</v>
      </c>
      <c r="C70" s="433"/>
      <c r="D70" s="323"/>
      <c r="E70" s="323"/>
      <c r="F70" s="434"/>
      <c r="G70" s="143">
        <f>G56+G62+G68+G74-G67</f>
        <v>851015</v>
      </c>
      <c r="I70" s="336"/>
      <c r="J70" s="337"/>
    </row>
    <row r="71" spans="1:14" x14ac:dyDescent="0.25">
      <c r="A71" s="406" t="s">
        <v>357</v>
      </c>
      <c r="B71" s="143">
        <f ca="1">B70+B79</f>
        <v>875892.04100317042</v>
      </c>
      <c r="C71" s="11"/>
      <c r="D71" s="11"/>
      <c r="E71" s="39"/>
      <c r="F71" s="39"/>
      <c r="G71" s="143">
        <f>G70+G75+G76</f>
        <v>854370</v>
      </c>
    </row>
    <row r="72" spans="1:14" x14ac:dyDescent="0.25">
      <c r="A72" s="409"/>
      <c r="B72" s="410"/>
      <c r="C72" s="11"/>
      <c r="D72" s="11"/>
      <c r="E72" s="39"/>
      <c r="F72" s="39"/>
      <c r="G72" s="39"/>
    </row>
    <row r="73" spans="1:14" x14ac:dyDescent="0.25">
      <c r="A73" s="426" t="s">
        <v>638</v>
      </c>
      <c r="B73" s="427"/>
      <c r="C73"/>
      <c r="D73"/>
      <c r="E73"/>
      <c r="G73" t="s">
        <v>639</v>
      </c>
    </row>
    <row r="74" spans="1:14" x14ac:dyDescent="0.25">
      <c r="A74" s="423" t="s">
        <v>151</v>
      </c>
      <c r="B74" s="486">
        <v>10010</v>
      </c>
      <c r="C74" s="283"/>
      <c r="D74" s="283"/>
      <c r="E74" s="283"/>
      <c r="G74" s="484">
        <v>10010</v>
      </c>
    </row>
    <row r="75" spans="1:14" x14ac:dyDescent="0.25">
      <c r="A75" s="424" t="s">
        <v>305</v>
      </c>
      <c r="B75" s="487">
        <v>2832</v>
      </c>
      <c r="C75" s="283"/>
      <c r="D75" s="283"/>
      <c r="E75" s="283"/>
      <c r="G75" s="485">
        <v>2832</v>
      </c>
    </row>
    <row r="76" spans="1:14" x14ac:dyDescent="0.25">
      <c r="A76" s="424" t="s">
        <v>306</v>
      </c>
      <c r="B76" s="487">
        <v>523</v>
      </c>
      <c r="C76" s="283"/>
      <c r="D76" s="283"/>
      <c r="E76" s="283"/>
      <c r="G76" s="485">
        <v>523</v>
      </c>
    </row>
    <row r="77" spans="1:14" x14ac:dyDescent="0.25">
      <c r="A77" s="424" t="s">
        <v>164</v>
      </c>
      <c r="B77" s="487">
        <v>110</v>
      </c>
      <c r="C77" s="283"/>
      <c r="D77" s="283"/>
      <c r="E77" s="283"/>
      <c r="G77" s="485"/>
    </row>
    <row r="78" spans="1:14" x14ac:dyDescent="0.25">
      <c r="A78" s="424" t="s">
        <v>304</v>
      </c>
      <c r="B78" s="488">
        <v>1400</v>
      </c>
      <c r="C78" s="39"/>
      <c r="D78" s="283"/>
      <c r="E78" s="39"/>
      <c r="G78" s="492"/>
    </row>
    <row r="79" spans="1:14" x14ac:dyDescent="0.25">
      <c r="A79" s="425" t="s">
        <v>583</v>
      </c>
      <c r="B79" s="425">
        <f>SUM(B74:B78)</f>
        <v>14875</v>
      </c>
    </row>
    <row r="81" spans="1:1" x14ac:dyDescent="0.25">
      <c r="A81" s="124" t="s">
        <v>641</v>
      </c>
    </row>
    <row r="82" spans="1:1" customFormat="1" x14ac:dyDescent="0.25">
      <c r="A82" t="s">
        <v>640</v>
      </c>
    </row>
    <row r="83" spans="1:1" customFormat="1" x14ac:dyDescent="0.25">
      <c r="A83" t="s">
        <v>642</v>
      </c>
    </row>
    <row r="84" spans="1:1" customFormat="1" x14ac:dyDescent="0.25">
      <c r="A84" t="s">
        <v>643</v>
      </c>
    </row>
    <row r="85" spans="1:1" customFormat="1" x14ac:dyDescent="0.25"/>
    <row r="86" spans="1:1" customFormat="1" x14ac:dyDescent="0.25"/>
    <row r="87" spans="1:1" customFormat="1" x14ac:dyDescent="0.25"/>
    <row r="88" spans="1:1" customFormat="1" x14ac:dyDescent="0.25"/>
    <row r="89" spans="1:1" customFormat="1" x14ac:dyDescent="0.25"/>
    <row r="90" spans="1:1" customFormat="1" x14ac:dyDescent="0.25"/>
    <row r="91" spans="1:1" customFormat="1" x14ac:dyDescent="0.25"/>
    <row r="92" spans="1:1" customFormat="1" x14ac:dyDescent="0.25"/>
    <row r="93" spans="1:1" customFormat="1" x14ac:dyDescent="0.25"/>
    <row r="94" spans="1:1" customFormat="1" x14ac:dyDescent="0.25"/>
    <row r="95" spans="1:1" customFormat="1" x14ac:dyDescent="0.25"/>
    <row r="96" spans="1:1" customFormat="1" x14ac:dyDescent="0.25"/>
    <row r="97" customFormat="1" x14ac:dyDescent="0.25"/>
    <row r="98" customFormat="1" x14ac:dyDescent="0.25"/>
    <row r="99" customFormat="1" x14ac:dyDescent="0.25"/>
    <row r="100" customFormat="1" x14ac:dyDescent="0.25"/>
    <row r="101" customFormat="1" x14ac:dyDescent="0.25"/>
  </sheetData>
  <mergeCells count="8">
    <mergeCell ref="A1:G1"/>
    <mergeCell ref="A3:G3"/>
    <mergeCell ref="A4:A5"/>
    <mergeCell ref="B4:B5"/>
    <mergeCell ref="D4:E5"/>
    <mergeCell ref="F4:F5"/>
    <mergeCell ref="G4:G5"/>
    <mergeCell ref="B2:G2"/>
  </mergeCells>
  <pageMargins left="0.75" right="0.75" top="1" bottom="1" header="0.5" footer="0.5"/>
  <pageSetup scale="18"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3AE73-F35B-4F16-BE2F-93D5802D9945}">
  <sheetPr codeName="Sheet8">
    <tabColor rgb="FFFFFF00"/>
  </sheetPr>
  <dimension ref="A1:N30"/>
  <sheetViews>
    <sheetView zoomScale="70" zoomScaleNormal="70" workbookViewId="0">
      <selection activeCell="D26" sqref="D26"/>
    </sheetView>
  </sheetViews>
  <sheetFormatPr defaultRowHeight="15" x14ac:dyDescent="0.25"/>
  <cols>
    <col min="1" max="1" width="66.42578125" style="494" bestFit="1" customWidth="1"/>
    <col min="2" max="2" width="44.85546875" style="494" bestFit="1" customWidth="1"/>
    <col min="3" max="3" width="29" style="494" bestFit="1" customWidth="1"/>
    <col min="4" max="8" width="9.140625" style="494"/>
    <col min="9" max="9" width="16.85546875" style="494" bestFit="1" customWidth="1"/>
    <col min="10" max="10" width="10.7109375" style="494" bestFit="1" customWidth="1"/>
    <col min="11" max="12" width="9.140625" style="494"/>
    <col min="13" max="13" width="21.5703125" style="494" bestFit="1" customWidth="1"/>
    <col min="14" max="14" width="66.42578125" style="494" bestFit="1" customWidth="1"/>
    <col min="15" max="16384" width="9.140625" style="494"/>
  </cols>
  <sheetData>
    <row r="1" spans="1:14" ht="135.75" thickBot="1" x14ac:dyDescent="0.3">
      <c r="A1" s="495" t="s">
        <v>540</v>
      </c>
      <c r="B1" s="495" t="s">
        <v>647</v>
      </c>
      <c r="C1" s="495" t="s">
        <v>541</v>
      </c>
      <c r="D1" s="495" t="s">
        <v>650</v>
      </c>
      <c r="E1" s="495" t="s">
        <v>645</v>
      </c>
      <c r="F1" s="495" t="s">
        <v>646</v>
      </c>
      <c r="G1" s="495" t="s">
        <v>648</v>
      </c>
      <c r="H1" s="495" t="s">
        <v>671</v>
      </c>
      <c r="I1" s="495" t="s">
        <v>672</v>
      </c>
      <c r="K1" s="505" t="s">
        <v>542</v>
      </c>
      <c r="M1" s="506" t="s">
        <v>560</v>
      </c>
      <c r="N1" s="499" t="str">
        <f>IF(COUNT($A$2:$G$2)=0,"BLANK",IF($G$2&lt;&gt;1,"ERROR, RUN DID NOT FINISH",IF((ABS(SUM($E$2))+ABS(SUM($F$2))+ABS(SUM($D$2)))&lt;&gt;0,"SET NAME MANUALLY",$C$5&amp;" - "&amp;$A$5&amp;" - "&amp;$B$5)))</f>
        <v>Run C SJRIP Releases - SJBHM Baseline Demands - NIIP w/ DG &amp; NGWSP</v>
      </c>
    </row>
    <row r="2" spans="1:14" x14ac:dyDescent="0.25">
      <c r="A2">
        <v>0</v>
      </c>
      <c r="B2">
        <v>0</v>
      </c>
      <c r="C2">
        <v>0</v>
      </c>
      <c r="D2">
        <v>0</v>
      </c>
      <c r="E2" t="s">
        <v>678</v>
      </c>
      <c r="F2" t="s">
        <v>678</v>
      </c>
      <c r="G2">
        <v>1</v>
      </c>
      <c r="H2">
        <v>85</v>
      </c>
      <c r="I2">
        <v>1929</v>
      </c>
      <c r="M2" s="507" t="s">
        <v>561</v>
      </c>
      <c r="N2" s="508" t="str">
        <f>IF(A2=0,"StateMod Baseline with Tribal Reserved",IF(A2=1,"StateMod Baseline WITHOUT Tribal Reserved"))</f>
        <v>StateMod Baseline with Tribal Reserved</v>
      </c>
    </row>
    <row r="3" spans="1:14" ht="15.75" thickBot="1" x14ac:dyDescent="0.3">
      <c r="M3" s="509" t="s">
        <v>562</v>
      </c>
      <c r="N3" s="510" t="str">
        <f>IF(A2=0,"StateModDepletions_BL",IF(A2=1,"StateModDepletions_BLNoRes"))</f>
        <v>StateModDepletions_BL</v>
      </c>
    </row>
    <row r="4" spans="1:14" x14ac:dyDescent="0.25">
      <c r="A4" s="511" t="s">
        <v>661</v>
      </c>
      <c r="B4" s="511" t="s">
        <v>661</v>
      </c>
      <c r="C4" s="511" t="s">
        <v>661</v>
      </c>
    </row>
    <row r="5" spans="1:14" ht="15.75" thickBot="1" x14ac:dyDescent="0.3">
      <c r="A5" s="512" t="str">
        <f>IF(A2=0,"SJBHM Baseline Demands",IF(A2=1,"SJBHM Current Conditions"))</f>
        <v>SJBHM Baseline Demands</v>
      </c>
      <c r="B5" s="512" t="str">
        <f>IF(B2=0,"NIIP w/ DG &amp; NGWSP",IF(B2=1,"Full NIIP &amp; No NGWSP",IF(B2=2,"Full NIIP &amp; NGWSP")))</f>
        <v>NIIP w/ DG &amp; NGWSP</v>
      </c>
      <c r="C5" s="512" t="str">
        <f>IF(C2=0,"Run C SJRIP Releases",IF(C2=1,"OFR SJRIP Releases"))</f>
        <v>Run C SJRIP Releases</v>
      </c>
    </row>
    <row r="6" spans="1:14" ht="15.75" thickBot="1" x14ac:dyDescent="0.3">
      <c r="A6" s="513"/>
    </row>
    <row r="7" spans="1:14" ht="15.75" thickBot="1" x14ac:dyDescent="0.3">
      <c r="A7" s="514" t="s">
        <v>649</v>
      </c>
      <c r="B7" s="514" t="s">
        <v>649</v>
      </c>
      <c r="C7" s="514" t="s">
        <v>649</v>
      </c>
    </row>
    <row r="8" spans="1:14" ht="15.75" thickBot="1" x14ac:dyDescent="0.3">
      <c r="A8" s="515" t="s">
        <v>556</v>
      </c>
      <c r="B8" s="502" t="s">
        <v>657</v>
      </c>
      <c r="C8" s="502" t="s">
        <v>557</v>
      </c>
      <c r="D8" s="496"/>
      <c r="E8" s="497"/>
      <c r="F8" s="498"/>
      <c r="G8" s="516"/>
      <c r="N8" s="502" t="s">
        <v>653</v>
      </c>
    </row>
    <row r="9" spans="1:14" x14ac:dyDescent="0.25">
      <c r="A9" s="517" t="s">
        <v>543</v>
      </c>
      <c r="B9" s="500" t="s">
        <v>654</v>
      </c>
      <c r="C9" s="508" t="s">
        <v>558</v>
      </c>
      <c r="N9" s="500" t="s">
        <v>651</v>
      </c>
    </row>
    <row r="10" spans="1:14" ht="15.75" thickBot="1" x14ac:dyDescent="0.3">
      <c r="A10" s="517" t="s">
        <v>544</v>
      </c>
      <c r="B10" s="500" t="s">
        <v>655</v>
      </c>
      <c r="C10" s="510" t="s">
        <v>559</v>
      </c>
      <c r="N10" s="501" t="s">
        <v>652</v>
      </c>
    </row>
    <row r="11" spans="1:14" ht="15.75" thickBot="1" x14ac:dyDescent="0.3">
      <c r="A11" s="517"/>
      <c r="B11" s="501" t="s">
        <v>656</v>
      </c>
    </row>
    <row r="12" spans="1:14" x14ac:dyDescent="0.25">
      <c r="A12" s="517"/>
    </row>
    <row r="13" spans="1:14" x14ac:dyDescent="0.25">
      <c r="A13" s="517" t="s">
        <v>545</v>
      </c>
    </row>
    <row r="14" spans="1:14" x14ac:dyDescent="0.25">
      <c r="A14" s="517"/>
    </row>
    <row r="15" spans="1:14" x14ac:dyDescent="0.25">
      <c r="A15" s="517" t="s">
        <v>658</v>
      </c>
    </row>
    <row r="16" spans="1:14" x14ac:dyDescent="0.25">
      <c r="A16" s="517" t="s">
        <v>546</v>
      </c>
    </row>
    <row r="17" spans="1:1" x14ac:dyDescent="0.25">
      <c r="A17" s="517" t="s">
        <v>547</v>
      </c>
    </row>
    <row r="18" spans="1:1" x14ac:dyDescent="0.25">
      <c r="A18" s="517" t="s">
        <v>548</v>
      </c>
    </row>
    <row r="19" spans="1:1" x14ac:dyDescent="0.25">
      <c r="A19" s="517" t="s">
        <v>549</v>
      </c>
    </row>
    <row r="20" spans="1:1" x14ac:dyDescent="0.25">
      <c r="A20" s="517" t="s">
        <v>660</v>
      </c>
    </row>
    <row r="21" spans="1:1" x14ac:dyDescent="0.25">
      <c r="A21" s="517"/>
    </row>
    <row r="22" spans="1:1" x14ac:dyDescent="0.25">
      <c r="A22" s="517" t="s">
        <v>550</v>
      </c>
    </row>
    <row r="23" spans="1:1" x14ac:dyDescent="0.25">
      <c r="A23" s="517"/>
    </row>
    <row r="24" spans="1:1" x14ac:dyDescent="0.25">
      <c r="A24" s="517" t="s">
        <v>551</v>
      </c>
    </row>
    <row r="25" spans="1:1" x14ac:dyDescent="0.25">
      <c r="A25" s="517" t="s">
        <v>634</v>
      </c>
    </row>
    <row r="26" spans="1:1" x14ac:dyDescent="0.25">
      <c r="A26" s="517" t="s">
        <v>552</v>
      </c>
    </row>
    <row r="27" spans="1:1" x14ac:dyDescent="0.25">
      <c r="A27" s="517" t="s">
        <v>553</v>
      </c>
    </row>
    <row r="28" spans="1:1" x14ac:dyDescent="0.25">
      <c r="A28" s="517" t="s">
        <v>554</v>
      </c>
    </row>
    <row r="29" spans="1:1" x14ac:dyDescent="0.25">
      <c r="A29" s="517" t="s">
        <v>555</v>
      </c>
    </row>
    <row r="30" spans="1:1" ht="15.75" thickBot="1" x14ac:dyDescent="0.3">
      <c r="A30" s="501" t="s">
        <v>659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355" r:id="rId4" name="Button 3">
              <controlPr defaultSize="0" print="0" autoFill="0" autoPict="0" macro="[0]!ClearRunData">
                <anchor moveWithCells="1" sizeWithCells="1">
                  <from>
                    <xdr:col>12</xdr:col>
                    <xdr:colOff>1057275</xdr:colOff>
                    <xdr:row>13</xdr:row>
                    <xdr:rowOff>161925</xdr:rowOff>
                  </from>
                  <to>
                    <xdr:col>13</xdr:col>
                    <xdr:colOff>3486150</xdr:colOff>
                    <xdr:row>17</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050FA-6DCD-4F0A-9992-F4B18F488A32}">
  <sheetPr codeName="Sheet4">
    <tabColor theme="5" tint="0.59996337778862885"/>
    <pageSetUpPr fitToPage="1"/>
  </sheetPr>
  <dimension ref="A1:IZ107"/>
  <sheetViews>
    <sheetView zoomScale="55" zoomScaleNormal="55" workbookViewId="0">
      <selection activeCell="W35" sqref="W35"/>
    </sheetView>
  </sheetViews>
  <sheetFormatPr defaultColWidth="9.140625" defaultRowHeight="15" x14ac:dyDescent="0.25"/>
  <cols>
    <col min="1" max="2" width="9.42578125" style="400" customWidth="1"/>
    <col min="3" max="3" width="31.85546875" style="10" bestFit="1" customWidth="1"/>
    <col min="4" max="7" width="9.42578125" style="400" customWidth="1"/>
    <col min="8" max="8" width="0.85546875" customWidth="1"/>
    <col min="9" max="9" width="10.42578125" customWidth="1"/>
    <col min="10" max="10" width="10" customWidth="1"/>
    <col min="12" max="12" width="36.42578125" customWidth="1"/>
    <col min="13" max="13" width="12.42578125" customWidth="1"/>
    <col min="14" max="14" width="0.85546875" customWidth="1"/>
    <col min="15" max="15" width="11.42578125" customWidth="1"/>
    <col min="16" max="16" width="10.42578125" customWidth="1"/>
    <col min="17" max="17" width="0.85546875" customWidth="1"/>
    <col min="20" max="45" width="9.140625" style="10"/>
    <col min="46" max="46" width="3.140625" style="291" customWidth="1"/>
    <col min="47" max="59" width="9.140625" style="10"/>
    <col min="60" max="60" width="3.140625" style="291" customWidth="1"/>
    <col min="61" max="61" width="9.140625" style="10"/>
    <col min="62" max="62" width="3.140625" style="291" customWidth="1"/>
    <col min="63" max="72" width="9.140625" style="10"/>
    <col min="73" max="73" width="3.140625" style="291" customWidth="1"/>
    <col min="74" max="75" width="13.7109375" style="10" customWidth="1"/>
    <col min="76" max="76" width="13.28515625" style="10" customWidth="1"/>
    <col min="77" max="77" width="10.85546875" style="10" customWidth="1"/>
    <col min="78" max="78" width="9.140625" style="10"/>
    <col min="79" max="79" width="9.140625" style="436"/>
    <col min="80" max="106" width="9.140625" style="10"/>
    <col min="107" max="107" width="3.140625" style="291" customWidth="1"/>
    <col min="108" max="120" width="9.140625" style="10"/>
    <col min="121" max="121" width="3.140625" style="291" customWidth="1"/>
    <col min="122" max="122" width="9.140625" style="10"/>
    <col min="123" max="123" width="3.140625" style="291" customWidth="1"/>
    <col min="124" max="133" width="9.140625" style="10"/>
    <col min="134" max="134" width="3.140625" style="291" customWidth="1"/>
    <col min="135" max="136" width="13.7109375" style="10" customWidth="1"/>
    <col min="137" max="137" width="13.28515625" style="10" customWidth="1"/>
    <col min="138" max="138" width="10.85546875" style="10" customWidth="1"/>
    <col min="139" max="139" width="9.140625" style="10"/>
    <col min="140" max="140" width="9.140625" style="436"/>
    <col min="141" max="167" width="9.140625" style="10"/>
    <col min="168" max="168" width="3.140625" style="291" customWidth="1"/>
    <col min="169" max="181" width="9.140625" style="10"/>
    <col min="182" max="182" width="3.140625" style="291" customWidth="1"/>
    <col min="183" max="183" width="9.140625" style="10"/>
    <col min="184" max="184" width="3.140625" style="291" customWidth="1"/>
    <col min="185" max="194" width="9.140625" style="10"/>
    <col min="195" max="195" width="3.140625" style="291" customWidth="1"/>
    <col min="196" max="197" width="13.7109375" style="10" customWidth="1"/>
    <col min="198" max="198" width="13.28515625" style="10" customWidth="1"/>
    <col min="199" max="199" width="10.85546875" style="10" customWidth="1"/>
    <col min="200" max="200" width="9.140625" style="10"/>
    <col min="201" max="201" width="9.140625" style="436"/>
    <col min="202" max="228" width="9.140625" style="10"/>
    <col min="229" max="229" width="3.140625" style="291" customWidth="1"/>
    <col min="230" max="242" width="9.140625" style="10"/>
    <col min="243" max="243" width="3.140625" style="291" customWidth="1"/>
    <col min="244" max="244" width="9.140625" style="10"/>
    <col min="245" max="245" width="3.140625" style="291" customWidth="1"/>
    <col min="246" max="255" width="9.140625" style="10"/>
    <col min="256" max="256" width="3.140625" style="291" customWidth="1"/>
    <col min="257" max="258" width="13.7109375" style="10" customWidth="1"/>
    <col min="259" max="259" width="13.28515625" style="10" customWidth="1"/>
    <col min="260" max="260" width="10.85546875" style="10" customWidth="1"/>
    <col min="261" max="16384" width="9.140625" style="10"/>
  </cols>
  <sheetData>
    <row r="1" spans="1:260" x14ac:dyDescent="0.25">
      <c r="T1" s="435" t="s">
        <v>568</v>
      </c>
      <c r="U1" s="435" t="s">
        <v>568</v>
      </c>
      <c r="V1" s="435" t="s">
        <v>568</v>
      </c>
      <c r="W1" s="435" t="s">
        <v>568</v>
      </c>
      <c r="X1" s="435" t="s">
        <v>568</v>
      </c>
      <c r="Y1" s="435" t="s">
        <v>568</v>
      </c>
      <c r="Z1" s="435" t="s">
        <v>568</v>
      </c>
      <c r="AA1" s="435" t="s">
        <v>568</v>
      </c>
      <c r="AB1" s="435" t="s">
        <v>568</v>
      </c>
      <c r="AC1" s="435" t="s">
        <v>568</v>
      </c>
      <c r="AD1" s="435" t="s">
        <v>568</v>
      </c>
      <c r="AE1" s="435" t="s">
        <v>568</v>
      </c>
      <c r="AF1" s="435" t="s">
        <v>568</v>
      </c>
      <c r="AG1" s="435" t="s">
        <v>568</v>
      </c>
      <c r="AH1" s="435" t="s">
        <v>568</v>
      </c>
      <c r="AI1" s="435" t="s">
        <v>568</v>
      </c>
      <c r="AJ1" s="435" t="s">
        <v>568</v>
      </c>
      <c r="AK1" s="435" t="s">
        <v>568</v>
      </c>
      <c r="AL1" s="435" t="s">
        <v>568</v>
      </c>
      <c r="AM1" s="435" t="s">
        <v>568</v>
      </c>
      <c r="AN1" s="435" t="s">
        <v>568</v>
      </c>
      <c r="AO1" s="435" t="s">
        <v>568</v>
      </c>
      <c r="AP1" s="435" t="s">
        <v>568</v>
      </c>
      <c r="AQ1" s="435" t="s">
        <v>568</v>
      </c>
      <c r="AR1" s="435" t="s">
        <v>568</v>
      </c>
      <c r="AS1" s="435" t="s">
        <v>568</v>
      </c>
      <c r="AT1" s="435" t="s">
        <v>568</v>
      </c>
      <c r="AU1" s="435" t="s">
        <v>568</v>
      </c>
      <c r="AV1" s="435" t="s">
        <v>568</v>
      </c>
      <c r="AW1" s="435" t="s">
        <v>568</v>
      </c>
      <c r="AX1" s="435" t="s">
        <v>568</v>
      </c>
      <c r="AY1" s="435" t="s">
        <v>568</v>
      </c>
      <c r="AZ1" s="435" t="s">
        <v>568</v>
      </c>
      <c r="BA1" s="435" t="s">
        <v>568</v>
      </c>
      <c r="BB1" s="435" t="s">
        <v>568</v>
      </c>
      <c r="BC1" s="435" t="s">
        <v>568</v>
      </c>
      <c r="BD1" s="435" t="s">
        <v>568</v>
      </c>
      <c r="BE1" s="435" t="s">
        <v>568</v>
      </c>
      <c r="BF1" s="435" t="s">
        <v>568</v>
      </c>
      <c r="BG1" s="435" t="s">
        <v>568</v>
      </c>
      <c r="BH1" s="435" t="s">
        <v>568</v>
      </c>
      <c r="BI1" s="435" t="s">
        <v>568</v>
      </c>
      <c r="BJ1" s="435" t="s">
        <v>568</v>
      </c>
      <c r="BK1" s="435" t="s">
        <v>568</v>
      </c>
      <c r="BL1" s="435" t="s">
        <v>568</v>
      </c>
      <c r="BM1" s="435" t="s">
        <v>568</v>
      </c>
      <c r="BN1" s="435" t="s">
        <v>568</v>
      </c>
      <c r="BO1" s="435" t="s">
        <v>568</v>
      </c>
      <c r="BP1" s="435" t="s">
        <v>568</v>
      </c>
      <c r="BQ1" s="435" t="s">
        <v>568</v>
      </c>
      <c r="BR1" s="435" t="s">
        <v>568</v>
      </c>
      <c r="BS1" s="435" t="s">
        <v>568</v>
      </c>
      <c r="BT1" s="435" t="s">
        <v>568</v>
      </c>
      <c r="BU1" s="435" t="s">
        <v>568</v>
      </c>
      <c r="BV1" s="435" t="s">
        <v>568</v>
      </c>
      <c r="BW1" s="435" t="s">
        <v>568</v>
      </c>
      <c r="BX1" s="435" t="s">
        <v>568</v>
      </c>
      <c r="BY1" s="435" t="s">
        <v>568</v>
      </c>
      <c r="CC1" s="439" t="s">
        <v>595</v>
      </c>
      <c r="CD1" s="439" t="s">
        <v>595</v>
      </c>
      <c r="CE1" s="439" t="s">
        <v>595</v>
      </c>
      <c r="CF1" s="439" t="s">
        <v>595</v>
      </c>
      <c r="CG1" s="439" t="s">
        <v>595</v>
      </c>
      <c r="CH1" s="439" t="s">
        <v>595</v>
      </c>
      <c r="CI1" s="439" t="s">
        <v>595</v>
      </c>
      <c r="CJ1" s="439" t="s">
        <v>595</v>
      </c>
      <c r="CK1" s="439" t="s">
        <v>595</v>
      </c>
      <c r="CL1" s="439" t="s">
        <v>595</v>
      </c>
      <c r="CM1" s="439" t="s">
        <v>595</v>
      </c>
      <c r="CN1" s="439" t="s">
        <v>595</v>
      </c>
      <c r="CO1" s="439" t="s">
        <v>595</v>
      </c>
      <c r="CP1" s="439" t="s">
        <v>595</v>
      </c>
      <c r="CQ1" s="439" t="s">
        <v>595</v>
      </c>
      <c r="CR1" s="439" t="s">
        <v>595</v>
      </c>
      <c r="CS1" s="439" t="s">
        <v>595</v>
      </c>
      <c r="CT1" s="439" t="s">
        <v>595</v>
      </c>
      <c r="CU1" s="439" t="s">
        <v>595</v>
      </c>
      <c r="CV1" s="439" t="s">
        <v>595</v>
      </c>
      <c r="CW1" s="439" t="s">
        <v>595</v>
      </c>
      <c r="CX1" s="439" t="s">
        <v>595</v>
      </c>
      <c r="CY1" s="439" t="s">
        <v>595</v>
      </c>
      <c r="CZ1" s="439" t="s">
        <v>595</v>
      </c>
      <c r="DA1" s="439" t="s">
        <v>595</v>
      </c>
      <c r="DB1" s="439" t="s">
        <v>595</v>
      </c>
      <c r="DC1" s="439" t="s">
        <v>595</v>
      </c>
      <c r="DD1" s="439" t="s">
        <v>595</v>
      </c>
      <c r="DE1" s="439" t="s">
        <v>595</v>
      </c>
      <c r="DF1" s="439" t="s">
        <v>595</v>
      </c>
      <c r="DG1" s="439" t="s">
        <v>595</v>
      </c>
      <c r="DH1" s="439" t="s">
        <v>595</v>
      </c>
      <c r="DI1" s="439" t="s">
        <v>595</v>
      </c>
      <c r="DJ1" s="439" t="s">
        <v>595</v>
      </c>
      <c r="DK1" s="439" t="s">
        <v>595</v>
      </c>
      <c r="DL1" s="439" t="s">
        <v>595</v>
      </c>
      <c r="DM1" s="439" t="s">
        <v>595</v>
      </c>
      <c r="DN1" s="439" t="s">
        <v>595</v>
      </c>
      <c r="DO1" s="439" t="s">
        <v>595</v>
      </c>
      <c r="DP1" s="439" t="s">
        <v>595</v>
      </c>
      <c r="DQ1" s="439" t="s">
        <v>595</v>
      </c>
      <c r="DR1" s="439" t="s">
        <v>595</v>
      </c>
      <c r="DS1" s="439" t="s">
        <v>595</v>
      </c>
      <c r="DT1" s="439" t="s">
        <v>595</v>
      </c>
      <c r="DU1" s="439" t="s">
        <v>595</v>
      </c>
      <c r="DV1" s="439" t="s">
        <v>595</v>
      </c>
      <c r="DW1" s="439" t="s">
        <v>595</v>
      </c>
      <c r="DX1" s="439" t="s">
        <v>595</v>
      </c>
      <c r="DY1" s="439" t="s">
        <v>595</v>
      </c>
      <c r="DZ1" s="439" t="s">
        <v>595</v>
      </c>
      <c r="EA1" s="439" t="s">
        <v>595</v>
      </c>
      <c r="EB1" s="439" t="s">
        <v>595</v>
      </c>
      <c r="EC1" s="439" t="s">
        <v>595</v>
      </c>
      <c r="ED1" s="439" t="s">
        <v>595</v>
      </c>
      <c r="EE1" s="439" t="s">
        <v>595</v>
      </c>
      <c r="EF1" s="439" t="s">
        <v>595</v>
      </c>
      <c r="EG1" s="439" t="s">
        <v>595</v>
      </c>
      <c r="EH1" s="439" t="s">
        <v>595</v>
      </c>
      <c r="EL1" s="435" t="s">
        <v>570</v>
      </c>
      <c r="EM1" s="435" t="s">
        <v>570</v>
      </c>
      <c r="EN1" s="435" t="s">
        <v>570</v>
      </c>
      <c r="EO1" s="435" t="s">
        <v>570</v>
      </c>
      <c r="EP1" s="435" t="s">
        <v>570</v>
      </c>
      <c r="EQ1" s="435" t="s">
        <v>570</v>
      </c>
      <c r="ER1" s="435" t="s">
        <v>570</v>
      </c>
      <c r="ES1" s="435" t="s">
        <v>570</v>
      </c>
      <c r="ET1" s="435" t="s">
        <v>570</v>
      </c>
      <c r="EU1" s="435" t="s">
        <v>570</v>
      </c>
      <c r="EV1" s="435" t="s">
        <v>570</v>
      </c>
      <c r="EW1" s="435" t="s">
        <v>570</v>
      </c>
      <c r="EX1" s="435" t="s">
        <v>570</v>
      </c>
      <c r="EY1" s="435" t="s">
        <v>570</v>
      </c>
      <c r="EZ1" s="435" t="s">
        <v>570</v>
      </c>
      <c r="FA1" s="435" t="s">
        <v>570</v>
      </c>
      <c r="FB1" s="435" t="s">
        <v>570</v>
      </c>
      <c r="FC1" s="435" t="s">
        <v>570</v>
      </c>
      <c r="FD1" s="435" t="s">
        <v>570</v>
      </c>
      <c r="FE1" s="435" t="s">
        <v>570</v>
      </c>
      <c r="FF1" s="435" t="s">
        <v>570</v>
      </c>
      <c r="FG1" s="435" t="s">
        <v>570</v>
      </c>
      <c r="FH1" s="435" t="s">
        <v>570</v>
      </c>
      <c r="FI1" s="435" t="s">
        <v>570</v>
      </c>
      <c r="FJ1" s="435" t="s">
        <v>570</v>
      </c>
      <c r="FK1" s="435" t="s">
        <v>570</v>
      </c>
      <c r="FL1" s="435" t="s">
        <v>570</v>
      </c>
      <c r="FM1" s="435" t="s">
        <v>570</v>
      </c>
      <c r="FN1" s="435" t="s">
        <v>570</v>
      </c>
      <c r="FO1" s="435" t="s">
        <v>570</v>
      </c>
      <c r="FP1" s="435" t="s">
        <v>570</v>
      </c>
      <c r="FQ1" s="435" t="s">
        <v>570</v>
      </c>
      <c r="FR1" s="435" t="s">
        <v>570</v>
      </c>
      <c r="FS1" s="435" t="s">
        <v>570</v>
      </c>
      <c r="FT1" s="435" t="s">
        <v>570</v>
      </c>
      <c r="FU1" s="435" t="s">
        <v>570</v>
      </c>
      <c r="FV1" s="435" t="s">
        <v>570</v>
      </c>
      <c r="FW1" s="435" t="s">
        <v>570</v>
      </c>
      <c r="FX1" s="435" t="s">
        <v>570</v>
      </c>
      <c r="FY1" s="435" t="s">
        <v>570</v>
      </c>
      <c r="FZ1" s="435" t="s">
        <v>570</v>
      </c>
      <c r="GA1" s="435" t="s">
        <v>570</v>
      </c>
      <c r="GB1" s="435" t="s">
        <v>570</v>
      </c>
      <c r="GC1" s="435" t="s">
        <v>570</v>
      </c>
      <c r="GD1" s="435" t="s">
        <v>570</v>
      </c>
      <c r="GE1" s="435" t="s">
        <v>570</v>
      </c>
      <c r="GF1" s="435" t="s">
        <v>570</v>
      </c>
      <c r="GG1" s="435" t="s">
        <v>570</v>
      </c>
      <c r="GH1" s="435" t="s">
        <v>570</v>
      </c>
      <c r="GI1" s="435" t="s">
        <v>570</v>
      </c>
      <c r="GJ1" s="435" t="s">
        <v>570</v>
      </c>
      <c r="GK1" s="435" t="s">
        <v>570</v>
      </c>
      <c r="GL1" s="435" t="s">
        <v>570</v>
      </c>
      <c r="GM1" s="435" t="s">
        <v>570</v>
      </c>
      <c r="GN1" s="435" t="s">
        <v>570</v>
      </c>
      <c r="GO1" s="435" t="s">
        <v>570</v>
      </c>
      <c r="GP1" s="435" t="s">
        <v>570</v>
      </c>
      <c r="GQ1" s="435" t="s">
        <v>570</v>
      </c>
      <c r="GU1" s="441" t="s">
        <v>596</v>
      </c>
      <c r="GV1" s="441" t="s">
        <v>596</v>
      </c>
      <c r="GW1" s="441" t="s">
        <v>596</v>
      </c>
      <c r="GX1" s="441" t="s">
        <v>596</v>
      </c>
      <c r="GY1" s="441" t="s">
        <v>596</v>
      </c>
      <c r="GZ1" s="441" t="s">
        <v>596</v>
      </c>
      <c r="HA1" s="441" t="s">
        <v>596</v>
      </c>
      <c r="HB1" s="441" t="s">
        <v>596</v>
      </c>
      <c r="HC1" s="441" t="s">
        <v>596</v>
      </c>
      <c r="HD1" s="441" t="s">
        <v>596</v>
      </c>
      <c r="HE1" s="441" t="s">
        <v>596</v>
      </c>
      <c r="HF1" s="441" t="s">
        <v>596</v>
      </c>
      <c r="HG1" s="441" t="s">
        <v>596</v>
      </c>
      <c r="HH1" s="441" t="s">
        <v>596</v>
      </c>
      <c r="HI1" s="441" t="s">
        <v>596</v>
      </c>
      <c r="HJ1" s="441" t="s">
        <v>596</v>
      </c>
      <c r="HK1" s="441" t="s">
        <v>596</v>
      </c>
      <c r="HL1" s="441" t="s">
        <v>596</v>
      </c>
      <c r="HM1" s="441" t="s">
        <v>596</v>
      </c>
      <c r="HN1" s="441" t="s">
        <v>596</v>
      </c>
      <c r="HO1" s="441" t="s">
        <v>596</v>
      </c>
      <c r="HP1" s="441" t="s">
        <v>596</v>
      </c>
      <c r="HQ1" s="441" t="s">
        <v>596</v>
      </c>
      <c r="HR1" s="441" t="s">
        <v>596</v>
      </c>
      <c r="HS1" s="441" t="s">
        <v>596</v>
      </c>
      <c r="HT1" s="441" t="s">
        <v>596</v>
      </c>
      <c r="HU1" s="441" t="s">
        <v>596</v>
      </c>
      <c r="HV1" s="441" t="s">
        <v>596</v>
      </c>
      <c r="HW1" s="441" t="s">
        <v>596</v>
      </c>
      <c r="HX1" s="441" t="s">
        <v>596</v>
      </c>
      <c r="HY1" s="441" t="s">
        <v>596</v>
      </c>
      <c r="HZ1" s="441" t="s">
        <v>596</v>
      </c>
      <c r="IA1" s="441" t="s">
        <v>596</v>
      </c>
      <c r="IB1" s="441" t="s">
        <v>596</v>
      </c>
      <c r="IC1" s="441" t="s">
        <v>596</v>
      </c>
      <c r="ID1" s="441" t="s">
        <v>596</v>
      </c>
      <c r="IE1" s="441" t="s">
        <v>596</v>
      </c>
      <c r="IF1" s="441" t="s">
        <v>596</v>
      </c>
      <c r="IG1" s="441" t="s">
        <v>596</v>
      </c>
      <c r="IH1" s="441" t="s">
        <v>596</v>
      </c>
      <c r="II1" s="441" t="s">
        <v>596</v>
      </c>
      <c r="IJ1" s="441" t="s">
        <v>596</v>
      </c>
      <c r="IK1" s="441" t="s">
        <v>596</v>
      </c>
      <c r="IL1" s="441" t="s">
        <v>596</v>
      </c>
      <c r="IM1" s="441" t="s">
        <v>596</v>
      </c>
      <c r="IN1" s="441" t="s">
        <v>596</v>
      </c>
      <c r="IO1" s="441" t="s">
        <v>596</v>
      </c>
      <c r="IP1" s="441" t="s">
        <v>596</v>
      </c>
      <c r="IQ1" s="441" t="s">
        <v>596</v>
      </c>
      <c r="IR1" s="441" t="s">
        <v>596</v>
      </c>
      <c r="IS1" s="441" t="s">
        <v>596</v>
      </c>
      <c r="IT1" s="441" t="s">
        <v>596</v>
      </c>
      <c r="IU1" s="441" t="s">
        <v>596</v>
      </c>
      <c r="IV1" s="441" t="s">
        <v>596</v>
      </c>
      <c r="IW1" s="441" t="s">
        <v>596</v>
      </c>
      <c r="IX1" s="441" t="s">
        <v>596</v>
      </c>
      <c r="IY1" s="441" t="s">
        <v>596</v>
      </c>
      <c r="IZ1" s="441" t="s">
        <v>596</v>
      </c>
    </row>
    <row r="2" spans="1:260" x14ac:dyDescent="0.25">
      <c r="Z2" s="286">
        <f ca="1">ROUND(Z4,-2)</f>
        <v>268600</v>
      </c>
      <c r="AI2" s="286">
        <f ca="1">ROUND(AI4,-2)</f>
        <v>74200</v>
      </c>
      <c r="AJ2" s="286">
        <f ca="1">ROUND(AJ4,-2)</f>
        <v>343900</v>
      </c>
      <c r="AQ2" s="286">
        <f t="shared" ref="AQ2:AS2" ca="1" si="0">ROUND(AQ4,-2)</f>
        <v>69400</v>
      </c>
      <c r="AR2" s="286">
        <f t="shared" ca="1" si="0"/>
        <v>96200</v>
      </c>
      <c r="AS2" s="286">
        <f t="shared" ca="1" si="0"/>
        <v>440100</v>
      </c>
      <c r="AY2" s="286">
        <f t="shared" ref="AY2" ca="1" si="1">ROUND(AY4,-2)</f>
        <v>180000</v>
      </c>
      <c r="BF2" s="286">
        <f t="shared" ref="BF2:BG2" ca="1" si="2">ROUND(BF4,-2)</f>
        <v>103800</v>
      </c>
      <c r="BG2" s="286">
        <f t="shared" ca="1" si="2"/>
        <v>283800</v>
      </c>
      <c r="BI2" s="286">
        <f t="shared" ref="BI2" ca="1" si="3">ROUND(BI4,-2)</f>
        <v>723800</v>
      </c>
      <c r="BO2" s="286">
        <f t="shared" ref="BO2" ca="1" si="4">ROUND(BO4,-2)</f>
        <v>203100</v>
      </c>
      <c r="BV2" s="289">
        <f ca="1">ROUND(BV4,-2)</f>
        <v>939200</v>
      </c>
      <c r="BW2" s="289">
        <f ca="1">ROUND(BW4,-2)</f>
        <v>861000</v>
      </c>
      <c r="BX2" s="289">
        <f ca="1">ROUND(BX4,-2)</f>
        <v>875900</v>
      </c>
      <c r="CI2" s="286">
        <f ca="1">ROUND(CI4,-2)</f>
        <v>270100</v>
      </c>
      <c r="CR2" s="286">
        <f ca="1">ROUND(CR4,-2)</f>
        <v>82100</v>
      </c>
      <c r="CS2" s="286">
        <f ca="1">ROUND(CS4,-2)</f>
        <v>353300</v>
      </c>
      <c r="CZ2" s="286">
        <f t="shared" ref="CZ2:DB2" ca="1" si="5">ROUND(CZ4,-2)</f>
        <v>69700</v>
      </c>
      <c r="DA2" s="286">
        <f t="shared" ca="1" si="5"/>
        <v>96500</v>
      </c>
      <c r="DB2" s="286">
        <f t="shared" ca="1" si="5"/>
        <v>449800</v>
      </c>
      <c r="DH2" s="286" t="e">
        <f t="shared" ref="DH2" ca="1" si="6">ROUND(DH4,-2)</f>
        <v>#DIV/0!</v>
      </c>
      <c r="DO2" s="286" t="e">
        <f t="shared" ref="DO2:DP2" ca="1" si="7">ROUND(DO4,-2)</f>
        <v>#DIV/0!</v>
      </c>
      <c r="DP2" s="286" t="e">
        <f t="shared" ca="1" si="7"/>
        <v>#DIV/0!</v>
      </c>
      <c r="DR2" s="286" t="e">
        <f t="shared" ref="DR2" ca="1" si="8">ROUND(DR4,-2)</f>
        <v>#DIV/0!</v>
      </c>
      <c r="DX2" s="286" t="e">
        <f t="shared" ref="DX2" ca="1" si="9">ROUND(DX4,-2)</f>
        <v>#DIV/0!</v>
      </c>
      <c r="EE2" s="289" t="e">
        <f ca="1">ROUND(EE4,-2)</f>
        <v>#DIV/0!</v>
      </c>
      <c r="EF2" s="289" t="e">
        <f ca="1">ROUND(EF4,-2)</f>
        <v>#DIV/0!</v>
      </c>
      <c r="EG2" s="289" t="e">
        <f ca="1">ROUND(EG4,-2)</f>
        <v>#DIV/0!</v>
      </c>
      <c r="ER2" s="286">
        <f ca="1">ROUND(ER4,-2)</f>
        <v>351300</v>
      </c>
      <c r="FA2" s="286">
        <f ca="1">ROUND(FA4,-2)</f>
        <v>120800</v>
      </c>
      <c r="FB2" s="286">
        <f ca="1">ROUND(FB4,-2)</f>
        <v>474400</v>
      </c>
      <c r="FI2" s="286">
        <f t="shared" ref="FI2:FK2" ca="1" si="10">ROUND(FI4,-2)</f>
        <v>78800</v>
      </c>
      <c r="FJ2" s="286">
        <f t="shared" ca="1" si="10"/>
        <v>78800</v>
      </c>
      <c r="FK2" s="286">
        <f t="shared" ca="1" si="10"/>
        <v>553200</v>
      </c>
      <c r="FQ2" s="286" t="e">
        <f t="shared" ref="FQ2" ca="1" si="11">ROUND(FQ4,-2)</f>
        <v>#DIV/0!</v>
      </c>
      <c r="FX2" s="286" t="e">
        <f t="shared" ref="FX2:FY2" ca="1" si="12">ROUND(FX4,-2)</f>
        <v>#DIV/0!</v>
      </c>
      <c r="FY2" s="286" t="e">
        <f t="shared" ca="1" si="12"/>
        <v>#DIV/0!</v>
      </c>
      <c r="GA2" s="286" t="e">
        <f t="shared" ref="GA2" ca="1" si="13">ROUND(GA4,-2)</f>
        <v>#DIV/0!</v>
      </c>
      <c r="GG2" s="286">
        <f t="shared" ref="GG2" ca="1" si="14">ROUND(GG4,-2)</f>
        <v>256900</v>
      </c>
      <c r="GN2" s="289" t="e">
        <f ca="1">ROUND(GN4,-2)</f>
        <v>#DIV/0!</v>
      </c>
      <c r="GO2" s="289" t="e">
        <f ca="1">ROUND(GO4,-2)</f>
        <v>#DIV/0!</v>
      </c>
      <c r="GP2" s="289" t="e">
        <f ca="1">ROUND(GP4,-2)</f>
        <v>#DIV/0!</v>
      </c>
      <c r="HA2" s="286">
        <f ca="1">ROUND(HA4,-2)</f>
        <v>353200</v>
      </c>
      <c r="HJ2" s="286">
        <f ca="1">ROUND(HJ4,-2)</f>
        <v>134900</v>
      </c>
      <c r="HK2" s="286">
        <f ca="1">ROUND(HK4,-2)</f>
        <v>490300</v>
      </c>
      <c r="HR2" s="286">
        <f t="shared" ref="HR2:HT2" ca="1" si="15">ROUND(HR4,-2)</f>
        <v>79100</v>
      </c>
      <c r="HS2" s="286">
        <f t="shared" ca="1" si="15"/>
        <v>79100</v>
      </c>
      <c r="HT2" s="286">
        <f t="shared" ca="1" si="15"/>
        <v>569400</v>
      </c>
      <c r="HZ2" s="286" t="e">
        <f t="shared" ref="HZ2" ca="1" si="16">ROUND(HZ4,-2)</f>
        <v>#DIV/0!</v>
      </c>
      <c r="IG2" s="286" t="e">
        <f t="shared" ref="IG2:IH2" ca="1" si="17">ROUND(IG4,-2)</f>
        <v>#DIV/0!</v>
      </c>
      <c r="IH2" s="286" t="e">
        <f t="shared" ca="1" si="17"/>
        <v>#DIV/0!</v>
      </c>
      <c r="IJ2" s="286" t="e">
        <f t="shared" ref="IJ2" ca="1" si="18">ROUND(IJ4,-2)</f>
        <v>#DIV/0!</v>
      </c>
      <c r="IP2" s="286" t="e">
        <f t="shared" ref="IP2" ca="1" si="19">ROUND(IP4,-2)</f>
        <v>#DIV/0!</v>
      </c>
      <c r="IW2" s="289" t="e">
        <f ca="1">ROUND(IW4,-2)</f>
        <v>#DIV/0!</v>
      </c>
      <c r="IX2" s="289" t="e">
        <f ca="1">ROUND(IX4,-2)</f>
        <v>#DIV/0!</v>
      </c>
      <c r="IY2" s="289" t="e">
        <f ca="1">ROUND(IY4,-2)</f>
        <v>#DIV/0!</v>
      </c>
    </row>
    <row r="3" spans="1:260" x14ac:dyDescent="0.25">
      <c r="BV3" s="290"/>
      <c r="BW3" s="290"/>
      <c r="BX3" s="290"/>
      <c r="EE3" s="290"/>
      <c r="EF3" s="290"/>
      <c r="EG3" s="290"/>
      <c r="GN3" s="290"/>
      <c r="GO3" s="290"/>
      <c r="GP3" s="290"/>
      <c r="IW3" s="290"/>
      <c r="IX3" s="290"/>
      <c r="IY3" s="290"/>
    </row>
    <row r="4" spans="1:260" x14ac:dyDescent="0.25">
      <c r="T4" s="10" t="s">
        <v>303</v>
      </c>
      <c r="U4" s="286">
        <f t="shared" ref="U4:AS4" ca="1" si="20">AVERAGE(OFFSET(U$16,0,0,NumRunYears-1))</f>
        <v>247729.65036704685</v>
      </c>
      <c r="V4" s="286">
        <f t="shared" ca="1" si="20"/>
        <v>-2.2883063794822754E-3</v>
      </c>
      <c r="W4" s="286">
        <f t="shared" ca="1" si="20"/>
        <v>12060.458315847007</v>
      </c>
      <c r="X4" s="286">
        <f t="shared" ca="1" si="20"/>
        <v>7922.5263543329256</v>
      </c>
      <c r="Y4" s="286">
        <f t="shared" ca="1" si="20"/>
        <v>897.05888299688479</v>
      </c>
      <c r="Z4" s="286">
        <f t="shared" ca="1" si="20"/>
        <v>268609.6916319172</v>
      </c>
      <c r="AA4" s="286">
        <f t="shared" ca="1" si="20"/>
        <v>1121.7380952379663</v>
      </c>
      <c r="AB4" s="286">
        <f t="shared" ca="1" si="20"/>
        <v>1610.8333333331479</v>
      </c>
      <c r="AC4" s="286">
        <f t="shared" ca="1" si="20"/>
        <v>32521.700642911706</v>
      </c>
      <c r="AD4" s="286">
        <f t="shared" ca="1" si="20"/>
        <v>4272.1169815672793</v>
      </c>
      <c r="AE4" s="286">
        <f t="shared" ca="1" si="20"/>
        <v>12680.522362047484</v>
      </c>
      <c r="AF4" s="286">
        <f t="shared" ca="1" si="20"/>
        <v>10753.632695306689</v>
      </c>
      <c r="AG4" s="286">
        <f t="shared" ca="1" si="20"/>
        <v>9222.9508156565262</v>
      </c>
      <c r="AH4" s="286">
        <f t="shared" ca="1" si="20"/>
        <v>3112.3888909530197</v>
      </c>
      <c r="AI4" s="286">
        <f t="shared" ca="1" si="20"/>
        <v>74174.145721775858</v>
      </c>
      <c r="AJ4" s="286">
        <f t="shared" ca="1" si="20"/>
        <v>343905.57544893096</v>
      </c>
      <c r="AK4" s="286">
        <f t="shared" ca="1" si="20"/>
        <v>340.98999999997534</v>
      </c>
      <c r="AL4" s="286">
        <f t="shared" ca="1" si="20"/>
        <v>26807.243690189778</v>
      </c>
      <c r="AM4" s="286">
        <f t="shared" ca="1" si="20"/>
        <v>38813.175994733545</v>
      </c>
      <c r="AN4" s="286">
        <f t="shared" ca="1" si="20"/>
        <v>16122.396181823256</v>
      </c>
      <c r="AO4" s="286">
        <f t="shared" ca="1" si="20"/>
        <v>2499.9900000012694</v>
      </c>
      <c r="AP4" s="286">
        <f t="shared" ca="1" si="20"/>
        <v>11601.038156680661</v>
      </c>
      <c r="AQ4" s="286">
        <f t="shared" ca="1" si="20"/>
        <v>69377.590333238753</v>
      </c>
      <c r="AR4" s="286">
        <f t="shared" ca="1" si="20"/>
        <v>96184.834023428455</v>
      </c>
      <c r="AS4" s="286">
        <f t="shared" ca="1" si="20"/>
        <v>440090.40947235952</v>
      </c>
      <c r="AU4" s="286">
        <f t="shared" ref="AU4:BG4" ca="1" si="21">AVERAGE(OFFSET(AU$16,0,0,NumRunYears-1))</f>
        <v>32747.66166859883</v>
      </c>
      <c r="AV4" s="286">
        <f t="shared" ca="1" si="21"/>
        <v>17488.531633803028</v>
      </c>
      <c r="AW4" s="286">
        <f t="shared" ca="1" si="21"/>
        <v>104963.91890761061</v>
      </c>
      <c r="AX4" s="286">
        <f t="shared" ca="1" si="21"/>
        <v>24751.756629228592</v>
      </c>
      <c r="AY4" s="286">
        <f t="shared" ca="1" si="21"/>
        <v>179951.86883924104</v>
      </c>
      <c r="AZ4" s="286">
        <f t="shared" ca="1" si="21"/>
        <v>38382.42012163972</v>
      </c>
      <c r="BA4" s="286">
        <f t="shared" ca="1" si="21"/>
        <v>18519.004397885245</v>
      </c>
      <c r="BB4" s="286">
        <f t="shared" ca="1" si="21"/>
        <v>16216.587120551383</v>
      </c>
      <c r="BC4" s="286">
        <f t="shared" ca="1" si="21"/>
        <v>17408.221141461116</v>
      </c>
      <c r="BD4" s="286">
        <f t="shared" ca="1" si="21"/>
        <v>1326.6977829933167</v>
      </c>
      <c r="BE4" s="286">
        <f t="shared" ca="1" si="21"/>
        <v>11945.651914360267</v>
      </c>
      <c r="BF4" s="286">
        <f t="shared" ca="1" si="21"/>
        <v>103798.58247889101</v>
      </c>
      <c r="BG4" s="286">
        <f t="shared" ca="1" si="21"/>
        <v>283750.45131813199</v>
      </c>
      <c r="BI4" s="286">
        <f ca="1">AVERAGE(OFFSET(BI$16,0,0,NumRunYears-1))</f>
        <v>723840.86079049169</v>
      </c>
      <c r="BK4" s="286">
        <f t="shared" ref="BK4:BT4" ca="1" si="22">AVERAGE(OFFSET(BK$16,0,0,NumRunYears-1))</f>
        <v>35721.05964141713</v>
      </c>
      <c r="BL4" s="286">
        <f t="shared" ca="1" si="22"/>
        <v>57124.467573165828</v>
      </c>
      <c r="BM4" s="286">
        <f t="shared" ca="1" si="22"/>
        <v>105234.36637774424</v>
      </c>
      <c r="BN4" s="286">
        <f t="shared" ca="1" si="22"/>
        <v>4998.0196399097404</v>
      </c>
      <c r="BO4" s="286">
        <f t="shared" ca="1" si="22"/>
        <v>203077.91323223696</v>
      </c>
      <c r="BP4" s="286">
        <f t="shared" ca="1" si="22"/>
        <v>212.11356273293495</v>
      </c>
      <c r="BQ4" s="286">
        <f t="shared" ca="1" si="22"/>
        <v>136253.15143199329</v>
      </c>
      <c r="BR4" s="286">
        <f t="shared" ca="1" si="22"/>
        <v>214663.79801429046</v>
      </c>
      <c r="BS4" s="286">
        <f t="shared" ca="1" si="22"/>
        <v>78198.533019564318</v>
      </c>
      <c r="BT4" s="286">
        <f t="shared" ca="1" si="22"/>
        <v>12296.800000006129</v>
      </c>
      <c r="BV4" s="289">
        <f ca="1">AVERAGE(OFFSET(BV$16,0,0,NumRunYears-1))</f>
        <v>939215.57402273465</v>
      </c>
      <c r="BW4" s="289">
        <f ca="1">AVERAGE(OFFSET(BW$16,0,0,NumRunYears-1))</f>
        <v>861017.04100317066</v>
      </c>
      <c r="BX4" s="289">
        <f ca="1">AVERAGE(OFFSET(BX$16,0,0,NumRunYears-1))</f>
        <v>875892.04100317042</v>
      </c>
      <c r="CC4" s="10" t="s">
        <v>303</v>
      </c>
      <c r="CD4" s="286">
        <f t="shared" ref="CD4:DB4" ca="1" si="23">AVERAGE(OFFSET(CD$16,0,0,NumRunYears-1))</f>
        <v>249119.67875280461</v>
      </c>
      <c r="CE4" s="286" t="e">
        <f t="shared" ca="1" si="23"/>
        <v>#DIV/0!</v>
      </c>
      <c r="CF4" s="286">
        <f t="shared" ca="1" si="23"/>
        <v>12100</v>
      </c>
      <c r="CG4" s="286">
        <f t="shared" ca="1" si="23"/>
        <v>7948.5715793494019</v>
      </c>
      <c r="CH4" s="286">
        <f t="shared" ca="1" si="23"/>
        <v>900</v>
      </c>
      <c r="CI4" s="286">
        <f t="shared" ca="1" si="23"/>
        <v>270068.24804384756</v>
      </c>
      <c r="CJ4" s="286">
        <f t="shared" ca="1" si="23"/>
        <v>1121.7380952379663</v>
      </c>
      <c r="CK4" s="286">
        <f t="shared" ca="1" si="23"/>
        <v>1610.8333333331479</v>
      </c>
      <c r="CL4" s="286">
        <f t="shared" ca="1" si="23"/>
        <v>32523.583953689707</v>
      </c>
      <c r="CM4" s="286">
        <f t="shared" ca="1" si="23"/>
        <v>11990.845238093854</v>
      </c>
      <c r="CN4" s="286">
        <f t="shared" ca="1" si="23"/>
        <v>12724.380952379488</v>
      </c>
      <c r="CO4" s="286">
        <f t="shared" ca="1" si="23"/>
        <v>10793.654761903521</v>
      </c>
      <c r="CP4" s="286">
        <f t="shared" ca="1" si="23"/>
        <v>9353.202380951303</v>
      </c>
      <c r="CQ4" s="286">
        <f t="shared" ca="1" si="23"/>
        <v>3124.0357142853545</v>
      </c>
      <c r="CR4" s="286">
        <f t="shared" ca="1" si="23"/>
        <v>82120.536334636359</v>
      </c>
      <c r="CS4" s="286">
        <f t="shared" ca="1" si="23"/>
        <v>353310.52247372188</v>
      </c>
      <c r="CT4" s="286">
        <f t="shared" ca="1" si="23"/>
        <v>340.98999999997534</v>
      </c>
      <c r="CU4" s="286" t="e">
        <f t="shared" ca="1" si="23"/>
        <v>#DIV/0!</v>
      </c>
      <c r="CV4" s="286">
        <f t="shared" ca="1" si="23"/>
        <v>38999.999998983898</v>
      </c>
      <c r="CW4" s="286">
        <f t="shared" ca="1" si="23"/>
        <v>16199.999998970492</v>
      </c>
      <c r="CX4" s="286">
        <f t="shared" ca="1" si="23"/>
        <v>2499.9900000012694</v>
      </c>
      <c r="CY4" s="286">
        <f t="shared" ca="1" si="23"/>
        <v>11624.990000001591</v>
      </c>
      <c r="CZ4" s="286">
        <f t="shared" ca="1" si="23"/>
        <v>69665.969997957276</v>
      </c>
      <c r="DA4" s="286">
        <f t="shared" ca="1" si="23"/>
        <v>96473.213688146949</v>
      </c>
      <c r="DB4" s="286">
        <f t="shared" ca="1" si="23"/>
        <v>449783.7361618689</v>
      </c>
      <c r="DD4" s="286" t="e">
        <f t="shared" ref="DD4:DP4" ca="1" si="24">AVERAGE(OFFSET(DD$16,0,0,NumRunYears-1))</f>
        <v>#DIV/0!</v>
      </c>
      <c r="DE4" s="286" t="e">
        <f t="shared" ca="1" si="24"/>
        <v>#DIV/0!</v>
      </c>
      <c r="DF4" s="286" t="e">
        <f t="shared" ca="1" si="24"/>
        <v>#DIV/0!</v>
      </c>
      <c r="DG4" s="286" t="e">
        <f t="shared" ca="1" si="24"/>
        <v>#DIV/0!</v>
      </c>
      <c r="DH4" s="286" t="e">
        <f t="shared" ca="1" si="24"/>
        <v>#DIV/0!</v>
      </c>
      <c r="DI4" s="286" t="e">
        <f t="shared" ca="1" si="24"/>
        <v>#DIV/0!</v>
      </c>
      <c r="DJ4" s="286" t="e">
        <f t="shared" ca="1" si="24"/>
        <v>#DIV/0!</v>
      </c>
      <c r="DK4" s="286" t="e">
        <f t="shared" ca="1" si="24"/>
        <v>#DIV/0!</v>
      </c>
      <c r="DL4" s="286" t="e">
        <f t="shared" ca="1" si="24"/>
        <v>#DIV/0!</v>
      </c>
      <c r="DM4" s="286" t="e">
        <f t="shared" ca="1" si="24"/>
        <v>#DIV/0!</v>
      </c>
      <c r="DN4" s="286" t="e">
        <f t="shared" ca="1" si="24"/>
        <v>#DIV/0!</v>
      </c>
      <c r="DO4" s="286" t="e">
        <f t="shared" ca="1" si="24"/>
        <v>#DIV/0!</v>
      </c>
      <c r="DP4" s="286" t="e">
        <f t="shared" ca="1" si="24"/>
        <v>#DIV/0!</v>
      </c>
      <c r="DR4" s="286" t="e">
        <f ca="1">AVERAGE(OFFSET(DR$16,0,0,NumRunYears-1))</f>
        <v>#DIV/0!</v>
      </c>
      <c r="DT4" s="286">
        <f t="shared" ref="DT4:EC4" ca="1" si="25">AVERAGE(OFFSET(DT$16,0,0,NumRunYears-1))</f>
        <v>35893.000000000036</v>
      </c>
      <c r="DU4" s="286">
        <f t="shared" ca="1" si="25"/>
        <v>57205.010517743867</v>
      </c>
      <c r="DV4" s="286" t="e">
        <f t="shared" ca="1" si="25"/>
        <v>#DIV/0!</v>
      </c>
      <c r="DW4" s="286">
        <f t="shared" ca="1" si="25"/>
        <v>5000.0000000019254</v>
      </c>
      <c r="DX4" s="286" t="e">
        <f t="shared" ca="1" si="25"/>
        <v>#DIV/0!</v>
      </c>
      <c r="DY4" s="286" t="e">
        <f t="shared" ca="1" si="25"/>
        <v>#DIV/0!</v>
      </c>
      <c r="DZ4" s="286" t="e">
        <f t="shared" ca="1" si="25"/>
        <v>#DIV/0!</v>
      </c>
      <c r="EA4" s="286" t="e">
        <f t="shared" ca="1" si="25"/>
        <v>#DIV/0!</v>
      </c>
      <c r="EB4" s="286" t="e">
        <f t="shared" ca="1" si="25"/>
        <v>#DIV/0!</v>
      </c>
      <c r="EC4" s="286">
        <f t="shared" ca="1" si="25"/>
        <v>12296.800000006129</v>
      </c>
      <c r="EE4" s="289" t="e">
        <f ca="1">AVERAGE(OFFSET(EE$16,0,0,NumRunYears-1))</f>
        <v>#DIV/0!</v>
      </c>
      <c r="EF4" s="289" t="e">
        <f ca="1">AVERAGE(OFFSET(EF$16,0,0,NumRunYears-1))</f>
        <v>#DIV/0!</v>
      </c>
      <c r="EG4" s="289" t="e">
        <f ca="1">AVERAGE(OFFSET(EG$16,0,0,NumRunYears-1))</f>
        <v>#DIV/0!</v>
      </c>
      <c r="EL4" s="10" t="s">
        <v>303</v>
      </c>
      <c r="EM4" s="286">
        <f t="shared" ref="EM4:FK4" ca="1" si="26">AVERAGE(OFFSET(EM$16,0,0,NumRunYears-1))</f>
        <v>309662.06295880862</v>
      </c>
      <c r="EN4" s="286" t="e">
        <f t="shared" ca="1" si="26"/>
        <v>#DIV/0!</v>
      </c>
      <c r="EO4" s="286">
        <f t="shared" ca="1" si="26"/>
        <v>24081.925153203782</v>
      </c>
      <c r="EP4" s="286">
        <f t="shared" ca="1" si="26"/>
        <v>15769.750384368472</v>
      </c>
      <c r="EQ4" s="286">
        <f t="shared" ca="1" si="26"/>
        <v>1794.1177659937696</v>
      </c>
      <c r="ER4" s="286">
        <f t="shared" ca="1" si="26"/>
        <v>351307.85626237438</v>
      </c>
      <c r="ES4" s="286">
        <f t="shared" ca="1" si="26"/>
        <v>2243.4761904759325</v>
      </c>
      <c r="ET4" s="286">
        <f t="shared" ca="1" si="26"/>
        <v>2915.5354449468746</v>
      </c>
      <c r="EU4" s="286">
        <f t="shared" ca="1" si="26"/>
        <v>54589.605141622626</v>
      </c>
      <c r="EV4" s="286">
        <f t="shared" ca="1" si="26"/>
        <v>7805.2449191573251</v>
      </c>
      <c r="EW4" s="286">
        <f t="shared" ca="1" si="26"/>
        <v>19438.894378101566</v>
      </c>
      <c r="EX4" s="286">
        <f t="shared" ca="1" si="26"/>
        <v>12756.385166437351</v>
      </c>
      <c r="EY4" s="286">
        <f t="shared" ca="1" si="26"/>
        <v>17479.296533036166</v>
      </c>
      <c r="EZ4" s="286">
        <f t="shared" ca="1" si="26"/>
        <v>5852.0050596089477</v>
      </c>
      <c r="FA4" s="286">
        <f t="shared" ca="1" si="26"/>
        <v>120836.96664291079</v>
      </c>
      <c r="FB4" s="286">
        <f t="shared" ca="1" si="26"/>
        <v>474388.29909576138</v>
      </c>
      <c r="FC4" s="286">
        <f t="shared" ca="1" si="26"/>
        <v>378.87777777775051</v>
      </c>
      <c r="FD4" s="286" t="e">
        <f t="shared" ca="1" si="26"/>
        <v>#DIV/0!</v>
      </c>
      <c r="FE4" s="286">
        <f t="shared" ca="1" si="26"/>
        <v>38813.175994733545</v>
      </c>
      <c r="FF4" s="286">
        <f t="shared" ca="1" si="26"/>
        <v>16122.396181823256</v>
      </c>
      <c r="FG4" s="286">
        <f t="shared" ca="1" si="26"/>
        <v>4166.6500000021206</v>
      </c>
      <c r="FH4" s="286">
        <f t="shared" ca="1" si="26"/>
        <v>19335.063594467741</v>
      </c>
      <c r="FI4" s="286">
        <f t="shared" ca="1" si="26"/>
        <v>78816.163548804339</v>
      </c>
      <c r="FJ4" s="286">
        <f t="shared" ca="1" si="26"/>
        <v>78816.163548804339</v>
      </c>
      <c r="FK4" s="286">
        <f t="shared" ca="1" si="26"/>
        <v>553204.46264456562</v>
      </c>
      <c r="FM4" s="286" t="e">
        <f t="shared" ref="FM4:FY4" ca="1" si="27">AVERAGE(OFFSET(FM$16,0,0,NumRunYears-1))</f>
        <v>#DIV/0!</v>
      </c>
      <c r="FN4" s="286" t="e">
        <f t="shared" ca="1" si="27"/>
        <v>#DIV/0!</v>
      </c>
      <c r="FO4" s="286" t="e">
        <f t="shared" ca="1" si="27"/>
        <v>#DIV/0!</v>
      </c>
      <c r="FP4" s="286" t="e">
        <f t="shared" ca="1" si="27"/>
        <v>#DIV/0!</v>
      </c>
      <c r="FQ4" s="286" t="e">
        <f t="shared" ca="1" si="27"/>
        <v>#DIV/0!</v>
      </c>
      <c r="FR4" s="286" t="e">
        <f t="shared" ca="1" si="27"/>
        <v>#DIV/0!</v>
      </c>
      <c r="FS4" s="286" t="e">
        <f t="shared" ca="1" si="27"/>
        <v>#DIV/0!</v>
      </c>
      <c r="FT4" s="286" t="e">
        <f t="shared" ca="1" si="27"/>
        <v>#DIV/0!</v>
      </c>
      <c r="FU4" s="286" t="e">
        <f t="shared" ca="1" si="27"/>
        <v>#DIV/0!</v>
      </c>
      <c r="FV4" s="286" t="e">
        <f t="shared" ca="1" si="27"/>
        <v>#DIV/0!</v>
      </c>
      <c r="FW4" s="286" t="e">
        <f t="shared" ca="1" si="27"/>
        <v>#DIV/0!</v>
      </c>
      <c r="FX4" s="286" t="e">
        <f t="shared" ca="1" si="27"/>
        <v>#DIV/0!</v>
      </c>
      <c r="FY4" s="286" t="e">
        <f t="shared" ca="1" si="27"/>
        <v>#DIV/0!</v>
      </c>
      <c r="GA4" s="286" t="e">
        <f ca="1">AVERAGE(OFFSET(GA$16,0,0,NumRunYears-1))</f>
        <v>#DIV/0!</v>
      </c>
      <c r="GC4" s="286">
        <f t="shared" ref="GC4:GL4" ca="1" si="28">AVERAGE(OFFSET(GC$16,0,0,NumRunYears-1))</f>
        <v>37583.143785034226</v>
      </c>
      <c r="GD4" s="286">
        <f t="shared" ca="1" si="28"/>
        <v>109066.3887489036</v>
      </c>
      <c r="GE4" s="286">
        <f t="shared" ca="1" si="28"/>
        <v>105234.36637774424</v>
      </c>
      <c r="GF4" s="286">
        <f t="shared" ca="1" si="28"/>
        <v>4998.0196399097404</v>
      </c>
      <c r="GG4" s="286">
        <f t="shared" ca="1" si="28"/>
        <v>256881.91855159207</v>
      </c>
      <c r="GH4" s="286" t="e">
        <f t="shared" ca="1" si="28"/>
        <v>#DIV/0!</v>
      </c>
      <c r="GI4" s="286" t="e">
        <f t="shared" ca="1" si="28"/>
        <v>#DIV/0!</v>
      </c>
      <c r="GJ4" s="286" t="e">
        <f t="shared" ca="1" si="28"/>
        <v>#DIV/0!</v>
      </c>
      <c r="GK4" s="286" t="e">
        <f t="shared" ca="1" si="28"/>
        <v>#DIV/0!</v>
      </c>
      <c r="GL4" s="286">
        <f t="shared" ca="1" si="28"/>
        <v>12296.800000006129</v>
      </c>
      <c r="GN4" s="289" t="e">
        <f ca="1">AVERAGE(OFFSET(GN$16,0,0,NumRunYears-1))</f>
        <v>#DIV/0!</v>
      </c>
      <c r="GO4" s="289" t="e">
        <f ca="1">AVERAGE(OFFSET(GO$16,0,0,NumRunYears-1))</f>
        <v>#DIV/0!</v>
      </c>
      <c r="GP4" s="289" t="e">
        <f ca="1">AVERAGE(OFFSET(GP$16,0,0,NumRunYears-1))</f>
        <v>#DIV/0!</v>
      </c>
      <c r="GU4" s="10" t="s">
        <v>303</v>
      </c>
      <c r="GV4" s="286">
        <f t="shared" ref="GV4:HT4" ca="1" si="29">AVERAGE(OFFSET(GV$16,0,0,NumRunYears-1))</f>
        <v>311399.59844100586</v>
      </c>
      <c r="GW4" s="286" t="e">
        <f t="shared" ca="1" si="29"/>
        <v>#DIV/0!</v>
      </c>
      <c r="GX4" s="286">
        <f t="shared" ca="1" si="29"/>
        <v>24160.880683189967</v>
      </c>
      <c r="GY4" s="286">
        <f t="shared" ca="1" si="29"/>
        <v>15821.593278774231</v>
      </c>
      <c r="GZ4" s="286">
        <f t="shared" ca="1" si="29"/>
        <v>1800</v>
      </c>
      <c r="HA4" s="286">
        <f t="shared" ca="1" si="29"/>
        <v>353182.07240296982</v>
      </c>
      <c r="HB4" s="286">
        <f t="shared" ca="1" si="29"/>
        <v>2243.4761904759325</v>
      </c>
      <c r="HC4" s="286">
        <f t="shared" ca="1" si="29"/>
        <v>2915.5354449468746</v>
      </c>
      <c r="HD4" s="286">
        <f t="shared" ca="1" si="29"/>
        <v>54592.73144979521</v>
      </c>
      <c r="HE4" s="286">
        <f t="shared" ca="1" si="29"/>
        <v>21476.723010970381</v>
      </c>
      <c r="HF4" s="286">
        <f t="shared" ca="1" si="29"/>
        <v>19504.792643193603</v>
      </c>
      <c r="HG4" s="286">
        <f t="shared" ca="1" si="29"/>
        <v>12803.860927524935</v>
      </c>
      <c r="HH4" s="286">
        <f t="shared" ca="1" si="29"/>
        <v>17726.148736759798</v>
      </c>
      <c r="HI4" s="286">
        <f t="shared" ca="1" si="29"/>
        <v>5873.9037591150773</v>
      </c>
      <c r="HJ4" s="286">
        <f t="shared" ca="1" si="29"/>
        <v>134893.6959723059</v>
      </c>
      <c r="HK4" s="286">
        <f t="shared" ca="1" si="29"/>
        <v>490319.24456575193</v>
      </c>
      <c r="HL4" s="286">
        <f t="shared" ca="1" si="29"/>
        <v>378.87777777775051</v>
      </c>
      <c r="HM4" s="286" t="e">
        <f t="shared" ca="1" si="29"/>
        <v>#DIV/0!</v>
      </c>
      <c r="HN4" s="286">
        <f t="shared" ca="1" si="29"/>
        <v>38999.999998983898</v>
      </c>
      <c r="HO4" s="286">
        <f t="shared" ca="1" si="29"/>
        <v>16199.999998970492</v>
      </c>
      <c r="HP4" s="286">
        <f t="shared" ca="1" si="29"/>
        <v>4166.6500000021206</v>
      </c>
      <c r="HQ4" s="286">
        <f t="shared" ca="1" si="29"/>
        <v>19374.98333333596</v>
      </c>
      <c r="HR4" s="286">
        <f t="shared" ca="1" si="29"/>
        <v>79120.511109070139</v>
      </c>
      <c r="HS4" s="286">
        <f t="shared" ca="1" si="29"/>
        <v>79120.511109070139</v>
      </c>
      <c r="HT4" s="286">
        <f t="shared" ca="1" si="29"/>
        <v>569439.75567482191</v>
      </c>
      <c r="HV4" s="286" t="e">
        <f t="shared" ref="HV4:IH4" ca="1" si="30">AVERAGE(OFFSET(HV$16,0,0,NumRunYears-1))</f>
        <v>#DIV/0!</v>
      </c>
      <c r="HW4" s="286" t="e">
        <f t="shared" ca="1" si="30"/>
        <v>#DIV/0!</v>
      </c>
      <c r="HX4" s="286" t="e">
        <f t="shared" ca="1" si="30"/>
        <v>#DIV/0!</v>
      </c>
      <c r="HY4" s="286" t="e">
        <f t="shared" ca="1" si="30"/>
        <v>#DIV/0!</v>
      </c>
      <c r="HZ4" s="286" t="e">
        <f t="shared" ca="1" si="30"/>
        <v>#DIV/0!</v>
      </c>
      <c r="IA4" s="286" t="e">
        <f t="shared" ca="1" si="30"/>
        <v>#DIV/0!</v>
      </c>
      <c r="IB4" s="286" t="e">
        <f t="shared" ca="1" si="30"/>
        <v>#DIV/0!</v>
      </c>
      <c r="IC4" s="286" t="e">
        <f t="shared" ca="1" si="30"/>
        <v>#DIV/0!</v>
      </c>
      <c r="ID4" s="286" t="e">
        <f t="shared" ca="1" si="30"/>
        <v>#DIV/0!</v>
      </c>
      <c r="IE4" s="286" t="e">
        <f t="shared" ca="1" si="30"/>
        <v>#DIV/0!</v>
      </c>
      <c r="IF4" s="286" t="e">
        <f t="shared" ca="1" si="30"/>
        <v>#DIV/0!</v>
      </c>
      <c r="IG4" s="286" t="e">
        <f t="shared" ca="1" si="30"/>
        <v>#DIV/0!</v>
      </c>
      <c r="IH4" s="286" t="e">
        <f t="shared" ca="1" si="30"/>
        <v>#DIV/0!</v>
      </c>
      <c r="IJ4" s="286" t="e">
        <f ca="1">AVERAGE(OFFSET(IJ$16,0,0,NumRunYears-1))</f>
        <v>#DIV/0!</v>
      </c>
      <c r="IL4" s="286">
        <f t="shared" ref="IL4:IU4" ca="1" si="31">AVERAGE(OFFSET(IL$16,0,0,NumRunYears-1))</f>
        <v>37764.048048282057</v>
      </c>
      <c r="IM4" s="286">
        <f t="shared" ca="1" si="31"/>
        <v>109227.47463805978</v>
      </c>
      <c r="IN4" s="286" t="e">
        <f t="shared" ca="1" si="31"/>
        <v>#DIV/0!</v>
      </c>
      <c r="IO4" s="286">
        <f t="shared" ca="1" si="31"/>
        <v>5000.0000000019254</v>
      </c>
      <c r="IP4" s="286" t="e">
        <f t="shared" ca="1" si="31"/>
        <v>#DIV/0!</v>
      </c>
      <c r="IQ4" s="286" t="e">
        <f t="shared" ca="1" si="31"/>
        <v>#DIV/0!</v>
      </c>
      <c r="IR4" s="286" t="e">
        <f t="shared" ca="1" si="31"/>
        <v>#DIV/0!</v>
      </c>
      <c r="IS4" s="286" t="e">
        <f t="shared" ca="1" si="31"/>
        <v>#DIV/0!</v>
      </c>
      <c r="IT4" s="286" t="e">
        <f t="shared" ca="1" si="31"/>
        <v>#DIV/0!</v>
      </c>
      <c r="IU4" s="286">
        <f t="shared" ca="1" si="31"/>
        <v>12296.800000006129</v>
      </c>
      <c r="IW4" s="289" t="e">
        <f ca="1">AVERAGE(OFFSET(IW$16,0,0,NumRunYears-1))</f>
        <v>#DIV/0!</v>
      </c>
      <c r="IX4" s="289" t="e">
        <f ca="1">AVERAGE(OFFSET(IX$16,0,0,NumRunYears-1))</f>
        <v>#DIV/0!</v>
      </c>
      <c r="IY4" s="289" t="e">
        <f ca="1">AVERAGE(OFFSET(IY$16,0,0,NumRunYears-1))</f>
        <v>#DIV/0!</v>
      </c>
    </row>
    <row r="5" spans="1:260" x14ac:dyDescent="0.25">
      <c r="T5" s="10" t="s">
        <v>58</v>
      </c>
      <c r="U5" s="286">
        <f t="shared" ref="U5:AS5" ca="1" si="32">MIN(OFFSET(U$16,0,0,NumRunYears-1))</f>
        <v>173409.68026580906</v>
      </c>
      <c r="V5" s="286">
        <f t="shared" ca="1" si="32"/>
        <v>-14830.083966075032</v>
      </c>
      <c r="W5" s="286">
        <f t="shared" ca="1" si="32"/>
        <v>8778.4985311485234</v>
      </c>
      <c r="X5" s="286">
        <f t="shared" ca="1" si="32"/>
        <v>5782.2010986160012</v>
      </c>
      <c r="Y5" s="286">
        <f t="shared" ca="1" si="32"/>
        <v>652.94617173831989</v>
      </c>
      <c r="Z5" s="286">
        <f t="shared" ca="1" si="32"/>
        <v>173793.24210123689</v>
      </c>
      <c r="AA5" s="286">
        <f t="shared" ca="1" si="32"/>
        <v>698.99999999991951</v>
      </c>
      <c r="AB5" s="286">
        <f t="shared" ca="1" si="32"/>
        <v>1230.9999999998588</v>
      </c>
      <c r="AC5" s="286">
        <f t="shared" ca="1" si="32"/>
        <v>22952.62091931374</v>
      </c>
      <c r="AD5" s="286">
        <f t="shared" ca="1" si="32"/>
        <v>609.41459971539052</v>
      </c>
      <c r="AE5" s="286">
        <f t="shared" ca="1" si="32"/>
        <v>9405.9999999989268</v>
      </c>
      <c r="AF5" s="286">
        <f t="shared" ca="1" si="32"/>
        <v>8081.9999999990669</v>
      </c>
      <c r="AG5" s="286">
        <f t="shared" ca="1" si="32"/>
        <v>6718.9999999992287</v>
      </c>
      <c r="AH5" s="286">
        <f t="shared" ca="1" si="32"/>
        <v>2270.9999999997381</v>
      </c>
      <c r="AI5" s="286">
        <f t="shared" ca="1" si="32"/>
        <v>58698.181658764232</v>
      </c>
      <c r="AJ5" s="286">
        <f t="shared" ca="1" si="32"/>
        <v>244025.51771297143</v>
      </c>
      <c r="AK5" s="286">
        <f t="shared" ca="1" si="32"/>
        <v>340.98999999997505</v>
      </c>
      <c r="AL5" s="286">
        <f t="shared" ca="1" si="32"/>
        <v>17908.818234993741</v>
      </c>
      <c r="AM5" s="286">
        <f t="shared" ca="1" si="32"/>
        <v>23306.78364195428</v>
      </c>
      <c r="AN5" s="286">
        <f t="shared" ca="1" si="32"/>
        <v>9681.2793586026637</v>
      </c>
      <c r="AO5" s="286">
        <f t="shared" ca="1" si="32"/>
        <v>2499.9900000012672</v>
      </c>
      <c r="AP5" s="286">
        <f t="shared" ca="1" si="32"/>
        <v>9613.0351610433954</v>
      </c>
      <c r="AQ5" s="286">
        <f t="shared" ca="1" si="32"/>
        <v>45442.078161601574</v>
      </c>
      <c r="AR5" s="286">
        <f t="shared" ca="1" si="32"/>
        <v>63350.896396595315</v>
      </c>
      <c r="AS5" s="286">
        <f t="shared" ca="1" si="32"/>
        <v>307376.41410956671</v>
      </c>
      <c r="AU5" s="286">
        <f t="shared" ref="AU5:BG5" ca="1" si="33">MIN(OFFSET(AU$16,0,0,NumRunYears-1))</f>
        <v>26185.443499982357</v>
      </c>
      <c r="AV5" s="286">
        <f t="shared" ca="1" si="33"/>
        <v>11955.725285999477</v>
      </c>
      <c r="AW5" s="286">
        <f t="shared" ca="1" si="33"/>
        <v>72955.914783716202</v>
      </c>
      <c r="AX5" s="286">
        <f t="shared" ca="1" si="33"/>
        <v>23585.286906480789</v>
      </c>
      <c r="AY5" s="286">
        <f t="shared" ca="1" si="33"/>
        <v>136287.78711007163</v>
      </c>
      <c r="AZ5" s="286">
        <f t="shared" ca="1" si="33"/>
        <v>11987.918047180623</v>
      </c>
      <c r="BA5" s="286">
        <f t="shared" ca="1" si="33"/>
        <v>14232.487855978306</v>
      </c>
      <c r="BB5" s="286">
        <f t="shared" ca="1" si="33"/>
        <v>5703.4624698832631</v>
      </c>
      <c r="BC5" s="286">
        <f t="shared" ca="1" si="33"/>
        <v>5804.9668499975278</v>
      </c>
      <c r="BD5" s="286">
        <f t="shared" ca="1" si="33"/>
        <v>1326.6977829933167</v>
      </c>
      <c r="BE5" s="286">
        <f t="shared" ca="1" si="33"/>
        <v>3064.0313931107521</v>
      </c>
      <c r="BF5" s="286">
        <f t="shared" ca="1" si="33"/>
        <v>49519.402799999458</v>
      </c>
      <c r="BG5" s="286">
        <f t="shared" ca="1" si="33"/>
        <v>185807.18991007109</v>
      </c>
      <c r="BI5" s="286">
        <f ca="1">MIN(OFFSET(BI$16,0,0,NumRunYears-1))</f>
        <v>550234.94939690351</v>
      </c>
      <c r="BK5" s="286">
        <f t="shared" ref="BK5:BT5" ca="1" si="34">MIN(OFFSET(BK$16,0,0,NumRunYears-1))</f>
        <v>21450.009879037338</v>
      </c>
      <c r="BL5" s="286">
        <f t="shared" ca="1" si="34"/>
        <v>56587.390162499345</v>
      </c>
      <c r="BM5" s="286">
        <f t="shared" ca="1" si="34"/>
        <v>7345.5348732380489</v>
      </c>
      <c r="BN5" s="286">
        <f t="shared" ca="1" si="34"/>
        <v>4908.395374850008</v>
      </c>
      <c r="BO5" s="286">
        <f t="shared" ca="1" si="34"/>
        <v>104926.67138883381</v>
      </c>
      <c r="BP5" s="286">
        <f t="shared" ca="1" si="34"/>
        <v>212.11356273293495</v>
      </c>
      <c r="BQ5" s="286">
        <f t="shared" ca="1" si="34"/>
        <v>84245.374887656028</v>
      </c>
      <c r="BR5" s="286">
        <f t="shared" ca="1" si="34"/>
        <v>130283.96319517493</v>
      </c>
      <c r="BS5" s="286">
        <f t="shared" ca="1" si="34"/>
        <v>35823.23022418256</v>
      </c>
      <c r="BT5" s="286">
        <f t="shared" ca="1" si="34"/>
        <v>12296.800000006155</v>
      </c>
      <c r="BV5" s="289">
        <f ca="1">MIN(OFFSET(BV$16,0,0,NumRunYears-1))</f>
        <v>707977.66364961141</v>
      </c>
      <c r="BW5" s="289">
        <f ca="1">MIN(OFFSET(BW$16,0,0,NumRunYears-1))</f>
        <v>622885.73506213061</v>
      </c>
      <c r="BX5" s="289">
        <f ca="1">MIN(OFFSET(BX$16,0,0,NumRunYears-1))</f>
        <v>637760.73506213061</v>
      </c>
      <c r="CC5" s="10" t="s">
        <v>58</v>
      </c>
      <c r="CD5" s="286">
        <f t="shared" ref="CD5:DB5" ca="1" si="35">MIN(OFFSET(CD$16,0,0,NumRunYears-1))</f>
        <v>184306.25866179835</v>
      </c>
      <c r="CE5" s="286">
        <f t="shared" ca="1" si="35"/>
        <v>0</v>
      </c>
      <c r="CF5" s="286">
        <f t="shared" ca="1" si="35"/>
        <v>12099.999999999989</v>
      </c>
      <c r="CG5" s="286">
        <f t="shared" ca="1" si="35"/>
        <v>6524.0049023243746</v>
      </c>
      <c r="CH5" s="286">
        <f t="shared" ca="1" si="35"/>
        <v>899.99999999999841</v>
      </c>
      <c r="CI5" s="286">
        <f t="shared" ca="1" si="35"/>
        <v>192625.49037492124</v>
      </c>
      <c r="CJ5" s="286">
        <f t="shared" ca="1" si="35"/>
        <v>698.99999999991951</v>
      </c>
      <c r="CK5" s="286">
        <f t="shared" ca="1" si="35"/>
        <v>1230.9999999998588</v>
      </c>
      <c r="CL5" s="286">
        <f t="shared" ca="1" si="35"/>
        <v>22952.62091931374</v>
      </c>
      <c r="CM5" s="286">
        <f t="shared" ca="1" si="35"/>
        <v>8233.9999999990505</v>
      </c>
      <c r="CN5" s="286">
        <f t="shared" ca="1" si="35"/>
        <v>9405.9999999989268</v>
      </c>
      <c r="CO5" s="286">
        <f t="shared" ca="1" si="35"/>
        <v>8081.9999999990669</v>
      </c>
      <c r="CP5" s="286">
        <f t="shared" ca="1" si="35"/>
        <v>6718.9999999992287</v>
      </c>
      <c r="CQ5" s="286">
        <f t="shared" ca="1" si="35"/>
        <v>2270.9999999997381</v>
      </c>
      <c r="CR5" s="286">
        <f t="shared" ca="1" si="35"/>
        <v>60295.620919309455</v>
      </c>
      <c r="CS5" s="286">
        <f t="shared" ca="1" si="35"/>
        <v>254110.11129423056</v>
      </c>
      <c r="CT5" s="286">
        <f t="shared" ca="1" si="35"/>
        <v>340.98999999997505</v>
      </c>
      <c r="CU5" s="286">
        <f t="shared" ca="1" si="35"/>
        <v>0</v>
      </c>
      <c r="CV5" s="286">
        <f t="shared" ca="1" si="35"/>
        <v>38999.999998983854</v>
      </c>
      <c r="CW5" s="286">
        <f t="shared" ca="1" si="35"/>
        <v>16199.99999897049</v>
      </c>
      <c r="CX5" s="286">
        <f t="shared" ca="1" si="35"/>
        <v>2499.9900000012672</v>
      </c>
      <c r="CY5" s="286">
        <f t="shared" ca="1" si="35"/>
        <v>11624.990000001573</v>
      </c>
      <c r="CZ5" s="286">
        <f t="shared" ca="1" si="35"/>
        <v>69665.96999795716</v>
      </c>
      <c r="DA5" s="286">
        <f t="shared" ca="1" si="35"/>
        <v>87574.788232950901</v>
      </c>
      <c r="DB5" s="286">
        <f t="shared" ca="1" si="35"/>
        <v>351435.35245170328</v>
      </c>
      <c r="DD5" s="286">
        <f t="shared" ref="DD5:DP5" ca="1" si="36">MIN(OFFSET(DD$16,0,0,NumRunYears-1))</f>
        <v>0</v>
      </c>
      <c r="DE5" s="286">
        <f t="shared" ca="1" si="36"/>
        <v>0</v>
      </c>
      <c r="DF5" s="286">
        <f t="shared" ca="1" si="36"/>
        <v>0</v>
      </c>
      <c r="DG5" s="286">
        <f t="shared" ca="1" si="36"/>
        <v>0</v>
      </c>
      <c r="DH5" s="286">
        <f t="shared" ca="1" si="36"/>
        <v>0</v>
      </c>
      <c r="DI5" s="286">
        <f t="shared" ca="1" si="36"/>
        <v>0</v>
      </c>
      <c r="DJ5" s="286">
        <f t="shared" ca="1" si="36"/>
        <v>0</v>
      </c>
      <c r="DK5" s="286">
        <f t="shared" ca="1" si="36"/>
        <v>0</v>
      </c>
      <c r="DL5" s="286">
        <f t="shared" ca="1" si="36"/>
        <v>0</v>
      </c>
      <c r="DM5" s="286">
        <f t="shared" ca="1" si="36"/>
        <v>0</v>
      </c>
      <c r="DN5" s="286">
        <f t="shared" ca="1" si="36"/>
        <v>0</v>
      </c>
      <c r="DO5" s="286">
        <f t="shared" ca="1" si="36"/>
        <v>0</v>
      </c>
      <c r="DP5" s="286">
        <f t="shared" ca="1" si="36"/>
        <v>0</v>
      </c>
      <c r="DR5" s="286">
        <f ca="1">MIN(OFFSET(DR$16,0,0,NumRunYears-1))</f>
        <v>0</v>
      </c>
      <c r="DT5" s="286">
        <f t="shared" ref="DT5:EC5" ca="1" si="37">MIN(OFFSET(DT$16,0,0,NumRunYears-1))</f>
        <v>35893.000000000073</v>
      </c>
      <c r="DU5" s="286">
        <f t="shared" ca="1" si="37"/>
        <v>56863.245001209027</v>
      </c>
      <c r="DV5" s="286">
        <f t="shared" ca="1" si="37"/>
        <v>0</v>
      </c>
      <c r="DW5" s="286">
        <f t="shared" ca="1" si="37"/>
        <v>5000.0000000019172</v>
      </c>
      <c r="DX5" s="286">
        <f t="shared" ca="1" si="37"/>
        <v>0</v>
      </c>
      <c r="DY5" s="286">
        <f t="shared" ca="1" si="37"/>
        <v>0</v>
      </c>
      <c r="DZ5" s="286">
        <f t="shared" ca="1" si="37"/>
        <v>0</v>
      </c>
      <c r="EA5" s="286">
        <f t="shared" ca="1" si="37"/>
        <v>0</v>
      </c>
      <c r="EB5" s="286">
        <f t="shared" ca="1" si="37"/>
        <v>0</v>
      </c>
      <c r="EC5" s="286">
        <f t="shared" ca="1" si="37"/>
        <v>12296.800000006155</v>
      </c>
      <c r="EE5" s="289">
        <f ca="1">MIN(OFFSET(EE$16,0,0,NumRunYears-1))</f>
        <v>0</v>
      </c>
      <c r="EF5" s="289">
        <f ca="1">MIN(OFFSET(EF$16,0,0,NumRunYears-1))</f>
        <v>0</v>
      </c>
      <c r="EG5" s="289">
        <f ca="1">MIN(OFFSET(EG$16,0,0,NumRunYears-1))</f>
        <v>0</v>
      </c>
      <c r="EL5" s="10" t="s">
        <v>58</v>
      </c>
      <c r="EM5" s="286">
        <f t="shared" ref="EM5:FK5" ca="1" si="38">MIN(OFFSET(EM$16,0,0,NumRunYears-1))</f>
        <v>216762.10033226138</v>
      </c>
      <c r="EN5" s="286">
        <f t="shared" ca="1" si="38"/>
        <v>0</v>
      </c>
      <c r="EO5" s="286">
        <f t="shared" ca="1" si="38"/>
        <v>17528.616164350231</v>
      </c>
      <c r="EP5" s="286">
        <f t="shared" ca="1" si="38"/>
        <v>11509.443316338855</v>
      </c>
      <c r="EQ5" s="286">
        <f t="shared" ca="1" si="38"/>
        <v>1305.8923434766398</v>
      </c>
      <c r="ER5" s="286">
        <f t="shared" ca="1" si="38"/>
        <v>247106.05215642712</v>
      </c>
      <c r="ES5" s="286">
        <f t="shared" ca="1" si="38"/>
        <v>1397.999999999839</v>
      </c>
      <c r="ET5" s="286">
        <f t="shared" ca="1" si="38"/>
        <v>2228.0542986422779</v>
      </c>
      <c r="EU5" s="286">
        <f t="shared" ca="1" si="38"/>
        <v>38480.144017993531</v>
      </c>
      <c r="EV5" s="286">
        <f t="shared" ca="1" si="38"/>
        <v>1058.7748767801397</v>
      </c>
      <c r="EW5" s="286">
        <f t="shared" ca="1" si="38"/>
        <v>14420.39543523437</v>
      </c>
      <c r="EX5" s="286">
        <f t="shared" ca="1" si="38"/>
        <v>9587.1886120985455</v>
      </c>
      <c r="EY5" s="286">
        <f t="shared" ca="1" si="38"/>
        <v>12733.819766889465</v>
      </c>
      <c r="EZ5" s="286">
        <f t="shared" ca="1" si="38"/>
        <v>4270.0009401141979</v>
      </c>
      <c r="FA5" s="286">
        <f t="shared" ca="1" si="38"/>
        <v>97098.772334119683</v>
      </c>
      <c r="FB5" s="286">
        <f t="shared" ca="1" si="38"/>
        <v>362116.96652303723</v>
      </c>
      <c r="FC5" s="286">
        <f t="shared" ca="1" si="38"/>
        <v>378.87777777775057</v>
      </c>
      <c r="FD5" s="286">
        <f t="shared" ca="1" si="38"/>
        <v>0</v>
      </c>
      <c r="FE5" s="286">
        <f t="shared" ca="1" si="38"/>
        <v>23306.78364195428</v>
      </c>
      <c r="FF5" s="286">
        <f t="shared" ca="1" si="38"/>
        <v>9681.2793586026637</v>
      </c>
      <c r="FG5" s="286">
        <f t="shared" ca="1" si="38"/>
        <v>4166.6500000021233</v>
      </c>
      <c r="FH5" s="286">
        <f t="shared" ca="1" si="38"/>
        <v>16021.725268405691</v>
      </c>
      <c r="FI5" s="286">
        <f t="shared" ca="1" si="38"/>
        <v>53555.316046742511</v>
      </c>
      <c r="FJ5" s="286">
        <f t="shared" ca="1" si="38"/>
        <v>53555.316046742519</v>
      </c>
      <c r="FK5" s="286">
        <f t="shared" ca="1" si="38"/>
        <v>415672.28256977978</v>
      </c>
      <c r="FM5" s="286">
        <f t="shared" ref="FM5:FY5" ca="1" si="39">MIN(OFFSET(FM$16,0,0,NumRunYears-1))</f>
        <v>0</v>
      </c>
      <c r="FN5" s="286">
        <f t="shared" ca="1" si="39"/>
        <v>0</v>
      </c>
      <c r="FO5" s="286">
        <f t="shared" ca="1" si="39"/>
        <v>0</v>
      </c>
      <c r="FP5" s="286">
        <f t="shared" ca="1" si="39"/>
        <v>0</v>
      </c>
      <c r="FQ5" s="286">
        <f t="shared" ca="1" si="39"/>
        <v>0</v>
      </c>
      <c r="FR5" s="286">
        <f t="shared" ca="1" si="39"/>
        <v>0</v>
      </c>
      <c r="FS5" s="286">
        <f t="shared" ca="1" si="39"/>
        <v>0</v>
      </c>
      <c r="FT5" s="286">
        <f t="shared" ca="1" si="39"/>
        <v>0</v>
      </c>
      <c r="FU5" s="286">
        <f t="shared" ca="1" si="39"/>
        <v>0</v>
      </c>
      <c r="FV5" s="286">
        <f t="shared" ca="1" si="39"/>
        <v>0</v>
      </c>
      <c r="FW5" s="286">
        <f t="shared" ca="1" si="39"/>
        <v>0</v>
      </c>
      <c r="FX5" s="286">
        <f t="shared" ca="1" si="39"/>
        <v>0</v>
      </c>
      <c r="FY5" s="286">
        <f t="shared" ca="1" si="39"/>
        <v>0</v>
      </c>
      <c r="GA5" s="286">
        <f ca="1">MIN(OFFSET(GA$16,0,0,NumRunYears-1))</f>
        <v>0</v>
      </c>
      <c r="GC5" s="286">
        <f t="shared" ref="GC5:GL5" ca="1" si="40">MIN(OFFSET(GC$16,0,0,NumRunYears-1))</f>
        <v>22568.280453800864</v>
      </c>
      <c r="GD5" s="286">
        <f t="shared" ca="1" si="40"/>
        <v>109006.69832863759</v>
      </c>
      <c r="GE5" s="286">
        <f t="shared" ca="1" si="40"/>
        <v>7345.5348732380489</v>
      </c>
      <c r="GF5" s="286">
        <f t="shared" ca="1" si="40"/>
        <v>4908.395374850008</v>
      </c>
      <c r="GG5" s="286">
        <f t="shared" ca="1" si="40"/>
        <v>159024.86714334326</v>
      </c>
      <c r="GH5" s="286">
        <f t="shared" ca="1" si="40"/>
        <v>0</v>
      </c>
      <c r="GI5" s="286">
        <f t="shared" ca="1" si="40"/>
        <v>0</v>
      </c>
      <c r="GJ5" s="286">
        <f t="shared" ca="1" si="40"/>
        <v>0</v>
      </c>
      <c r="GK5" s="286">
        <f t="shared" ca="1" si="40"/>
        <v>0</v>
      </c>
      <c r="GL5" s="286">
        <f t="shared" ca="1" si="40"/>
        <v>12296.800000006155</v>
      </c>
      <c r="GN5" s="289">
        <f ca="1">MIN(OFFSET(GN$16,0,0,NumRunYears-1))</f>
        <v>0</v>
      </c>
      <c r="GO5" s="289">
        <f ca="1">MIN(OFFSET(GO$16,0,0,NumRunYears-1))</f>
        <v>0</v>
      </c>
      <c r="GP5" s="289">
        <f ca="1">MIN(OFFSET(GP$16,0,0,NumRunYears-1))</f>
        <v>0</v>
      </c>
      <c r="GU5" s="10" t="s">
        <v>58</v>
      </c>
      <c r="GV5" s="286">
        <f t="shared" ref="GV5:HT5" ca="1" si="41">MIN(OFFSET(GV$16,0,0,NumRunYears-1))</f>
        <v>230382.82332724886</v>
      </c>
      <c r="GW5" s="286">
        <f t="shared" ca="1" si="41"/>
        <v>0</v>
      </c>
      <c r="GX5" s="286">
        <f t="shared" ca="1" si="41"/>
        <v>24160.880683189946</v>
      </c>
      <c r="GY5" s="286">
        <f t="shared" ca="1" si="41"/>
        <v>12986.000199265252</v>
      </c>
      <c r="GZ5" s="286">
        <f t="shared" ca="1" si="41"/>
        <v>1799.9999999999968</v>
      </c>
      <c r="HA5" s="286">
        <f t="shared" ca="1" si="41"/>
        <v>272207.95045686158</v>
      </c>
      <c r="HB5" s="286">
        <f t="shared" ca="1" si="41"/>
        <v>1397.999999999839</v>
      </c>
      <c r="HC5" s="286">
        <f t="shared" ca="1" si="41"/>
        <v>2228.0542986422779</v>
      </c>
      <c r="HD5" s="286">
        <f t="shared" ca="1" si="41"/>
        <v>38480.144017993531</v>
      </c>
      <c r="HE5" s="286">
        <f t="shared" ca="1" si="41"/>
        <v>14745.815144723503</v>
      </c>
      <c r="HF5" s="286">
        <f t="shared" ca="1" si="41"/>
        <v>14420.39543523437</v>
      </c>
      <c r="HG5" s="286">
        <f t="shared" ca="1" si="41"/>
        <v>9587.1886120985455</v>
      </c>
      <c r="HH5" s="286">
        <f t="shared" ca="1" si="41"/>
        <v>12733.819766889465</v>
      </c>
      <c r="HI5" s="286">
        <f t="shared" ca="1" si="41"/>
        <v>4270.0009401141979</v>
      </c>
      <c r="HJ5" s="286">
        <f t="shared" ca="1" si="41"/>
        <v>99110.514134954108</v>
      </c>
      <c r="HK5" s="286">
        <f t="shared" ca="1" si="41"/>
        <v>373696.46459181537</v>
      </c>
      <c r="HL5" s="286">
        <f t="shared" ca="1" si="41"/>
        <v>378.87777777775057</v>
      </c>
      <c r="HM5" s="286">
        <f t="shared" ca="1" si="41"/>
        <v>0</v>
      </c>
      <c r="HN5" s="286">
        <f t="shared" ca="1" si="41"/>
        <v>38999.999998983854</v>
      </c>
      <c r="HO5" s="286">
        <f t="shared" ca="1" si="41"/>
        <v>16199.99999897049</v>
      </c>
      <c r="HP5" s="286">
        <f t="shared" ca="1" si="41"/>
        <v>4166.6500000021233</v>
      </c>
      <c r="HQ5" s="286">
        <f t="shared" ca="1" si="41"/>
        <v>19374.983333335964</v>
      </c>
      <c r="HR5" s="286">
        <f t="shared" ca="1" si="41"/>
        <v>79120.511109070183</v>
      </c>
      <c r="HS5" s="286">
        <f t="shared" ca="1" si="41"/>
        <v>79120.511109070183</v>
      </c>
      <c r="HT5" s="286">
        <f t="shared" ca="1" si="41"/>
        <v>452816.97570088552</v>
      </c>
      <c r="HV5" s="286">
        <f t="shared" ref="HV5:IH5" ca="1" si="42">MIN(OFFSET(HV$16,0,0,NumRunYears-1))</f>
        <v>0</v>
      </c>
      <c r="HW5" s="286">
        <f t="shared" ca="1" si="42"/>
        <v>0</v>
      </c>
      <c r="HX5" s="286">
        <f t="shared" ca="1" si="42"/>
        <v>0</v>
      </c>
      <c r="HY5" s="286">
        <f t="shared" ca="1" si="42"/>
        <v>0</v>
      </c>
      <c r="HZ5" s="286">
        <f t="shared" ca="1" si="42"/>
        <v>0</v>
      </c>
      <c r="IA5" s="286">
        <f t="shared" ca="1" si="42"/>
        <v>0</v>
      </c>
      <c r="IB5" s="286">
        <f t="shared" ca="1" si="42"/>
        <v>0</v>
      </c>
      <c r="IC5" s="286">
        <f t="shared" ca="1" si="42"/>
        <v>0</v>
      </c>
      <c r="ID5" s="286">
        <f t="shared" ca="1" si="42"/>
        <v>0</v>
      </c>
      <c r="IE5" s="286">
        <f t="shared" ca="1" si="42"/>
        <v>0</v>
      </c>
      <c r="IF5" s="286">
        <f t="shared" ca="1" si="42"/>
        <v>0</v>
      </c>
      <c r="IG5" s="286">
        <f t="shared" ca="1" si="42"/>
        <v>0</v>
      </c>
      <c r="IH5" s="286">
        <f t="shared" ca="1" si="42"/>
        <v>0</v>
      </c>
      <c r="IJ5" s="286">
        <f ca="1">MIN(OFFSET(IJ$16,0,0,NumRunYears-1))</f>
        <v>0</v>
      </c>
      <c r="IL5" s="286">
        <f t="shared" ref="IL5:IU5" ca="1" si="43">MIN(OFFSET(IL$16,0,0,NumRunYears-1))</f>
        <v>37763.476493275448</v>
      </c>
      <c r="IM5" s="286">
        <f t="shared" ca="1" si="43"/>
        <v>109067.13000005131</v>
      </c>
      <c r="IN5" s="286">
        <f t="shared" ca="1" si="43"/>
        <v>0</v>
      </c>
      <c r="IO5" s="286">
        <f t="shared" ca="1" si="43"/>
        <v>5000.0000000019172</v>
      </c>
      <c r="IP5" s="286">
        <f t="shared" ca="1" si="43"/>
        <v>0</v>
      </c>
      <c r="IQ5" s="286">
        <f t="shared" ca="1" si="43"/>
        <v>0</v>
      </c>
      <c r="IR5" s="286">
        <f t="shared" ca="1" si="43"/>
        <v>0</v>
      </c>
      <c r="IS5" s="286">
        <f t="shared" ca="1" si="43"/>
        <v>0</v>
      </c>
      <c r="IT5" s="286">
        <f t="shared" ca="1" si="43"/>
        <v>0</v>
      </c>
      <c r="IU5" s="286">
        <f t="shared" ca="1" si="43"/>
        <v>12296.800000006155</v>
      </c>
      <c r="IW5" s="289">
        <f ca="1">MIN(OFFSET(IW$16,0,0,NumRunYears-1))</f>
        <v>0</v>
      </c>
      <c r="IX5" s="289">
        <f ca="1">MIN(OFFSET(IX$16,0,0,NumRunYears-1))</f>
        <v>0</v>
      </c>
      <c r="IY5" s="289">
        <f ca="1">MIN(OFFSET(IY$16,0,0,NumRunYears-1))</f>
        <v>0</v>
      </c>
    </row>
    <row r="6" spans="1:260" x14ac:dyDescent="0.25">
      <c r="T6" s="10" t="s">
        <v>59</v>
      </c>
      <c r="U6" s="286">
        <f t="shared" ref="U6:AS6" ca="1" si="44">MAX(OFFSET(U$16,0,0,NumRunYears-1))</f>
        <v>289778.66461234522</v>
      </c>
      <c r="V6" s="286">
        <f t="shared" ca="1" si="44"/>
        <v>8308.0635333164664</v>
      </c>
      <c r="W6" s="286">
        <f t="shared" ca="1" si="44"/>
        <v>12100.000000000022</v>
      </c>
      <c r="X6" s="286">
        <f t="shared" ca="1" si="44"/>
        <v>7970.0000000000155</v>
      </c>
      <c r="Y6" s="286">
        <f t="shared" ca="1" si="44"/>
        <v>900.00000000000125</v>
      </c>
      <c r="Z6" s="286">
        <f t="shared" ca="1" si="44"/>
        <v>319056.72814566171</v>
      </c>
      <c r="AA6" s="286">
        <f t="shared" ca="1" si="44"/>
        <v>1628.9999999998124</v>
      </c>
      <c r="AB6" s="286">
        <f t="shared" ca="1" si="44"/>
        <v>2157.9999999997526</v>
      </c>
      <c r="AC6" s="286">
        <f t="shared" ca="1" si="44"/>
        <v>38964.931142319867</v>
      </c>
      <c r="AD6" s="286">
        <f t="shared" ca="1" si="44"/>
        <v>8965.8565144055046</v>
      </c>
      <c r="AE6" s="286">
        <f t="shared" ca="1" si="44"/>
        <v>15006.999999998281</v>
      </c>
      <c r="AF6" s="286">
        <f t="shared" ca="1" si="44"/>
        <v>12812.99999999853</v>
      </c>
      <c r="AG6" s="286">
        <f t="shared" ca="1" si="44"/>
        <v>11255.999999998705</v>
      </c>
      <c r="AH6" s="286">
        <f t="shared" ca="1" si="44"/>
        <v>3601.9999999995866</v>
      </c>
      <c r="AI6" s="286">
        <f t="shared" ca="1" si="44"/>
        <v>84111.953410958813</v>
      </c>
      <c r="AJ6" s="286">
        <f t="shared" ca="1" si="44"/>
        <v>404797.68155662034</v>
      </c>
      <c r="AK6" s="286">
        <f t="shared" ca="1" si="44"/>
        <v>340.98999999997511</v>
      </c>
      <c r="AL6" s="286">
        <f t="shared" ca="1" si="44"/>
        <v>30080.49319905684</v>
      </c>
      <c r="AM6" s="286">
        <f t="shared" ca="1" si="44"/>
        <v>38999.999998983862</v>
      </c>
      <c r="AN6" s="286">
        <f t="shared" ca="1" si="44"/>
        <v>16199.999998970494</v>
      </c>
      <c r="AO6" s="286">
        <f t="shared" ca="1" si="44"/>
        <v>2499.9900000012672</v>
      </c>
      <c r="AP6" s="286">
        <f t="shared" ca="1" si="44"/>
        <v>11624.990000001573</v>
      </c>
      <c r="AQ6" s="286">
        <f t="shared" ca="1" si="44"/>
        <v>69665.969997957174</v>
      </c>
      <c r="AR6" s="286">
        <f t="shared" ca="1" si="44"/>
        <v>99746.463197014018</v>
      </c>
      <c r="AS6" s="286">
        <f t="shared" ca="1" si="44"/>
        <v>502103.71246795636</v>
      </c>
      <c r="AU6" s="286">
        <f t="shared" ref="AU6:BG6" ca="1" si="45">MAX(OFFSET(AU$16,0,0,NumRunYears-1))</f>
        <v>38594.153846025467</v>
      </c>
      <c r="AV6" s="286">
        <f t="shared" ca="1" si="45"/>
        <v>19504.484992802143</v>
      </c>
      <c r="AW6" s="286">
        <f t="shared" ca="1" si="45"/>
        <v>117572.51014709473</v>
      </c>
      <c r="AX6" s="286">
        <f t="shared" ca="1" si="45"/>
        <v>24765.810481309891</v>
      </c>
      <c r="AY6" s="286">
        <f t="shared" ca="1" si="45"/>
        <v>198961.93404685333</v>
      </c>
      <c r="AZ6" s="286">
        <f t="shared" ca="1" si="45"/>
        <v>52287.211341945906</v>
      </c>
      <c r="BA6" s="286">
        <f t="shared" ca="1" si="45"/>
        <v>21872.030249141142</v>
      </c>
      <c r="BB6" s="286">
        <f t="shared" ca="1" si="45"/>
        <v>23792.84720429033</v>
      </c>
      <c r="BC6" s="286">
        <f t="shared" ca="1" si="45"/>
        <v>28213.801593901942</v>
      </c>
      <c r="BD6" s="286">
        <f t="shared" ca="1" si="45"/>
        <v>1326.6977829933167</v>
      </c>
      <c r="BE6" s="286">
        <f t="shared" ca="1" si="45"/>
        <v>17656.200043678284</v>
      </c>
      <c r="BF6" s="286">
        <f t="shared" ca="1" si="45"/>
        <v>137240.1909197967</v>
      </c>
      <c r="BG6" s="286">
        <f t="shared" ca="1" si="45"/>
        <v>333375.43544824742</v>
      </c>
      <c r="BI6" s="286">
        <f ca="1">MAX(OFFSET(BI$16,0,0,NumRunYears-1))</f>
        <v>798928.74321853789</v>
      </c>
      <c r="BK6" s="286">
        <f t="shared" ref="BK6:BT6" ca="1" si="46">MAX(OFFSET(BK$16,0,0,NumRunYears-1))</f>
        <v>35893.000000000073</v>
      </c>
      <c r="BL6" s="286">
        <f t="shared" ca="1" si="46"/>
        <v>57174.024543631749</v>
      </c>
      <c r="BM6" s="286">
        <f t="shared" ca="1" si="46"/>
        <v>233454.25910427465</v>
      </c>
      <c r="BN6" s="286">
        <f t="shared" ca="1" si="46"/>
        <v>5000.0000000019463</v>
      </c>
      <c r="BO6" s="286">
        <f t="shared" ca="1" si="46"/>
        <v>331521.27611921402</v>
      </c>
      <c r="BP6" s="286">
        <f t="shared" ca="1" si="46"/>
        <v>212.11356273293495</v>
      </c>
      <c r="BQ6" s="286">
        <f t="shared" ca="1" si="46"/>
        <v>168542.3329720904</v>
      </c>
      <c r="BR6" s="286">
        <f t="shared" ca="1" si="46"/>
        <v>264037.38139343262</v>
      </c>
      <c r="BS6" s="286">
        <f t="shared" ca="1" si="46"/>
        <v>129147.41309344798</v>
      </c>
      <c r="BT6" s="286">
        <f t="shared" ca="1" si="46"/>
        <v>12296.800000006155</v>
      </c>
      <c r="BV6" s="289">
        <f ca="1">MAX(OFFSET(BV$16,0,0,NumRunYears-1))</f>
        <v>1095602.8089630622</v>
      </c>
      <c r="BW6" s="289">
        <f ca="1">MAX(OFFSET(BW$16,0,0,NumRunYears-1))</f>
        <v>1035168.6077536547</v>
      </c>
      <c r="BX6" s="289">
        <f ca="1">MAX(OFFSET(BX$16,0,0,NumRunYears-1))</f>
        <v>1050043.6077536547</v>
      </c>
      <c r="CC6" s="10" t="s">
        <v>59</v>
      </c>
      <c r="CD6" s="286">
        <f t="shared" ref="CD6:DB6" ca="1" si="47">MAX(OFFSET(CD$16,0,0,NumRunYears-1))</f>
        <v>290172.06466946361</v>
      </c>
      <c r="CE6" s="286">
        <f t="shared" ca="1" si="47"/>
        <v>0</v>
      </c>
      <c r="CF6" s="286">
        <f t="shared" ca="1" si="47"/>
        <v>12100.000000000022</v>
      </c>
      <c r="CG6" s="286">
        <f t="shared" ca="1" si="47"/>
        <v>7970.0000000000155</v>
      </c>
      <c r="CH6" s="286">
        <f t="shared" ca="1" si="47"/>
        <v>900.00000000000125</v>
      </c>
      <c r="CI6" s="286">
        <f t="shared" ca="1" si="47"/>
        <v>319056.72814566171</v>
      </c>
      <c r="CJ6" s="286">
        <f t="shared" ca="1" si="47"/>
        <v>1628.9999999998124</v>
      </c>
      <c r="CK6" s="286">
        <f t="shared" ca="1" si="47"/>
        <v>2157.9999999997526</v>
      </c>
      <c r="CL6" s="286">
        <f t="shared" ca="1" si="47"/>
        <v>38964.931142319867</v>
      </c>
      <c r="CM6" s="286">
        <f t="shared" ca="1" si="47"/>
        <v>14287.999999998347</v>
      </c>
      <c r="CN6" s="286">
        <f t="shared" ca="1" si="47"/>
        <v>15006.999999998281</v>
      </c>
      <c r="CO6" s="286">
        <f t="shared" ca="1" si="47"/>
        <v>12812.99999999853</v>
      </c>
      <c r="CP6" s="286">
        <f t="shared" ca="1" si="47"/>
        <v>11255.999999998705</v>
      </c>
      <c r="CQ6" s="286">
        <f t="shared" ca="1" si="47"/>
        <v>3601.9999999995866</v>
      </c>
      <c r="CR6" s="286">
        <f t="shared" ca="1" si="47"/>
        <v>95949.931142313289</v>
      </c>
      <c r="CS6" s="286">
        <f t="shared" ca="1" si="47"/>
        <v>416253.34574126976</v>
      </c>
      <c r="CT6" s="286">
        <f t="shared" ca="1" si="47"/>
        <v>340.98999999997511</v>
      </c>
      <c r="CU6" s="286">
        <f t="shared" ca="1" si="47"/>
        <v>0</v>
      </c>
      <c r="CV6" s="286">
        <f t="shared" ca="1" si="47"/>
        <v>38999.999998983862</v>
      </c>
      <c r="CW6" s="286">
        <f t="shared" ca="1" si="47"/>
        <v>16199.999998970494</v>
      </c>
      <c r="CX6" s="286">
        <f t="shared" ca="1" si="47"/>
        <v>2499.9900000012672</v>
      </c>
      <c r="CY6" s="286">
        <f t="shared" ca="1" si="47"/>
        <v>11624.990000001573</v>
      </c>
      <c r="CZ6" s="286">
        <f t="shared" ca="1" si="47"/>
        <v>69665.969997957174</v>
      </c>
      <c r="DA6" s="286">
        <f t="shared" ca="1" si="47"/>
        <v>99746.463197014004</v>
      </c>
      <c r="DB6" s="286">
        <f t="shared" ca="1" si="47"/>
        <v>513559.37665260577</v>
      </c>
      <c r="DD6" s="286">
        <f t="shared" ref="DD6:DP6" ca="1" si="48">MAX(OFFSET(DD$16,0,0,NumRunYears-1))</f>
        <v>0</v>
      </c>
      <c r="DE6" s="286">
        <f t="shared" ca="1" si="48"/>
        <v>0</v>
      </c>
      <c r="DF6" s="286">
        <f t="shared" ca="1" si="48"/>
        <v>0</v>
      </c>
      <c r="DG6" s="286">
        <f t="shared" ca="1" si="48"/>
        <v>0</v>
      </c>
      <c r="DH6" s="286">
        <f t="shared" ca="1" si="48"/>
        <v>0</v>
      </c>
      <c r="DI6" s="286">
        <f t="shared" ca="1" si="48"/>
        <v>0</v>
      </c>
      <c r="DJ6" s="286">
        <f t="shared" ca="1" si="48"/>
        <v>0</v>
      </c>
      <c r="DK6" s="286">
        <f t="shared" ca="1" si="48"/>
        <v>0</v>
      </c>
      <c r="DL6" s="286">
        <f t="shared" ca="1" si="48"/>
        <v>0</v>
      </c>
      <c r="DM6" s="286">
        <f t="shared" ca="1" si="48"/>
        <v>0</v>
      </c>
      <c r="DN6" s="286">
        <f t="shared" ca="1" si="48"/>
        <v>0</v>
      </c>
      <c r="DO6" s="286">
        <f t="shared" ca="1" si="48"/>
        <v>0</v>
      </c>
      <c r="DP6" s="286">
        <f t="shared" ca="1" si="48"/>
        <v>0</v>
      </c>
      <c r="DR6" s="286">
        <f ca="1">MAX(OFFSET(DR$16,0,0,NumRunYears-1))</f>
        <v>0</v>
      </c>
      <c r="DT6" s="286">
        <f t="shared" ref="DT6:EC6" ca="1" si="49">MAX(OFFSET(DT$16,0,0,NumRunYears-1))</f>
        <v>35893.000000000073</v>
      </c>
      <c r="DU6" s="286">
        <f t="shared" ca="1" si="49"/>
        <v>57660.088000210133</v>
      </c>
      <c r="DV6" s="286">
        <f t="shared" ca="1" si="49"/>
        <v>0</v>
      </c>
      <c r="DW6" s="286">
        <f t="shared" ca="1" si="49"/>
        <v>5000.0000000019463</v>
      </c>
      <c r="DX6" s="286">
        <f t="shared" ca="1" si="49"/>
        <v>0</v>
      </c>
      <c r="DY6" s="286">
        <f t="shared" ca="1" si="49"/>
        <v>0</v>
      </c>
      <c r="DZ6" s="286">
        <f t="shared" ca="1" si="49"/>
        <v>0</v>
      </c>
      <c r="EA6" s="286">
        <f t="shared" ca="1" si="49"/>
        <v>0</v>
      </c>
      <c r="EB6" s="286">
        <f t="shared" ca="1" si="49"/>
        <v>0</v>
      </c>
      <c r="EC6" s="286">
        <f t="shared" ca="1" si="49"/>
        <v>12296.800000006155</v>
      </c>
      <c r="EE6" s="289">
        <f ca="1">MAX(OFFSET(EE$16,0,0,NumRunYears-1))</f>
        <v>0</v>
      </c>
      <c r="EF6" s="289">
        <f ca="1">MAX(OFFSET(EF$16,0,0,NumRunYears-1))</f>
        <v>0</v>
      </c>
      <c r="EG6" s="289">
        <f ca="1">MAX(OFFSET(EG$16,0,0,NumRunYears-1))</f>
        <v>0</v>
      </c>
      <c r="EL6" s="10" t="s">
        <v>59</v>
      </c>
      <c r="EM6" s="286">
        <f t="shared" ref="EM6:FK6" ca="1" si="50">MAX(OFFSET(EM$16,0,0,NumRunYears-1))</f>
        <v>362223.33076543163</v>
      </c>
      <c r="EN6" s="286">
        <f t="shared" ca="1" si="50"/>
        <v>0</v>
      </c>
      <c r="EO6" s="286">
        <f t="shared" ca="1" si="50"/>
        <v>24160.880683190033</v>
      </c>
      <c r="EP6" s="286">
        <f t="shared" ca="1" si="50"/>
        <v>15864.24644642276</v>
      </c>
      <c r="EQ6" s="286">
        <f t="shared" ca="1" si="50"/>
        <v>1800.0000000000025</v>
      </c>
      <c r="ER6" s="286">
        <f t="shared" ca="1" si="50"/>
        <v>404048.45789504435</v>
      </c>
      <c r="ES6" s="286">
        <f t="shared" ca="1" si="50"/>
        <v>3257.9999999996248</v>
      </c>
      <c r="ET6" s="286">
        <f t="shared" ca="1" si="50"/>
        <v>3905.8823529407277</v>
      </c>
      <c r="EU6" s="286">
        <f t="shared" ca="1" si="50"/>
        <v>65397.485404561805</v>
      </c>
      <c r="EV6" s="286">
        <f t="shared" ca="1" si="50"/>
        <v>16506.172143616677</v>
      </c>
      <c r="EW6" s="286">
        <f t="shared" ca="1" si="50"/>
        <v>23004.853073953469</v>
      </c>
      <c r="EX6" s="286">
        <f t="shared" ca="1" si="50"/>
        <v>15199.288256226017</v>
      </c>
      <c r="EY6" s="286">
        <f t="shared" ca="1" si="50"/>
        <v>21332.322562302106</v>
      </c>
      <c r="EZ6" s="286">
        <f t="shared" ca="1" si="50"/>
        <v>6772.586255522393</v>
      </c>
      <c r="FA6" s="286">
        <f t="shared" ca="1" si="50"/>
        <v>136040.89966113502</v>
      </c>
      <c r="FB6" s="286">
        <f t="shared" ca="1" si="50"/>
        <v>543347.35755617905</v>
      </c>
      <c r="FC6" s="286">
        <f t="shared" ca="1" si="50"/>
        <v>378.87777777775057</v>
      </c>
      <c r="FD6" s="286">
        <f t="shared" ca="1" si="50"/>
        <v>0</v>
      </c>
      <c r="FE6" s="286">
        <f t="shared" ca="1" si="50"/>
        <v>38999.999998983862</v>
      </c>
      <c r="FF6" s="286">
        <f t="shared" ca="1" si="50"/>
        <v>16199.999998970494</v>
      </c>
      <c r="FG6" s="286">
        <f t="shared" ca="1" si="50"/>
        <v>4166.6500000021233</v>
      </c>
      <c r="FH6" s="286">
        <f t="shared" ca="1" si="50"/>
        <v>19374.983333335967</v>
      </c>
      <c r="FI6" s="286">
        <f t="shared" ca="1" si="50"/>
        <v>79120.511109070212</v>
      </c>
      <c r="FJ6" s="286">
        <f t="shared" ca="1" si="50"/>
        <v>79120.511109070198</v>
      </c>
      <c r="FK6" s="286">
        <f t="shared" ca="1" si="50"/>
        <v>622467.8686652492</v>
      </c>
      <c r="FM6" s="286">
        <f t="shared" ref="FM6:FY6" ca="1" si="51">MAX(OFFSET(FM$16,0,0,NumRunYears-1))</f>
        <v>0</v>
      </c>
      <c r="FN6" s="286">
        <f t="shared" ca="1" si="51"/>
        <v>0</v>
      </c>
      <c r="FO6" s="286">
        <f t="shared" ca="1" si="51"/>
        <v>0</v>
      </c>
      <c r="FP6" s="286">
        <f t="shared" ca="1" si="51"/>
        <v>0</v>
      </c>
      <c r="FQ6" s="286">
        <f t="shared" ca="1" si="51"/>
        <v>0</v>
      </c>
      <c r="FR6" s="286">
        <f t="shared" ca="1" si="51"/>
        <v>0</v>
      </c>
      <c r="FS6" s="286">
        <f t="shared" ca="1" si="51"/>
        <v>0</v>
      </c>
      <c r="FT6" s="286">
        <f t="shared" ca="1" si="51"/>
        <v>0</v>
      </c>
      <c r="FU6" s="286">
        <f t="shared" ca="1" si="51"/>
        <v>0</v>
      </c>
      <c r="FV6" s="286">
        <f t="shared" ca="1" si="51"/>
        <v>0</v>
      </c>
      <c r="FW6" s="286">
        <f t="shared" ca="1" si="51"/>
        <v>0</v>
      </c>
      <c r="FX6" s="286">
        <f t="shared" ca="1" si="51"/>
        <v>0</v>
      </c>
      <c r="FY6" s="286">
        <f t="shared" ca="1" si="51"/>
        <v>0</v>
      </c>
      <c r="GA6" s="286">
        <f ca="1">MAX(OFFSET(GA$16,0,0,NumRunYears-1))</f>
        <v>0</v>
      </c>
      <c r="GC6" s="286">
        <f t="shared" ref="GC6:GL6" ca="1" si="52">MAX(OFFSET(GC$16,0,0,NumRunYears-1))</f>
        <v>37764.238566617634</v>
      </c>
      <c r="GD6" s="286">
        <f t="shared" ca="1" si="52"/>
        <v>109067.13000005134</v>
      </c>
      <c r="GE6" s="286">
        <f t="shared" ca="1" si="52"/>
        <v>233454.25910427465</v>
      </c>
      <c r="GF6" s="286">
        <f t="shared" ca="1" si="52"/>
        <v>5000.0000000019463</v>
      </c>
      <c r="GG6" s="286">
        <f t="shared" ca="1" si="52"/>
        <v>385285.62767094554</v>
      </c>
      <c r="GH6" s="286">
        <f t="shared" ca="1" si="52"/>
        <v>0</v>
      </c>
      <c r="GI6" s="286">
        <f t="shared" ca="1" si="52"/>
        <v>0</v>
      </c>
      <c r="GJ6" s="286">
        <f t="shared" ca="1" si="52"/>
        <v>0</v>
      </c>
      <c r="GK6" s="286">
        <f t="shared" ca="1" si="52"/>
        <v>0</v>
      </c>
      <c r="GL6" s="286">
        <f t="shared" ca="1" si="52"/>
        <v>12296.800000006155</v>
      </c>
      <c r="GN6" s="289">
        <f ca="1">MAX(OFFSET(GN$16,0,0,NumRunYears-1))</f>
        <v>0</v>
      </c>
      <c r="GO6" s="289">
        <f ca="1">MAX(OFFSET(GO$16,0,0,NumRunYears-1))</f>
        <v>0</v>
      </c>
      <c r="GP6" s="289">
        <f ca="1">MAX(OFFSET(GP$16,0,0,NumRunYears-1))</f>
        <v>0</v>
      </c>
      <c r="GU6" s="10" t="s">
        <v>59</v>
      </c>
      <c r="GV6" s="286">
        <f t="shared" ref="GV6:HT6" ca="1" si="53">MAX(OFFSET(GV$16,0,0,NumRunYears-1))</f>
        <v>362715.08083682926</v>
      </c>
      <c r="GW6" s="286">
        <f t="shared" ca="1" si="53"/>
        <v>0</v>
      </c>
      <c r="GX6" s="286">
        <f t="shared" ca="1" si="53"/>
        <v>24160.880683190033</v>
      </c>
      <c r="GY6" s="286">
        <f t="shared" ca="1" si="53"/>
        <v>15864.24644642276</v>
      </c>
      <c r="GZ6" s="286">
        <f t="shared" ca="1" si="53"/>
        <v>1800.0000000000025</v>
      </c>
      <c r="HA6" s="286">
        <f t="shared" ca="1" si="53"/>
        <v>404540.20796644199</v>
      </c>
      <c r="HB6" s="286">
        <f t="shared" ca="1" si="53"/>
        <v>3257.9999999996248</v>
      </c>
      <c r="HC6" s="286">
        <f t="shared" ca="1" si="53"/>
        <v>3905.8823529407277</v>
      </c>
      <c r="HD6" s="286">
        <f t="shared" ca="1" si="53"/>
        <v>65397.485404561805</v>
      </c>
      <c r="HE6" s="286">
        <f t="shared" ca="1" si="53"/>
        <v>25592.260393447792</v>
      </c>
      <c r="HF6" s="286">
        <f t="shared" ca="1" si="53"/>
        <v>23004.853073953469</v>
      </c>
      <c r="HG6" s="286">
        <f t="shared" ca="1" si="53"/>
        <v>15199.288256226017</v>
      </c>
      <c r="HH6" s="286">
        <f t="shared" ca="1" si="53"/>
        <v>21332.322562302106</v>
      </c>
      <c r="HI6" s="286">
        <f t="shared" ca="1" si="53"/>
        <v>6772.586255522393</v>
      </c>
      <c r="HJ6" s="286">
        <f t="shared" ca="1" si="53"/>
        <v>157858.5234918232</v>
      </c>
      <c r="HK6" s="286">
        <f t="shared" ca="1" si="53"/>
        <v>564122.65632416226</v>
      </c>
      <c r="HL6" s="286">
        <f t="shared" ca="1" si="53"/>
        <v>378.87777777775057</v>
      </c>
      <c r="HM6" s="286">
        <f t="shared" ca="1" si="53"/>
        <v>0</v>
      </c>
      <c r="HN6" s="286">
        <f t="shared" ca="1" si="53"/>
        <v>38999.999998983862</v>
      </c>
      <c r="HO6" s="286">
        <f t="shared" ca="1" si="53"/>
        <v>16199.999998970494</v>
      </c>
      <c r="HP6" s="286">
        <f t="shared" ca="1" si="53"/>
        <v>4166.6500000021233</v>
      </c>
      <c r="HQ6" s="286">
        <f t="shared" ca="1" si="53"/>
        <v>19374.983333335967</v>
      </c>
      <c r="HR6" s="286">
        <f t="shared" ca="1" si="53"/>
        <v>79120.511109070212</v>
      </c>
      <c r="HS6" s="286">
        <f t="shared" ca="1" si="53"/>
        <v>79120.511109070198</v>
      </c>
      <c r="HT6" s="286">
        <f t="shared" ca="1" si="53"/>
        <v>643243.16743323242</v>
      </c>
      <c r="HV6" s="286">
        <f t="shared" ref="HV6:IH6" ca="1" si="54">MAX(OFFSET(HV$16,0,0,NumRunYears-1))</f>
        <v>0</v>
      </c>
      <c r="HW6" s="286">
        <f t="shared" ca="1" si="54"/>
        <v>0</v>
      </c>
      <c r="HX6" s="286">
        <f t="shared" ca="1" si="54"/>
        <v>0</v>
      </c>
      <c r="HY6" s="286">
        <f t="shared" ca="1" si="54"/>
        <v>0</v>
      </c>
      <c r="HZ6" s="286">
        <f t="shared" ca="1" si="54"/>
        <v>0</v>
      </c>
      <c r="IA6" s="286">
        <f t="shared" ca="1" si="54"/>
        <v>0</v>
      </c>
      <c r="IB6" s="286">
        <f t="shared" ca="1" si="54"/>
        <v>0</v>
      </c>
      <c r="IC6" s="286">
        <f t="shared" ca="1" si="54"/>
        <v>0</v>
      </c>
      <c r="ID6" s="286">
        <f t="shared" ca="1" si="54"/>
        <v>0</v>
      </c>
      <c r="IE6" s="286">
        <f t="shared" ca="1" si="54"/>
        <v>0</v>
      </c>
      <c r="IF6" s="286">
        <f t="shared" ca="1" si="54"/>
        <v>0</v>
      </c>
      <c r="IG6" s="286">
        <f t="shared" ca="1" si="54"/>
        <v>0</v>
      </c>
      <c r="IH6" s="286">
        <f t="shared" ca="1" si="54"/>
        <v>0</v>
      </c>
      <c r="IJ6" s="286">
        <f ca="1">MAX(OFFSET(IJ$16,0,0,NumRunYears-1))</f>
        <v>0</v>
      </c>
      <c r="IL6" s="286">
        <f t="shared" ref="IL6:IU6" ca="1" si="55">MAX(OFFSET(IL$16,0,0,NumRunYears-1))</f>
        <v>37764.238566617634</v>
      </c>
      <c r="IM6" s="286">
        <f t="shared" ca="1" si="55"/>
        <v>110480.09466671855</v>
      </c>
      <c r="IN6" s="286">
        <f t="shared" ca="1" si="55"/>
        <v>0</v>
      </c>
      <c r="IO6" s="286">
        <f t="shared" ca="1" si="55"/>
        <v>5000.0000000019463</v>
      </c>
      <c r="IP6" s="286">
        <f t="shared" ca="1" si="55"/>
        <v>0</v>
      </c>
      <c r="IQ6" s="286">
        <f t="shared" ca="1" si="55"/>
        <v>0</v>
      </c>
      <c r="IR6" s="286">
        <f t="shared" ca="1" si="55"/>
        <v>0</v>
      </c>
      <c r="IS6" s="286">
        <f t="shared" ca="1" si="55"/>
        <v>0</v>
      </c>
      <c r="IT6" s="286">
        <f t="shared" ca="1" si="55"/>
        <v>0</v>
      </c>
      <c r="IU6" s="286">
        <f t="shared" ca="1" si="55"/>
        <v>12296.800000006155</v>
      </c>
      <c r="IW6" s="289">
        <f ca="1">MAX(OFFSET(IW$16,0,0,NumRunYears-1))</f>
        <v>0</v>
      </c>
      <c r="IX6" s="289">
        <f ca="1">MAX(OFFSET(IX$16,0,0,NumRunYears-1))</f>
        <v>0</v>
      </c>
      <c r="IY6" s="289">
        <f ca="1">MAX(OFFSET(IY$16,0,0,NumRunYears-1))</f>
        <v>0</v>
      </c>
    </row>
    <row r="8" spans="1:260" ht="15.75" thickBot="1" x14ac:dyDescent="0.3">
      <c r="AU8" s="39" t="s">
        <v>243</v>
      </c>
      <c r="AV8" s="39" t="s">
        <v>243</v>
      </c>
      <c r="AW8" s="39" t="s">
        <v>243</v>
      </c>
      <c r="AX8" s="39" t="s">
        <v>243</v>
      </c>
      <c r="AY8" s="39" t="s">
        <v>243</v>
      </c>
      <c r="AZ8" s="39" t="s">
        <v>243</v>
      </c>
      <c r="BA8" s="39" t="s">
        <v>243</v>
      </c>
      <c r="BB8" s="39" t="s">
        <v>243</v>
      </c>
      <c r="BC8" s="39" t="s">
        <v>243</v>
      </c>
      <c r="BD8" s="39" t="s">
        <v>243</v>
      </c>
      <c r="BE8" s="39" t="s">
        <v>243</v>
      </c>
      <c r="BF8" s="39" t="s">
        <v>243</v>
      </c>
      <c r="BG8" s="39" t="s">
        <v>243</v>
      </c>
      <c r="BI8" s="39"/>
      <c r="BP8" s="39" t="s">
        <v>243</v>
      </c>
      <c r="BQ8" s="39" t="s">
        <v>243</v>
      </c>
      <c r="BR8" s="39" t="s">
        <v>243</v>
      </c>
      <c r="BS8" s="39" t="s">
        <v>243</v>
      </c>
      <c r="DD8" s="39" t="s">
        <v>243</v>
      </c>
      <c r="DE8" s="39" t="s">
        <v>243</v>
      </c>
      <c r="DF8" s="39" t="s">
        <v>243</v>
      </c>
      <c r="DG8" s="39" t="s">
        <v>243</v>
      </c>
      <c r="DH8" s="39" t="s">
        <v>243</v>
      </c>
      <c r="DI8" s="39" t="s">
        <v>243</v>
      </c>
      <c r="DJ8" s="39" t="s">
        <v>243</v>
      </c>
      <c r="DK8" s="39" t="s">
        <v>243</v>
      </c>
      <c r="DL8" s="39" t="s">
        <v>243</v>
      </c>
      <c r="DM8" s="39" t="s">
        <v>243</v>
      </c>
      <c r="DN8" s="39" t="s">
        <v>243</v>
      </c>
      <c r="DO8" s="39" t="s">
        <v>243</v>
      </c>
      <c r="DP8" s="39" t="s">
        <v>243</v>
      </c>
      <c r="DR8" s="39"/>
      <c r="DY8" s="39" t="s">
        <v>243</v>
      </c>
      <c r="DZ8" s="39" t="s">
        <v>243</v>
      </c>
      <c r="EA8" s="39" t="s">
        <v>243</v>
      </c>
      <c r="EB8" s="39" t="s">
        <v>243</v>
      </c>
      <c r="FM8" s="39" t="s">
        <v>243</v>
      </c>
      <c r="FN8" s="39" t="s">
        <v>243</v>
      </c>
      <c r="FO8" s="39" t="s">
        <v>243</v>
      </c>
      <c r="FP8" s="39" t="s">
        <v>243</v>
      </c>
      <c r="FQ8" s="39" t="s">
        <v>243</v>
      </c>
      <c r="FR8" s="39" t="s">
        <v>243</v>
      </c>
      <c r="FS8" s="39" t="s">
        <v>243</v>
      </c>
      <c r="FT8" s="39" t="s">
        <v>243</v>
      </c>
      <c r="FU8" s="39" t="s">
        <v>243</v>
      </c>
      <c r="FV8" s="39" t="s">
        <v>243</v>
      </c>
      <c r="FW8" s="39" t="s">
        <v>243</v>
      </c>
      <c r="FX8" s="39" t="s">
        <v>243</v>
      </c>
      <c r="FY8" s="39" t="s">
        <v>243</v>
      </c>
      <c r="GA8" s="39"/>
      <c r="GH8" s="39" t="s">
        <v>243</v>
      </c>
      <c r="GI8" s="39" t="s">
        <v>243</v>
      </c>
      <c r="GJ8" s="39" t="s">
        <v>243</v>
      </c>
      <c r="GK8" s="39" t="s">
        <v>243</v>
      </c>
      <c r="HV8" s="39" t="s">
        <v>243</v>
      </c>
      <c r="HW8" s="39" t="s">
        <v>243</v>
      </c>
      <c r="HX8" s="39" t="s">
        <v>243</v>
      </c>
      <c r="HY8" s="39" t="s">
        <v>243</v>
      </c>
      <c r="HZ8" s="39" t="s">
        <v>243</v>
      </c>
      <c r="IA8" s="39" t="s">
        <v>243</v>
      </c>
      <c r="IB8" s="39" t="s">
        <v>243</v>
      </c>
      <c r="IC8" s="39" t="s">
        <v>243</v>
      </c>
      <c r="ID8" s="39" t="s">
        <v>243</v>
      </c>
      <c r="IE8" s="39" t="s">
        <v>243</v>
      </c>
      <c r="IF8" s="39" t="s">
        <v>243</v>
      </c>
      <c r="IG8" s="39" t="s">
        <v>243</v>
      </c>
      <c r="IH8" s="39" t="s">
        <v>243</v>
      </c>
      <c r="IJ8" s="39"/>
      <c r="IQ8" s="39" t="s">
        <v>243</v>
      </c>
      <c r="IR8" s="39" t="s">
        <v>243</v>
      </c>
      <c r="IS8" s="39" t="s">
        <v>243</v>
      </c>
      <c r="IT8" s="39" t="s">
        <v>243</v>
      </c>
    </row>
    <row r="9" spans="1:260" ht="15.75" thickBot="1" x14ac:dyDescent="0.3">
      <c r="A9" s="401"/>
      <c r="B9" s="401"/>
      <c r="D9" s="401"/>
      <c r="E9" s="401"/>
      <c r="F9" s="401"/>
      <c r="G9" s="401"/>
      <c r="H9" s="8"/>
      <c r="I9" s="6"/>
      <c r="J9" s="7"/>
      <c r="K9" s="7"/>
      <c r="L9" s="7"/>
      <c r="M9" s="8"/>
      <c r="N9" s="8"/>
      <c r="O9" s="8"/>
      <c r="P9" s="8"/>
      <c r="Q9" s="8"/>
      <c r="T9" s="282" t="s">
        <v>589</v>
      </c>
      <c r="U9" s="419">
        <v>1</v>
      </c>
      <c r="V9" s="419">
        <v>2</v>
      </c>
      <c r="W9" s="419">
        <v>3</v>
      </c>
      <c r="X9" s="419">
        <v>4</v>
      </c>
      <c r="Y9" s="419">
        <v>5</v>
      </c>
      <c r="Z9" s="419">
        <v>6</v>
      </c>
      <c r="AA9" s="419">
        <v>7</v>
      </c>
      <c r="AB9" s="419">
        <v>8</v>
      </c>
      <c r="AC9" s="419">
        <v>9</v>
      </c>
      <c r="AD9" s="419">
        <v>10</v>
      </c>
      <c r="AE9" s="419">
        <v>11</v>
      </c>
      <c r="AF9" s="419">
        <v>12</v>
      </c>
      <c r="AG9" s="419">
        <v>13</v>
      </c>
      <c r="AH9" s="419">
        <v>14</v>
      </c>
      <c r="AI9" s="419">
        <v>15</v>
      </c>
      <c r="AJ9" s="419">
        <v>16</v>
      </c>
      <c r="AK9" s="419">
        <v>17</v>
      </c>
      <c r="AL9" s="419">
        <v>18</v>
      </c>
      <c r="AM9" s="419">
        <v>19</v>
      </c>
      <c r="AN9" s="419">
        <v>20</v>
      </c>
      <c r="AO9" s="419">
        <v>21</v>
      </c>
      <c r="AP9" s="419">
        <v>22</v>
      </c>
      <c r="AQ9" s="419">
        <v>23</v>
      </c>
      <c r="AR9" s="419">
        <v>24</v>
      </c>
      <c r="AS9" s="419">
        <v>25</v>
      </c>
      <c r="AT9" s="419">
        <v>26</v>
      </c>
      <c r="AU9" s="419">
        <v>27</v>
      </c>
      <c r="AV9" s="419">
        <v>28</v>
      </c>
      <c r="AW9" s="419">
        <v>29</v>
      </c>
      <c r="AX9" s="419">
        <v>30</v>
      </c>
      <c r="AY9" s="419">
        <v>31</v>
      </c>
      <c r="AZ9" s="419">
        <v>32</v>
      </c>
      <c r="BA9" s="419">
        <v>33</v>
      </c>
      <c r="BB9" s="419">
        <v>34</v>
      </c>
      <c r="BC9" s="419">
        <v>35</v>
      </c>
      <c r="BD9" s="419">
        <v>36</v>
      </c>
      <c r="BE9" s="419">
        <v>37</v>
      </c>
      <c r="BF9" s="419">
        <v>38</v>
      </c>
      <c r="BG9" s="419">
        <v>39</v>
      </c>
      <c r="BH9" s="419">
        <v>40</v>
      </c>
      <c r="BI9" s="419">
        <v>41</v>
      </c>
      <c r="BJ9" s="419">
        <v>42</v>
      </c>
      <c r="BK9" s="419">
        <v>43</v>
      </c>
      <c r="BL9" s="419">
        <v>44</v>
      </c>
      <c r="BM9" s="419">
        <v>45</v>
      </c>
      <c r="BN9" s="419">
        <v>46</v>
      </c>
      <c r="BO9" s="419">
        <v>47</v>
      </c>
      <c r="BP9" s="419">
        <v>48</v>
      </c>
      <c r="BQ9" s="419">
        <v>49</v>
      </c>
      <c r="BR9" s="419">
        <v>50</v>
      </c>
      <c r="BS9" s="419">
        <v>51</v>
      </c>
      <c r="BT9" s="419">
        <v>52</v>
      </c>
      <c r="BU9" s="419">
        <v>53</v>
      </c>
      <c r="BV9" s="419">
        <v>54</v>
      </c>
      <c r="BW9" s="419">
        <v>55</v>
      </c>
      <c r="BX9" s="419">
        <v>56</v>
      </c>
      <c r="BY9" s="419">
        <v>57</v>
      </c>
      <c r="BZ9" s="419">
        <v>58</v>
      </c>
      <c r="CA9" s="419">
        <v>59</v>
      </c>
      <c r="CB9" s="419">
        <v>60</v>
      </c>
      <c r="CC9" s="419">
        <v>61</v>
      </c>
      <c r="CD9" s="419">
        <v>62</v>
      </c>
      <c r="CE9" s="419">
        <v>63</v>
      </c>
      <c r="CF9" s="419">
        <v>64</v>
      </c>
      <c r="CG9" s="419">
        <v>65</v>
      </c>
      <c r="CH9" s="419">
        <v>66</v>
      </c>
      <c r="CI9" s="419">
        <v>67</v>
      </c>
      <c r="CJ9" s="419">
        <v>68</v>
      </c>
      <c r="CK9" s="419">
        <v>69</v>
      </c>
      <c r="CL9" s="419">
        <v>70</v>
      </c>
      <c r="CM9" s="419">
        <v>71</v>
      </c>
      <c r="CN9" s="419">
        <v>72</v>
      </c>
      <c r="CO9" s="419">
        <v>73</v>
      </c>
      <c r="CP9" s="419">
        <v>74</v>
      </c>
      <c r="CQ9" s="419">
        <v>75</v>
      </c>
      <c r="CR9" s="419">
        <v>76</v>
      </c>
      <c r="CS9" s="419">
        <v>77</v>
      </c>
      <c r="CT9" s="419">
        <v>78</v>
      </c>
      <c r="CU9" s="419">
        <v>79</v>
      </c>
      <c r="CV9" s="419">
        <v>80</v>
      </c>
      <c r="CW9" s="419">
        <v>81</v>
      </c>
      <c r="CX9" s="419">
        <v>82</v>
      </c>
      <c r="CY9" s="419">
        <v>83</v>
      </c>
      <c r="CZ9" s="419">
        <v>84</v>
      </c>
      <c r="DA9" s="419">
        <v>85</v>
      </c>
      <c r="DB9" s="419">
        <v>86</v>
      </c>
      <c r="DC9" s="419">
        <v>87</v>
      </c>
      <c r="DD9" s="419">
        <v>88</v>
      </c>
      <c r="DE9" s="419">
        <v>89</v>
      </c>
      <c r="DF9" s="419">
        <v>90</v>
      </c>
      <c r="DG9" s="419">
        <v>91</v>
      </c>
      <c r="DH9" s="419">
        <v>92</v>
      </c>
      <c r="DI9" s="419">
        <v>93</v>
      </c>
      <c r="DJ9" s="419">
        <v>94</v>
      </c>
      <c r="DK9" s="419">
        <v>95</v>
      </c>
      <c r="DL9" s="419">
        <v>96</v>
      </c>
      <c r="DM9" s="419">
        <v>97</v>
      </c>
      <c r="DN9" s="419">
        <v>98</v>
      </c>
      <c r="DO9" s="419">
        <v>99</v>
      </c>
      <c r="DP9" s="419">
        <v>100</v>
      </c>
      <c r="DQ9" s="419">
        <v>101</v>
      </c>
      <c r="DR9" s="419">
        <v>102</v>
      </c>
      <c r="DS9" s="419">
        <v>103</v>
      </c>
      <c r="DT9" s="419">
        <v>104</v>
      </c>
      <c r="DU9" s="419">
        <v>105</v>
      </c>
      <c r="DV9" s="419">
        <v>106</v>
      </c>
      <c r="DW9" s="419">
        <v>107</v>
      </c>
      <c r="DX9" s="419">
        <v>108</v>
      </c>
      <c r="DY9" s="419">
        <v>109</v>
      </c>
      <c r="DZ9" s="419">
        <v>110</v>
      </c>
      <c r="EA9" s="419">
        <v>111</v>
      </c>
      <c r="EB9" s="419">
        <v>112</v>
      </c>
      <c r="EC9" s="419">
        <v>113</v>
      </c>
      <c r="ED9" s="419">
        <v>114</v>
      </c>
      <c r="EE9" s="419">
        <v>115</v>
      </c>
      <c r="EF9" s="419">
        <v>116</v>
      </c>
      <c r="EG9" s="419">
        <v>117</v>
      </c>
      <c r="EH9" s="419">
        <v>118</v>
      </c>
      <c r="EI9" s="419">
        <v>119</v>
      </c>
      <c r="EJ9" s="419">
        <v>120</v>
      </c>
      <c r="EK9" s="419">
        <v>121</v>
      </c>
      <c r="EL9" s="419">
        <v>122</v>
      </c>
      <c r="EM9" s="419">
        <v>123</v>
      </c>
      <c r="EN9" s="419">
        <v>124</v>
      </c>
      <c r="EO9" s="419">
        <v>125</v>
      </c>
      <c r="EP9" s="419">
        <v>126</v>
      </c>
      <c r="EQ9" s="419">
        <v>127</v>
      </c>
      <c r="ER9" s="419">
        <v>128</v>
      </c>
      <c r="ES9" s="419">
        <v>129</v>
      </c>
      <c r="ET9" s="419">
        <v>130</v>
      </c>
      <c r="EU9" s="419">
        <v>131</v>
      </c>
      <c r="EV9" s="419">
        <v>132</v>
      </c>
      <c r="EW9" s="419">
        <v>133</v>
      </c>
      <c r="EX9" s="419">
        <v>134</v>
      </c>
      <c r="EY9" s="419">
        <v>135</v>
      </c>
      <c r="EZ9" s="419">
        <v>136</v>
      </c>
      <c r="FA9" s="419">
        <v>137</v>
      </c>
      <c r="FB9" s="419">
        <v>138</v>
      </c>
      <c r="FC9" s="419">
        <v>139</v>
      </c>
      <c r="FD9" s="419">
        <v>140</v>
      </c>
      <c r="FE9" s="419">
        <v>141</v>
      </c>
      <c r="FF9" s="419">
        <v>142</v>
      </c>
      <c r="FG9" s="419">
        <v>143</v>
      </c>
      <c r="FH9" s="419">
        <v>144</v>
      </c>
      <c r="FI9" s="419">
        <v>145</v>
      </c>
      <c r="FJ9" s="419">
        <v>146</v>
      </c>
      <c r="FK9" s="419">
        <v>147</v>
      </c>
      <c r="FL9" s="419">
        <v>148</v>
      </c>
      <c r="FM9" s="419">
        <v>149</v>
      </c>
      <c r="FN9" s="419">
        <v>150</v>
      </c>
      <c r="FO9" s="419">
        <v>151</v>
      </c>
      <c r="FP9" s="419">
        <v>152</v>
      </c>
      <c r="FQ9" s="419">
        <v>153</v>
      </c>
      <c r="FR9" s="419">
        <v>154</v>
      </c>
      <c r="FS9" s="419">
        <v>155</v>
      </c>
      <c r="FT9" s="419">
        <v>156</v>
      </c>
      <c r="FU9" s="419">
        <v>157</v>
      </c>
      <c r="FV9" s="419">
        <v>158</v>
      </c>
      <c r="FW9" s="419">
        <v>159</v>
      </c>
      <c r="FX9" s="419">
        <v>160</v>
      </c>
      <c r="FY9" s="419">
        <v>161</v>
      </c>
      <c r="FZ9" s="419">
        <v>162</v>
      </c>
      <c r="GA9" s="419">
        <v>163</v>
      </c>
      <c r="GB9" s="419">
        <v>164</v>
      </c>
      <c r="GC9" s="419">
        <v>165</v>
      </c>
      <c r="GD9" s="419">
        <v>166</v>
      </c>
      <c r="GE9" s="419">
        <v>167</v>
      </c>
      <c r="GF9" s="419">
        <v>168</v>
      </c>
      <c r="GG9" s="419">
        <v>169</v>
      </c>
      <c r="GH9" s="419">
        <v>170</v>
      </c>
      <c r="GI9" s="419">
        <v>171</v>
      </c>
      <c r="GJ9" s="419">
        <v>172</v>
      </c>
      <c r="GK9" s="419">
        <v>173</v>
      </c>
      <c r="GL9" s="419">
        <v>174</v>
      </c>
      <c r="GM9" s="419">
        <v>175</v>
      </c>
      <c r="GN9" s="419">
        <v>176</v>
      </c>
      <c r="GO9" s="419">
        <v>177</v>
      </c>
      <c r="GP9" s="419">
        <v>178</v>
      </c>
      <c r="GQ9" s="419">
        <v>179</v>
      </c>
      <c r="GR9" s="419">
        <v>180</v>
      </c>
      <c r="GS9" s="419">
        <v>181</v>
      </c>
      <c r="GT9" s="419">
        <v>182</v>
      </c>
      <c r="GU9" s="419">
        <v>183</v>
      </c>
      <c r="GV9" s="419">
        <v>184</v>
      </c>
      <c r="GW9" s="419">
        <v>185</v>
      </c>
      <c r="GX9" s="419">
        <v>186</v>
      </c>
      <c r="GY9" s="419">
        <v>187</v>
      </c>
      <c r="GZ9" s="419">
        <v>188</v>
      </c>
      <c r="HA9" s="419">
        <v>189</v>
      </c>
      <c r="HB9" s="419">
        <v>190</v>
      </c>
      <c r="HC9" s="419">
        <v>191</v>
      </c>
      <c r="HD9" s="419">
        <v>192</v>
      </c>
      <c r="HE9" s="419">
        <v>193</v>
      </c>
      <c r="HF9" s="419">
        <v>194</v>
      </c>
      <c r="HG9" s="419">
        <v>195</v>
      </c>
      <c r="HH9" s="419">
        <v>196</v>
      </c>
      <c r="HI9" s="419">
        <v>197</v>
      </c>
      <c r="HJ9" s="419">
        <v>198</v>
      </c>
      <c r="HK9" s="419">
        <v>199</v>
      </c>
      <c r="HL9" s="419">
        <v>200</v>
      </c>
      <c r="HM9" s="419">
        <v>201</v>
      </c>
      <c r="HN9" s="419">
        <v>202</v>
      </c>
      <c r="HO9" s="419">
        <v>203</v>
      </c>
      <c r="HP9" s="419">
        <v>204</v>
      </c>
      <c r="HQ9" s="419">
        <v>205</v>
      </c>
      <c r="HR9" s="419">
        <v>206</v>
      </c>
      <c r="HS9" s="419">
        <v>207</v>
      </c>
      <c r="HT9" s="419">
        <v>208</v>
      </c>
      <c r="HU9" s="419">
        <v>209</v>
      </c>
      <c r="HV9" s="419">
        <v>210</v>
      </c>
      <c r="HW9" s="419">
        <v>211</v>
      </c>
      <c r="HX9" s="419">
        <v>212</v>
      </c>
      <c r="HY9" s="419">
        <v>213</v>
      </c>
      <c r="HZ9" s="419">
        <v>214</v>
      </c>
      <c r="IA9" s="419">
        <v>215</v>
      </c>
      <c r="IB9" s="419">
        <v>216</v>
      </c>
      <c r="IC9" s="419">
        <v>217</v>
      </c>
      <c r="ID9" s="419">
        <v>218</v>
      </c>
      <c r="IE9" s="419">
        <v>219</v>
      </c>
      <c r="IF9" s="419">
        <v>220</v>
      </c>
      <c r="IG9" s="419">
        <v>221</v>
      </c>
      <c r="IH9" s="419">
        <v>222</v>
      </c>
      <c r="II9" s="419">
        <v>223</v>
      </c>
      <c r="IJ9" s="419">
        <v>224</v>
      </c>
      <c r="IK9" s="419">
        <v>225</v>
      </c>
      <c r="IL9" s="419">
        <v>226</v>
      </c>
      <c r="IM9" s="419">
        <v>227</v>
      </c>
      <c r="IN9" s="419">
        <v>228</v>
      </c>
      <c r="IO9" s="419">
        <v>229</v>
      </c>
      <c r="IP9" s="419">
        <v>230</v>
      </c>
      <c r="IQ9" s="419">
        <v>231</v>
      </c>
      <c r="IR9" s="419">
        <v>232</v>
      </c>
      <c r="IS9" s="419">
        <v>233</v>
      </c>
      <c r="IT9" s="419">
        <v>234</v>
      </c>
      <c r="IU9" s="419">
        <v>235</v>
      </c>
      <c r="IV9" s="419">
        <v>236</v>
      </c>
      <c r="IW9" s="419">
        <v>237</v>
      </c>
      <c r="IX9" s="419">
        <v>238</v>
      </c>
      <c r="IY9" s="419">
        <v>239</v>
      </c>
      <c r="IZ9" s="419">
        <v>240</v>
      </c>
    </row>
    <row r="10" spans="1:260" ht="15.75" customHeight="1" thickBot="1" x14ac:dyDescent="0.3">
      <c r="A10" s="401"/>
      <c r="B10" s="401"/>
      <c r="D10" s="401"/>
      <c r="E10" s="401"/>
      <c r="F10" s="401"/>
      <c r="G10" s="401"/>
      <c r="H10" s="8"/>
      <c r="I10" s="588" t="s">
        <v>63</v>
      </c>
      <c r="J10" s="589"/>
      <c r="K10" s="589"/>
      <c r="L10" s="589"/>
      <c r="M10" s="589"/>
      <c r="N10" s="589"/>
      <c r="O10" s="589"/>
      <c r="P10" s="589"/>
      <c r="Q10" s="589"/>
      <c r="R10" s="9"/>
      <c r="S10" s="9"/>
      <c r="U10" s="746" t="s">
        <v>70</v>
      </c>
      <c r="V10" s="746"/>
      <c r="W10" s="746"/>
      <c r="X10" s="746"/>
      <c r="Y10" s="746"/>
      <c r="Z10" s="746"/>
      <c r="AA10" s="746"/>
      <c r="AB10" s="746"/>
      <c r="AC10" s="746"/>
      <c r="AD10" s="746"/>
      <c r="AE10" s="746"/>
      <c r="AF10" s="746"/>
      <c r="AG10" s="746"/>
      <c r="AH10" s="746"/>
      <c r="AI10" s="746"/>
      <c r="AJ10" s="746"/>
      <c r="AK10" s="746"/>
      <c r="AL10" s="746"/>
      <c r="AM10" s="746"/>
      <c r="AN10" s="746"/>
      <c r="AO10" s="746"/>
      <c r="AP10" s="746"/>
      <c r="AQ10" s="746"/>
      <c r="AR10" s="746"/>
      <c r="AS10" s="758" t="s">
        <v>99</v>
      </c>
      <c r="AT10" s="344"/>
      <c r="AU10" s="759" t="s">
        <v>100</v>
      </c>
      <c r="AV10" s="759"/>
      <c r="AW10" s="759"/>
      <c r="AX10" s="759"/>
      <c r="AY10" s="759"/>
      <c r="AZ10" s="759"/>
      <c r="BA10" s="759"/>
      <c r="BB10" s="759"/>
      <c r="BC10" s="759"/>
      <c r="BD10" s="759"/>
      <c r="BE10" s="759"/>
      <c r="BF10" s="759"/>
      <c r="BG10" s="760" t="s">
        <v>115</v>
      </c>
      <c r="BH10" s="344"/>
      <c r="BI10" s="742" t="s">
        <v>116</v>
      </c>
      <c r="BJ10" s="344"/>
      <c r="BK10" s="743" t="s">
        <v>117</v>
      </c>
      <c r="BL10" s="743"/>
      <c r="BM10" s="743"/>
      <c r="BN10" s="743"/>
      <c r="BO10" s="744" t="s">
        <v>122</v>
      </c>
      <c r="BP10" s="750" t="s">
        <v>123</v>
      </c>
      <c r="BQ10" s="750"/>
      <c r="BR10" s="750"/>
      <c r="BS10" s="750"/>
      <c r="BT10" s="751" t="s">
        <v>127</v>
      </c>
      <c r="BU10" s="322"/>
      <c r="BV10" s="749" t="s">
        <v>579</v>
      </c>
      <c r="BW10" s="749" t="s">
        <v>580</v>
      </c>
      <c r="BX10" s="749" t="s">
        <v>580</v>
      </c>
      <c r="CD10" s="746" t="s">
        <v>70</v>
      </c>
      <c r="CE10" s="746"/>
      <c r="CF10" s="746"/>
      <c r="CG10" s="746"/>
      <c r="CH10" s="746"/>
      <c r="CI10" s="746"/>
      <c r="CJ10" s="746"/>
      <c r="CK10" s="746"/>
      <c r="CL10" s="746"/>
      <c r="CM10" s="746"/>
      <c r="CN10" s="746"/>
      <c r="CO10" s="746"/>
      <c r="CP10" s="746"/>
      <c r="CQ10" s="746"/>
      <c r="CR10" s="746"/>
      <c r="CS10" s="746"/>
      <c r="CT10" s="746"/>
      <c r="CU10" s="746"/>
      <c r="CV10" s="746"/>
      <c r="CW10" s="746"/>
      <c r="CX10" s="746"/>
      <c r="CY10" s="746"/>
      <c r="CZ10" s="746"/>
      <c r="DA10" s="746"/>
      <c r="DB10" s="758" t="s">
        <v>99</v>
      </c>
      <c r="DC10" s="344"/>
      <c r="DD10" s="759" t="s">
        <v>100</v>
      </c>
      <c r="DE10" s="759"/>
      <c r="DF10" s="759"/>
      <c r="DG10" s="759"/>
      <c r="DH10" s="759"/>
      <c r="DI10" s="759"/>
      <c r="DJ10" s="759"/>
      <c r="DK10" s="759"/>
      <c r="DL10" s="759"/>
      <c r="DM10" s="759"/>
      <c r="DN10" s="759"/>
      <c r="DO10" s="759"/>
      <c r="DP10" s="760" t="s">
        <v>115</v>
      </c>
      <c r="DQ10" s="344"/>
      <c r="DR10" s="742" t="s">
        <v>116</v>
      </c>
      <c r="DS10" s="344"/>
      <c r="DT10" s="743" t="s">
        <v>117</v>
      </c>
      <c r="DU10" s="743"/>
      <c r="DV10" s="743"/>
      <c r="DW10" s="743"/>
      <c r="DX10" s="744" t="s">
        <v>122</v>
      </c>
      <c r="DY10" s="750" t="s">
        <v>123</v>
      </c>
      <c r="DZ10" s="750"/>
      <c r="EA10" s="750"/>
      <c r="EB10" s="750"/>
      <c r="EC10" s="751" t="s">
        <v>127</v>
      </c>
      <c r="ED10" s="322"/>
      <c r="EE10" s="749" t="s">
        <v>579</v>
      </c>
      <c r="EF10" s="749" t="s">
        <v>580</v>
      </c>
      <c r="EG10" s="749" t="s">
        <v>580</v>
      </c>
      <c r="EM10" s="746" t="s">
        <v>70</v>
      </c>
      <c r="EN10" s="746"/>
      <c r="EO10" s="746"/>
      <c r="EP10" s="746"/>
      <c r="EQ10" s="746"/>
      <c r="ER10" s="746"/>
      <c r="ES10" s="746"/>
      <c r="ET10" s="746"/>
      <c r="EU10" s="746"/>
      <c r="EV10" s="746"/>
      <c r="EW10" s="746"/>
      <c r="EX10" s="746"/>
      <c r="EY10" s="746"/>
      <c r="EZ10" s="746"/>
      <c r="FA10" s="746"/>
      <c r="FB10" s="746"/>
      <c r="FC10" s="746"/>
      <c r="FD10" s="746"/>
      <c r="FE10" s="746"/>
      <c r="FF10" s="746"/>
      <c r="FG10" s="746"/>
      <c r="FH10" s="746"/>
      <c r="FI10" s="746"/>
      <c r="FJ10" s="746"/>
      <c r="FK10" s="758" t="s">
        <v>99</v>
      </c>
      <c r="FL10" s="344"/>
      <c r="FM10" s="759" t="s">
        <v>100</v>
      </c>
      <c r="FN10" s="759"/>
      <c r="FO10" s="759"/>
      <c r="FP10" s="759"/>
      <c r="FQ10" s="759"/>
      <c r="FR10" s="759"/>
      <c r="FS10" s="759"/>
      <c r="FT10" s="759"/>
      <c r="FU10" s="759"/>
      <c r="FV10" s="759"/>
      <c r="FW10" s="759"/>
      <c r="FX10" s="759"/>
      <c r="FY10" s="760" t="s">
        <v>115</v>
      </c>
      <c r="FZ10" s="344"/>
      <c r="GA10" s="742" t="s">
        <v>116</v>
      </c>
      <c r="GB10" s="344"/>
      <c r="GC10" s="743" t="s">
        <v>117</v>
      </c>
      <c r="GD10" s="743"/>
      <c r="GE10" s="743"/>
      <c r="GF10" s="743"/>
      <c r="GG10" s="744" t="s">
        <v>122</v>
      </c>
      <c r="GH10" s="750" t="s">
        <v>123</v>
      </c>
      <c r="GI10" s="750"/>
      <c r="GJ10" s="750"/>
      <c r="GK10" s="750"/>
      <c r="GL10" s="751" t="s">
        <v>127</v>
      </c>
      <c r="GM10" s="322"/>
      <c r="GN10" s="749" t="s">
        <v>579</v>
      </c>
      <c r="GO10" s="749" t="s">
        <v>580</v>
      </c>
      <c r="GP10" s="749" t="s">
        <v>580</v>
      </c>
      <c r="GV10" s="746" t="s">
        <v>70</v>
      </c>
      <c r="GW10" s="746"/>
      <c r="GX10" s="746"/>
      <c r="GY10" s="746"/>
      <c r="GZ10" s="746"/>
      <c r="HA10" s="746"/>
      <c r="HB10" s="746"/>
      <c r="HC10" s="746"/>
      <c r="HD10" s="746"/>
      <c r="HE10" s="746"/>
      <c r="HF10" s="746"/>
      <c r="HG10" s="746"/>
      <c r="HH10" s="746"/>
      <c r="HI10" s="746"/>
      <c r="HJ10" s="746"/>
      <c r="HK10" s="746"/>
      <c r="HL10" s="746"/>
      <c r="HM10" s="746"/>
      <c r="HN10" s="746"/>
      <c r="HO10" s="746"/>
      <c r="HP10" s="746"/>
      <c r="HQ10" s="746"/>
      <c r="HR10" s="746"/>
      <c r="HS10" s="746"/>
      <c r="HT10" s="758" t="s">
        <v>99</v>
      </c>
      <c r="HU10" s="344"/>
      <c r="HV10" s="759" t="s">
        <v>100</v>
      </c>
      <c r="HW10" s="759"/>
      <c r="HX10" s="759"/>
      <c r="HY10" s="759"/>
      <c r="HZ10" s="759"/>
      <c r="IA10" s="759"/>
      <c r="IB10" s="759"/>
      <c r="IC10" s="759"/>
      <c r="ID10" s="759"/>
      <c r="IE10" s="759"/>
      <c r="IF10" s="759"/>
      <c r="IG10" s="759"/>
      <c r="IH10" s="760" t="s">
        <v>115</v>
      </c>
      <c r="II10" s="344"/>
      <c r="IJ10" s="742" t="s">
        <v>116</v>
      </c>
      <c r="IK10" s="344"/>
      <c r="IL10" s="743" t="s">
        <v>117</v>
      </c>
      <c r="IM10" s="743"/>
      <c r="IN10" s="743"/>
      <c r="IO10" s="743"/>
      <c r="IP10" s="744" t="s">
        <v>122</v>
      </c>
      <c r="IQ10" s="750" t="s">
        <v>123</v>
      </c>
      <c r="IR10" s="750"/>
      <c r="IS10" s="750"/>
      <c r="IT10" s="750"/>
      <c r="IU10" s="751" t="s">
        <v>127</v>
      </c>
      <c r="IV10" s="322"/>
      <c r="IW10" s="749" t="s">
        <v>579</v>
      </c>
      <c r="IX10" s="749" t="s">
        <v>580</v>
      </c>
      <c r="IY10" s="749" t="s">
        <v>580</v>
      </c>
    </row>
    <row r="11" spans="1:260" ht="39.950000000000003" customHeight="1" thickBot="1" x14ac:dyDescent="0.3">
      <c r="A11" s="11"/>
      <c r="B11" s="11"/>
      <c r="D11" s="11"/>
      <c r="E11" s="11"/>
      <c r="F11" s="11"/>
      <c r="G11" s="11"/>
      <c r="H11" s="386"/>
      <c r="I11" s="588" t="s">
        <v>564</v>
      </c>
      <c r="J11" s="589"/>
      <c r="K11" s="590"/>
      <c r="L11" s="761" t="str">
        <f>RunScenName</f>
        <v>Run C SJRIP Releases - SJBHM Baseline Demands - NIIP w/ DG &amp; NGWSP</v>
      </c>
      <c r="M11" s="762"/>
      <c r="N11" s="762"/>
      <c r="O11" s="762"/>
      <c r="P11" s="762"/>
      <c r="Q11" s="763"/>
      <c r="R11" s="9"/>
      <c r="S11" s="9"/>
      <c r="U11" s="752" t="s">
        <v>71</v>
      </c>
      <c r="V11" s="752"/>
      <c r="W11" s="752"/>
      <c r="X11" s="752"/>
      <c r="Y11" s="752"/>
      <c r="Z11" s="752"/>
      <c r="AA11" s="752"/>
      <c r="AB11" s="752"/>
      <c r="AC11" s="752"/>
      <c r="AD11" s="752"/>
      <c r="AE11" s="752"/>
      <c r="AF11" s="752"/>
      <c r="AG11" s="752"/>
      <c r="AH11" s="752"/>
      <c r="AI11" s="752"/>
      <c r="AJ11" s="753" t="s">
        <v>89</v>
      </c>
      <c r="AK11" s="345"/>
      <c r="AL11" s="754" t="s">
        <v>91</v>
      </c>
      <c r="AM11" s="754"/>
      <c r="AN11" s="754"/>
      <c r="AO11" s="754"/>
      <c r="AP11" s="754"/>
      <c r="AQ11" s="754"/>
      <c r="AR11" s="755" t="s">
        <v>98</v>
      </c>
      <c r="AS11" s="758"/>
      <c r="AT11" s="344"/>
      <c r="AU11" s="756" t="s">
        <v>101</v>
      </c>
      <c r="AV11" s="756"/>
      <c r="AW11" s="756"/>
      <c r="AX11" s="756"/>
      <c r="AY11" s="756" t="s">
        <v>106</v>
      </c>
      <c r="AZ11" s="757" t="s">
        <v>107</v>
      </c>
      <c r="BA11" s="757"/>
      <c r="BB11" s="757"/>
      <c r="BC11" s="757"/>
      <c r="BD11" s="757"/>
      <c r="BE11" s="757"/>
      <c r="BF11" s="745" t="s">
        <v>114</v>
      </c>
      <c r="BG11" s="760"/>
      <c r="BH11" s="344"/>
      <c r="BI11" s="742"/>
      <c r="BJ11" s="344"/>
      <c r="BK11" s="743"/>
      <c r="BL11" s="743"/>
      <c r="BM11" s="743"/>
      <c r="BN11" s="743"/>
      <c r="BO11" s="744"/>
      <c r="BP11" s="750"/>
      <c r="BQ11" s="750"/>
      <c r="BR11" s="750"/>
      <c r="BS11" s="750"/>
      <c r="BT11" s="751"/>
      <c r="BU11" s="322"/>
      <c r="BV11" s="749"/>
      <c r="BW11" s="749"/>
      <c r="BX11" s="749"/>
      <c r="CD11" s="752" t="s">
        <v>71</v>
      </c>
      <c r="CE11" s="752"/>
      <c r="CF11" s="752"/>
      <c r="CG11" s="752"/>
      <c r="CH11" s="752"/>
      <c r="CI11" s="752"/>
      <c r="CJ11" s="752"/>
      <c r="CK11" s="752"/>
      <c r="CL11" s="752"/>
      <c r="CM11" s="752"/>
      <c r="CN11" s="752"/>
      <c r="CO11" s="752"/>
      <c r="CP11" s="752"/>
      <c r="CQ11" s="752"/>
      <c r="CR11" s="752"/>
      <c r="CS11" s="753" t="s">
        <v>89</v>
      </c>
      <c r="CT11" s="421"/>
      <c r="CU11" s="754" t="s">
        <v>91</v>
      </c>
      <c r="CV11" s="754"/>
      <c r="CW11" s="754"/>
      <c r="CX11" s="754"/>
      <c r="CY11" s="754"/>
      <c r="CZ11" s="754"/>
      <c r="DA11" s="755" t="s">
        <v>98</v>
      </c>
      <c r="DB11" s="758"/>
      <c r="DC11" s="344"/>
      <c r="DD11" s="756" t="s">
        <v>101</v>
      </c>
      <c r="DE11" s="756"/>
      <c r="DF11" s="756"/>
      <c r="DG11" s="756"/>
      <c r="DH11" s="756" t="s">
        <v>106</v>
      </c>
      <c r="DI11" s="757" t="s">
        <v>107</v>
      </c>
      <c r="DJ11" s="757"/>
      <c r="DK11" s="757"/>
      <c r="DL11" s="757"/>
      <c r="DM11" s="757"/>
      <c r="DN11" s="757"/>
      <c r="DO11" s="745" t="s">
        <v>114</v>
      </c>
      <c r="DP11" s="760"/>
      <c r="DQ11" s="344"/>
      <c r="DR11" s="742"/>
      <c r="DS11" s="344"/>
      <c r="DT11" s="743"/>
      <c r="DU11" s="743"/>
      <c r="DV11" s="743"/>
      <c r="DW11" s="743"/>
      <c r="DX11" s="744"/>
      <c r="DY11" s="750"/>
      <c r="DZ11" s="750"/>
      <c r="EA11" s="750"/>
      <c r="EB11" s="750"/>
      <c r="EC11" s="751"/>
      <c r="ED11" s="322"/>
      <c r="EE11" s="749"/>
      <c r="EF11" s="749"/>
      <c r="EG11" s="749"/>
      <c r="EM11" s="752" t="s">
        <v>71</v>
      </c>
      <c r="EN11" s="752"/>
      <c r="EO11" s="752"/>
      <c r="EP11" s="752"/>
      <c r="EQ11" s="752"/>
      <c r="ER11" s="752"/>
      <c r="ES11" s="752"/>
      <c r="ET11" s="752"/>
      <c r="EU11" s="752"/>
      <c r="EV11" s="752"/>
      <c r="EW11" s="752"/>
      <c r="EX11" s="752"/>
      <c r="EY11" s="752"/>
      <c r="EZ11" s="752"/>
      <c r="FA11" s="752"/>
      <c r="FB11" s="753" t="s">
        <v>89</v>
      </c>
      <c r="FC11" s="421"/>
      <c r="FD11" s="754" t="s">
        <v>91</v>
      </c>
      <c r="FE11" s="754"/>
      <c r="FF11" s="754"/>
      <c r="FG11" s="754"/>
      <c r="FH11" s="754"/>
      <c r="FI11" s="754"/>
      <c r="FJ11" s="755" t="s">
        <v>98</v>
      </c>
      <c r="FK11" s="758"/>
      <c r="FL11" s="344"/>
      <c r="FM11" s="756" t="s">
        <v>101</v>
      </c>
      <c r="FN11" s="756"/>
      <c r="FO11" s="756"/>
      <c r="FP11" s="756"/>
      <c r="FQ11" s="756" t="s">
        <v>106</v>
      </c>
      <c r="FR11" s="757" t="s">
        <v>107</v>
      </c>
      <c r="FS11" s="757"/>
      <c r="FT11" s="757"/>
      <c r="FU11" s="757"/>
      <c r="FV11" s="757"/>
      <c r="FW11" s="757"/>
      <c r="FX11" s="745" t="s">
        <v>114</v>
      </c>
      <c r="FY11" s="760"/>
      <c r="FZ11" s="344"/>
      <c r="GA11" s="742"/>
      <c r="GB11" s="344"/>
      <c r="GC11" s="743"/>
      <c r="GD11" s="743"/>
      <c r="GE11" s="743"/>
      <c r="GF11" s="743"/>
      <c r="GG11" s="744"/>
      <c r="GH11" s="750"/>
      <c r="GI11" s="750"/>
      <c r="GJ11" s="750"/>
      <c r="GK11" s="750"/>
      <c r="GL11" s="751"/>
      <c r="GM11" s="322"/>
      <c r="GN11" s="749"/>
      <c r="GO11" s="749"/>
      <c r="GP11" s="749"/>
      <c r="GV11" s="752" t="s">
        <v>71</v>
      </c>
      <c r="GW11" s="752"/>
      <c r="GX11" s="752"/>
      <c r="GY11" s="752"/>
      <c r="GZ11" s="752"/>
      <c r="HA11" s="752"/>
      <c r="HB11" s="752"/>
      <c r="HC11" s="752"/>
      <c r="HD11" s="752"/>
      <c r="HE11" s="752"/>
      <c r="HF11" s="752"/>
      <c r="HG11" s="752"/>
      <c r="HH11" s="752"/>
      <c r="HI11" s="752"/>
      <c r="HJ11" s="752"/>
      <c r="HK11" s="753" t="s">
        <v>89</v>
      </c>
      <c r="HL11" s="421"/>
      <c r="HM11" s="754" t="s">
        <v>91</v>
      </c>
      <c r="HN11" s="754"/>
      <c r="HO11" s="754"/>
      <c r="HP11" s="754"/>
      <c r="HQ11" s="754"/>
      <c r="HR11" s="754"/>
      <c r="HS11" s="755" t="s">
        <v>98</v>
      </c>
      <c r="HT11" s="758"/>
      <c r="HU11" s="344"/>
      <c r="HV11" s="756" t="s">
        <v>101</v>
      </c>
      <c r="HW11" s="756"/>
      <c r="HX11" s="756"/>
      <c r="HY11" s="756"/>
      <c r="HZ11" s="756" t="s">
        <v>106</v>
      </c>
      <c r="IA11" s="757" t="s">
        <v>107</v>
      </c>
      <c r="IB11" s="757"/>
      <c r="IC11" s="757"/>
      <c r="ID11" s="757"/>
      <c r="IE11" s="757"/>
      <c r="IF11" s="757"/>
      <c r="IG11" s="745" t="s">
        <v>114</v>
      </c>
      <c r="IH11" s="760"/>
      <c r="II11" s="344"/>
      <c r="IJ11" s="742"/>
      <c r="IK11" s="344"/>
      <c r="IL11" s="743"/>
      <c r="IM11" s="743"/>
      <c r="IN11" s="743"/>
      <c r="IO11" s="743"/>
      <c r="IP11" s="744"/>
      <c r="IQ11" s="750"/>
      <c r="IR11" s="750"/>
      <c r="IS11" s="750"/>
      <c r="IT11" s="750"/>
      <c r="IU11" s="751"/>
      <c r="IV11" s="322"/>
      <c r="IW11" s="749"/>
      <c r="IX11" s="749"/>
      <c r="IY11" s="749"/>
    </row>
    <row r="12" spans="1:260" ht="15.75" thickBot="1" x14ac:dyDescent="0.3">
      <c r="A12" s="11"/>
      <c r="B12" s="11"/>
      <c r="D12" s="11"/>
      <c r="E12" s="11"/>
      <c r="F12" s="11"/>
      <c r="G12" s="11"/>
      <c r="H12" s="387"/>
      <c r="I12" s="726"/>
      <c r="J12" s="727"/>
      <c r="K12" s="727"/>
      <c r="L12" s="727"/>
      <c r="M12" s="727"/>
      <c r="N12" s="727"/>
      <c r="O12" s="727"/>
      <c r="P12" s="727"/>
      <c r="Q12" s="727"/>
      <c r="R12" s="9"/>
      <c r="S12" s="9"/>
      <c r="U12" s="747" t="s">
        <v>72</v>
      </c>
      <c r="V12" s="747"/>
      <c r="W12" s="747"/>
      <c r="X12" s="747"/>
      <c r="Y12" s="747"/>
      <c r="Z12" s="747"/>
      <c r="AA12" s="346"/>
      <c r="AB12" s="748" t="s">
        <v>80</v>
      </c>
      <c r="AC12" s="748"/>
      <c r="AD12" s="748"/>
      <c r="AE12" s="748"/>
      <c r="AF12" s="748"/>
      <c r="AG12" s="748"/>
      <c r="AH12" s="748"/>
      <c r="AI12" s="748"/>
      <c r="AJ12" s="753"/>
      <c r="AK12" s="345"/>
      <c r="AL12" s="754"/>
      <c r="AM12" s="754"/>
      <c r="AN12" s="754"/>
      <c r="AO12" s="754"/>
      <c r="AP12" s="754"/>
      <c r="AQ12" s="754"/>
      <c r="AR12" s="755"/>
      <c r="AS12" s="758"/>
      <c r="AT12" s="344"/>
      <c r="AU12" s="756"/>
      <c r="AV12" s="756"/>
      <c r="AW12" s="756"/>
      <c r="AX12" s="756"/>
      <c r="AY12" s="756"/>
      <c r="AZ12" s="757"/>
      <c r="BA12" s="757"/>
      <c r="BB12" s="757"/>
      <c r="BC12" s="757"/>
      <c r="BD12" s="757"/>
      <c r="BE12" s="757"/>
      <c r="BF12" s="745"/>
      <c r="BG12" s="760"/>
      <c r="BH12" s="344"/>
      <c r="BI12" s="742"/>
      <c r="BJ12" s="344"/>
      <c r="BK12" s="743"/>
      <c r="BL12" s="743"/>
      <c r="BM12" s="743"/>
      <c r="BN12" s="743"/>
      <c r="BO12" s="744"/>
      <c r="BP12" s="750"/>
      <c r="BQ12" s="750"/>
      <c r="BR12" s="750"/>
      <c r="BS12" s="750"/>
      <c r="BT12" s="751"/>
      <c r="BU12" s="322"/>
      <c r="BV12" s="749"/>
      <c r="BW12" s="749"/>
      <c r="BX12" s="749"/>
      <c r="CD12" s="747" t="s">
        <v>72</v>
      </c>
      <c r="CE12" s="747"/>
      <c r="CF12" s="747"/>
      <c r="CG12" s="747"/>
      <c r="CH12" s="747"/>
      <c r="CI12" s="747"/>
      <c r="CJ12" s="420"/>
      <c r="CK12" s="748" t="s">
        <v>80</v>
      </c>
      <c r="CL12" s="748"/>
      <c r="CM12" s="748"/>
      <c r="CN12" s="748"/>
      <c r="CO12" s="748"/>
      <c r="CP12" s="748"/>
      <c r="CQ12" s="748"/>
      <c r="CR12" s="748"/>
      <c r="CS12" s="753"/>
      <c r="CT12" s="421"/>
      <c r="CU12" s="754"/>
      <c r="CV12" s="754"/>
      <c r="CW12" s="754"/>
      <c r="CX12" s="754"/>
      <c r="CY12" s="754"/>
      <c r="CZ12" s="754"/>
      <c r="DA12" s="755"/>
      <c r="DB12" s="758"/>
      <c r="DC12" s="344"/>
      <c r="DD12" s="756"/>
      <c r="DE12" s="756"/>
      <c r="DF12" s="756"/>
      <c r="DG12" s="756"/>
      <c r="DH12" s="756"/>
      <c r="DI12" s="757"/>
      <c r="DJ12" s="757"/>
      <c r="DK12" s="757"/>
      <c r="DL12" s="757"/>
      <c r="DM12" s="757"/>
      <c r="DN12" s="757"/>
      <c r="DO12" s="745"/>
      <c r="DP12" s="760"/>
      <c r="DQ12" s="344"/>
      <c r="DR12" s="742"/>
      <c r="DS12" s="344"/>
      <c r="DT12" s="743"/>
      <c r="DU12" s="743"/>
      <c r="DV12" s="743"/>
      <c r="DW12" s="743"/>
      <c r="DX12" s="744"/>
      <c r="DY12" s="750"/>
      <c r="DZ12" s="750"/>
      <c r="EA12" s="750"/>
      <c r="EB12" s="750"/>
      <c r="EC12" s="751"/>
      <c r="ED12" s="322"/>
      <c r="EE12" s="749"/>
      <c r="EF12" s="749"/>
      <c r="EG12" s="749"/>
      <c r="EM12" s="747" t="s">
        <v>72</v>
      </c>
      <c r="EN12" s="747"/>
      <c r="EO12" s="747"/>
      <c r="EP12" s="747"/>
      <c r="EQ12" s="747"/>
      <c r="ER12" s="747"/>
      <c r="ES12" s="420"/>
      <c r="ET12" s="748" t="s">
        <v>80</v>
      </c>
      <c r="EU12" s="748"/>
      <c r="EV12" s="748"/>
      <c r="EW12" s="748"/>
      <c r="EX12" s="748"/>
      <c r="EY12" s="748"/>
      <c r="EZ12" s="748"/>
      <c r="FA12" s="748"/>
      <c r="FB12" s="753"/>
      <c r="FC12" s="421"/>
      <c r="FD12" s="754"/>
      <c r="FE12" s="754"/>
      <c r="FF12" s="754"/>
      <c r="FG12" s="754"/>
      <c r="FH12" s="754"/>
      <c r="FI12" s="754"/>
      <c r="FJ12" s="755"/>
      <c r="FK12" s="758"/>
      <c r="FL12" s="344"/>
      <c r="FM12" s="756"/>
      <c r="FN12" s="756"/>
      <c r="FO12" s="756"/>
      <c r="FP12" s="756"/>
      <c r="FQ12" s="756"/>
      <c r="FR12" s="757"/>
      <c r="FS12" s="757"/>
      <c r="FT12" s="757"/>
      <c r="FU12" s="757"/>
      <c r="FV12" s="757"/>
      <c r="FW12" s="757"/>
      <c r="FX12" s="745"/>
      <c r="FY12" s="760"/>
      <c r="FZ12" s="344"/>
      <c r="GA12" s="742"/>
      <c r="GB12" s="344"/>
      <c r="GC12" s="743"/>
      <c r="GD12" s="743"/>
      <c r="GE12" s="743"/>
      <c r="GF12" s="743"/>
      <c r="GG12" s="744"/>
      <c r="GH12" s="750"/>
      <c r="GI12" s="750"/>
      <c r="GJ12" s="750"/>
      <c r="GK12" s="750"/>
      <c r="GL12" s="751"/>
      <c r="GM12" s="322"/>
      <c r="GN12" s="749"/>
      <c r="GO12" s="749"/>
      <c r="GP12" s="749"/>
      <c r="GV12" s="747" t="s">
        <v>72</v>
      </c>
      <c r="GW12" s="747"/>
      <c r="GX12" s="747"/>
      <c r="GY12" s="747"/>
      <c r="GZ12" s="747"/>
      <c r="HA12" s="747"/>
      <c r="HB12" s="420"/>
      <c r="HC12" s="748" t="s">
        <v>80</v>
      </c>
      <c r="HD12" s="748"/>
      <c r="HE12" s="748"/>
      <c r="HF12" s="748"/>
      <c r="HG12" s="748"/>
      <c r="HH12" s="748"/>
      <c r="HI12" s="748"/>
      <c r="HJ12" s="748"/>
      <c r="HK12" s="753"/>
      <c r="HL12" s="421"/>
      <c r="HM12" s="754"/>
      <c r="HN12" s="754"/>
      <c r="HO12" s="754"/>
      <c r="HP12" s="754"/>
      <c r="HQ12" s="754"/>
      <c r="HR12" s="754"/>
      <c r="HS12" s="755"/>
      <c r="HT12" s="758"/>
      <c r="HU12" s="344"/>
      <c r="HV12" s="756"/>
      <c r="HW12" s="756"/>
      <c r="HX12" s="756"/>
      <c r="HY12" s="756"/>
      <c r="HZ12" s="756"/>
      <c r="IA12" s="757"/>
      <c r="IB12" s="757"/>
      <c r="IC12" s="757"/>
      <c r="ID12" s="757"/>
      <c r="IE12" s="757"/>
      <c r="IF12" s="757"/>
      <c r="IG12" s="745"/>
      <c r="IH12" s="760"/>
      <c r="II12" s="344"/>
      <c r="IJ12" s="742"/>
      <c r="IK12" s="344"/>
      <c r="IL12" s="743"/>
      <c r="IM12" s="743"/>
      <c r="IN12" s="743"/>
      <c r="IO12" s="743"/>
      <c r="IP12" s="744"/>
      <c r="IQ12" s="750"/>
      <c r="IR12" s="750"/>
      <c r="IS12" s="750"/>
      <c r="IT12" s="750"/>
      <c r="IU12" s="751"/>
      <c r="IV12" s="322"/>
      <c r="IW12" s="749"/>
      <c r="IX12" s="749"/>
      <c r="IY12" s="749"/>
    </row>
    <row r="13" spans="1:260" s="42" customFormat="1" ht="90.75" thickBot="1" x14ac:dyDescent="0.3">
      <c r="A13" s="478" t="s">
        <v>632</v>
      </c>
      <c r="B13" s="478" t="s">
        <v>633</v>
      </c>
      <c r="D13" s="402" t="s">
        <v>568</v>
      </c>
      <c r="E13" s="402" t="s">
        <v>569</v>
      </c>
      <c r="F13" s="402" t="s">
        <v>570</v>
      </c>
      <c r="G13" s="402" t="s">
        <v>571</v>
      </c>
      <c r="H13" s="388"/>
      <c r="I13" s="576" t="s">
        <v>64</v>
      </c>
      <c r="J13" s="577"/>
      <c r="K13" s="577"/>
      <c r="L13" s="578"/>
      <c r="M13" s="582" t="s">
        <v>65</v>
      </c>
      <c r="N13" s="155"/>
      <c r="O13" s="584" t="s">
        <v>66</v>
      </c>
      <c r="P13" s="585"/>
      <c r="Q13" s="388"/>
      <c r="R13" s="285"/>
      <c r="S13" s="285"/>
      <c r="T13" s="352" t="s">
        <v>363</v>
      </c>
      <c r="U13" s="351" t="s">
        <v>73</v>
      </c>
      <c r="V13" s="347" t="s">
        <v>74</v>
      </c>
      <c r="W13" s="347" t="s">
        <v>75</v>
      </c>
      <c r="X13" s="347" t="s">
        <v>76</v>
      </c>
      <c r="Y13" s="347" t="s">
        <v>77</v>
      </c>
      <c r="Z13" s="348" t="s">
        <v>78</v>
      </c>
      <c r="AA13" s="347" t="s">
        <v>79</v>
      </c>
      <c r="AB13" s="349" t="s">
        <v>81</v>
      </c>
      <c r="AC13" s="349" t="s">
        <v>82</v>
      </c>
      <c r="AD13" s="349" t="s">
        <v>83</v>
      </c>
      <c r="AE13" s="349" t="s">
        <v>84</v>
      </c>
      <c r="AF13" s="349" t="s">
        <v>85</v>
      </c>
      <c r="AG13" s="349" t="s">
        <v>86</v>
      </c>
      <c r="AH13" s="349" t="s">
        <v>87</v>
      </c>
      <c r="AI13" s="350" t="s">
        <v>88</v>
      </c>
      <c r="AJ13" s="753"/>
      <c r="AK13" s="347" t="s">
        <v>90</v>
      </c>
      <c r="AL13" s="349" t="s">
        <v>92</v>
      </c>
      <c r="AM13" s="349" t="s">
        <v>93</v>
      </c>
      <c r="AN13" s="349" t="s">
        <v>94</v>
      </c>
      <c r="AO13" s="349" t="s">
        <v>95</v>
      </c>
      <c r="AP13" s="349" t="s">
        <v>96</v>
      </c>
      <c r="AQ13" s="349" t="s">
        <v>97</v>
      </c>
      <c r="AR13" s="755"/>
      <c r="AS13" s="758"/>
      <c r="AT13" s="344"/>
      <c r="AU13" s="349" t="s">
        <v>301</v>
      </c>
      <c r="AV13" s="349" t="s">
        <v>103</v>
      </c>
      <c r="AW13" s="349" t="s">
        <v>104</v>
      </c>
      <c r="AX13" s="347" t="s">
        <v>105</v>
      </c>
      <c r="AY13" s="756"/>
      <c r="AZ13" s="349" t="s">
        <v>108</v>
      </c>
      <c r="BA13" s="349" t="s">
        <v>109</v>
      </c>
      <c r="BB13" s="349" t="s">
        <v>110</v>
      </c>
      <c r="BC13" s="349" t="s">
        <v>111</v>
      </c>
      <c r="BD13" s="347" t="s">
        <v>112</v>
      </c>
      <c r="BE13" s="347" t="s">
        <v>113</v>
      </c>
      <c r="BF13" s="745"/>
      <c r="BG13" s="760"/>
      <c r="BH13" s="344"/>
      <c r="BI13" s="742"/>
      <c r="BJ13" s="344"/>
      <c r="BK13" s="347" t="s">
        <v>118</v>
      </c>
      <c r="BL13" s="349" t="s">
        <v>119</v>
      </c>
      <c r="BM13" s="349" t="s">
        <v>120</v>
      </c>
      <c r="BN13" s="349" t="s">
        <v>121</v>
      </c>
      <c r="BO13" s="744"/>
      <c r="BP13" s="347" t="s">
        <v>124</v>
      </c>
      <c r="BQ13" s="349" t="s">
        <v>125</v>
      </c>
      <c r="BR13" s="349" t="s">
        <v>126</v>
      </c>
      <c r="BS13" s="349" t="s">
        <v>355</v>
      </c>
      <c r="BT13" s="751"/>
      <c r="BU13" s="322"/>
      <c r="BV13" s="749"/>
      <c r="BW13" s="749"/>
      <c r="BX13" s="749"/>
      <c r="BY13" s="428" t="s">
        <v>583</v>
      </c>
      <c r="CA13" s="437"/>
      <c r="CC13" s="352" t="s">
        <v>363</v>
      </c>
      <c r="CD13" s="351" t="s">
        <v>73</v>
      </c>
      <c r="CE13" s="347" t="s">
        <v>74</v>
      </c>
      <c r="CF13" s="347" t="s">
        <v>75</v>
      </c>
      <c r="CG13" s="347" t="s">
        <v>76</v>
      </c>
      <c r="CH13" s="347" t="s">
        <v>77</v>
      </c>
      <c r="CI13" s="348" t="s">
        <v>78</v>
      </c>
      <c r="CJ13" s="347" t="s">
        <v>79</v>
      </c>
      <c r="CK13" s="349" t="s">
        <v>81</v>
      </c>
      <c r="CL13" s="349" t="s">
        <v>82</v>
      </c>
      <c r="CM13" s="349" t="s">
        <v>83</v>
      </c>
      <c r="CN13" s="349" t="s">
        <v>84</v>
      </c>
      <c r="CO13" s="349" t="s">
        <v>85</v>
      </c>
      <c r="CP13" s="349" t="s">
        <v>86</v>
      </c>
      <c r="CQ13" s="349" t="s">
        <v>87</v>
      </c>
      <c r="CR13" s="350" t="s">
        <v>88</v>
      </c>
      <c r="CS13" s="753"/>
      <c r="CT13" s="347" t="s">
        <v>90</v>
      </c>
      <c r="CU13" s="349" t="s">
        <v>92</v>
      </c>
      <c r="CV13" s="349" t="s">
        <v>93</v>
      </c>
      <c r="CW13" s="349" t="s">
        <v>94</v>
      </c>
      <c r="CX13" s="349" t="s">
        <v>95</v>
      </c>
      <c r="CY13" s="349" t="s">
        <v>96</v>
      </c>
      <c r="CZ13" s="349" t="s">
        <v>97</v>
      </c>
      <c r="DA13" s="755"/>
      <c r="DB13" s="758"/>
      <c r="DC13" s="344"/>
      <c r="DD13" s="349" t="s">
        <v>301</v>
      </c>
      <c r="DE13" s="349" t="s">
        <v>103</v>
      </c>
      <c r="DF13" s="349" t="s">
        <v>104</v>
      </c>
      <c r="DG13" s="347" t="s">
        <v>105</v>
      </c>
      <c r="DH13" s="756"/>
      <c r="DI13" s="349" t="s">
        <v>108</v>
      </c>
      <c r="DJ13" s="349" t="s">
        <v>109</v>
      </c>
      <c r="DK13" s="349" t="s">
        <v>110</v>
      </c>
      <c r="DL13" s="349" t="s">
        <v>111</v>
      </c>
      <c r="DM13" s="347" t="s">
        <v>112</v>
      </c>
      <c r="DN13" s="347" t="s">
        <v>113</v>
      </c>
      <c r="DO13" s="745"/>
      <c r="DP13" s="760"/>
      <c r="DQ13" s="344"/>
      <c r="DR13" s="742"/>
      <c r="DS13" s="344"/>
      <c r="DT13" s="347" t="s">
        <v>118</v>
      </c>
      <c r="DU13" s="349" t="s">
        <v>119</v>
      </c>
      <c r="DV13" s="349" t="s">
        <v>120</v>
      </c>
      <c r="DW13" s="349" t="s">
        <v>121</v>
      </c>
      <c r="DX13" s="744"/>
      <c r="DY13" s="347" t="s">
        <v>124</v>
      </c>
      <c r="DZ13" s="349" t="s">
        <v>125</v>
      </c>
      <c r="EA13" s="349" t="s">
        <v>126</v>
      </c>
      <c r="EB13" s="349" t="s">
        <v>355</v>
      </c>
      <c r="EC13" s="751"/>
      <c r="ED13" s="322"/>
      <c r="EE13" s="749"/>
      <c r="EF13" s="749"/>
      <c r="EG13" s="749"/>
      <c r="EH13" s="428" t="s">
        <v>583</v>
      </c>
      <c r="EJ13" s="437"/>
      <c r="EL13" s="352" t="s">
        <v>363</v>
      </c>
      <c r="EM13" s="351" t="s">
        <v>73</v>
      </c>
      <c r="EN13" s="347" t="s">
        <v>74</v>
      </c>
      <c r="EO13" s="347" t="s">
        <v>75</v>
      </c>
      <c r="EP13" s="347" t="s">
        <v>76</v>
      </c>
      <c r="EQ13" s="347" t="s">
        <v>77</v>
      </c>
      <c r="ER13" s="348" t="s">
        <v>78</v>
      </c>
      <c r="ES13" s="347" t="s">
        <v>79</v>
      </c>
      <c r="ET13" s="349" t="s">
        <v>81</v>
      </c>
      <c r="EU13" s="349" t="s">
        <v>82</v>
      </c>
      <c r="EV13" s="349" t="s">
        <v>83</v>
      </c>
      <c r="EW13" s="349" t="s">
        <v>84</v>
      </c>
      <c r="EX13" s="349" t="s">
        <v>85</v>
      </c>
      <c r="EY13" s="349" t="s">
        <v>86</v>
      </c>
      <c r="EZ13" s="349" t="s">
        <v>87</v>
      </c>
      <c r="FA13" s="350" t="s">
        <v>88</v>
      </c>
      <c r="FB13" s="753"/>
      <c r="FC13" s="347" t="s">
        <v>90</v>
      </c>
      <c r="FD13" s="349" t="s">
        <v>92</v>
      </c>
      <c r="FE13" s="349" t="s">
        <v>93</v>
      </c>
      <c r="FF13" s="349" t="s">
        <v>94</v>
      </c>
      <c r="FG13" s="349" t="s">
        <v>95</v>
      </c>
      <c r="FH13" s="349" t="s">
        <v>96</v>
      </c>
      <c r="FI13" s="349" t="s">
        <v>97</v>
      </c>
      <c r="FJ13" s="755"/>
      <c r="FK13" s="758"/>
      <c r="FL13" s="344"/>
      <c r="FM13" s="349" t="s">
        <v>301</v>
      </c>
      <c r="FN13" s="349" t="s">
        <v>103</v>
      </c>
      <c r="FO13" s="349" t="s">
        <v>104</v>
      </c>
      <c r="FP13" s="347" t="s">
        <v>105</v>
      </c>
      <c r="FQ13" s="756"/>
      <c r="FR13" s="349" t="s">
        <v>108</v>
      </c>
      <c r="FS13" s="349" t="s">
        <v>109</v>
      </c>
      <c r="FT13" s="349" t="s">
        <v>110</v>
      </c>
      <c r="FU13" s="349" t="s">
        <v>111</v>
      </c>
      <c r="FV13" s="347" t="s">
        <v>112</v>
      </c>
      <c r="FW13" s="347" t="s">
        <v>113</v>
      </c>
      <c r="FX13" s="745"/>
      <c r="FY13" s="760"/>
      <c r="FZ13" s="344"/>
      <c r="GA13" s="742"/>
      <c r="GB13" s="344"/>
      <c r="GC13" s="347" t="s">
        <v>118</v>
      </c>
      <c r="GD13" s="349" t="s">
        <v>119</v>
      </c>
      <c r="GE13" s="349" t="s">
        <v>120</v>
      </c>
      <c r="GF13" s="349" t="s">
        <v>121</v>
      </c>
      <c r="GG13" s="744"/>
      <c r="GH13" s="347" t="s">
        <v>124</v>
      </c>
      <c r="GI13" s="349" t="s">
        <v>125</v>
      </c>
      <c r="GJ13" s="349" t="s">
        <v>126</v>
      </c>
      <c r="GK13" s="349" t="s">
        <v>355</v>
      </c>
      <c r="GL13" s="751"/>
      <c r="GM13" s="322"/>
      <c r="GN13" s="749"/>
      <c r="GO13" s="749"/>
      <c r="GP13" s="749"/>
      <c r="GQ13" s="428" t="s">
        <v>583</v>
      </c>
      <c r="GS13" s="437"/>
      <c r="GU13" s="352" t="s">
        <v>363</v>
      </c>
      <c r="GV13" s="351" t="s">
        <v>73</v>
      </c>
      <c r="GW13" s="347" t="s">
        <v>74</v>
      </c>
      <c r="GX13" s="347" t="s">
        <v>75</v>
      </c>
      <c r="GY13" s="347" t="s">
        <v>76</v>
      </c>
      <c r="GZ13" s="347" t="s">
        <v>77</v>
      </c>
      <c r="HA13" s="348" t="s">
        <v>78</v>
      </c>
      <c r="HB13" s="347" t="s">
        <v>79</v>
      </c>
      <c r="HC13" s="349" t="s">
        <v>81</v>
      </c>
      <c r="HD13" s="349" t="s">
        <v>82</v>
      </c>
      <c r="HE13" s="349" t="s">
        <v>83</v>
      </c>
      <c r="HF13" s="349" t="s">
        <v>84</v>
      </c>
      <c r="HG13" s="349" t="s">
        <v>85</v>
      </c>
      <c r="HH13" s="349" t="s">
        <v>86</v>
      </c>
      <c r="HI13" s="349" t="s">
        <v>87</v>
      </c>
      <c r="HJ13" s="350" t="s">
        <v>88</v>
      </c>
      <c r="HK13" s="753"/>
      <c r="HL13" s="347" t="s">
        <v>90</v>
      </c>
      <c r="HM13" s="349" t="s">
        <v>92</v>
      </c>
      <c r="HN13" s="349" t="s">
        <v>93</v>
      </c>
      <c r="HO13" s="349" t="s">
        <v>94</v>
      </c>
      <c r="HP13" s="349" t="s">
        <v>95</v>
      </c>
      <c r="HQ13" s="349" t="s">
        <v>96</v>
      </c>
      <c r="HR13" s="349" t="s">
        <v>97</v>
      </c>
      <c r="HS13" s="755"/>
      <c r="HT13" s="758"/>
      <c r="HU13" s="344"/>
      <c r="HV13" s="349" t="s">
        <v>301</v>
      </c>
      <c r="HW13" s="349" t="s">
        <v>103</v>
      </c>
      <c r="HX13" s="349" t="s">
        <v>104</v>
      </c>
      <c r="HY13" s="347" t="s">
        <v>105</v>
      </c>
      <c r="HZ13" s="756"/>
      <c r="IA13" s="349" t="s">
        <v>108</v>
      </c>
      <c r="IB13" s="349" t="s">
        <v>109</v>
      </c>
      <c r="IC13" s="349" t="s">
        <v>110</v>
      </c>
      <c r="ID13" s="349" t="s">
        <v>111</v>
      </c>
      <c r="IE13" s="347" t="s">
        <v>112</v>
      </c>
      <c r="IF13" s="347" t="s">
        <v>113</v>
      </c>
      <c r="IG13" s="745"/>
      <c r="IH13" s="760"/>
      <c r="II13" s="344"/>
      <c r="IJ13" s="742"/>
      <c r="IK13" s="344"/>
      <c r="IL13" s="347" t="s">
        <v>118</v>
      </c>
      <c r="IM13" s="349" t="s">
        <v>119</v>
      </c>
      <c r="IN13" s="349" t="s">
        <v>120</v>
      </c>
      <c r="IO13" s="349" t="s">
        <v>121</v>
      </c>
      <c r="IP13" s="744"/>
      <c r="IQ13" s="347" t="s">
        <v>124</v>
      </c>
      <c r="IR13" s="349" t="s">
        <v>125</v>
      </c>
      <c r="IS13" s="349" t="s">
        <v>126</v>
      </c>
      <c r="IT13" s="349" t="s">
        <v>355</v>
      </c>
      <c r="IU13" s="751"/>
      <c r="IV13" s="322"/>
      <c r="IW13" s="749"/>
      <c r="IX13" s="749"/>
      <c r="IY13" s="749"/>
      <c r="IZ13" s="428" t="s">
        <v>583</v>
      </c>
    </row>
    <row r="14" spans="1:260" ht="15.75" thickBot="1" x14ac:dyDescent="0.3">
      <c r="A14" s="478"/>
      <c r="B14" s="478"/>
      <c r="D14" s="402"/>
      <c r="E14" s="402"/>
      <c r="F14" s="402"/>
      <c r="G14" s="402"/>
      <c r="H14" s="389"/>
      <c r="I14" s="579"/>
      <c r="J14" s="580"/>
      <c r="K14" s="580"/>
      <c r="L14" s="581"/>
      <c r="M14" s="583"/>
      <c r="N14" s="156"/>
      <c r="O14" s="586"/>
      <c r="P14" s="587"/>
      <c r="Q14" s="389"/>
      <c r="R14" s="9"/>
      <c r="S14" s="9"/>
      <c r="U14" s="323"/>
      <c r="V14" s="323"/>
      <c r="W14" s="323"/>
      <c r="X14" s="323"/>
      <c r="Y14" s="323"/>
      <c r="Z14" s="323"/>
      <c r="AA14" s="323"/>
      <c r="AB14" s="323"/>
      <c r="AC14" s="323"/>
      <c r="AD14" s="323"/>
      <c r="AE14" s="323"/>
      <c r="AF14" s="323"/>
      <c r="AG14" s="323"/>
      <c r="AH14" s="323"/>
      <c r="AI14" s="323"/>
      <c r="AJ14" s="323"/>
      <c r="AK14" s="323"/>
      <c r="AL14" s="323"/>
      <c r="AM14" s="323"/>
      <c r="AN14" s="323"/>
      <c r="AO14" s="323"/>
      <c r="AP14" s="323"/>
      <c r="AQ14" s="323"/>
      <c r="AR14" s="323"/>
      <c r="AS14" s="323"/>
      <c r="AT14" s="322"/>
      <c r="AU14" s="323"/>
      <c r="AV14" s="323"/>
      <c r="AW14" s="323"/>
      <c r="AX14" s="323"/>
      <c r="AY14" s="323"/>
      <c r="AZ14" s="323"/>
      <c r="BA14" s="323"/>
      <c r="BB14" s="323"/>
      <c r="BC14" s="323"/>
      <c r="BD14" s="323"/>
      <c r="BE14" s="323"/>
      <c r="BF14" s="323"/>
      <c r="BG14" s="323"/>
      <c r="BH14" s="322"/>
      <c r="BI14" s="323"/>
      <c r="BJ14" s="322"/>
      <c r="BK14" s="323"/>
      <c r="BL14" s="323"/>
      <c r="BM14" s="323"/>
      <c r="BN14" s="323"/>
      <c r="BO14" s="323"/>
      <c r="BP14" s="323"/>
      <c r="BQ14" s="323"/>
      <c r="BR14" s="323"/>
      <c r="BS14" s="323"/>
      <c r="BT14" s="323"/>
      <c r="BU14" s="322"/>
      <c r="BV14" s="323"/>
      <c r="CD14" s="323"/>
      <c r="CE14" s="323"/>
      <c r="CF14" s="323"/>
      <c r="CG14" s="323"/>
      <c r="CH14" s="323"/>
      <c r="CI14" s="323"/>
      <c r="CJ14" s="323"/>
      <c r="CK14" s="323"/>
      <c r="CL14" s="323"/>
      <c r="CM14" s="323"/>
      <c r="CN14" s="323"/>
      <c r="CO14" s="323"/>
      <c r="CP14" s="323"/>
      <c r="CQ14" s="323"/>
      <c r="CR14" s="323"/>
      <c r="CS14" s="323"/>
      <c r="CT14" s="323"/>
      <c r="CU14" s="323"/>
      <c r="CV14" s="323"/>
      <c r="CW14" s="323"/>
      <c r="CX14" s="323"/>
      <c r="CY14" s="323"/>
      <c r="CZ14" s="323"/>
      <c r="DA14" s="323"/>
      <c r="DB14" s="323"/>
      <c r="DC14" s="322"/>
      <c r="DD14" s="323"/>
      <c r="DE14" s="323"/>
      <c r="DF14" s="323"/>
      <c r="DG14" s="323"/>
      <c r="DH14" s="323"/>
      <c r="DI14" s="323"/>
      <c r="DJ14" s="323"/>
      <c r="DK14" s="323"/>
      <c r="DL14" s="323"/>
      <c r="DM14" s="323"/>
      <c r="DN14" s="323"/>
      <c r="DO14" s="323"/>
      <c r="DP14" s="323"/>
      <c r="DQ14" s="322"/>
      <c r="DR14" s="323"/>
      <c r="DS14" s="322"/>
      <c r="DT14" s="323"/>
      <c r="DU14" s="323"/>
      <c r="DV14" s="323"/>
      <c r="DW14" s="323"/>
      <c r="DX14" s="323"/>
      <c r="DY14" s="323"/>
      <c r="DZ14" s="323"/>
      <c r="EA14" s="323"/>
      <c r="EB14" s="323"/>
      <c r="EC14" s="323"/>
      <c r="ED14" s="322"/>
      <c r="EE14" s="323"/>
      <c r="EM14" s="323"/>
      <c r="EN14" s="323"/>
      <c r="EO14" s="323"/>
      <c r="EP14" s="323"/>
      <c r="EQ14" s="323"/>
      <c r="ER14" s="323"/>
      <c r="ES14" s="323"/>
      <c r="ET14" s="323"/>
      <c r="EU14" s="323"/>
      <c r="EV14" s="323"/>
      <c r="EW14" s="323"/>
      <c r="EX14" s="323"/>
      <c r="EY14" s="323"/>
      <c r="EZ14" s="323"/>
      <c r="FA14" s="323"/>
      <c r="FB14" s="323"/>
      <c r="FC14" s="323"/>
      <c r="FD14" s="323"/>
      <c r="FE14" s="323"/>
      <c r="FF14" s="323"/>
      <c r="FG14" s="323"/>
      <c r="FH14" s="323"/>
      <c r="FI14" s="323"/>
      <c r="FJ14" s="323"/>
      <c r="FK14" s="323"/>
      <c r="FL14" s="322"/>
      <c r="FM14" s="323"/>
      <c r="FN14" s="323"/>
      <c r="FO14" s="323"/>
      <c r="FP14" s="323"/>
      <c r="FQ14" s="323"/>
      <c r="FR14" s="323"/>
      <c r="FS14" s="323"/>
      <c r="FT14" s="323"/>
      <c r="FU14" s="323"/>
      <c r="FV14" s="323"/>
      <c r="FW14" s="323"/>
      <c r="FX14" s="323"/>
      <c r="FY14" s="323"/>
      <c r="FZ14" s="322"/>
      <c r="GA14" s="323"/>
      <c r="GB14" s="322"/>
      <c r="GC14" s="323"/>
      <c r="GD14" s="323"/>
      <c r="GE14" s="323"/>
      <c r="GF14" s="323"/>
      <c r="GG14" s="323"/>
      <c r="GH14" s="323"/>
      <c r="GI14" s="323"/>
      <c r="GJ14" s="323"/>
      <c r="GK14" s="323"/>
      <c r="GL14" s="323"/>
      <c r="GM14" s="322"/>
      <c r="GN14" s="323"/>
      <c r="GV14" s="323"/>
      <c r="GW14" s="323"/>
      <c r="GX14" s="323"/>
      <c r="GY14" s="323"/>
      <c r="GZ14" s="323"/>
      <c r="HA14" s="323"/>
      <c r="HB14" s="323"/>
      <c r="HC14" s="323"/>
      <c r="HD14" s="323"/>
      <c r="HE14" s="323"/>
      <c r="HF14" s="323"/>
      <c r="HG14" s="323"/>
      <c r="HH14" s="323"/>
      <c r="HI14" s="323"/>
      <c r="HJ14" s="323"/>
      <c r="HK14" s="323"/>
      <c r="HL14" s="323"/>
      <c r="HM14" s="323"/>
      <c r="HN14" s="323"/>
      <c r="HO14" s="323"/>
      <c r="HP14" s="323"/>
      <c r="HQ14" s="323"/>
      <c r="HR14" s="323"/>
      <c r="HS14" s="323"/>
      <c r="HT14" s="323"/>
      <c r="HU14" s="322"/>
      <c r="HV14" s="323"/>
      <c r="HW14" s="323"/>
      <c r="HX14" s="323"/>
      <c r="HY14" s="323"/>
      <c r="HZ14" s="323"/>
      <c r="IA14" s="323"/>
      <c r="IB14" s="323"/>
      <c r="IC14" s="323"/>
      <c r="ID14" s="323"/>
      <c r="IE14" s="323"/>
      <c r="IF14" s="323"/>
      <c r="IG14" s="323"/>
      <c r="IH14" s="323"/>
      <c r="II14" s="322"/>
      <c r="IJ14" s="323"/>
      <c r="IK14" s="322"/>
      <c r="IL14" s="323"/>
      <c r="IM14" s="323"/>
      <c r="IN14" s="323"/>
      <c r="IO14" s="323"/>
      <c r="IP14" s="323"/>
      <c r="IQ14" s="323"/>
      <c r="IR14" s="323"/>
      <c r="IS14" s="323"/>
      <c r="IT14" s="323"/>
      <c r="IU14" s="323"/>
      <c r="IV14" s="322"/>
      <c r="IW14" s="323"/>
    </row>
    <row r="15" spans="1:260" s="19" customFormat="1" ht="15.75" thickBot="1" x14ac:dyDescent="0.3">
      <c r="A15" s="479"/>
      <c r="B15" s="479"/>
      <c r="C15" s="124" t="s">
        <v>593</v>
      </c>
      <c r="D15" s="403" t="s">
        <v>590</v>
      </c>
      <c r="E15" s="403" t="s">
        <v>590</v>
      </c>
      <c r="F15" s="403" t="s">
        <v>590</v>
      </c>
      <c r="G15" s="403" t="s">
        <v>590</v>
      </c>
      <c r="H15" s="390"/>
      <c r="I15" s="157"/>
      <c r="J15" s="158"/>
      <c r="K15" s="159"/>
      <c r="L15" s="160"/>
      <c r="M15" s="161" t="s">
        <v>67</v>
      </c>
      <c r="N15" s="162"/>
      <c r="O15" s="233" t="s">
        <v>68</v>
      </c>
      <c r="P15" s="234" t="s">
        <v>69</v>
      </c>
      <c r="Q15" s="390"/>
      <c r="R15" s="18"/>
      <c r="S15" s="18"/>
      <c r="AT15" s="291"/>
      <c r="BH15" s="291"/>
      <c r="BJ15" s="291"/>
      <c r="BU15" s="291"/>
      <c r="CA15" s="438"/>
      <c r="DC15" s="291"/>
      <c r="DQ15" s="291"/>
      <c r="DS15" s="291"/>
      <c r="ED15" s="291"/>
      <c r="EJ15" s="438"/>
      <c r="FL15" s="291"/>
      <c r="FZ15" s="291"/>
      <c r="GB15" s="291"/>
      <c r="GM15" s="291"/>
      <c r="GS15" s="438"/>
      <c r="HU15" s="291"/>
      <c r="II15" s="291"/>
      <c r="IK15" s="291"/>
      <c r="IV15" s="291"/>
    </row>
    <row r="16" spans="1:260" x14ac:dyDescent="0.25">
      <c r="A16" s="480" t="str">
        <f>ADDRESS(ROW(SJRIPSummary!E8),COLUMN(SJRIPSummary!E8),4,1)</f>
        <v>E8</v>
      </c>
      <c r="B16" s="480" t="str">
        <f>RIGHT(A16,LEN(A16)-1)</f>
        <v>8</v>
      </c>
      <c r="C16" t="s">
        <v>73</v>
      </c>
      <c r="D16" s="404">
        <v>1</v>
      </c>
      <c r="E16" s="404">
        <v>62</v>
      </c>
      <c r="F16" s="404">
        <v>123</v>
      </c>
      <c r="G16" s="404">
        <v>184</v>
      </c>
      <c r="H16" s="391"/>
      <c r="I16" s="602" t="s">
        <v>70</v>
      </c>
      <c r="J16" s="604" t="s">
        <v>71</v>
      </c>
      <c r="K16" s="606" t="s">
        <v>72</v>
      </c>
      <c r="L16" s="163" t="s">
        <v>73</v>
      </c>
      <c r="M16" s="164">
        <f ca="1">ROUND(SJRIPSummaryRAW!B9,-2)</f>
        <v>247700</v>
      </c>
      <c r="N16" s="148"/>
      <c r="O16" s="231">
        <f ca="1">ROUND(SJRIPSummaryRAW!D9,-2)</f>
        <v>289800</v>
      </c>
      <c r="P16" s="232">
        <f ca="1">ROUND(SJRIPSummaryRAW!E9,-2)</f>
        <v>173400</v>
      </c>
      <c r="Q16" s="391"/>
      <c r="R16" s="21"/>
      <c r="S16" s="21"/>
      <c r="T16" s="282">
        <v>1929</v>
      </c>
      <c r="U16" s="286">
        <f>AnnualAggregations!$C8</f>
        <v>205044.84905760194</v>
      </c>
      <c r="V16" s="286">
        <f>AnnualDepletions!$BI8</f>
        <v>-8503.0502077164256</v>
      </c>
      <c r="W16" s="286">
        <f>AnnualDepletions!$AM8</f>
        <v>12100.000000000005</v>
      </c>
      <c r="X16" s="286">
        <f>AnnualDepletions!$AK8</f>
        <v>7970.0000000000064</v>
      </c>
      <c r="Y16" s="286">
        <f>AnnualDepletions!$L8</f>
        <v>899.99999999999977</v>
      </c>
      <c r="Z16" s="287">
        <f>SUM(U16:Y16)</f>
        <v>217511.79884988553</v>
      </c>
      <c r="AA16" s="286">
        <f>AnnualDepletions!$AO8</f>
        <v>920.99999999989495</v>
      </c>
      <c r="AB16" s="286">
        <f>AnnualDepletions!$AY8</f>
        <v>1281.9999999998511</v>
      </c>
      <c r="AC16" s="286">
        <f>AnnualAggregations!$F8</f>
        <v>27491.108024813639</v>
      </c>
      <c r="AD16" s="286">
        <f>AnnualAggregations!$G8</f>
        <v>7517.6013841089489</v>
      </c>
      <c r="AE16" s="286">
        <f>AnnualAggregations!$H8</f>
        <v>11173.999999998716</v>
      </c>
      <c r="AF16" s="286">
        <f>AnnualDepletions!$AL8</f>
        <v>9463.9999999989122</v>
      </c>
      <c r="AG16" s="286">
        <f>AnnualDepletions!$AG8</f>
        <v>8381.9999999990359</v>
      </c>
      <c r="AH16" s="286">
        <f>AnnualDepletions!$AN8</f>
        <v>2780.9999999996817</v>
      </c>
      <c r="AI16" s="287">
        <f>SUM(AB16:AH16)</f>
        <v>68091.709408918789</v>
      </c>
      <c r="AJ16" s="287">
        <f>SUM(Z16,AA16,AI16)</f>
        <v>286524.50825880421</v>
      </c>
      <c r="AK16" s="286">
        <f>AnnualDepletions!$AP8</f>
        <v>340.98999999997505</v>
      </c>
      <c r="AL16" s="286">
        <f>AnnualDepletions!$BH8</f>
        <v>25837.308023141672</v>
      </c>
      <c r="AM16" s="286">
        <f>AnnualDepletions!$AJ8</f>
        <v>38999.999998983854</v>
      </c>
      <c r="AN16" s="286">
        <f>AnnualDepletions!$BC8</f>
        <v>16199.99999897049</v>
      </c>
      <c r="AO16" s="286">
        <f>AnnualDepletions!$J8</f>
        <v>2499.9900000012672</v>
      </c>
      <c r="AP16" s="286">
        <f>AnnualAggregations!$I8</f>
        <v>11624.990000001573</v>
      </c>
      <c r="AQ16" s="287">
        <f>SUM(AM16:AP16,AK16)</f>
        <v>69665.96999795716</v>
      </c>
      <c r="AR16" s="287">
        <f>SUM(AK16:AP16)</f>
        <v>95503.278021098842</v>
      </c>
      <c r="AS16" s="287">
        <f>AR16+AJ16</f>
        <v>382027.78627990303</v>
      </c>
      <c r="AU16" s="321">
        <f ca="1">StateModDepletions_ThisScenario!AC6</f>
        <v>33969.125116594136</v>
      </c>
      <c r="AV16" s="321">
        <f ca="1">StateModDepletions_ThisScenario!AD6</f>
        <v>18284.368539318442</v>
      </c>
      <c r="AW16" s="321">
        <f ca="1">StateModDepletions_ThisScenario!AE6</f>
        <v>102940.16437794268</v>
      </c>
      <c r="AX16" s="321">
        <f ca="1">StateModDepletions_ThisScenario!AB6</f>
        <v>24765.810481309891</v>
      </c>
      <c r="AY16" s="288">
        <f ca="1">SUM(AU16:AX16)</f>
        <v>179959.46851516515</v>
      </c>
      <c r="AZ16" s="321">
        <f ca="1">StateModDepletions_ThisScenario!AG6</f>
        <v>45373.896030558724</v>
      </c>
      <c r="BA16" s="321">
        <f ca="1">StateModDepletions_ThisScenario!AF6</f>
        <v>16828.188269749277</v>
      </c>
      <c r="BB16" s="321">
        <f ca="1">StateModDepletions_ThisScenario!AH6</f>
        <v>19411.986725805327</v>
      </c>
      <c r="BC16" s="321">
        <f ca="1">StateModDepletions_ThisScenario!AI6</f>
        <v>22389.265813408867</v>
      </c>
      <c r="BD16" s="321">
        <f ca="1">StateModDepletions_ThisScenario!N6</f>
        <v>1326.6977829933167</v>
      </c>
      <c r="BE16" s="321">
        <f ca="1">StateModDepletions_ThisScenario!V6</f>
        <v>15758.559514045715</v>
      </c>
      <c r="BF16" s="288">
        <f ca="1">SUM(AZ16:BE16)</f>
        <v>121088.59413656122</v>
      </c>
      <c r="BG16" s="288">
        <f ca="1">BF16+AY16</f>
        <v>301048.06265172636</v>
      </c>
      <c r="BI16" s="288">
        <f ca="1">BG16+AS16</f>
        <v>683075.84893162944</v>
      </c>
      <c r="BK16" s="286">
        <f>AnnualAggregations!$D8</f>
        <v>35893.000000000051</v>
      </c>
      <c r="BL16" s="286">
        <f>AnnualAggregations!$B8</f>
        <v>57174.024543631749</v>
      </c>
      <c r="BM16" s="286">
        <f>AnnualDepletions!$BK8</f>
        <v>165380.56707128111</v>
      </c>
      <c r="BN16" s="286">
        <f>AnnualAggregations!$E8</f>
        <v>5000.0000000019172</v>
      </c>
      <c r="BO16" s="287">
        <f>SUM(BK16:BN16)</f>
        <v>263447.59161491483</v>
      </c>
      <c r="BP16" s="321">
        <f ca="1">StateModDepletions_ThisScenario!Y6</f>
        <v>212.11356273293495</v>
      </c>
      <c r="BQ16" s="321">
        <f ca="1">StateModDepletions_ThisScenario!AJ6</f>
        <v>133573.74406770215</v>
      </c>
      <c r="BR16" s="321">
        <f ca="1">StateModDepletions_ThisScenario!Z6</f>
        <v>208895.09327602386</v>
      </c>
      <c r="BS16" s="321">
        <f ca="1">StateModDepletions_ThisScenario!AA6</f>
        <v>75109.235645588793</v>
      </c>
      <c r="BT16" s="286">
        <f>AnnualDepletions!$BG8</f>
        <v>12296.800000006155</v>
      </c>
      <c r="BV16" s="287">
        <f ca="1">BT16+BO16+BI16</f>
        <v>958820.24054655037</v>
      </c>
      <c r="BW16" s="287">
        <f ca="1">BV16-BS16</f>
        <v>883711.00490096153</v>
      </c>
      <c r="BX16" s="287">
        <f t="shared" ref="BX16:BX47" ca="1" si="56">BW16+BY16</f>
        <v>898586.00490096153</v>
      </c>
      <c r="BY16" s="287">
        <f>SJRIPSummaryRAW!$B$79</f>
        <v>14875</v>
      </c>
      <c r="CC16" s="282">
        <v>1929</v>
      </c>
      <c r="CD16" s="286">
        <f>AnnualAggregations!K8</f>
        <v>205044.84905760194</v>
      </c>
      <c r="CE16" s="442" t="s">
        <v>597</v>
      </c>
      <c r="CF16" s="286">
        <f>AnnualDeplReqs!$AM8</f>
        <v>12100.000000000005</v>
      </c>
      <c r="CG16" s="286">
        <f>AnnualDeplReqs!$AK8</f>
        <v>7970.0000000000064</v>
      </c>
      <c r="CH16" s="286">
        <f>AnnualDeplReqs!$L8</f>
        <v>899.99999999999977</v>
      </c>
      <c r="CI16" s="443">
        <f>SUM(CD16:CH16)+V16</f>
        <v>217511.79884988553</v>
      </c>
      <c r="CJ16" s="286">
        <f>AnnualDeplReqs!$AO8</f>
        <v>920.99999999989495</v>
      </c>
      <c r="CK16" s="286">
        <f>AnnualDeplReqs!$AY8</f>
        <v>1281.9999999998511</v>
      </c>
      <c r="CL16" s="286">
        <f>AnnualAggregations!$N8</f>
        <v>27491.108024813639</v>
      </c>
      <c r="CM16" s="286">
        <f>AnnualAggregations!$O8</f>
        <v>10062.999999998847</v>
      </c>
      <c r="CN16" s="286">
        <f>AnnualAggregations!$P8</f>
        <v>11173.999999998716</v>
      </c>
      <c r="CO16" s="286">
        <f>AnnualDeplReqs!$AL8</f>
        <v>9463.9999999989122</v>
      </c>
      <c r="CP16" s="286">
        <f>AnnualDeplReqs!$AG8</f>
        <v>8381.9999999990359</v>
      </c>
      <c r="CQ16" s="286">
        <f>AnnualDeplReqs!$AN8</f>
        <v>2780.9999999996817</v>
      </c>
      <c r="CR16" s="287">
        <f>SUM(CK16:CQ16)</f>
        <v>70637.10802480868</v>
      </c>
      <c r="CS16" s="287">
        <f>SUM(CI16,CJ16,CR16)</f>
        <v>289069.9068746941</v>
      </c>
      <c r="CT16" s="286">
        <f>AnnualDeplReqs!$AP8</f>
        <v>340.98999999997505</v>
      </c>
      <c r="CU16" s="442" t="s">
        <v>597</v>
      </c>
      <c r="CV16" s="286">
        <f>AnnualDeplReqs!$AJ8</f>
        <v>38999.999998983854</v>
      </c>
      <c r="CW16" s="286">
        <f>AnnualDeplReqs!$BC8</f>
        <v>16199.99999897049</v>
      </c>
      <c r="CX16" s="286">
        <f>AnnualDeplReqs!$J8</f>
        <v>2499.9900000012672</v>
      </c>
      <c r="CY16" s="286">
        <f>AnnualAggregations!$Q8</f>
        <v>11624.990000001573</v>
      </c>
      <c r="CZ16" s="287">
        <f>SUM(CV16:CY16,CT16)</f>
        <v>69665.96999795716</v>
      </c>
      <c r="DA16" s="443">
        <f>SUM(CT16:CY16)+AL16</f>
        <v>95503.278021098828</v>
      </c>
      <c r="DB16" s="287">
        <f>DA16+CS16</f>
        <v>384573.18489579292</v>
      </c>
      <c r="DD16" s="440" t="s">
        <v>628</v>
      </c>
      <c r="DE16" s="440" t="s">
        <v>628</v>
      </c>
      <c r="DF16" s="440" t="s">
        <v>628</v>
      </c>
      <c r="DG16" s="440" t="s">
        <v>628</v>
      </c>
      <c r="DH16" s="440" t="s">
        <v>628</v>
      </c>
      <c r="DI16" s="440" t="s">
        <v>628</v>
      </c>
      <c r="DJ16" s="440" t="s">
        <v>628</v>
      </c>
      <c r="DK16" s="440" t="s">
        <v>628</v>
      </c>
      <c r="DL16" s="440" t="s">
        <v>628</v>
      </c>
      <c r="DM16" s="440" t="s">
        <v>628</v>
      </c>
      <c r="DN16" s="440" t="s">
        <v>628</v>
      </c>
      <c r="DO16" s="440" t="s">
        <v>628</v>
      </c>
      <c r="DP16" s="440" t="s">
        <v>628</v>
      </c>
      <c r="DR16" s="440" t="s">
        <v>628</v>
      </c>
      <c r="DT16" s="286">
        <f>AnnualAggregations!$L8</f>
        <v>35893.000000000073</v>
      </c>
      <c r="DU16" s="443">
        <f>AnnualAggregations!$J8</f>
        <v>57174.024543631749</v>
      </c>
      <c r="DV16" s="442" t="s">
        <v>597</v>
      </c>
      <c r="DW16" s="286">
        <f>AnnualAggregations!$M8</f>
        <v>5000.0000000019172</v>
      </c>
      <c r="DX16" s="442" t="s">
        <v>597</v>
      </c>
      <c r="DY16" s="440" t="s">
        <v>628</v>
      </c>
      <c r="DZ16" s="440" t="s">
        <v>628</v>
      </c>
      <c r="EA16" s="440" t="s">
        <v>628</v>
      </c>
      <c r="EB16" s="440" t="s">
        <v>628</v>
      </c>
      <c r="EC16" s="286">
        <f>AnnualDeplReqs!$BG8</f>
        <v>12296.800000006155</v>
      </c>
      <c r="EE16" s="440" t="s">
        <v>628</v>
      </c>
      <c r="EF16" s="440" t="s">
        <v>628</v>
      </c>
      <c r="EG16" s="440" t="s">
        <v>628</v>
      </c>
      <c r="EH16" s="442" t="s">
        <v>597</v>
      </c>
      <c r="EL16" s="282">
        <v>1929</v>
      </c>
      <c r="EM16" s="286">
        <f>AnnualAggregations!S8</f>
        <v>256306.06132200325</v>
      </c>
      <c r="EN16" s="442" t="s">
        <v>597</v>
      </c>
      <c r="EO16" s="286">
        <f>AnnualDiversions!$AM8</f>
        <v>24160.880683190011</v>
      </c>
      <c r="EP16" s="286">
        <f>AnnualDiversions!$AK8</f>
        <v>15864.246446422736</v>
      </c>
      <c r="EQ16" s="286">
        <f>AnnualDiversions!$L8</f>
        <v>1799.9999999999995</v>
      </c>
      <c r="ER16" s="287">
        <f>SUM(EM16:EQ16)</f>
        <v>298131.18845161598</v>
      </c>
      <c r="ES16" s="286">
        <f>AnnualDiversions!$AO8</f>
        <v>1841.9999999997899</v>
      </c>
      <c r="ET16" s="286">
        <f>AnnualDiversions!$AY8</f>
        <v>2320.3619909499589</v>
      </c>
      <c r="EU16" s="286">
        <f>AnnualAggregations!$V8</f>
        <v>46144.669571300983</v>
      </c>
      <c r="EV16" s="286">
        <f>AnnualAggregations!$W8</f>
        <v>14141.975159051402</v>
      </c>
      <c r="EW16" s="286">
        <f>AnnualAggregations!$X8</f>
        <v>17127.763037825309</v>
      </c>
      <c r="EX16" s="286">
        <f>AnnualDiversions!$AL8</f>
        <v>11226.571767495747</v>
      </c>
      <c r="EY16" s="286">
        <f>AnnualDiversions!$AG8</f>
        <v>15885.530180989357</v>
      </c>
      <c r="EZ16" s="286">
        <f>AnnualDiversions!$AN8</f>
        <v>5228.917927986613</v>
      </c>
      <c r="FA16" s="287">
        <f>SUM(ET16:EZ16)</f>
        <v>112075.78963559936</v>
      </c>
      <c r="FB16" s="287">
        <f>SUM(ER16,ES16,FA16)</f>
        <v>412048.9780872151</v>
      </c>
      <c r="FC16" s="286">
        <f>AnnualDiversions!$AP8</f>
        <v>378.87777777775057</v>
      </c>
      <c r="FD16" s="442" t="s">
        <v>597</v>
      </c>
      <c r="FE16" s="286">
        <f>AnnualDiversions!$AJ8</f>
        <v>38999.999998983854</v>
      </c>
      <c r="FF16" s="286">
        <f>AnnualDiversions!$BC8</f>
        <v>16199.99999897049</v>
      </c>
      <c r="FG16" s="286">
        <f>AnnualDiversions!$J8</f>
        <v>4166.6500000021233</v>
      </c>
      <c r="FH16" s="286">
        <f>AnnualAggregations!$Y8</f>
        <v>19374.983333335964</v>
      </c>
      <c r="FI16" s="287">
        <f>SUM(FE16:FH16,FC16)</f>
        <v>79120.511109070183</v>
      </c>
      <c r="FJ16" s="287">
        <f>SUM(FC16:FH16)</f>
        <v>79120.511109070183</v>
      </c>
      <c r="FK16" s="287">
        <f>FJ16+FB16</f>
        <v>491169.48919628526</v>
      </c>
      <c r="FM16" s="440" t="s">
        <v>628</v>
      </c>
      <c r="FN16" s="440" t="s">
        <v>628</v>
      </c>
      <c r="FO16" s="440" t="s">
        <v>628</v>
      </c>
      <c r="FP16" s="440" t="s">
        <v>628</v>
      </c>
      <c r="FQ16" s="440" t="s">
        <v>628</v>
      </c>
      <c r="FR16" s="440" t="s">
        <v>628</v>
      </c>
      <c r="FS16" s="440" t="s">
        <v>628</v>
      </c>
      <c r="FT16" s="440" t="s">
        <v>628</v>
      </c>
      <c r="FU16" s="440" t="s">
        <v>628</v>
      </c>
      <c r="FV16" s="440" t="s">
        <v>628</v>
      </c>
      <c r="FW16" s="440" t="s">
        <v>628</v>
      </c>
      <c r="FX16" s="440" t="s">
        <v>628</v>
      </c>
      <c r="FY16" s="440" t="s">
        <v>628</v>
      </c>
      <c r="GA16" s="440" t="s">
        <v>628</v>
      </c>
      <c r="GC16" s="286">
        <f>AnnualAggregations!$T8</f>
        <v>37764.238566617612</v>
      </c>
      <c r="GD16" s="286">
        <f>AnnualAggregations!$R8</f>
        <v>109067.13000005133</v>
      </c>
      <c r="GE16" s="443">
        <f>$BM16</f>
        <v>165380.56707128111</v>
      </c>
      <c r="GF16" s="286">
        <f>AnnualAggregations!$U8</f>
        <v>5000.0000000019172</v>
      </c>
      <c r="GG16" s="287">
        <f>SUM(GC16:GF16)</f>
        <v>317211.935637952</v>
      </c>
      <c r="GH16" s="440" t="s">
        <v>628</v>
      </c>
      <c r="GI16" s="440" t="s">
        <v>628</v>
      </c>
      <c r="GJ16" s="440" t="s">
        <v>628</v>
      </c>
      <c r="GK16" s="440" t="s">
        <v>628</v>
      </c>
      <c r="GL16" s="286">
        <f>AnnualDiversions!$BG8</f>
        <v>12296.800000006155</v>
      </c>
      <c r="GN16" s="440" t="s">
        <v>628</v>
      </c>
      <c r="GO16" s="440" t="s">
        <v>628</v>
      </c>
      <c r="GP16" s="440" t="s">
        <v>628</v>
      </c>
      <c r="GQ16" s="442" t="s">
        <v>597</v>
      </c>
      <c r="GU16" s="282">
        <v>1929</v>
      </c>
      <c r="GV16" s="286">
        <f>AnnualAggregations!AA8</f>
        <v>256306.06132200325</v>
      </c>
      <c r="GW16" s="442" t="s">
        <v>597</v>
      </c>
      <c r="GX16" s="286">
        <f>AnnualDivReqs!$AM8</f>
        <v>24160.880683190011</v>
      </c>
      <c r="GY16" s="286">
        <f>AnnualDivReqs!$AK8</f>
        <v>15864.246446422736</v>
      </c>
      <c r="GZ16" s="286">
        <f>AnnualDivReqs!$L8</f>
        <v>1799.9999999999995</v>
      </c>
      <c r="HA16" s="287">
        <f>SUM(GV16:GZ16)</f>
        <v>298131.18845161598</v>
      </c>
      <c r="HB16" s="286">
        <f>AnnualDivReqs!$AO8</f>
        <v>1841.9999999997899</v>
      </c>
      <c r="HC16" s="286">
        <f>AnnualDivReqs!$AY8</f>
        <v>2320.3619909499589</v>
      </c>
      <c r="HD16" s="286">
        <f>AnnualAggregations!$AD8</f>
        <v>46144.669571300983</v>
      </c>
      <c r="HE16" s="286">
        <f>AnnualAggregations!$AE8</f>
        <v>18022.374922410338</v>
      </c>
      <c r="HF16" s="286">
        <f>AnnualAggregations!$AF8</f>
        <v>17127.763037825309</v>
      </c>
      <c r="HG16" s="286">
        <f>AnnualDivReqs!$AL8</f>
        <v>11226.571767495747</v>
      </c>
      <c r="HH16" s="286">
        <f>AnnualDivReqs!$AG8</f>
        <v>15885.530180989357</v>
      </c>
      <c r="HI16" s="286">
        <f>AnnualDivReqs!$AN8</f>
        <v>5228.917927986613</v>
      </c>
      <c r="HJ16" s="287">
        <f>SUM(HC16:HI16)</f>
        <v>115956.18939895829</v>
      </c>
      <c r="HK16" s="287">
        <f>SUM(HA16,HB16,HJ16)</f>
        <v>415929.37785057403</v>
      </c>
      <c r="HL16" s="286">
        <f>AnnualDivReqs!$AP8</f>
        <v>378.87777777775057</v>
      </c>
      <c r="HM16" s="442" t="s">
        <v>597</v>
      </c>
      <c r="HN16" s="286">
        <f>AnnualDivReqs!$AJ8</f>
        <v>38999.999998983854</v>
      </c>
      <c r="HO16" s="286">
        <f>AnnualDivReqs!$BC8</f>
        <v>16199.99999897049</v>
      </c>
      <c r="HP16" s="286">
        <f>AnnualDivReqs!$J8</f>
        <v>4166.6500000021233</v>
      </c>
      <c r="HQ16" s="286">
        <f>AnnualAggregations!$AG8</f>
        <v>19374.983333335964</v>
      </c>
      <c r="HR16" s="287">
        <f>SUM(HN16:HQ16,HL16)</f>
        <v>79120.511109070183</v>
      </c>
      <c r="HS16" s="287">
        <f>SUM(HL16:HQ16)</f>
        <v>79120.511109070183</v>
      </c>
      <c r="HT16" s="287">
        <f>HS16+HK16</f>
        <v>495049.88895964425</v>
      </c>
      <c r="HV16" s="440" t="s">
        <v>628</v>
      </c>
      <c r="HW16" s="440" t="s">
        <v>628</v>
      </c>
      <c r="HX16" s="440" t="s">
        <v>628</v>
      </c>
      <c r="HY16" s="440" t="s">
        <v>628</v>
      </c>
      <c r="HZ16" s="440" t="s">
        <v>628</v>
      </c>
      <c r="IA16" s="440" t="s">
        <v>628</v>
      </c>
      <c r="IB16" s="440" t="s">
        <v>628</v>
      </c>
      <c r="IC16" s="440" t="s">
        <v>628</v>
      </c>
      <c r="ID16" s="440" t="s">
        <v>628</v>
      </c>
      <c r="IE16" s="440" t="s">
        <v>628</v>
      </c>
      <c r="IF16" s="440" t="s">
        <v>628</v>
      </c>
      <c r="IG16" s="440" t="s">
        <v>628</v>
      </c>
      <c r="IH16" s="440" t="s">
        <v>628</v>
      </c>
      <c r="IJ16" s="440" t="s">
        <v>628</v>
      </c>
      <c r="IL16" s="286">
        <f>AnnualAggregations!$AB8</f>
        <v>37764.238566617634</v>
      </c>
      <c r="IM16" s="286">
        <f>AnnualAggregations!$Z8</f>
        <v>109067.13000005133</v>
      </c>
      <c r="IN16" s="442" t="s">
        <v>597</v>
      </c>
      <c r="IO16" s="286">
        <f>AnnualAggregations!$AC8</f>
        <v>5000.0000000019172</v>
      </c>
      <c r="IP16" s="442" t="s">
        <v>597</v>
      </c>
      <c r="IQ16" s="440" t="s">
        <v>628</v>
      </c>
      <c r="IR16" s="440" t="s">
        <v>628</v>
      </c>
      <c r="IS16" s="440" t="s">
        <v>628</v>
      </c>
      <c r="IT16" s="440" t="s">
        <v>628</v>
      </c>
      <c r="IU16" s="286">
        <f>AnnualDivReqs!$BG8</f>
        <v>12296.800000006155</v>
      </c>
      <c r="IW16" s="440" t="s">
        <v>628</v>
      </c>
      <c r="IX16" s="440" t="s">
        <v>628</v>
      </c>
      <c r="IY16" s="440" t="s">
        <v>628</v>
      </c>
      <c r="IZ16" s="442" t="s">
        <v>597</v>
      </c>
    </row>
    <row r="17" spans="1:260" x14ac:dyDescent="0.25">
      <c r="A17" s="480" t="str">
        <f>ADDRESS(ROW(SJRIPSummary!E9),COLUMN(SJRIPSummary!E9),4,1)</f>
        <v>E9</v>
      </c>
      <c r="B17" s="480" t="str">
        <f t="shared" ref="B17:B71" si="57">RIGHT(A17,LEN(A17)-1)</f>
        <v>9</v>
      </c>
      <c r="C17" t="s">
        <v>74</v>
      </c>
      <c r="D17" s="404">
        <v>2</v>
      </c>
      <c r="E17" s="404">
        <v>63</v>
      </c>
      <c r="F17" s="404">
        <v>124</v>
      </c>
      <c r="G17" s="404">
        <v>185</v>
      </c>
      <c r="H17" s="391"/>
      <c r="I17" s="602"/>
      <c r="J17" s="604"/>
      <c r="K17" s="607"/>
      <c r="L17" s="163" t="s">
        <v>74</v>
      </c>
      <c r="M17" s="164">
        <f ca="1">ROUND(SJRIPSummaryRAW!B10,-2)</f>
        <v>0</v>
      </c>
      <c r="N17" s="148"/>
      <c r="O17" s="227">
        <f ca="1">ROUND(SJRIPSummaryRAW!D10,-2)</f>
        <v>8300</v>
      </c>
      <c r="P17" s="228">
        <f ca="1">ROUND(SJRIPSummaryRAW!E10,-2)</f>
        <v>-14800</v>
      </c>
      <c r="Q17" s="391"/>
      <c r="R17" s="21"/>
      <c r="S17" s="21"/>
      <c r="T17" s="282">
        <v>1930</v>
      </c>
      <c r="U17" s="286">
        <f>AnnualAggregations!$C9</f>
        <v>226106.50738278934</v>
      </c>
      <c r="V17" s="286">
        <f>AnnualDepletions!$BI9</f>
        <v>-4290.7185426789129</v>
      </c>
      <c r="W17" s="286">
        <f>AnnualDepletions!$AM9</f>
        <v>12099.999999999991</v>
      </c>
      <c r="X17" s="286">
        <f>AnnualDepletions!$AK9</f>
        <v>7970</v>
      </c>
      <c r="Y17" s="286">
        <f>AnnualDepletions!$L9</f>
        <v>899.99999999999977</v>
      </c>
      <c r="Z17" s="287">
        <f t="shared" ref="Z17:Z80" si="58">SUM(U17:Y17)</f>
        <v>242785.78884011041</v>
      </c>
      <c r="AA17" s="286">
        <f>AnnualDepletions!$AO9</f>
        <v>1010.9999999998838</v>
      </c>
      <c r="AB17" s="286">
        <f>AnnualDepletions!$AY9</f>
        <v>1475.9999999998304</v>
      </c>
      <c r="AC17" s="286">
        <f>AnnualAggregations!$F9</f>
        <v>32236.999999996297</v>
      </c>
      <c r="AD17" s="286">
        <f>AnnualAggregations!$G9</f>
        <v>5704.0392476925572</v>
      </c>
      <c r="AE17" s="286">
        <f>AnnualAggregations!$H9</f>
        <v>12645.999999998541</v>
      </c>
      <c r="AF17" s="286">
        <f>AnnualDepletions!$AL9</f>
        <v>10714.999999998774</v>
      </c>
      <c r="AG17" s="286">
        <f>AnnualDepletions!$AG9</f>
        <v>9244.9999999989286</v>
      </c>
      <c r="AH17" s="286">
        <f>AnnualDepletions!$AN9</f>
        <v>2945.9999999996617</v>
      </c>
      <c r="AI17" s="287">
        <f t="shared" ref="AI17:AI80" si="59">SUM(AB17:AH17)</f>
        <v>74969.039247684588</v>
      </c>
      <c r="AJ17" s="287">
        <f t="shared" ref="AJ17:AJ80" si="60">SUM(Z17,AA17,AI17)</f>
        <v>318765.82808779489</v>
      </c>
      <c r="AK17" s="286">
        <f>AnnualDepletions!$AP9</f>
        <v>340.98999999997505</v>
      </c>
      <c r="AL17" s="286">
        <f>AnnualDepletions!$BH9</f>
        <v>27734.880466605395</v>
      </c>
      <c r="AM17" s="286">
        <f>AnnualDepletions!$AJ9</f>
        <v>38999.999998983854</v>
      </c>
      <c r="AN17" s="286">
        <f>AnnualDepletions!$BC9</f>
        <v>16199.99999897049</v>
      </c>
      <c r="AO17" s="286">
        <f>AnnualDepletions!$J9</f>
        <v>2499.9900000012672</v>
      </c>
      <c r="AP17" s="286">
        <f>AnnualAggregations!$I9</f>
        <v>11624.990000001573</v>
      </c>
      <c r="AQ17" s="287">
        <f t="shared" ref="AQ17:AQ80" si="61">SUM(AM17:AP17,AK17)</f>
        <v>69665.96999795716</v>
      </c>
      <c r="AR17" s="287">
        <f t="shared" ref="AR17:AR80" si="62">SUM(AK17:AP17)</f>
        <v>97400.850464562565</v>
      </c>
      <c r="AS17" s="287">
        <f t="shared" ref="AS17:AS80" si="63">AR17+AJ17</f>
        <v>416166.67855235748</v>
      </c>
      <c r="AU17" s="321">
        <f ca="1">StateModDepletions_ThisScenario!AC7</f>
        <v>32708.830399893224</v>
      </c>
      <c r="AV17" s="321">
        <f ca="1">StateModDepletions_ThisScenario!AD7</f>
        <v>17879.027528759558</v>
      </c>
      <c r="AW17" s="321">
        <f ca="1">StateModDepletions_ThisScenario!AE7</f>
        <v>104405.77911167592</v>
      </c>
      <c r="AX17" s="321">
        <f ca="1">StateModDepletions_ThisScenario!AB7</f>
        <v>24765.810481309891</v>
      </c>
      <c r="AY17" s="288">
        <f t="shared" ref="AY17:AY80" ca="1" si="64">SUM(AU17:AX17)</f>
        <v>179759.44752163859</v>
      </c>
      <c r="AZ17" s="321">
        <f ca="1">StateModDepletions_ThisScenario!AG7</f>
        <v>39746.28376573183</v>
      </c>
      <c r="BA17" s="321">
        <f ca="1">StateModDepletions_ThisScenario!AF7</f>
        <v>17403.806618399925</v>
      </c>
      <c r="BB17" s="321">
        <f ca="1">StateModDepletions_ThisScenario!AH7</f>
        <v>14676.502460105345</v>
      </c>
      <c r="BC17" s="321">
        <f ca="1">StateModDepletions_ThisScenario!AI7</f>
        <v>14755.543009190418</v>
      </c>
      <c r="BD17" s="321">
        <f ca="1">StateModDepletions_ThisScenario!N7</f>
        <v>1326.6977829933167</v>
      </c>
      <c r="BE17" s="321">
        <f ca="1">StateModDepletions_ThisScenario!V7</f>
        <v>12123.480282783508</v>
      </c>
      <c r="BF17" s="288">
        <f t="shared" ref="BF17:BF80" ca="1" si="65">SUM(AZ17:BE17)</f>
        <v>100032.31391920435</v>
      </c>
      <c r="BG17" s="288">
        <f t="shared" ref="BG17:BG80" ca="1" si="66">BF17+AY17</f>
        <v>279791.76144084294</v>
      </c>
      <c r="BI17" s="288">
        <f t="shared" ref="BI17:BI80" ca="1" si="67">BG17+AS17</f>
        <v>695958.43999320036</v>
      </c>
      <c r="BK17" s="286">
        <f>AnnualAggregations!$D9</f>
        <v>35893.000000000051</v>
      </c>
      <c r="BL17" s="286">
        <f>AnnualAggregations!$B9</f>
        <v>57167.482535300594</v>
      </c>
      <c r="BM17" s="286">
        <f>AnnualDepletions!$BK9</f>
        <v>86982.176530438315</v>
      </c>
      <c r="BN17" s="286">
        <f>AnnualAggregations!$E9</f>
        <v>5000.0000000019172</v>
      </c>
      <c r="BO17" s="287">
        <f t="shared" ref="BO17:BO80" si="68">SUM(BK17:BN17)</f>
        <v>185042.65906574088</v>
      </c>
      <c r="BP17" s="321">
        <f ca="1">StateModDepletions_ThisScenario!Y7</f>
        <v>212.11356273293495</v>
      </c>
      <c r="BQ17" s="321">
        <f ca="1">StateModDepletions_ThisScenario!AJ7</f>
        <v>140667.45081005961</v>
      </c>
      <c r="BR17" s="321">
        <f ca="1">StateModDepletions_ThisScenario!Z7</f>
        <v>202969.3631567955</v>
      </c>
      <c r="BS17" s="321">
        <f ca="1">StateModDepletions_ThisScenario!AA7</f>
        <v>62089.798784002953</v>
      </c>
      <c r="BT17" s="286">
        <f>AnnualDepletions!$BG9</f>
        <v>12296.800000006155</v>
      </c>
      <c r="BV17" s="287">
        <f t="shared" ref="BV17:BV80" ca="1" si="69">BT17+BO17+BI17</f>
        <v>893297.89905894734</v>
      </c>
      <c r="BW17" s="287">
        <f t="shared" ref="BW17:BW80" ca="1" si="70">BV17-BS17</f>
        <v>831208.10027494445</v>
      </c>
      <c r="BX17" s="287">
        <f t="shared" ca="1" si="56"/>
        <v>846083.10027494445</v>
      </c>
      <c r="BY17" s="287">
        <f>SJRIPSummaryRAW!$B$79</f>
        <v>14875</v>
      </c>
      <c r="CC17" s="282">
        <v>1930</v>
      </c>
      <c r="CD17" s="286">
        <f>AnnualAggregations!K9</f>
        <v>226106.50738278934</v>
      </c>
      <c r="CE17" s="442" t="s">
        <v>597</v>
      </c>
      <c r="CF17" s="286">
        <f>AnnualDeplReqs!$AM9</f>
        <v>12099.999999999991</v>
      </c>
      <c r="CG17" s="286">
        <f>AnnualDeplReqs!$AK9</f>
        <v>7970</v>
      </c>
      <c r="CH17" s="286">
        <f>AnnualDeplReqs!$L9</f>
        <v>899.99999999999977</v>
      </c>
      <c r="CI17" s="443">
        <f t="shared" ref="CI17:CI80" si="71">SUM(CD17:CH17)+V17</f>
        <v>242785.78884011041</v>
      </c>
      <c r="CJ17" s="286">
        <f>AnnualDeplReqs!$AO9</f>
        <v>1010.9999999998838</v>
      </c>
      <c r="CK17" s="286">
        <f>AnnualDeplReqs!$AY9</f>
        <v>1475.9999999998304</v>
      </c>
      <c r="CL17" s="286">
        <f>AnnualAggregations!$N9</f>
        <v>32236.999999996297</v>
      </c>
      <c r="CM17" s="286">
        <f>AnnualAggregations!$O9</f>
        <v>11782.999999998645</v>
      </c>
      <c r="CN17" s="286">
        <f>AnnualAggregations!$P9</f>
        <v>12645.999999998541</v>
      </c>
      <c r="CO17" s="286">
        <f>AnnualDeplReqs!$AL9</f>
        <v>10714.999999998774</v>
      </c>
      <c r="CP17" s="286">
        <f>AnnualDeplReqs!$AG9</f>
        <v>9244.9999999989286</v>
      </c>
      <c r="CQ17" s="286">
        <f>AnnualDeplReqs!$AN9</f>
        <v>2945.9999999996617</v>
      </c>
      <c r="CR17" s="287">
        <f t="shared" ref="CR17:CR80" si="72">SUM(CK17:CQ17)</f>
        <v>81047.999999990687</v>
      </c>
      <c r="CS17" s="287">
        <f t="shared" ref="CS17:CS80" si="73">SUM(CI17,CJ17,CR17)</f>
        <v>324844.78884010098</v>
      </c>
      <c r="CT17" s="286">
        <f>AnnualDeplReqs!$AP9</f>
        <v>340.98999999997505</v>
      </c>
      <c r="CU17" s="442" t="s">
        <v>597</v>
      </c>
      <c r="CV17" s="286">
        <f>AnnualDeplReqs!$AJ9</f>
        <v>38999.999998983854</v>
      </c>
      <c r="CW17" s="286">
        <f>AnnualDeplReqs!$BC9</f>
        <v>16199.99999897049</v>
      </c>
      <c r="CX17" s="286">
        <f>AnnualDeplReqs!$J9</f>
        <v>2499.9900000012672</v>
      </c>
      <c r="CY17" s="286">
        <f>AnnualAggregations!$Q9</f>
        <v>11624.990000001573</v>
      </c>
      <c r="CZ17" s="287">
        <f t="shared" ref="CZ17:CZ80" si="74">SUM(CV17:CY17,CT17)</f>
        <v>69665.96999795716</v>
      </c>
      <c r="DA17" s="443">
        <f t="shared" ref="DA17:DA80" si="75">SUM(CT17:CY17)+AL17</f>
        <v>97400.850464562551</v>
      </c>
      <c r="DB17" s="287">
        <f t="shared" ref="DB17:DB80" si="76">DA17+CS17</f>
        <v>422245.63930466352</v>
      </c>
      <c r="DD17" s="440" t="s">
        <v>628</v>
      </c>
      <c r="DE17" s="440" t="s">
        <v>628</v>
      </c>
      <c r="DF17" s="440" t="s">
        <v>628</v>
      </c>
      <c r="DG17" s="440" t="s">
        <v>628</v>
      </c>
      <c r="DH17" s="440" t="s">
        <v>628</v>
      </c>
      <c r="DI17" s="440" t="s">
        <v>628</v>
      </c>
      <c r="DJ17" s="440" t="s">
        <v>628</v>
      </c>
      <c r="DK17" s="440" t="s">
        <v>628</v>
      </c>
      <c r="DL17" s="440" t="s">
        <v>628</v>
      </c>
      <c r="DM17" s="440" t="s">
        <v>628</v>
      </c>
      <c r="DN17" s="440" t="s">
        <v>628</v>
      </c>
      <c r="DO17" s="440" t="s">
        <v>628</v>
      </c>
      <c r="DP17" s="440" t="s">
        <v>628</v>
      </c>
      <c r="DR17" s="440" t="s">
        <v>628</v>
      </c>
      <c r="DT17" s="286">
        <f>AnnualAggregations!$L9</f>
        <v>35893.000000000073</v>
      </c>
      <c r="DU17" s="443">
        <f>AnnualAggregations!$J9</f>
        <v>57167.482535300594</v>
      </c>
      <c r="DV17" s="442" t="s">
        <v>597</v>
      </c>
      <c r="DW17" s="286">
        <f>AnnualAggregations!$M9</f>
        <v>5000.0000000019172</v>
      </c>
      <c r="DX17" s="442" t="s">
        <v>597</v>
      </c>
      <c r="DY17" s="440" t="s">
        <v>628</v>
      </c>
      <c r="DZ17" s="440" t="s">
        <v>628</v>
      </c>
      <c r="EA17" s="440" t="s">
        <v>628</v>
      </c>
      <c r="EB17" s="440" t="s">
        <v>628</v>
      </c>
      <c r="EC17" s="286">
        <f>AnnualDeplReqs!$BG9</f>
        <v>12296.800000006155</v>
      </c>
      <c r="EE17" s="440" t="s">
        <v>628</v>
      </c>
      <c r="EF17" s="440" t="s">
        <v>628</v>
      </c>
      <c r="EG17" s="440" t="s">
        <v>628</v>
      </c>
      <c r="EH17" s="442" t="s">
        <v>597</v>
      </c>
      <c r="EL17" s="282">
        <v>1930</v>
      </c>
      <c r="EM17" s="286">
        <f>AnnualAggregations!S9</f>
        <v>282633.1342284868</v>
      </c>
      <c r="EN17" s="442" t="s">
        <v>597</v>
      </c>
      <c r="EO17" s="286">
        <f>AnnualDiversions!$AM9</f>
        <v>24160.880683189975</v>
      </c>
      <c r="EP17" s="286">
        <f>AnnualDiversions!$AK9</f>
        <v>15864.246446422736</v>
      </c>
      <c r="EQ17" s="286">
        <f>AnnualDiversions!$L9</f>
        <v>1799.9999999999995</v>
      </c>
      <c r="ER17" s="287">
        <f t="shared" ref="ER17:ER80" si="77">SUM(EM17:EQ17)</f>
        <v>324458.26135809947</v>
      </c>
      <c r="ES17" s="286">
        <f>AnnualDiversions!$AO9</f>
        <v>2021.9999999997676</v>
      </c>
      <c r="ET17" s="286">
        <f>AnnualDiversions!$AY9</f>
        <v>2671.4932126693757</v>
      </c>
      <c r="EU17" s="286">
        <f>AnnualAggregations!$V9</f>
        <v>54120.754780655363</v>
      </c>
      <c r="EV17" s="286">
        <f>AnnualAggregations!$W9</f>
        <v>10268.513485603922</v>
      </c>
      <c r="EW17" s="286">
        <f>AnnualAggregations!$X9</f>
        <v>19384.839267705021</v>
      </c>
      <c r="EX17" s="286">
        <f>AnnualDiversions!$AL9</f>
        <v>12710.557532620132</v>
      </c>
      <c r="EY17" s="286">
        <f>AnnualDiversions!$AG9</f>
        <v>17521.084051926337</v>
      </c>
      <c r="EZ17" s="286">
        <f>AnnualDiversions!$AN9</f>
        <v>5539.1557770041591</v>
      </c>
      <c r="FA17" s="287">
        <f t="shared" ref="FA17:FA80" si="78">SUM(ET17:EZ17)</f>
        <v>122216.39810818432</v>
      </c>
      <c r="FB17" s="287">
        <f t="shared" ref="FB17:FB80" si="79">SUM(ER17,ES17,FA17)</f>
        <v>448696.65946628357</v>
      </c>
      <c r="FC17" s="286">
        <f>AnnualDiversions!$AP9</f>
        <v>378.87777777775057</v>
      </c>
      <c r="FD17" s="442" t="s">
        <v>597</v>
      </c>
      <c r="FE17" s="286">
        <f>AnnualDiversions!$AJ9</f>
        <v>38999.999998983854</v>
      </c>
      <c r="FF17" s="286">
        <f>AnnualDiversions!$BC9</f>
        <v>16199.99999897049</v>
      </c>
      <c r="FG17" s="286">
        <f>AnnualDiversions!$J9</f>
        <v>4166.6500000021233</v>
      </c>
      <c r="FH17" s="286">
        <f>AnnualAggregations!$Y9</f>
        <v>19374.983333335964</v>
      </c>
      <c r="FI17" s="287">
        <f t="shared" ref="FI17:FI80" si="80">SUM(FE17:FH17,FC17)</f>
        <v>79120.511109070183</v>
      </c>
      <c r="FJ17" s="287">
        <f t="shared" ref="FJ17:FJ80" si="81">SUM(FC17:FH17)</f>
        <v>79120.511109070183</v>
      </c>
      <c r="FK17" s="287">
        <f t="shared" ref="FK17:FK80" si="82">FJ17+FB17</f>
        <v>527817.17057535378</v>
      </c>
      <c r="FM17" s="440" t="s">
        <v>628</v>
      </c>
      <c r="FN17" s="440" t="s">
        <v>628</v>
      </c>
      <c r="FO17" s="440" t="s">
        <v>628</v>
      </c>
      <c r="FP17" s="440" t="s">
        <v>628</v>
      </c>
      <c r="FQ17" s="440" t="s">
        <v>628</v>
      </c>
      <c r="FR17" s="440" t="s">
        <v>628</v>
      </c>
      <c r="FS17" s="440" t="s">
        <v>628</v>
      </c>
      <c r="FT17" s="440" t="s">
        <v>628</v>
      </c>
      <c r="FU17" s="440" t="s">
        <v>628</v>
      </c>
      <c r="FV17" s="440" t="s">
        <v>628</v>
      </c>
      <c r="FW17" s="440" t="s">
        <v>628</v>
      </c>
      <c r="FX17" s="440" t="s">
        <v>628</v>
      </c>
      <c r="FY17" s="440" t="s">
        <v>628</v>
      </c>
      <c r="GA17" s="440" t="s">
        <v>628</v>
      </c>
      <c r="GC17" s="286">
        <f>AnnualAggregations!$T9</f>
        <v>37764.238566617612</v>
      </c>
      <c r="GD17" s="286">
        <f>AnnualAggregations!$R9</f>
        <v>109067.13000005133</v>
      </c>
      <c r="GE17" s="443">
        <f t="shared" ref="GE17:GE80" si="83">$BM17</f>
        <v>86982.176530438315</v>
      </c>
      <c r="GF17" s="286">
        <f>AnnualAggregations!$U9</f>
        <v>5000.0000000019172</v>
      </c>
      <c r="GG17" s="287">
        <f t="shared" ref="GG17:GG80" si="84">SUM(GC17:GF17)</f>
        <v>238813.54509710916</v>
      </c>
      <c r="GH17" s="440" t="s">
        <v>628</v>
      </c>
      <c r="GI17" s="440" t="s">
        <v>628</v>
      </c>
      <c r="GJ17" s="440" t="s">
        <v>628</v>
      </c>
      <c r="GK17" s="440" t="s">
        <v>628</v>
      </c>
      <c r="GL17" s="286">
        <f>AnnualDiversions!$BG9</f>
        <v>12296.800000006155</v>
      </c>
      <c r="GN17" s="440" t="s">
        <v>628</v>
      </c>
      <c r="GO17" s="440" t="s">
        <v>628</v>
      </c>
      <c r="GP17" s="440" t="s">
        <v>628</v>
      </c>
      <c r="GQ17" s="442" t="s">
        <v>597</v>
      </c>
      <c r="GU17" s="282">
        <v>1930</v>
      </c>
      <c r="GV17" s="286">
        <f>AnnualAggregations!AA9</f>
        <v>282633.1342284868</v>
      </c>
      <c r="GW17" s="442" t="s">
        <v>597</v>
      </c>
      <c r="GX17" s="286">
        <f>AnnualDivReqs!$AM9</f>
        <v>24160.880683189975</v>
      </c>
      <c r="GY17" s="286">
        <f>AnnualDivReqs!$AK9</f>
        <v>15864.246446422736</v>
      </c>
      <c r="GZ17" s="286">
        <f>AnnualDivReqs!$L9</f>
        <v>1799.9999999999995</v>
      </c>
      <c r="HA17" s="287">
        <f t="shared" ref="HA17:HA80" si="85">SUM(GV17:GZ17)</f>
        <v>324458.26135809947</v>
      </c>
      <c r="HB17" s="286">
        <f>AnnualDivReqs!$AO9</f>
        <v>2021.9999999997676</v>
      </c>
      <c r="HC17" s="286">
        <f>AnnualDivReqs!$AY9</f>
        <v>2671.4932126693757</v>
      </c>
      <c r="HD17" s="286">
        <f>AnnualAggregations!$AD9</f>
        <v>54120.754780655363</v>
      </c>
      <c r="HE17" s="286">
        <f>AnnualAggregations!$AE9</f>
        <v>21105.715687946074</v>
      </c>
      <c r="HF17" s="286">
        <f>AnnualAggregations!$AF9</f>
        <v>19384.839267705021</v>
      </c>
      <c r="HG17" s="286">
        <f>AnnualDivReqs!$AL9</f>
        <v>12710.557532620132</v>
      </c>
      <c r="HH17" s="286">
        <f>AnnualDivReqs!$AG9</f>
        <v>17521.084051926337</v>
      </c>
      <c r="HI17" s="286">
        <f>AnnualDivReqs!$AN9</f>
        <v>5539.1557770041591</v>
      </c>
      <c r="HJ17" s="287">
        <f t="shared" ref="HJ17:HJ80" si="86">SUM(HC17:HI17)</f>
        <v>133053.60031052647</v>
      </c>
      <c r="HK17" s="287">
        <f t="shared" ref="HK17:HK80" si="87">SUM(HA17,HB17,HJ17)</f>
        <v>459533.86166862573</v>
      </c>
      <c r="HL17" s="286">
        <f>AnnualDivReqs!$AP9</f>
        <v>378.87777777775057</v>
      </c>
      <c r="HM17" s="442" t="s">
        <v>597</v>
      </c>
      <c r="HN17" s="286">
        <f>AnnualDivReqs!$AJ9</f>
        <v>38999.999998983854</v>
      </c>
      <c r="HO17" s="286">
        <f>AnnualDivReqs!$BC9</f>
        <v>16199.99999897049</v>
      </c>
      <c r="HP17" s="286">
        <f>AnnualDivReqs!$J9</f>
        <v>4166.6500000021233</v>
      </c>
      <c r="HQ17" s="286">
        <f>AnnualAggregations!$AG9</f>
        <v>19374.983333335964</v>
      </c>
      <c r="HR17" s="287">
        <f t="shared" ref="HR17:HR80" si="88">SUM(HN17:HQ17,HL17)</f>
        <v>79120.511109070183</v>
      </c>
      <c r="HS17" s="287">
        <f t="shared" ref="HS17:HS80" si="89">SUM(HL17:HQ17)</f>
        <v>79120.511109070183</v>
      </c>
      <c r="HT17" s="287">
        <f t="shared" ref="HT17:HT80" si="90">HS17+HK17</f>
        <v>538654.37277769588</v>
      </c>
      <c r="HV17" s="440" t="s">
        <v>628</v>
      </c>
      <c r="HW17" s="440" t="s">
        <v>628</v>
      </c>
      <c r="HX17" s="440" t="s">
        <v>628</v>
      </c>
      <c r="HY17" s="440" t="s">
        <v>628</v>
      </c>
      <c r="HZ17" s="440" t="s">
        <v>628</v>
      </c>
      <c r="IA17" s="440" t="s">
        <v>628</v>
      </c>
      <c r="IB17" s="440" t="s">
        <v>628</v>
      </c>
      <c r="IC17" s="440" t="s">
        <v>628</v>
      </c>
      <c r="ID17" s="440" t="s">
        <v>628</v>
      </c>
      <c r="IE17" s="440" t="s">
        <v>628</v>
      </c>
      <c r="IF17" s="440" t="s">
        <v>628</v>
      </c>
      <c r="IG17" s="440" t="s">
        <v>628</v>
      </c>
      <c r="IH17" s="440" t="s">
        <v>628</v>
      </c>
      <c r="IJ17" s="440" t="s">
        <v>628</v>
      </c>
      <c r="IL17" s="286">
        <f>AnnualAggregations!$AB9</f>
        <v>37764.238566617634</v>
      </c>
      <c r="IM17" s="286">
        <f>AnnualAggregations!$Z9</f>
        <v>109067.13000005133</v>
      </c>
      <c r="IN17" s="442" t="s">
        <v>597</v>
      </c>
      <c r="IO17" s="286">
        <f>AnnualAggregations!$AC9</f>
        <v>5000.0000000019172</v>
      </c>
      <c r="IP17" s="442" t="s">
        <v>597</v>
      </c>
      <c r="IQ17" s="440" t="s">
        <v>628</v>
      </c>
      <c r="IR17" s="440" t="s">
        <v>628</v>
      </c>
      <c r="IS17" s="440" t="s">
        <v>628</v>
      </c>
      <c r="IT17" s="440" t="s">
        <v>628</v>
      </c>
      <c r="IU17" s="286">
        <f>AnnualDivReqs!$BG9</f>
        <v>12296.800000006155</v>
      </c>
      <c r="IW17" s="440" t="s">
        <v>628</v>
      </c>
      <c r="IX17" s="440" t="s">
        <v>628</v>
      </c>
      <c r="IY17" s="440" t="s">
        <v>628</v>
      </c>
      <c r="IZ17" s="442" t="s">
        <v>597</v>
      </c>
    </row>
    <row r="18" spans="1:260" x14ac:dyDescent="0.25">
      <c r="A18" s="480" t="str">
        <f>ADDRESS(ROW(SJRIPSummary!E10),COLUMN(SJRIPSummary!E10),4,1)</f>
        <v>E10</v>
      </c>
      <c r="B18" s="480" t="str">
        <f t="shared" si="57"/>
        <v>10</v>
      </c>
      <c r="C18" t="s">
        <v>75</v>
      </c>
      <c r="D18" s="404">
        <v>3</v>
      </c>
      <c r="E18" s="404">
        <v>64</v>
      </c>
      <c r="F18" s="404">
        <v>125</v>
      </c>
      <c r="G18" s="404">
        <v>186</v>
      </c>
      <c r="H18" s="391"/>
      <c r="I18" s="602"/>
      <c r="J18" s="604"/>
      <c r="K18" s="607"/>
      <c r="L18" s="163" t="s">
        <v>75</v>
      </c>
      <c r="M18" s="164">
        <f ca="1">ROUND(SJRIPSummaryRAW!B11,-2)</f>
        <v>12100</v>
      </c>
      <c r="N18" s="148"/>
      <c r="O18" s="227">
        <f ca="1">ROUND(SJRIPSummaryRAW!D11,-2)</f>
        <v>12100</v>
      </c>
      <c r="P18" s="228">
        <f ca="1">ROUND(SJRIPSummaryRAW!E11,-2)</f>
        <v>8800</v>
      </c>
      <c r="Q18" s="391"/>
      <c r="R18" s="21"/>
      <c r="S18" s="21"/>
      <c r="T18" s="282">
        <v>1931</v>
      </c>
      <c r="U18" s="286">
        <f>AnnualAggregations!$C10</f>
        <v>224787.66544559129</v>
      </c>
      <c r="V18" s="286">
        <f>AnnualDepletions!$BI10</f>
        <v>-4554.4869301185154</v>
      </c>
      <c r="W18" s="286">
        <f>AnnualDepletions!$AM10</f>
        <v>12099.999999999993</v>
      </c>
      <c r="X18" s="286">
        <f>AnnualDepletions!$AK10</f>
        <v>7970.0000000000155</v>
      </c>
      <c r="Y18" s="286">
        <f>AnnualDepletions!$L10</f>
        <v>900.00000000000125</v>
      </c>
      <c r="Z18" s="287">
        <f t="shared" si="58"/>
        <v>241203.1785154728</v>
      </c>
      <c r="AA18" s="286">
        <f>AnnualDepletions!$AO10</f>
        <v>1097.9999999998745</v>
      </c>
      <c r="AB18" s="286">
        <f>AnnualDepletions!$AY10</f>
        <v>1449.9999999998336</v>
      </c>
      <c r="AC18" s="286">
        <f>AnnualAggregations!$F10</f>
        <v>30862.350570747752</v>
      </c>
      <c r="AD18" s="286">
        <f>AnnualAggregations!$G10</f>
        <v>2975.6327023860349</v>
      </c>
      <c r="AE18" s="286">
        <f>AnnualAggregations!$H10</f>
        <v>12531.999999998558</v>
      </c>
      <c r="AF18" s="286">
        <f>AnnualDepletions!$AL10</f>
        <v>10663.999999998772</v>
      </c>
      <c r="AG18" s="286">
        <f>AnnualDepletions!$AG10</f>
        <v>9201.9999999989486</v>
      </c>
      <c r="AH18" s="286">
        <f>AnnualDepletions!$AN10</f>
        <v>3042.9999999996512</v>
      </c>
      <c r="AI18" s="287">
        <f t="shared" si="59"/>
        <v>70728.983273129546</v>
      </c>
      <c r="AJ18" s="287">
        <f t="shared" si="60"/>
        <v>313030.16178860224</v>
      </c>
      <c r="AK18" s="286">
        <f>AnnualDepletions!$AP10</f>
        <v>340.98999999997505</v>
      </c>
      <c r="AL18" s="286">
        <f>AnnualDepletions!$BH10</f>
        <v>23709.449797076391</v>
      </c>
      <c r="AM18" s="286">
        <f>AnnualDepletions!$AJ10</f>
        <v>38999.999998983854</v>
      </c>
      <c r="AN18" s="286">
        <f>AnnualDepletions!$BC10</f>
        <v>16199.99999897049</v>
      </c>
      <c r="AO18" s="286">
        <f>AnnualDepletions!$J10</f>
        <v>2499.9900000012672</v>
      </c>
      <c r="AP18" s="286">
        <f>AnnualAggregations!$I10</f>
        <v>11624.990000001573</v>
      </c>
      <c r="AQ18" s="287">
        <f t="shared" si="61"/>
        <v>69665.96999795716</v>
      </c>
      <c r="AR18" s="287">
        <f t="shared" si="62"/>
        <v>93375.419795033566</v>
      </c>
      <c r="AS18" s="287">
        <f t="shared" si="63"/>
        <v>406405.58158363582</v>
      </c>
      <c r="AU18" s="321">
        <f ca="1">StateModDepletions_ThisScenario!AC8</f>
        <v>32502.707860462368</v>
      </c>
      <c r="AV18" s="321">
        <f ca="1">StateModDepletions_ThisScenario!AD8</f>
        <v>17642.075844928622</v>
      </c>
      <c r="AW18" s="321">
        <f ca="1">StateModDepletions_ThisScenario!AE8</f>
        <v>106134.30960047245</v>
      </c>
      <c r="AX18" s="321">
        <f ca="1">StateModDepletions_ThisScenario!AB8</f>
        <v>24765.810481309891</v>
      </c>
      <c r="AY18" s="288">
        <f t="shared" ca="1" si="64"/>
        <v>181044.90378717333</v>
      </c>
      <c r="AZ18" s="321">
        <f ca="1">StateModDepletions_ThisScenario!AG8</f>
        <v>28275.45935714848</v>
      </c>
      <c r="BA18" s="321">
        <f ca="1">StateModDepletions_ThisScenario!AF8</f>
        <v>17833.018653474726</v>
      </c>
      <c r="BB18" s="321">
        <f ca="1">StateModDepletions_ThisScenario!AH8</f>
        <v>11679.181787073612</v>
      </c>
      <c r="BC18" s="321">
        <f ca="1">StateModDepletions_ThisScenario!AI8</f>
        <v>9271.2642667616637</v>
      </c>
      <c r="BD18" s="321">
        <f ca="1">StateModDepletions_ThisScenario!N8</f>
        <v>1326.6977829933167</v>
      </c>
      <c r="BE18" s="321">
        <f ca="1">StateModDepletions_ThisScenario!V8</f>
        <v>9875.3438539505005</v>
      </c>
      <c r="BF18" s="288">
        <f t="shared" ca="1" si="65"/>
        <v>78260.965701402296</v>
      </c>
      <c r="BG18" s="288">
        <f t="shared" ca="1" si="66"/>
        <v>259305.86948857561</v>
      </c>
      <c r="BI18" s="288">
        <f t="shared" ca="1" si="67"/>
        <v>665711.45107221138</v>
      </c>
      <c r="BK18" s="286">
        <f>AnnualAggregations!$D10</f>
        <v>35893.000000000073</v>
      </c>
      <c r="BL18" s="286">
        <f>AnnualAggregations!$B10</f>
        <v>57131.517503007526</v>
      </c>
      <c r="BM18" s="286">
        <f>AnnualDepletions!$BK10</f>
        <v>63414.968847048061</v>
      </c>
      <c r="BN18" s="286">
        <f>AnnualAggregations!$E10</f>
        <v>5000.0000000019172</v>
      </c>
      <c r="BO18" s="287">
        <f t="shared" si="68"/>
        <v>161439.48635005759</v>
      </c>
      <c r="BP18" s="321">
        <f ca="1">StateModDepletions_ThisScenario!Y8</f>
        <v>212.11356273293495</v>
      </c>
      <c r="BQ18" s="321">
        <f ca="1">StateModDepletions_ThisScenario!AJ8</f>
        <v>151104.63331294403</v>
      </c>
      <c r="BR18" s="321">
        <f ca="1">StateModDepletions_ThisScenario!Z8</f>
        <v>210846.3484992981</v>
      </c>
      <c r="BS18" s="321">
        <f ca="1">StateModDepletions_ThisScenario!AA8</f>
        <v>59529.601623621129</v>
      </c>
      <c r="BT18" s="286">
        <f>AnnualDepletions!$BG10</f>
        <v>12296.800000006155</v>
      </c>
      <c r="BV18" s="287">
        <f t="shared" ca="1" si="69"/>
        <v>839447.73742227512</v>
      </c>
      <c r="BW18" s="287">
        <f t="shared" ca="1" si="70"/>
        <v>779918.13579865405</v>
      </c>
      <c r="BX18" s="287">
        <f t="shared" ca="1" si="56"/>
        <v>794793.13579865405</v>
      </c>
      <c r="BY18" s="287">
        <f>SJRIPSummaryRAW!$B$79</f>
        <v>14875</v>
      </c>
      <c r="CC18" s="282">
        <v>1931</v>
      </c>
      <c r="CD18" s="286">
        <f>AnnualAggregations!K10</f>
        <v>224787.66544559129</v>
      </c>
      <c r="CE18" s="442" t="s">
        <v>597</v>
      </c>
      <c r="CF18" s="286">
        <f>AnnualDeplReqs!$AM10</f>
        <v>12099.999999999993</v>
      </c>
      <c r="CG18" s="286">
        <f>AnnualDeplReqs!$AK10</f>
        <v>7970.0000000000155</v>
      </c>
      <c r="CH18" s="286">
        <f>AnnualDeplReqs!$L10</f>
        <v>900.00000000000125</v>
      </c>
      <c r="CI18" s="443">
        <f t="shared" si="71"/>
        <v>241203.1785154728</v>
      </c>
      <c r="CJ18" s="286">
        <f>AnnualDeplReqs!$AO10</f>
        <v>1097.9999999998745</v>
      </c>
      <c r="CK18" s="286">
        <f>AnnualDeplReqs!$AY10</f>
        <v>1449.9999999998336</v>
      </c>
      <c r="CL18" s="286">
        <f>AnnualAggregations!$N10</f>
        <v>30862.350570747752</v>
      </c>
      <c r="CM18" s="286">
        <f>AnnualAggregations!$O10</f>
        <v>11314.999999998699</v>
      </c>
      <c r="CN18" s="286">
        <f>AnnualAggregations!$P10</f>
        <v>12531.999999998558</v>
      </c>
      <c r="CO18" s="286">
        <f>AnnualDeplReqs!$AL10</f>
        <v>10663.999999998772</v>
      </c>
      <c r="CP18" s="286">
        <f>AnnualDeplReqs!$AG10</f>
        <v>9201.9999999989486</v>
      </c>
      <c r="CQ18" s="286">
        <f>AnnualDeplReqs!$AN10</f>
        <v>3042.9999999996512</v>
      </c>
      <c r="CR18" s="287">
        <f t="shared" si="72"/>
        <v>79068.350570742215</v>
      </c>
      <c r="CS18" s="287">
        <f t="shared" si="73"/>
        <v>321369.5290862149</v>
      </c>
      <c r="CT18" s="286">
        <f>AnnualDeplReqs!$AP10</f>
        <v>340.98999999997505</v>
      </c>
      <c r="CU18" s="442" t="s">
        <v>597</v>
      </c>
      <c r="CV18" s="286">
        <f>AnnualDeplReqs!$AJ10</f>
        <v>38999.999998983854</v>
      </c>
      <c r="CW18" s="286">
        <f>AnnualDeplReqs!$BC10</f>
        <v>16199.99999897049</v>
      </c>
      <c r="CX18" s="286">
        <f>AnnualDeplReqs!$J10</f>
        <v>2499.9900000012672</v>
      </c>
      <c r="CY18" s="286">
        <f>AnnualAggregations!$Q10</f>
        <v>11624.990000001573</v>
      </c>
      <c r="CZ18" s="287">
        <f t="shared" si="74"/>
        <v>69665.96999795716</v>
      </c>
      <c r="DA18" s="443">
        <f t="shared" si="75"/>
        <v>93375.419795033551</v>
      </c>
      <c r="DB18" s="287">
        <f t="shared" si="76"/>
        <v>414744.94888124848</v>
      </c>
      <c r="DD18" s="440" t="s">
        <v>628</v>
      </c>
      <c r="DE18" s="440" t="s">
        <v>628</v>
      </c>
      <c r="DF18" s="440" t="s">
        <v>628</v>
      </c>
      <c r="DG18" s="440" t="s">
        <v>628</v>
      </c>
      <c r="DH18" s="440" t="s">
        <v>628</v>
      </c>
      <c r="DI18" s="440" t="s">
        <v>628</v>
      </c>
      <c r="DJ18" s="440" t="s">
        <v>628</v>
      </c>
      <c r="DK18" s="440" t="s">
        <v>628</v>
      </c>
      <c r="DL18" s="440" t="s">
        <v>628</v>
      </c>
      <c r="DM18" s="440" t="s">
        <v>628</v>
      </c>
      <c r="DN18" s="440" t="s">
        <v>628</v>
      </c>
      <c r="DO18" s="440" t="s">
        <v>628</v>
      </c>
      <c r="DP18" s="440" t="s">
        <v>628</v>
      </c>
      <c r="DR18" s="440" t="s">
        <v>628</v>
      </c>
      <c r="DT18" s="286">
        <f>AnnualAggregations!$L10</f>
        <v>35893.000000000073</v>
      </c>
      <c r="DU18" s="443">
        <f>AnnualAggregations!$J10</f>
        <v>57242.847703182844</v>
      </c>
      <c r="DV18" s="442" t="s">
        <v>597</v>
      </c>
      <c r="DW18" s="286">
        <f>AnnualAggregations!$M10</f>
        <v>5000.0000000019172</v>
      </c>
      <c r="DX18" s="442" t="s">
        <v>597</v>
      </c>
      <c r="DY18" s="440" t="s">
        <v>628</v>
      </c>
      <c r="DZ18" s="440" t="s">
        <v>628</v>
      </c>
      <c r="EA18" s="440" t="s">
        <v>628</v>
      </c>
      <c r="EB18" s="440" t="s">
        <v>628</v>
      </c>
      <c r="EC18" s="286">
        <f>AnnualDeplReqs!$BG10</f>
        <v>12296.800000006155</v>
      </c>
      <c r="EE18" s="440" t="s">
        <v>628</v>
      </c>
      <c r="EF18" s="440" t="s">
        <v>628</v>
      </c>
      <c r="EG18" s="440" t="s">
        <v>628</v>
      </c>
      <c r="EH18" s="442" t="s">
        <v>597</v>
      </c>
      <c r="EL18" s="282">
        <v>1931</v>
      </c>
      <c r="EM18" s="286">
        <f>AnnualAggregations!S10</f>
        <v>280984.58180698927</v>
      </c>
      <c r="EN18" s="442" t="s">
        <v>597</v>
      </c>
      <c r="EO18" s="286">
        <f>AnnualDiversions!$AM10</f>
        <v>24160.880683189986</v>
      </c>
      <c r="EP18" s="286">
        <f>AnnualDiversions!$AK10</f>
        <v>15864.246446422751</v>
      </c>
      <c r="EQ18" s="286">
        <f>AnnualDiversions!$L10</f>
        <v>1800.0000000000025</v>
      </c>
      <c r="ER18" s="287">
        <f t="shared" si="77"/>
        <v>322809.70893660199</v>
      </c>
      <c r="ES18" s="286">
        <f>AnnualDiversions!$AO10</f>
        <v>2195.999999999749</v>
      </c>
      <c r="ET18" s="286">
        <f>AnnualDiversions!$AY10</f>
        <v>2624.4343891399699</v>
      </c>
      <c r="EU18" s="286">
        <f>AnnualAggregations!$V10</f>
        <v>51802.254608489238</v>
      </c>
      <c r="EV18" s="286">
        <f>AnnualAggregations!$W10</f>
        <v>5383.2042711114991</v>
      </c>
      <c r="EW18" s="286">
        <f>AnnualAggregations!$X10</f>
        <v>19210.032924749594</v>
      </c>
      <c r="EX18" s="286">
        <f>AnnualDiversions!$AL10</f>
        <v>12650.05931197957</v>
      </c>
      <c r="EY18" s="286">
        <f>AnnualDiversions!$AG10</f>
        <v>17439.590637731333</v>
      </c>
      <c r="EZ18" s="286">
        <f>AnnualDiversions!$AN10</f>
        <v>5721.5380276387141</v>
      </c>
      <c r="FA18" s="287">
        <f t="shared" si="78"/>
        <v>114831.11417083992</v>
      </c>
      <c r="FB18" s="287">
        <f t="shared" si="79"/>
        <v>439836.82310744165</v>
      </c>
      <c r="FC18" s="286">
        <f>AnnualDiversions!$AP10</f>
        <v>378.87777777775057</v>
      </c>
      <c r="FD18" s="442" t="s">
        <v>597</v>
      </c>
      <c r="FE18" s="286">
        <f>AnnualDiversions!$AJ10</f>
        <v>38999.999998983854</v>
      </c>
      <c r="FF18" s="286">
        <f>AnnualDiversions!$BC10</f>
        <v>16199.99999897049</v>
      </c>
      <c r="FG18" s="286">
        <f>AnnualDiversions!$J10</f>
        <v>4166.6500000021233</v>
      </c>
      <c r="FH18" s="286">
        <f>AnnualAggregations!$Y10</f>
        <v>19374.983333335964</v>
      </c>
      <c r="FI18" s="287">
        <f t="shared" si="80"/>
        <v>79120.511109070183</v>
      </c>
      <c r="FJ18" s="287">
        <f t="shared" si="81"/>
        <v>79120.511109070183</v>
      </c>
      <c r="FK18" s="287">
        <f t="shared" si="82"/>
        <v>518957.33421651181</v>
      </c>
      <c r="FM18" s="440" t="s">
        <v>628</v>
      </c>
      <c r="FN18" s="440" t="s">
        <v>628</v>
      </c>
      <c r="FO18" s="440" t="s">
        <v>628</v>
      </c>
      <c r="FP18" s="440" t="s">
        <v>628</v>
      </c>
      <c r="FQ18" s="440" t="s">
        <v>628</v>
      </c>
      <c r="FR18" s="440" t="s">
        <v>628</v>
      </c>
      <c r="FS18" s="440" t="s">
        <v>628</v>
      </c>
      <c r="FT18" s="440" t="s">
        <v>628</v>
      </c>
      <c r="FU18" s="440" t="s">
        <v>628</v>
      </c>
      <c r="FV18" s="440" t="s">
        <v>628</v>
      </c>
      <c r="FW18" s="440" t="s">
        <v>628</v>
      </c>
      <c r="FX18" s="440" t="s">
        <v>628</v>
      </c>
      <c r="FY18" s="440" t="s">
        <v>628</v>
      </c>
      <c r="GA18" s="440" t="s">
        <v>628</v>
      </c>
      <c r="GC18" s="286">
        <f>AnnualAggregations!$T10</f>
        <v>37764.238566617634</v>
      </c>
      <c r="GD18" s="286">
        <f>AnnualAggregations!$R10</f>
        <v>109067.13000005133</v>
      </c>
      <c r="GE18" s="443">
        <f t="shared" si="83"/>
        <v>63414.968847048061</v>
      </c>
      <c r="GF18" s="286">
        <f>AnnualAggregations!$U10</f>
        <v>5000.0000000019172</v>
      </c>
      <c r="GG18" s="287">
        <f t="shared" si="84"/>
        <v>215246.33741371895</v>
      </c>
      <c r="GH18" s="440" t="s">
        <v>628</v>
      </c>
      <c r="GI18" s="440" t="s">
        <v>628</v>
      </c>
      <c r="GJ18" s="440" t="s">
        <v>628</v>
      </c>
      <c r="GK18" s="440" t="s">
        <v>628</v>
      </c>
      <c r="GL18" s="286">
        <f>AnnualDiversions!$BG10</f>
        <v>12296.800000006155</v>
      </c>
      <c r="GN18" s="440" t="s">
        <v>628</v>
      </c>
      <c r="GO18" s="440" t="s">
        <v>628</v>
      </c>
      <c r="GP18" s="440" t="s">
        <v>628</v>
      </c>
      <c r="GQ18" s="442" t="s">
        <v>597</v>
      </c>
      <c r="GU18" s="282">
        <v>1931</v>
      </c>
      <c r="GV18" s="286">
        <f>AnnualAggregations!AA10</f>
        <v>280984.58180698927</v>
      </c>
      <c r="GW18" s="442" t="s">
        <v>597</v>
      </c>
      <c r="GX18" s="286">
        <f>AnnualDivReqs!$AM10</f>
        <v>24160.880683189986</v>
      </c>
      <c r="GY18" s="286">
        <f>AnnualDivReqs!$AK10</f>
        <v>15864.246446422751</v>
      </c>
      <c r="GZ18" s="286">
        <f>AnnualDivReqs!$L10</f>
        <v>1800.0000000000025</v>
      </c>
      <c r="HA18" s="287">
        <f t="shared" si="85"/>
        <v>322809.70893660199</v>
      </c>
      <c r="HB18" s="286">
        <f>AnnualDivReqs!$AO10</f>
        <v>2195.999999999749</v>
      </c>
      <c r="HC18" s="286">
        <f>AnnualDivReqs!$AY10</f>
        <v>2624.4343891399699</v>
      </c>
      <c r="HD18" s="286">
        <f>AnnualAggregations!$AD10</f>
        <v>51802.254608489238</v>
      </c>
      <c r="HE18" s="286">
        <f>AnnualAggregations!$AE10</f>
        <v>20265.498332743653</v>
      </c>
      <c r="HF18" s="286">
        <f>AnnualAggregations!$AF10</f>
        <v>19210.032924749594</v>
      </c>
      <c r="HG18" s="286">
        <f>AnnualDivReqs!$AL10</f>
        <v>12650.05931197957</v>
      </c>
      <c r="HH18" s="286">
        <f>AnnualDivReqs!$AG10</f>
        <v>17439.590637731333</v>
      </c>
      <c r="HI18" s="286">
        <f>AnnualDivReqs!$AN10</f>
        <v>5721.5380276387141</v>
      </c>
      <c r="HJ18" s="287">
        <f t="shared" si="86"/>
        <v>129713.40823247208</v>
      </c>
      <c r="HK18" s="287">
        <f t="shared" si="87"/>
        <v>454719.11716907384</v>
      </c>
      <c r="HL18" s="286">
        <f>AnnualDivReqs!$AP10</f>
        <v>378.87777777775057</v>
      </c>
      <c r="HM18" s="442" t="s">
        <v>597</v>
      </c>
      <c r="HN18" s="286">
        <f>AnnualDivReqs!$AJ10</f>
        <v>38999.999998983854</v>
      </c>
      <c r="HO18" s="286">
        <f>AnnualDivReqs!$BC10</f>
        <v>16199.99999897049</v>
      </c>
      <c r="HP18" s="286">
        <f>AnnualDivReqs!$J10</f>
        <v>4166.6500000021233</v>
      </c>
      <c r="HQ18" s="286">
        <f>AnnualAggregations!$AG10</f>
        <v>19374.983333335964</v>
      </c>
      <c r="HR18" s="287">
        <f t="shared" si="88"/>
        <v>79120.511109070183</v>
      </c>
      <c r="HS18" s="287">
        <f t="shared" si="89"/>
        <v>79120.511109070183</v>
      </c>
      <c r="HT18" s="287">
        <f t="shared" si="90"/>
        <v>533839.62827814405</v>
      </c>
      <c r="HV18" s="440" t="s">
        <v>628</v>
      </c>
      <c r="HW18" s="440" t="s">
        <v>628</v>
      </c>
      <c r="HX18" s="440" t="s">
        <v>628</v>
      </c>
      <c r="HY18" s="440" t="s">
        <v>628</v>
      </c>
      <c r="HZ18" s="440" t="s">
        <v>628</v>
      </c>
      <c r="IA18" s="440" t="s">
        <v>628</v>
      </c>
      <c r="IB18" s="440" t="s">
        <v>628</v>
      </c>
      <c r="IC18" s="440" t="s">
        <v>628</v>
      </c>
      <c r="ID18" s="440" t="s">
        <v>628</v>
      </c>
      <c r="IE18" s="440" t="s">
        <v>628</v>
      </c>
      <c r="IF18" s="440" t="s">
        <v>628</v>
      </c>
      <c r="IG18" s="440" t="s">
        <v>628</v>
      </c>
      <c r="IH18" s="440" t="s">
        <v>628</v>
      </c>
      <c r="IJ18" s="440" t="s">
        <v>628</v>
      </c>
      <c r="IL18" s="286">
        <f>AnnualAggregations!$AB10</f>
        <v>37764.238566617634</v>
      </c>
      <c r="IM18" s="286">
        <f>AnnualAggregations!$Z10</f>
        <v>109289.79040040197</v>
      </c>
      <c r="IN18" s="442" t="s">
        <v>597</v>
      </c>
      <c r="IO18" s="286">
        <f>AnnualAggregations!$AC10</f>
        <v>5000.0000000019172</v>
      </c>
      <c r="IP18" s="442" t="s">
        <v>597</v>
      </c>
      <c r="IQ18" s="440" t="s">
        <v>628</v>
      </c>
      <c r="IR18" s="440" t="s">
        <v>628</v>
      </c>
      <c r="IS18" s="440" t="s">
        <v>628</v>
      </c>
      <c r="IT18" s="440" t="s">
        <v>628</v>
      </c>
      <c r="IU18" s="286">
        <f>AnnualDivReqs!$BG10</f>
        <v>12296.800000006155</v>
      </c>
      <c r="IW18" s="440" t="s">
        <v>628</v>
      </c>
      <c r="IX18" s="440" t="s">
        <v>628</v>
      </c>
      <c r="IY18" s="440" t="s">
        <v>628</v>
      </c>
      <c r="IZ18" s="442" t="s">
        <v>597</v>
      </c>
    </row>
    <row r="19" spans="1:260" x14ac:dyDescent="0.25">
      <c r="A19" s="480" t="str">
        <f>ADDRESS(ROW(SJRIPSummary!E11),COLUMN(SJRIPSummary!E11),4,1)</f>
        <v>E11</v>
      </c>
      <c r="B19" s="480" t="str">
        <f t="shared" si="57"/>
        <v>11</v>
      </c>
      <c r="C19" t="s">
        <v>76</v>
      </c>
      <c r="D19" s="404">
        <v>4</v>
      </c>
      <c r="E19" s="404">
        <v>65</v>
      </c>
      <c r="F19" s="404">
        <v>126</v>
      </c>
      <c r="G19" s="404">
        <v>187</v>
      </c>
      <c r="H19" s="391"/>
      <c r="I19" s="602"/>
      <c r="J19" s="604"/>
      <c r="K19" s="607"/>
      <c r="L19" s="163" t="s">
        <v>76</v>
      </c>
      <c r="M19" s="164">
        <f ca="1">ROUND(SJRIPSummaryRAW!B12,-2)</f>
        <v>7900</v>
      </c>
      <c r="N19" s="148"/>
      <c r="O19" s="227">
        <f ca="1">ROUND(SJRIPSummaryRAW!D12,-2)</f>
        <v>8000</v>
      </c>
      <c r="P19" s="228">
        <f ca="1">ROUND(SJRIPSummaryRAW!E12,-2)</f>
        <v>5800</v>
      </c>
      <c r="Q19" s="391"/>
      <c r="R19" s="21"/>
      <c r="S19" s="21"/>
      <c r="T19" s="282">
        <v>1932</v>
      </c>
      <c r="U19" s="286">
        <f>AnnualAggregations!$C11</f>
        <v>215807.01159262436</v>
      </c>
      <c r="V19" s="286">
        <f>AnnualDepletions!$BI11</f>
        <v>-6486.2670706275676</v>
      </c>
      <c r="W19" s="286">
        <f>AnnualDepletions!$AM11</f>
        <v>12100</v>
      </c>
      <c r="X19" s="286">
        <f>AnnualDepletions!$AK11</f>
        <v>7970.0000000000036</v>
      </c>
      <c r="Y19" s="286">
        <f>AnnualDepletions!$L11</f>
        <v>899.99999999999943</v>
      </c>
      <c r="Z19" s="287">
        <f t="shared" si="58"/>
        <v>230290.74452199679</v>
      </c>
      <c r="AA19" s="286">
        <f>AnnualDepletions!$AO11</f>
        <v>1058.9999999998784</v>
      </c>
      <c r="AB19" s="286">
        <f>AnnualDepletions!$AY11</f>
        <v>1390.9999999998392</v>
      </c>
      <c r="AC19" s="286">
        <f>AnnualAggregations!$F11</f>
        <v>31228.652953804238</v>
      </c>
      <c r="AD19" s="286">
        <f>AnnualAggregations!$G11</f>
        <v>7476.8948473354731</v>
      </c>
      <c r="AE19" s="286">
        <f>AnnualAggregations!$H11</f>
        <v>11106.999999998727</v>
      </c>
      <c r="AF19" s="286">
        <f>AnnualDepletions!$AL11</f>
        <v>9367.9999999989159</v>
      </c>
      <c r="AG19" s="286">
        <f>AnnualDepletions!$AG11</f>
        <v>9472.9999999989213</v>
      </c>
      <c r="AH19" s="286">
        <f>AnnualDepletions!$AN11</f>
        <v>2981.9999999996558</v>
      </c>
      <c r="AI19" s="287">
        <f t="shared" si="59"/>
        <v>73026.547801135763</v>
      </c>
      <c r="AJ19" s="287">
        <f t="shared" si="60"/>
        <v>304376.29232313245</v>
      </c>
      <c r="AK19" s="286">
        <f>AnnualDepletions!$AP11</f>
        <v>340.98999999997511</v>
      </c>
      <c r="AL19" s="286">
        <f>AnnualDepletions!$BH11</f>
        <v>27325.72944346668</v>
      </c>
      <c r="AM19" s="286">
        <f>AnnualDepletions!$AJ11</f>
        <v>38999.999998983862</v>
      </c>
      <c r="AN19" s="286">
        <f>AnnualDepletions!$BC11</f>
        <v>16199.999998970494</v>
      </c>
      <c r="AO19" s="286">
        <f>AnnualDepletions!$J11</f>
        <v>2499.9900000012672</v>
      </c>
      <c r="AP19" s="286">
        <f>AnnualAggregations!$I11</f>
        <v>11624.990000001573</v>
      </c>
      <c r="AQ19" s="287">
        <f t="shared" si="61"/>
        <v>69665.969997957174</v>
      </c>
      <c r="AR19" s="287">
        <f t="shared" si="62"/>
        <v>96991.699441423858</v>
      </c>
      <c r="AS19" s="287">
        <f t="shared" si="63"/>
        <v>401367.99176455633</v>
      </c>
      <c r="AU19" s="321">
        <f ca="1">StateModDepletions_ThisScenario!AC9</f>
        <v>33719.23509407416</v>
      </c>
      <c r="AV19" s="321">
        <f ca="1">StateModDepletions_ThisScenario!AD9</f>
        <v>18345.832948371768</v>
      </c>
      <c r="AW19" s="321">
        <f ca="1">StateModDepletions_ThisScenario!AE9</f>
        <v>105184.92418787628</v>
      </c>
      <c r="AX19" s="321">
        <f ca="1">StateModDepletions_ThisScenario!AB9</f>
        <v>24765.810481309891</v>
      </c>
      <c r="AY19" s="288">
        <f t="shared" ca="1" si="64"/>
        <v>182015.8027116321</v>
      </c>
      <c r="AZ19" s="321">
        <f ca="1">StateModDepletions_ThisScenario!AG9</f>
        <v>46761.842367781777</v>
      </c>
      <c r="BA19" s="321">
        <f ca="1">StateModDepletions_ThisScenario!AF9</f>
        <v>17328.74548690021</v>
      </c>
      <c r="BB19" s="321">
        <f ca="1">StateModDepletions_ThisScenario!AH9</f>
        <v>19568.734279602766</v>
      </c>
      <c r="BC19" s="321">
        <f ca="1">StateModDepletions_ThisScenario!AI9</f>
        <v>19733.871417956427</v>
      </c>
      <c r="BD19" s="321">
        <f ca="1">StateModDepletions_ThisScenario!N9</f>
        <v>1326.6977829933167</v>
      </c>
      <c r="BE19" s="321">
        <f ca="1">StateModDepletions_ThisScenario!V9</f>
        <v>14896.743636131287</v>
      </c>
      <c r="BF19" s="288">
        <f t="shared" ca="1" si="65"/>
        <v>119616.63497136578</v>
      </c>
      <c r="BG19" s="288">
        <f t="shared" ca="1" si="66"/>
        <v>301632.4376829979</v>
      </c>
      <c r="BI19" s="288">
        <f t="shared" ca="1" si="67"/>
        <v>703000.42944755428</v>
      </c>
      <c r="BK19" s="286">
        <f>AnnualAggregations!$D11</f>
        <v>35893.000000000051</v>
      </c>
      <c r="BL19" s="286">
        <f>AnnualAggregations!$B11</f>
        <v>57172.060889821762</v>
      </c>
      <c r="BM19" s="286">
        <f>AnnualDepletions!$BK11</f>
        <v>160516.03989504164</v>
      </c>
      <c r="BN19" s="286">
        <f>AnnualAggregations!$E11</f>
        <v>5000.0000000019463</v>
      </c>
      <c r="BO19" s="287">
        <f t="shared" si="68"/>
        <v>258581.10078486541</v>
      </c>
      <c r="BP19" s="321">
        <f ca="1">StateModDepletions_ThisScenario!Y9</f>
        <v>212.11356273293495</v>
      </c>
      <c r="BQ19" s="321">
        <f ca="1">StateModDepletions_ThisScenario!AJ9</f>
        <v>136968.42896338893</v>
      </c>
      <c r="BR19" s="321">
        <f ca="1">StateModDepletions_ThisScenario!Z9</f>
        <v>208476.78211736679</v>
      </c>
      <c r="BS19" s="321">
        <f ca="1">StateModDepletions_ThisScenario!AA9</f>
        <v>71296.239591244928</v>
      </c>
      <c r="BT19" s="286">
        <f>AnnualDepletions!$BG11</f>
        <v>12296.800000006155</v>
      </c>
      <c r="BV19" s="287">
        <f t="shared" ca="1" si="69"/>
        <v>973878.33023242583</v>
      </c>
      <c r="BW19" s="287">
        <f t="shared" ca="1" si="70"/>
        <v>902582.09064118087</v>
      </c>
      <c r="BX19" s="287">
        <f t="shared" ca="1" si="56"/>
        <v>917457.09064118087</v>
      </c>
      <c r="BY19" s="287">
        <f>SJRIPSummaryRAW!$B$79</f>
        <v>14875</v>
      </c>
      <c r="CC19" s="282">
        <v>1932</v>
      </c>
      <c r="CD19" s="286">
        <f>AnnualAggregations!K11</f>
        <v>215807.01159262436</v>
      </c>
      <c r="CE19" s="442" t="s">
        <v>597</v>
      </c>
      <c r="CF19" s="286">
        <f>AnnualDeplReqs!$AM11</f>
        <v>12100</v>
      </c>
      <c r="CG19" s="286">
        <f>AnnualDeplReqs!$AK11</f>
        <v>7970.0000000000036</v>
      </c>
      <c r="CH19" s="286">
        <f>AnnualDeplReqs!$L11</f>
        <v>899.99999999999943</v>
      </c>
      <c r="CI19" s="443">
        <f t="shared" si="71"/>
        <v>230290.74452199679</v>
      </c>
      <c r="CJ19" s="286">
        <f>AnnualDeplReqs!$AO11</f>
        <v>1058.9999999998784</v>
      </c>
      <c r="CK19" s="286">
        <f>AnnualDeplReqs!$AY11</f>
        <v>1390.9999999998392</v>
      </c>
      <c r="CL19" s="286">
        <f>AnnualAggregations!$N11</f>
        <v>31228.652953804238</v>
      </c>
      <c r="CM19" s="286">
        <f>AnnualAggregations!$O11</f>
        <v>11338.999999998699</v>
      </c>
      <c r="CN19" s="286">
        <f>AnnualAggregations!$P11</f>
        <v>11106.999999998727</v>
      </c>
      <c r="CO19" s="286">
        <f>AnnualDeplReqs!$AL11</f>
        <v>9367.9999999989159</v>
      </c>
      <c r="CP19" s="286">
        <f>AnnualDeplReqs!$AG11</f>
        <v>9472.9999999989213</v>
      </c>
      <c r="CQ19" s="286">
        <f>AnnualDeplReqs!$AN11</f>
        <v>2981.9999999996558</v>
      </c>
      <c r="CR19" s="287">
        <f t="shared" si="72"/>
        <v>76888.652953798985</v>
      </c>
      <c r="CS19" s="287">
        <f t="shared" si="73"/>
        <v>308238.39747579565</v>
      </c>
      <c r="CT19" s="286">
        <f>AnnualDeplReqs!$AP11</f>
        <v>340.98999999997511</v>
      </c>
      <c r="CU19" s="442" t="s">
        <v>597</v>
      </c>
      <c r="CV19" s="286">
        <f>AnnualDeplReqs!$AJ11</f>
        <v>38999.999998983862</v>
      </c>
      <c r="CW19" s="286">
        <f>AnnualDeplReqs!$BC11</f>
        <v>16199.999998970494</v>
      </c>
      <c r="CX19" s="286">
        <f>AnnualDeplReqs!$J11</f>
        <v>2499.9900000012672</v>
      </c>
      <c r="CY19" s="286">
        <f>AnnualAggregations!$Q11</f>
        <v>11624.990000001573</v>
      </c>
      <c r="CZ19" s="287">
        <f t="shared" si="74"/>
        <v>69665.969997957174</v>
      </c>
      <c r="DA19" s="443">
        <f t="shared" si="75"/>
        <v>96991.699441423858</v>
      </c>
      <c r="DB19" s="287">
        <f t="shared" si="76"/>
        <v>405230.09691721952</v>
      </c>
      <c r="DD19" s="440" t="s">
        <v>628</v>
      </c>
      <c r="DE19" s="440" t="s">
        <v>628</v>
      </c>
      <c r="DF19" s="440" t="s">
        <v>628</v>
      </c>
      <c r="DG19" s="440" t="s">
        <v>628</v>
      </c>
      <c r="DH19" s="440" t="s">
        <v>628</v>
      </c>
      <c r="DI19" s="440" t="s">
        <v>628</v>
      </c>
      <c r="DJ19" s="440" t="s">
        <v>628</v>
      </c>
      <c r="DK19" s="440" t="s">
        <v>628</v>
      </c>
      <c r="DL19" s="440" t="s">
        <v>628</v>
      </c>
      <c r="DM19" s="440" t="s">
        <v>628</v>
      </c>
      <c r="DN19" s="440" t="s">
        <v>628</v>
      </c>
      <c r="DO19" s="440" t="s">
        <v>628</v>
      </c>
      <c r="DP19" s="440" t="s">
        <v>628</v>
      </c>
      <c r="DR19" s="440" t="s">
        <v>628</v>
      </c>
      <c r="DT19" s="286">
        <f>AnnualAggregations!$L11</f>
        <v>35893.000000000073</v>
      </c>
      <c r="DU19" s="443">
        <f>AnnualAggregations!$J11</f>
        <v>57172.060889821762</v>
      </c>
      <c r="DV19" s="442" t="s">
        <v>597</v>
      </c>
      <c r="DW19" s="286">
        <f>AnnualAggregations!$M11</f>
        <v>5000.0000000019463</v>
      </c>
      <c r="DX19" s="442" t="s">
        <v>597</v>
      </c>
      <c r="DY19" s="440" t="s">
        <v>628</v>
      </c>
      <c r="DZ19" s="440" t="s">
        <v>628</v>
      </c>
      <c r="EA19" s="440" t="s">
        <v>628</v>
      </c>
      <c r="EB19" s="440" t="s">
        <v>628</v>
      </c>
      <c r="EC19" s="286">
        <f>AnnualDeplReqs!$BG11</f>
        <v>12296.800000006155</v>
      </c>
      <c r="EE19" s="440" t="s">
        <v>628</v>
      </c>
      <c r="EF19" s="440" t="s">
        <v>628</v>
      </c>
      <c r="EG19" s="440" t="s">
        <v>628</v>
      </c>
      <c r="EH19" s="442" t="s">
        <v>597</v>
      </c>
      <c r="EL19" s="282">
        <v>1932</v>
      </c>
      <c r="EM19" s="286">
        <f>AnnualAggregations!S11</f>
        <v>269758.76449078042</v>
      </c>
      <c r="EN19" s="442" t="s">
        <v>597</v>
      </c>
      <c r="EO19" s="286">
        <f>AnnualDiversions!$AM11</f>
        <v>24160.880683190015</v>
      </c>
      <c r="EP19" s="286">
        <f>AnnualDiversions!$AK11</f>
        <v>15864.246446422727</v>
      </c>
      <c r="EQ19" s="286">
        <f>AnnualDiversions!$L11</f>
        <v>1799.9999999999989</v>
      </c>
      <c r="ER19" s="287">
        <f t="shared" si="77"/>
        <v>311583.89162039314</v>
      </c>
      <c r="ES19" s="286">
        <f>AnnualDiversions!$AO11</f>
        <v>2117.9999999997567</v>
      </c>
      <c r="ET19" s="286">
        <f>AnnualDiversions!$AY11</f>
        <v>2517.6470588232396</v>
      </c>
      <c r="EU19" s="286">
        <f>AnnualAggregations!$V11</f>
        <v>52412.695815211307</v>
      </c>
      <c r="EV19" s="286">
        <f>AnnualAggregations!$W11</f>
        <v>13896.919080776051</v>
      </c>
      <c r="EW19" s="286">
        <f>AnnualAggregations!$X11</f>
        <v>17024.837215908112</v>
      </c>
      <c r="EX19" s="286">
        <f>AnnualDiversions!$AL11</f>
        <v>11112.692763937039</v>
      </c>
      <c r="EY19" s="286">
        <f>AnnualDiversions!$AG11</f>
        <v>17953.188666727783</v>
      </c>
      <c r="EZ19" s="286">
        <f>AnnualDiversions!$AN11</f>
        <v>5606.8440349716193</v>
      </c>
      <c r="FA19" s="287">
        <f t="shared" si="78"/>
        <v>120524.82463635517</v>
      </c>
      <c r="FB19" s="287">
        <f t="shared" si="79"/>
        <v>434226.71625674807</v>
      </c>
      <c r="FC19" s="286">
        <f>AnnualDiversions!$AP11</f>
        <v>378.87777777775057</v>
      </c>
      <c r="FD19" s="442" t="s">
        <v>597</v>
      </c>
      <c r="FE19" s="286">
        <f>AnnualDiversions!$AJ11</f>
        <v>38999.999998983862</v>
      </c>
      <c r="FF19" s="286">
        <f>AnnualDiversions!$BC11</f>
        <v>16199.999998970494</v>
      </c>
      <c r="FG19" s="286">
        <f>AnnualDiversions!$J11</f>
        <v>4166.6500000021233</v>
      </c>
      <c r="FH19" s="286">
        <f>AnnualAggregations!$Y11</f>
        <v>19374.983333335967</v>
      </c>
      <c r="FI19" s="287">
        <f t="shared" si="80"/>
        <v>79120.511109070212</v>
      </c>
      <c r="FJ19" s="287">
        <f t="shared" si="81"/>
        <v>79120.511109070198</v>
      </c>
      <c r="FK19" s="287">
        <f t="shared" si="82"/>
        <v>513347.22736581828</v>
      </c>
      <c r="FM19" s="440" t="s">
        <v>628</v>
      </c>
      <c r="FN19" s="440" t="s">
        <v>628</v>
      </c>
      <c r="FO19" s="440" t="s">
        <v>628</v>
      </c>
      <c r="FP19" s="440" t="s">
        <v>628</v>
      </c>
      <c r="FQ19" s="440" t="s">
        <v>628</v>
      </c>
      <c r="FR19" s="440" t="s">
        <v>628</v>
      </c>
      <c r="FS19" s="440" t="s">
        <v>628</v>
      </c>
      <c r="FT19" s="440" t="s">
        <v>628</v>
      </c>
      <c r="FU19" s="440" t="s">
        <v>628</v>
      </c>
      <c r="FV19" s="440" t="s">
        <v>628</v>
      </c>
      <c r="FW19" s="440" t="s">
        <v>628</v>
      </c>
      <c r="FX19" s="440" t="s">
        <v>628</v>
      </c>
      <c r="FY19" s="440" t="s">
        <v>628</v>
      </c>
      <c r="GA19" s="440" t="s">
        <v>628</v>
      </c>
      <c r="GC19" s="286">
        <f>AnnualAggregations!$T11</f>
        <v>37763.476493275426</v>
      </c>
      <c r="GD19" s="286">
        <f>AnnualAggregations!$R11</f>
        <v>109067.13000005131</v>
      </c>
      <c r="GE19" s="443">
        <f t="shared" si="83"/>
        <v>160516.03989504164</v>
      </c>
      <c r="GF19" s="286">
        <f>AnnualAggregations!$U11</f>
        <v>5000.0000000019463</v>
      </c>
      <c r="GG19" s="287">
        <f t="shared" si="84"/>
        <v>312346.64638837031</v>
      </c>
      <c r="GH19" s="440" t="s">
        <v>628</v>
      </c>
      <c r="GI19" s="440" t="s">
        <v>628</v>
      </c>
      <c r="GJ19" s="440" t="s">
        <v>628</v>
      </c>
      <c r="GK19" s="440" t="s">
        <v>628</v>
      </c>
      <c r="GL19" s="286">
        <f>AnnualDiversions!$BG11</f>
        <v>12296.800000006155</v>
      </c>
      <c r="GN19" s="440" t="s">
        <v>628</v>
      </c>
      <c r="GO19" s="440" t="s">
        <v>628</v>
      </c>
      <c r="GP19" s="440" t="s">
        <v>628</v>
      </c>
      <c r="GQ19" s="442" t="s">
        <v>597</v>
      </c>
      <c r="GU19" s="282">
        <v>1932</v>
      </c>
      <c r="GV19" s="286">
        <f>AnnualAggregations!AA11</f>
        <v>269758.76449078042</v>
      </c>
      <c r="GW19" s="442" t="s">
        <v>597</v>
      </c>
      <c r="GX19" s="286">
        <f>AnnualDivReqs!$AM11</f>
        <v>24160.880683190015</v>
      </c>
      <c r="GY19" s="286">
        <f>AnnualDivReqs!$AK11</f>
        <v>15864.246446422727</v>
      </c>
      <c r="GZ19" s="286">
        <f>AnnualDivReqs!$L11</f>
        <v>1799.9999999999989</v>
      </c>
      <c r="HA19" s="287">
        <f t="shared" si="85"/>
        <v>311583.89162039314</v>
      </c>
      <c r="HB19" s="286">
        <f>AnnualDivReqs!$AO11</f>
        <v>2117.9999999997567</v>
      </c>
      <c r="HC19" s="286">
        <f>AnnualDivReqs!$AY11</f>
        <v>2517.6470588232396</v>
      </c>
      <c r="HD19" s="286">
        <f>AnnualAggregations!$AD11</f>
        <v>52412.695815211307</v>
      </c>
      <c r="HE19" s="286">
        <f>AnnualAggregations!$AE11</f>
        <v>20310.679800282593</v>
      </c>
      <c r="HF19" s="286">
        <f>AnnualAggregations!$AF11</f>
        <v>17024.837215908112</v>
      </c>
      <c r="HG19" s="286">
        <f>AnnualDivReqs!$AL11</f>
        <v>11112.692763937039</v>
      </c>
      <c r="HH19" s="286">
        <f>AnnualDivReqs!$AG11</f>
        <v>17953.188666727783</v>
      </c>
      <c r="HI19" s="286">
        <f>AnnualDivReqs!$AN11</f>
        <v>5606.8440349716193</v>
      </c>
      <c r="HJ19" s="287">
        <f t="shared" si="86"/>
        <v>126938.58535586171</v>
      </c>
      <c r="HK19" s="287">
        <f t="shared" si="87"/>
        <v>440640.47697625461</v>
      </c>
      <c r="HL19" s="286">
        <f>AnnualDivReqs!$AP11</f>
        <v>378.87777777775057</v>
      </c>
      <c r="HM19" s="442" t="s">
        <v>597</v>
      </c>
      <c r="HN19" s="286">
        <f>AnnualDivReqs!$AJ11</f>
        <v>38999.999998983862</v>
      </c>
      <c r="HO19" s="286">
        <f>AnnualDivReqs!$BC11</f>
        <v>16199.999998970494</v>
      </c>
      <c r="HP19" s="286">
        <f>AnnualDivReqs!$J11</f>
        <v>4166.6500000021233</v>
      </c>
      <c r="HQ19" s="286">
        <f>AnnualAggregations!$AG11</f>
        <v>19374.983333335967</v>
      </c>
      <c r="HR19" s="287">
        <f t="shared" si="88"/>
        <v>79120.511109070212</v>
      </c>
      <c r="HS19" s="287">
        <f t="shared" si="89"/>
        <v>79120.511109070198</v>
      </c>
      <c r="HT19" s="287">
        <f t="shared" si="90"/>
        <v>519760.98808532482</v>
      </c>
      <c r="HV19" s="440" t="s">
        <v>628</v>
      </c>
      <c r="HW19" s="440" t="s">
        <v>628</v>
      </c>
      <c r="HX19" s="440" t="s">
        <v>628</v>
      </c>
      <c r="HY19" s="440" t="s">
        <v>628</v>
      </c>
      <c r="HZ19" s="440" t="s">
        <v>628</v>
      </c>
      <c r="IA19" s="440" t="s">
        <v>628</v>
      </c>
      <c r="IB19" s="440" t="s">
        <v>628</v>
      </c>
      <c r="IC19" s="440" t="s">
        <v>628</v>
      </c>
      <c r="ID19" s="440" t="s">
        <v>628</v>
      </c>
      <c r="IE19" s="440" t="s">
        <v>628</v>
      </c>
      <c r="IF19" s="440" t="s">
        <v>628</v>
      </c>
      <c r="IG19" s="440" t="s">
        <v>628</v>
      </c>
      <c r="IH19" s="440" t="s">
        <v>628</v>
      </c>
      <c r="IJ19" s="440" t="s">
        <v>628</v>
      </c>
      <c r="IL19" s="286">
        <f>AnnualAggregations!$AB11</f>
        <v>37763.476493275448</v>
      </c>
      <c r="IM19" s="286">
        <f>AnnualAggregations!$Z11</f>
        <v>109067.13000005131</v>
      </c>
      <c r="IN19" s="442" t="s">
        <v>597</v>
      </c>
      <c r="IO19" s="286">
        <f>AnnualAggregations!$AC11</f>
        <v>5000.0000000019463</v>
      </c>
      <c r="IP19" s="442" t="s">
        <v>597</v>
      </c>
      <c r="IQ19" s="440" t="s">
        <v>628</v>
      </c>
      <c r="IR19" s="440" t="s">
        <v>628</v>
      </c>
      <c r="IS19" s="440" t="s">
        <v>628</v>
      </c>
      <c r="IT19" s="440" t="s">
        <v>628</v>
      </c>
      <c r="IU19" s="286">
        <f>AnnualDivReqs!$BG11</f>
        <v>12296.800000006155</v>
      </c>
      <c r="IW19" s="440" t="s">
        <v>628</v>
      </c>
      <c r="IX19" s="440" t="s">
        <v>628</v>
      </c>
      <c r="IY19" s="440" t="s">
        <v>628</v>
      </c>
      <c r="IZ19" s="442" t="s">
        <v>597</v>
      </c>
    </row>
    <row r="20" spans="1:260" ht="15.75" thickBot="1" x14ac:dyDescent="0.3">
      <c r="A20" s="480" t="str">
        <f>ADDRESS(ROW(SJRIPSummary!E12),COLUMN(SJRIPSummary!E12),4,1)</f>
        <v>E12</v>
      </c>
      <c r="B20" s="480" t="str">
        <f t="shared" si="57"/>
        <v>12</v>
      </c>
      <c r="C20" t="s">
        <v>77</v>
      </c>
      <c r="D20" s="404">
        <v>5</v>
      </c>
      <c r="E20" s="404">
        <v>66</v>
      </c>
      <c r="F20" s="404">
        <v>127</v>
      </c>
      <c r="G20" s="404">
        <v>188</v>
      </c>
      <c r="H20" s="391"/>
      <c r="I20" s="602"/>
      <c r="J20" s="604"/>
      <c r="K20" s="607"/>
      <c r="L20" s="163" t="s">
        <v>77</v>
      </c>
      <c r="M20" s="164">
        <f ca="1">ROUND(SJRIPSummaryRAW!B13,-2)</f>
        <v>900</v>
      </c>
      <c r="N20" s="148"/>
      <c r="O20" s="229">
        <f ca="1">ROUND(SJRIPSummaryRAW!D13,-2)</f>
        <v>900</v>
      </c>
      <c r="P20" s="230">
        <f ca="1">ROUND(SJRIPSummaryRAW!E13,-2)</f>
        <v>700</v>
      </c>
      <c r="Q20" s="391"/>
      <c r="R20" s="21"/>
      <c r="S20" s="21"/>
      <c r="T20" s="282">
        <v>1933</v>
      </c>
      <c r="U20" s="286">
        <f>AnnualAggregations!$C12</f>
        <v>213180.75602320075</v>
      </c>
      <c r="V20" s="286">
        <f>AnnualDepletions!$BI12</f>
        <v>-6875.8688145965789</v>
      </c>
      <c r="W20" s="286">
        <f>AnnualDepletions!$AM12</f>
        <v>12099.999999999991</v>
      </c>
      <c r="X20" s="286">
        <f>AnnualDepletions!$AK12</f>
        <v>7969.9999999999991</v>
      </c>
      <c r="Y20" s="286">
        <f>AnnualDepletions!$L12</f>
        <v>900.00000000000011</v>
      </c>
      <c r="Z20" s="287">
        <f t="shared" si="58"/>
        <v>227274.88720860417</v>
      </c>
      <c r="AA20" s="286">
        <f>AnnualDepletions!$AO12</f>
        <v>1241.999999999857</v>
      </c>
      <c r="AB20" s="286">
        <f>AnnualDepletions!$AY12</f>
        <v>1428.9999999998358</v>
      </c>
      <c r="AC20" s="286">
        <f>AnnualAggregations!$F12</f>
        <v>31146.230631985203</v>
      </c>
      <c r="AD20" s="286">
        <f>AnnualAggregations!$G12</f>
        <v>5105.9449831069669</v>
      </c>
      <c r="AE20" s="286">
        <f>AnnualAggregations!$H12</f>
        <v>10741.999999998772</v>
      </c>
      <c r="AF20" s="286">
        <f>AnnualDepletions!$AL12</f>
        <v>9116.9999999989468</v>
      </c>
      <c r="AG20" s="286">
        <f>AnnualDepletions!$AG12</f>
        <v>9616.9999999988904</v>
      </c>
      <c r="AH20" s="286">
        <f>AnnualDepletions!$AN12</f>
        <v>3260.9999999996253</v>
      </c>
      <c r="AI20" s="287">
        <f t="shared" si="59"/>
        <v>70418.175615088228</v>
      </c>
      <c r="AJ20" s="287">
        <f t="shared" si="60"/>
        <v>298935.06282369222</v>
      </c>
      <c r="AK20" s="286">
        <f>AnnualDepletions!$AP12</f>
        <v>340.98999999997505</v>
      </c>
      <c r="AL20" s="286">
        <f>AnnualDepletions!$BH12</f>
        <v>28859.488389224294</v>
      </c>
      <c r="AM20" s="286">
        <f>AnnualDepletions!$AJ12</f>
        <v>38999.999998983854</v>
      </c>
      <c r="AN20" s="286">
        <f>AnnualDepletions!$BC12</f>
        <v>16199.99999897049</v>
      </c>
      <c r="AO20" s="286">
        <f>AnnualDepletions!$J12</f>
        <v>2499.9900000012672</v>
      </c>
      <c r="AP20" s="286">
        <f>AnnualAggregations!$I12</f>
        <v>11624.990000001573</v>
      </c>
      <c r="AQ20" s="287">
        <f t="shared" si="61"/>
        <v>69665.96999795716</v>
      </c>
      <c r="AR20" s="287">
        <f t="shared" si="62"/>
        <v>98525.458387181468</v>
      </c>
      <c r="AS20" s="287">
        <f t="shared" si="63"/>
        <v>397460.52121087367</v>
      </c>
      <c r="AU20" s="321">
        <f ca="1">StateModDepletions_ThisScenario!AC10</f>
        <v>32383.616585947573</v>
      </c>
      <c r="AV20" s="321">
        <f ca="1">StateModDepletions_ThisScenario!AD10</f>
        <v>17506.883306846023</v>
      </c>
      <c r="AW20" s="321">
        <f ca="1">StateModDepletions_ThisScenario!AE10</f>
        <v>107714.56286110729</v>
      </c>
      <c r="AX20" s="321">
        <f ca="1">StateModDepletions_ThisScenario!AB10</f>
        <v>24765.810481309891</v>
      </c>
      <c r="AY20" s="288">
        <f t="shared" ca="1" si="64"/>
        <v>182370.87323521078</v>
      </c>
      <c r="AZ20" s="321">
        <f ca="1">StateModDepletions_ThisScenario!AG10</f>
        <v>40180.356958074946</v>
      </c>
      <c r="BA20" s="321">
        <f ca="1">StateModDepletions_ThisScenario!AF10</f>
        <v>17788.831301785995</v>
      </c>
      <c r="BB20" s="321">
        <f ca="1">StateModDepletions_ThisScenario!AH10</f>
        <v>13972.640075756237</v>
      </c>
      <c r="BC20" s="321">
        <f ca="1">StateModDepletions_ThisScenario!AI10</f>
        <v>14300.758718533441</v>
      </c>
      <c r="BD20" s="321">
        <f ca="1">StateModDepletions_ThisScenario!N10</f>
        <v>1326.6977829933167</v>
      </c>
      <c r="BE20" s="321">
        <f ca="1">StateModDepletions_ThisScenario!V10</f>
        <v>12346.516634941101</v>
      </c>
      <c r="BF20" s="288">
        <f t="shared" ca="1" si="65"/>
        <v>99915.801472085033</v>
      </c>
      <c r="BG20" s="288">
        <f t="shared" ca="1" si="66"/>
        <v>282286.67470729584</v>
      </c>
      <c r="BI20" s="288">
        <f t="shared" ca="1" si="67"/>
        <v>679747.19591816957</v>
      </c>
      <c r="BK20" s="286">
        <f>AnnualAggregations!$D12</f>
        <v>35893.000000000051</v>
      </c>
      <c r="BL20" s="286">
        <f>AnnualAggregations!$B12</f>
        <v>57146.946520918165</v>
      </c>
      <c r="BM20" s="286">
        <f>AnnualDepletions!$BK12</f>
        <v>82877.66489253896</v>
      </c>
      <c r="BN20" s="286">
        <f>AnnualAggregations!$E12</f>
        <v>4978.0821917826961</v>
      </c>
      <c r="BO20" s="287">
        <f t="shared" si="68"/>
        <v>180895.69360523988</v>
      </c>
      <c r="BP20" s="321">
        <f ca="1">StateModDepletions_ThisScenario!Y10</f>
        <v>212.11356273293495</v>
      </c>
      <c r="BQ20" s="321">
        <f ca="1">StateModDepletions_ThisScenario!AJ10</f>
        <v>144976.28142022114</v>
      </c>
      <c r="BR20" s="321">
        <f ca="1">StateModDepletions_ThisScenario!Z10</f>
        <v>217446.5963640213</v>
      </c>
      <c r="BS20" s="321">
        <f ca="1">StateModDepletions_ThisScenario!AA10</f>
        <v>72258.201381067222</v>
      </c>
      <c r="BT20" s="286">
        <f>AnnualDepletions!$BG12</f>
        <v>12296.800000006155</v>
      </c>
      <c r="BV20" s="287">
        <f t="shared" ca="1" si="69"/>
        <v>872939.68952341564</v>
      </c>
      <c r="BW20" s="287">
        <f t="shared" ca="1" si="70"/>
        <v>800681.48814234836</v>
      </c>
      <c r="BX20" s="287">
        <f t="shared" ca="1" si="56"/>
        <v>815556.48814234836</v>
      </c>
      <c r="BY20" s="287">
        <f>SJRIPSummaryRAW!$B$79</f>
        <v>14875</v>
      </c>
      <c r="CC20" s="282">
        <v>1933</v>
      </c>
      <c r="CD20" s="286">
        <f>AnnualAggregations!K12</f>
        <v>213180.75602320075</v>
      </c>
      <c r="CE20" s="442" t="s">
        <v>597</v>
      </c>
      <c r="CF20" s="286">
        <f>AnnualDeplReqs!$AM12</f>
        <v>12099.999999999991</v>
      </c>
      <c r="CG20" s="286">
        <f>AnnualDeplReqs!$AK12</f>
        <v>7969.9999999999991</v>
      </c>
      <c r="CH20" s="286">
        <f>AnnualDeplReqs!$L12</f>
        <v>900.00000000000011</v>
      </c>
      <c r="CI20" s="443">
        <f t="shared" si="71"/>
        <v>227274.88720860417</v>
      </c>
      <c r="CJ20" s="286">
        <f>AnnualDeplReqs!$AO12</f>
        <v>1241.999999999857</v>
      </c>
      <c r="CK20" s="286">
        <f>AnnualDeplReqs!$AY12</f>
        <v>1428.9999999998358</v>
      </c>
      <c r="CL20" s="286">
        <f>AnnualAggregations!$N12</f>
        <v>31146.230631985203</v>
      </c>
      <c r="CM20" s="286">
        <f>AnnualAggregations!$O12</f>
        <v>11377.99999999869</v>
      </c>
      <c r="CN20" s="286">
        <f>AnnualAggregations!$P12</f>
        <v>10741.999999998772</v>
      </c>
      <c r="CO20" s="286">
        <f>AnnualDeplReqs!$AL12</f>
        <v>9116.9999999989468</v>
      </c>
      <c r="CP20" s="286">
        <f>AnnualDeplReqs!$AG12</f>
        <v>9616.9999999988904</v>
      </c>
      <c r="CQ20" s="286">
        <f>AnnualDeplReqs!$AN12</f>
        <v>3260.9999999996253</v>
      </c>
      <c r="CR20" s="287">
        <f t="shared" si="72"/>
        <v>76690.230631979954</v>
      </c>
      <c r="CS20" s="287">
        <f t="shared" si="73"/>
        <v>305207.11784058396</v>
      </c>
      <c r="CT20" s="286">
        <f>AnnualDeplReqs!$AP12</f>
        <v>340.98999999997505</v>
      </c>
      <c r="CU20" s="442" t="s">
        <v>597</v>
      </c>
      <c r="CV20" s="286">
        <f>AnnualDeplReqs!$AJ12</f>
        <v>38999.999998983854</v>
      </c>
      <c r="CW20" s="286">
        <f>AnnualDeplReqs!$BC12</f>
        <v>16199.99999897049</v>
      </c>
      <c r="CX20" s="286">
        <f>AnnualDeplReqs!$J12</f>
        <v>2499.9900000012672</v>
      </c>
      <c r="CY20" s="286">
        <f>AnnualAggregations!$Q12</f>
        <v>11624.990000001573</v>
      </c>
      <c r="CZ20" s="287">
        <f t="shared" si="74"/>
        <v>69665.96999795716</v>
      </c>
      <c r="DA20" s="443">
        <f t="shared" si="75"/>
        <v>98525.458387181454</v>
      </c>
      <c r="DB20" s="287">
        <f t="shared" si="76"/>
        <v>403732.57622776541</v>
      </c>
      <c r="DD20" s="440" t="s">
        <v>628</v>
      </c>
      <c r="DE20" s="440" t="s">
        <v>628</v>
      </c>
      <c r="DF20" s="440" t="s">
        <v>628</v>
      </c>
      <c r="DG20" s="440" t="s">
        <v>628</v>
      </c>
      <c r="DH20" s="440" t="s">
        <v>628</v>
      </c>
      <c r="DI20" s="440" t="s">
        <v>628</v>
      </c>
      <c r="DJ20" s="440" t="s">
        <v>628</v>
      </c>
      <c r="DK20" s="440" t="s">
        <v>628</v>
      </c>
      <c r="DL20" s="440" t="s">
        <v>628</v>
      </c>
      <c r="DM20" s="440" t="s">
        <v>628</v>
      </c>
      <c r="DN20" s="440" t="s">
        <v>628</v>
      </c>
      <c r="DO20" s="440" t="s">
        <v>628</v>
      </c>
      <c r="DP20" s="440" t="s">
        <v>628</v>
      </c>
      <c r="DR20" s="440" t="s">
        <v>628</v>
      </c>
      <c r="DT20" s="286">
        <f>AnnualAggregations!$L12</f>
        <v>35893.000000000073</v>
      </c>
      <c r="DU20" s="443">
        <f>AnnualAggregations!$J12</f>
        <v>57165.621160722934</v>
      </c>
      <c r="DV20" s="442" t="s">
        <v>597</v>
      </c>
      <c r="DW20" s="286">
        <f>AnnualAggregations!$M12</f>
        <v>5000.0000000019172</v>
      </c>
      <c r="DX20" s="442" t="s">
        <v>597</v>
      </c>
      <c r="DY20" s="440" t="s">
        <v>628</v>
      </c>
      <c r="DZ20" s="440" t="s">
        <v>628</v>
      </c>
      <c r="EA20" s="440" t="s">
        <v>628</v>
      </c>
      <c r="EB20" s="440" t="s">
        <v>628</v>
      </c>
      <c r="EC20" s="286">
        <f>AnnualDeplReqs!$BG12</f>
        <v>12296.800000006155</v>
      </c>
      <c r="EE20" s="440" t="s">
        <v>628</v>
      </c>
      <c r="EF20" s="440" t="s">
        <v>628</v>
      </c>
      <c r="EG20" s="440" t="s">
        <v>628</v>
      </c>
      <c r="EH20" s="442" t="s">
        <v>597</v>
      </c>
      <c r="EL20" s="282">
        <v>1933</v>
      </c>
      <c r="EM20" s="286">
        <f>AnnualAggregations!S12</f>
        <v>266475.94502900168</v>
      </c>
      <c r="EN20" s="442" t="s">
        <v>597</v>
      </c>
      <c r="EO20" s="286">
        <f>AnnualDiversions!$AM12</f>
        <v>24160.880683189978</v>
      </c>
      <c r="EP20" s="286">
        <f>AnnualDiversions!$AK12</f>
        <v>15864.246446422741</v>
      </c>
      <c r="EQ20" s="286">
        <f>AnnualDiversions!$L12</f>
        <v>1800.0000000000002</v>
      </c>
      <c r="ER20" s="287">
        <f t="shared" si="77"/>
        <v>308301.07215861441</v>
      </c>
      <c r="ES20" s="286">
        <f>AnnualDiversions!$AO12</f>
        <v>2483.999999999714</v>
      </c>
      <c r="ET20" s="286">
        <f>AnnualDiversions!$AY12</f>
        <v>2586.4253393662198</v>
      </c>
      <c r="EU20" s="286">
        <f>AnnualAggregations!$V12</f>
        <v>52265.586794962481</v>
      </c>
      <c r="EV20" s="286">
        <f>AnnualAggregations!$W12</f>
        <v>9332.7417043469268</v>
      </c>
      <c r="EW20" s="286">
        <f>AnnualAggregations!$X12</f>
        <v>16466.28104772199</v>
      </c>
      <c r="EX20" s="286">
        <f>AnnualDiversions!$AL12</f>
        <v>10814.946619215834</v>
      </c>
      <c r="EY20" s="286">
        <f>AnnualDiversions!$AG12</f>
        <v>18226.096844497079</v>
      </c>
      <c r="EZ20" s="286">
        <f>AnnualDiversions!$AN12</f>
        <v>6131.4280342194725</v>
      </c>
      <c r="FA20" s="287">
        <f t="shared" si="78"/>
        <v>115823.50638433</v>
      </c>
      <c r="FB20" s="287">
        <f t="shared" si="79"/>
        <v>426608.5785429441</v>
      </c>
      <c r="FC20" s="286">
        <f>AnnualDiversions!$AP12</f>
        <v>378.87777777775057</v>
      </c>
      <c r="FD20" s="442" t="s">
        <v>597</v>
      </c>
      <c r="FE20" s="286">
        <f>AnnualDiversions!$AJ12</f>
        <v>38999.999998983854</v>
      </c>
      <c r="FF20" s="286">
        <f>AnnualDiversions!$BC12</f>
        <v>16199.99999897049</v>
      </c>
      <c r="FG20" s="286">
        <f>AnnualDiversions!$J12</f>
        <v>4166.6500000021233</v>
      </c>
      <c r="FH20" s="286">
        <f>AnnualAggregations!$Y12</f>
        <v>19374.983333335964</v>
      </c>
      <c r="FI20" s="287">
        <f t="shared" si="80"/>
        <v>79120.511109070183</v>
      </c>
      <c r="FJ20" s="287">
        <f t="shared" si="81"/>
        <v>79120.511109070183</v>
      </c>
      <c r="FK20" s="287">
        <f t="shared" si="82"/>
        <v>505729.08965201431</v>
      </c>
      <c r="FM20" s="440" t="s">
        <v>628</v>
      </c>
      <c r="FN20" s="440" t="s">
        <v>628</v>
      </c>
      <c r="FO20" s="440" t="s">
        <v>628</v>
      </c>
      <c r="FP20" s="440" t="s">
        <v>628</v>
      </c>
      <c r="FQ20" s="440" t="s">
        <v>628</v>
      </c>
      <c r="FR20" s="440" t="s">
        <v>628</v>
      </c>
      <c r="FS20" s="440" t="s">
        <v>628</v>
      </c>
      <c r="FT20" s="440" t="s">
        <v>628</v>
      </c>
      <c r="FU20" s="440" t="s">
        <v>628</v>
      </c>
      <c r="FV20" s="440" t="s">
        <v>628</v>
      </c>
      <c r="FW20" s="440" t="s">
        <v>628</v>
      </c>
      <c r="FX20" s="440" t="s">
        <v>628</v>
      </c>
      <c r="FY20" s="440" t="s">
        <v>628</v>
      </c>
      <c r="GA20" s="440" t="s">
        <v>628</v>
      </c>
      <c r="GC20" s="286">
        <f>AnnualAggregations!$T12</f>
        <v>37764.238566617612</v>
      </c>
      <c r="GD20" s="286">
        <f>AnnualAggregations!$R12</f>
        <v>109067.13000005134</v>
      </c>
      <c r="GE20" s="443">
        <f t="shared" si="83"/>
        <v>82877.66489253896</v>
      </c>
      <c r="GF20" s="286">
        <f>AnnualAggregations!$U12</f>
        <v>4978.0821917826961</v>
      </c>
      <c r="GG20" s="287">
        <f t="shared" si="84"/>
        <v>234687.1156509906</v>
      </c>
      <c r="GH20" s="440" t="s">
        <v>628</v>
      </c>
      <c r="GI20" s="440" t="s">
        <v>628</v>
      </c>
      <c r="GJ20" s="440" t="s">
        <v>628</v>
      </c>
      <c r="GK20" s="440" t="s">
        <v>628</v>
      </c>
      <c r="GL20" s="286">
        <f>AnnualDiversions!$BG12</f>
        <v>12296.800000006155</v>
      </c>
      <c r="GN20" s="440" t="s">
        <v>628</v>
      </c>
      <c r="GO20" s="440" t="s">
        <v>628</v>
      </c>
      <c r="GP20" s="440" t="s">
        <v>628</v>
      </c>
      <c r="GQ20" s="442" t="s">
        <v>597</v>
      </c>
      <c r="GU20" s="282">
        <v>1933</v>
      </c>
      <c r="GV20" s="286">
        <f>AnnualAggregations!AA12</f>
        <v>266475.94502900168</v>
      </c>
      <c r="GW20" s="442" t="s">
        <v>597</v>
      </c>
      <c r="GX20" s="286">
        <f>AnnualDivReqs!$AM12</f>
        <v>24160.880683189978</v>
      </c>
      <c r="GY20" s="286">
        <f>AnnualDivReqs!$AK12</f>
        <v>15864.246446422741</v>
      </c>
      <c r="GZ20" s="286">
        <f>AnnualDivReqs!$L12</f>
        <v>1800.0000000000002</v>
      </c>
      <c r="HA20" s="287">
        <f t="shared" si="85"/>
        <v>308301.07215861441</v>
      </c>
      <c r="HB20" s="286">
        <f>AnnualDivReqs!$AO12</f>
        <v>2483.999999999714</v>
      </c>
      <c r="HC20" s="286">
        <f>AnnualDivReqs!$AY12</f>
        <v>2586.4253393662198</v>
      </c>
      <c r="HD20" s="286">
        <f>AnnualAggregations!$AD12</f>
        <v>52265.586794962481</v>
      </c>
      <c r="HE20" s="286">
        <f>AnnualAggregations!$AE12</f>
        <v>20380.106300726173</v>
      </c>
      <c r="HF20" s="286">
        <f>AnnualAggregations!$AF12</f>
        <v>16466.28104772199</v>
      </c>
      <c r="HG20" s="286">
        <f>AnnualDivReqs!$AL12</f>
        <v>10814.946619215834</v>
      </c>
      <c r="HH20" s="286">
        <f>AnnualDivReqs!$AG12</f>
        <v>18226.096844497079</v>
      </c>
      <c r="HI20" s="286">
        <f>AnnualDivReqs!$AN12</f>
        <v>6131.4280342194725</v>
      </c>
      <c r="HJ20" s="287">
        <f t="shared" si="86"/>
        <v>126870.87098070924</v>
      </c>
      <c r="HK20" s="287">
        <f t="shared" si="87"/>
        <v>437655.94313932338</v>
      </c>
      <c r="HL20" s="286">
        <f>AnnualDivReqs!$AP12</f>
        <v>378.87777777775057</v>
      </c>
      <c r="HM20" s="442" t="s">
        <v>597</v>
      </c>
      <c r="HN20" s="286">
        <f>AnnualDivReqs!$AJ12</f>
        <v>38999.999998983854</v>
      </c>
      <c r="HO20" s="286">
        <f>AnnualDivReqs!$BC12</f>
        <v>16199.99999897049</v>
      </c>
      <c r="HP20" s="286">
        <f>AnnualDivReqs!$J12</f>
        <v>4166.6500000021233</v>
      </c>
      <c r="HQ20" s="286">
        <f>AnnualAggregations!$AG12</f>
        <v>19374.983333335964</v>
      </c>
      <c r="HR20" s="287">
        <f t="shared" si="88"/>
        <v>79120.511109070183</v>
      </c>
      <c r="HS20" s="287">
        <f t="shared" si="89"/>
        <v>79120.511109070183</v>
      </c>
      <c r="HT20" s="287">
        <f t="shared" si="90"/>
        <v>516776.45424839354</v>
      </c>
      <c r="HV20" s="440" t="s">
        <v>628</v>
      </c>
      <c r="HW20" s="440" t="s">
        <v>628</v>
      </c>
      <c r="HX20" s="440" t="s">
        <v>628</v>
      </c>
      <c r="HY20" s="440" t="s">
        <v>628</v>
      </c>
      <c r="HZ20" s="440" t="s">
        <v>628</v>
      </c>
      <c r="IA20" s="440" t="s">
        <v>628</v>
      </c>
      <c r="IB20" s="440" t="s">
        <v>628</v>
      </c>
      <c r="IC20" s="440" t="s">
        <v>628</v>
      </c>
      <c r="ID20" s="440" t="s">
        <v>628</v>
      </c>
      <c r="IE20" s="440" t="s">
        <v>628</v>
      </c>
      <c r="IF20" s="440" t="s">
        <v>628</v>
      </c>
      <c r="IG20" s="440" t="s">
        <v>628</v>
      </c>
      <c r="IH20" s="440" t="s">
        <v>628</v>
      </c>
      <c r="IJ20" s="440" t="s">
        <v>628</v>
      </c>
      <c r="IL20" s="286">
        <f>AnnualAggregations!$AB12</f>
        <v>37764.238566617634</v>
      </c>
      <c r="IM20" s="286">
        <f>AnnualAggregations!$Z12</f>
        <v>109104.47927966088</v>
      </c>
      <c r="IN20" s="442" t="s">
        <v>597</v>
      </c>
      <c r="IO20" s="286">
        <f>AnnualAggregations!$AC12</f>
        <v>5000.0000000019172</v>
      </c>
      <c r="IP20" s="442" t="s">
        <v>597</v>
      </c>
      <c r="IQ20" s="440" t="s">
        <v>628</v>
      </c>
      <c r="IR20" s="440" t="s">
        <v>628</v>
      </c>
      <c r="IS20" s="440" t="s">
        <v>628</v>
      </c>
      <c r="IT20" s="440" t="s">
        <v>628</v>
      </c>
      <c r="IU20" s="286">
        <f>AnnualDivReqs!$BG12</f>
        <v>12296.800000006155</v>
      </c>
      <c r="IW20" s="440" t="s">
        <v>628</v>
      </c>
      <c r="IX20" s="440" t="s">
        <v>628</v>
      </c>
      <c r="IY20" s="440" t="s">
        <v>628</v>
      </c>
      <c r="IZ20" s="442" t="s">
        <v>597</v>
      </c>
    </row>
    <row r="21" spans="1:260" ht="15.75" thickBot="1" x14ac:dyDescent="0.3">
      <c r="A21" s="480" t="str">
        <f>ADDRESS(ROW(SJRIPSummary!E13),COLUMN(SJRIPSummary!E13),4,1)</f>
        <v>E13</v>
      </c>
      <c r="B21" s="480" t="str">
        <f t="shared" si="57"/>
        <v>13</v>
      </c>
      <c r="C21" t="s">
        <v>591</v>
      </c>
      <c r="D21" s="404">
        <v>6</v>
      </c>
      <c r="E21" s="404">
        <v>67</v>
      </c>
      <c r="F21" s="404">
        <v>128</v>
      </c>
      <c r="G21" s="404">
        <v>189</v>
      </c>
      <c r="H21" s="392"/>
      <c r="I21" s="602"/>
      <c r="J21" s="604"/>
      <c r="K21" s="608"/>
      <c r="L21" s="165" t="s">
        <v>78</v>
      </c>
      <c r="M21" s="166">
        <f ca="1">SUM(M16:M20)</f>
        <v>268600</v>
      </c>
      <c r="N21" s="167"/>
      <c r="O21" s="179"/>
      <c r="P21" s="180"/>
      <c r="Q21" s="392"/>
      <c r="R21" s="21"/>
      <c r="S21" s="21"/>
      <c r="T21" s="282">
        <v>1934</v>
      </c>
      <c r="U21" s="286">
        <f>AnnualAggregations!$C13</f>
        <v>207161.11302479496</v>
      </c>
      <c r="V21" s="286">
        <f>AnnualDepletions!$BI13</f>
        <v>-8079.7974142777221</v>
      </c>
      <c r="W21" s="286">
        <f>AnnualDepletions!$AM13</f>
        <v>12099.999999999991</v>
      </c>
      <c r="X21" s="286">
        <f>AnnualDepletions!$AK13</f>
        <v>7970.0000000000127</v>
      </c>
      <c r="Y21" s="286">
        <f>AnnualDepletions!$L13</f>
        <v>899.99999999999977</v>
      </c>
      <c r="Z21" s="287">
        <f t="shared" si="58"/>
        <v>220051.31561051725</v>
      </c>
      <c r="AA21" s="286">
        <f>AnnualDepletions!$AO13</f>
        <v>1407.9999999998367</v>
      </c>
      <c r="AB21" s="286">
        <f>AnnualDepletions!$AY13</f>
        <v>1624.9999999998129</v>
      </c>
      <c r="AC21" s="286">
        <f>AnnualAggregations!$F13</f>
        <v>34168.069617652705</v>
      </c>
      <c r="AD21" s="286">
        <f>AnnualAggregations!$G13</f>
        <v>2973.2927564911147</v>
      </c>
      <c r="AE21" s="286">
        <f>AnnualAggregations!$H13</f>
        <v>12038.999999998603</v>
      </c>
      <c r="AF21" s="286">
        <f>AnnualDepletions!$AL13</f>
        <v>10133.999999998829</v>
      </c>
      <c r="AG21" s="286">
        <f>AnnualDepletions!$AG13</f>
        <v>9461.9099942411503</v>
      </c>
      <c r="AH21" s="286">
        <f>AnnualDepletions!$AN13</f>
        <v>3252.9999999996257</v>
      </c>
      <c r="AI21" s="287">
        <f t="shared" si="59"/>
        <v>73654.272368381833</v>
      </c>
      <c r="AJ21" s="287">
        <f t="shared" si="60"/>
        <v>295113.5879788989</v>
      </c>
      <c r="AK21" s="286">
        <f>AnnualDepletions!$AP13</f>
        <v>340.98999999997505</v>
      </c>
      <c r="AL21" s="286">
        <f>AnnualDepletions!$BH13</f>
        <v>26567.091362228679</v>
      </c>
      <c r="AM21" s="286">
        <f>AnnualDepletions!$AJ13</f>
        <v>38999.999998983854</v>
      </c>
      <c r="AN21" s="286">
        <f>AnnualDepletions!$BC13</f>
        <v>16199.99999897049</v>
      </c>
      <c r="AO21" s="286">
        <f>AnnualDepletions!$J13</f>
        <v>2499.9900000012672</v>
      </c>
      <c r="AP21" s="286">
        <f>AnnualAggregations!$I13</f>
        <v>11624.990000001573</v>
      </c>
      <c r="AQ21" s="287">
        <f t="shared" si="61"/>
        <v>69665.96999795716</v>
      </c>
      <c r="AR21" s="287">
        <f t="shared" si="62"/>
        <v>96233.061360185849</v>
      </c>
      <c r="AS21" s="287">
        <f t="shared" si="63"/>
        <v>391346.64933908475</v>
      </c>
      <c r="AU21" s="321">
        <f ca="1">StateModDepletions_ThisScenario!AC11</f>
        <v>30754.538860820234</v>
      </c>
      <c r="AV21" s="321">
        <f ca="1">StateModDepletions_ThisScenario!AD11</f>
        <v>14402.235334411263</v>
      </c>
      <c r="AW21" s="321">
        <f ca="1">StateModDepletions_ThisScenario!AE11</f>
        <v>86707.719097308815</v>
      </c>
      <c r="AX21" s="321">
        <f ca="1">StateModDepletions_ThisScenario!AB11</f>
        <v>24765.810481309891</v>
      </c>
      <c r="AY21" s="288">
        <f t="shared" ca="1" si="64"/>
        <v>156630.3037738502</v>
      </c>
      <c r="AZ21" s="321">
        <f ca="1">StateModDepletions_ThisScenario!AG11</f>
        <v>22179.902505022084</v>
      </c>
      <c r="BA21" s="321">
        <f ca="1">StateModDepletions_ThisScenario!AF11</f>
        <v>18686.237675599743</v>
      </c>
      <c r="BB21" s="321">
        <f ca="1">StateModDepletions_ThisScenario!AH11</f>
        <v>10531.803797965869</v>
      </c>
      <c r="BC21" s="321">
        <f ca="1">StateModDepletions_ThisScenario!AI11</f>
        <v>9291.568000271247</v>
      </c>
      <c r="BD21" s="321">
        <f ca="1">StateModDepletions_ThisScenario!N11</f>
        <v>1326.6977829933167</v>
      </c>
      <c r="BE21" s="321">
        <f ca="1">StateModDepletions_ThisScenario!V11</f>
        <v>7272.1424112319946</v>
      </c>
      <c r="BF21" s="288">
        <f t="shared" ca="1" si="65"/>
        <v>69288.352173084248</v>
      </c>
      <c r="BG21" s="288">
        <f t="shared" ca="1" si="66"/>
        <v>225918.65594693445</v>
      </c>
      <c r="BI21" s="288">
        <f t="shared" ca="1" si="67"/>
        <v>617265.30528601923</v>
      </c>
      <c r="BK21" s="286">
        <f>AnnualAggregations!$D13</f>
        <v>35893.000000000065</v>
      </c>
      <c r="BL21" s="286">
        <f>AnnualAggregations!$B13</f>
        <v>57006.450683590469</v>
      </c>
      <c r="BM21" s="286">
        <f>AnnualDepletions!$BK13</f>
        <v>42254.101411964548</v>
      </c>
      <c r="BN21" s="286">
        <f>AnnualAggregations!$E13</f>
        <v>5000.0000000019172</v>
      </c>
      <c r="BO21" s="287">
        <f t="shared" si="68"/>
        <v>140153.55209555701</v>
      </c>
      <c r="BP21" s="321">
        <f ca="1">StateModDepletions_ThisScenario!Y11</f>
        <v>212.11356273293495</v>
      </c>
      <c r="BQ21" s="321">
        <f ca="1">StateModDepletions_ThisScenario!AJ11</f>
        <v>125630.55852021191</v>
      </c>
      <c r="BR21" s="321">
        <f ca="1">StateModDepletions_ThisScenario!Z11</f>
        <v>192391.66649317741</v>
      </c>
      <c r="BS21" s="321">
        <f ca="1">StateModDepletions_ThisScenario!AA11</f>
        <v>66548.994410232568</v>
      </c>
      <c r="BT21" s="286">
        <f>AnnualDepletions!$BG13</f>
        <v>12296.800000006155</v>
      </c>
      <c r="BV21" s="287">
        <f t="shared" ca="1" si="69"/>
        <v>769715.65738158242</v>
      </c>
      <c r="BW21" s="287">
        <f t="shared" ca="1" si="70"/>
        <v>703166.6629713499</v>
      </c>
      <c r="BX21" s="287">
        <f t="shared" ca="1" si="56"/>
        <v>718041.6629713499</v>
      </c>
      <c r="BY21" s="287">
        <f>SJRIPSummaryRAW!$B$79</f>
        <v>14875</v>
      </c>
      <c r="CC21" s="282">
        <v>1934</v>
      </c>
      <c r="CD21" s="286">
        <f>AnnualAggregations!K13</f>
        <v>207161.11302479496</v>
      </c>
      <c r="CE21" s="442" t="s">
        <v>597</v>
      </c>
      <c r="CF21" s="286">
        <f>AnnualDeplReqs!$AM13</f>
        <v>12099.999999999991</v>
      </c>
      <c r="CG21" s="286">
        <f>AnnualDeplReqs!$AK13</f>
        <v>7970.0000000000127</v>
      </c>
      <c r="CH21" s="286">
        <f>AnnualDeplReqs!$L13</f>
        <v>899.99999999999977</v>
      </c>
      <c r="CI21" s="443">
        <f t="shared" si="71"/>
        <v>220051.31561051725</v>
      </c>
      <c r="CJ21" s="286">
        <f>AnnualDeplReqs!$AO13</f>
        <v>1407.9999999998367</v>
      </c>
      <c r="CK21" s="286">
        <f>AnnualDeplReqs!$AY13</f>
        <v>1624.9999999998129</v>
      </c>
      <c r="CL21" s="286">
        <f>AnnualAggregations!$N13</f>
        <v>34168.069617652705</v>
      </c>
      <c r="CM21" s="286">
        <f>AnnualAggregations!$O13</f>
        <v>12300.999999998583</v>
      </c>
      <c r="CN21" s="286">
        <f>AnnualAggregations!$P13</f>
        <v>12038.999999998603</v>
      </c>
      <c r="CO21" s="286">
        <f>AnnualDeplReqs!$AL13</f>
        <v>10133.999999998829</v>
      </c>
      <c r="CP21" s="286">
        <f>AnnualDeplReqs!$AG13</f>
        <v>9670.9999999988777</v>
      </c>
      <c r="CQ21" s="286">
        <f>AnnualDeplReqs!$AN13</f>
        <v>3252.9999999996257</v>
      </c>
      <c r="CR21" s="287">
        <f t="shared" si="72"/>
        <v>83191.069617647023</v>
      </c>
      <c r="CS21" s="287">
        <f t="shared" si="73"/>
        <v>304650.38522816409</v>
      </c>
      <c r="CT21" s="286">
        <f>AnnualDeplReqs!$AP13</f>
        <v>340.98999999997505</v>
      </c>
      <c r="CU21" s="442" t="s">
        <v>597</v>
      </c>
      <c r="CV21" s="286">
        <f>AnnualDeplReqs!$AJ13</f>
        <v>38999.999998983854</v>
      </c>
      <c r="CW21" s="286">
        <f>AnnualDeplReqs!$BC13</f>
        <v>16199.99999897049</v>
      </c>
      <c r="CX21" s="286">
        <f>AnnualDeplReqs!$J13</f>
        <v>2499.9900000012672</v>
      </c>
      <c r="CY21" s="286">
        <f>AnnualAggregations!$Q13</f>
        <v>11624.990000001573</v>
      </c>
      <c r="CZ21" s="287">
        <f t="shared" si="74"/>
        <v>69665.96999795716</v>
      </c>
      <c r="DA21" s="443">
        <f t="shared" si="75"/>
        <v>96233.061360185835</v>
      </c>
      <c r="DB21" s="287">
        <f t="shared" si="76"/>
        <v>400883.44658834994</v>
      </c>
      <c r="DD21" s="440" t="s">
        <v>628</v>
      </c>
      <c r="DE21" s="440" t="s">
        <v>628</v>
      </c>
      <c r="DF21" s="440" t="s">
        <v>628</v>
      </c>
      <c r="DG21" s="440" t="s">
        <v>628</v>
      </c>
      <c r="DH21" s="440" t="s">
        <v>628</v>
      </c>
      <c r="DI21" s="440" t="s">
        <v>628</v>
      </c>
      <c r="DJ21" s="440" t="s">
        <v>628</v>
      </c>
      <c r="DK21" s="440" t="s">
        <v>628</v>
      </c>
      <c r="DL21" s="440" t="s">
        <v>628</v>
      </c>
      <c r="DM21" s="440" t="s">
        <v>628</v>
      </c>
      <c r="DN21" s="440" t="s">
        <v>628</v>
      </c>
      <c r="DO21" s="440" t="s">
        <v>628</v>
      </c>
      <c r="DP21" s="440" t="s">
        <v>628</v>
      </c>
      <c r="DR21" s="440" t="s">
        <v>628</v>
      </c>
      <c r="DT21" s="286">
        <f>AnnualAggregations!$L13</f>
        <v>35893.000000000073</v>
      </c>
      <c r="DU21" s="443">
        <f>AnnualAggregations!$J13</f>
        <v>57660.088000210133</v>
      </c>
      <c r="DV21" s="442" t="s">
        <v>597</v>
      </c>
      <c r="DW21" s="286">
        <f>AnnualAggregations!$M13</f>
        <v>5000.0000000019172</v>
      </c>
      <c r="DX21" s="442" t="s">
        <v>597</v>
      </c>
      <c r="DY21" s="440" t="s">
        <v>628</v>
      </c>
      <c r="DZ21" s="440" t="s">
        <v>628</v>
      </c>
      <c r="EA21" s="440" t="s">
        <v>628</v>
      </c>
      <c r="EB21" s="440" t="s">
        <v>628</v>
      </c>
      <c r="EC21" s="286">
        <f>AnnualDeplReqs!$BG13</f>
        <v>12296.800000006155</v>
      </c>
      <c r="EE21" s="440" t="s">
        <v>628</v>
      </c>
      <c r="EF21" s="440" t="s">
        <v>628</v>
      </c>
      <c r="EG21" s="440" t="s">
        <v>628</v>
      </c>
      <c r="EH21" s="442" t="s">
        <v>597</v>
      </c>
      <c r="EL21" s="282">
        <v>1934</v>
      </c>
      <c r="EM21" s="286">
        <f>AnnualAggregations!S13</f>
        <v>258951.3912809937</v>
      </c>
      <c r="EN21" s="442" t="s">
        <v>597</v>
      </c>
      <c r="EO21" s="286">
        <f>AnnualDiversions!$AM13</f>
        <v>24160.880683189996</v>
      </c>
      <c r="EP21" s="286">
        <f>AnnualDiversions!$AK13</f>
        <v>15864.246446422745</v>
      </c>
      <c r="EQ21" s="286">
        <f>AnnualDiversions!$L13</f>
        <v>1799.9999999999995</v>
      </c>
      <c r="ER21" s="287">
        <f t="shared" si="77"/>
        <v>300776.51841060648</v>
      </c>
      <c r="ES21" s="286">
        <f>AnnualDiversions!$AO13</f>
        <v>2815.9999999996735</v>
      </c>
      <c r="ET21" s="286">
        <f>AnnualDiversions!$AY13</f>
        <v>2941.1764705878977</v>
      </c>
      <c r="EU21" s="286">
        <f>AnnualAggregations!$V13</f>
        <v>57356.96364773604</v>
      </c>
      <c r="EV21" s="286">
        <f>AnnualAggregations!$W13</f>
        <v>5196.371213960032</v>
      </c>
      <c r="EW21" s="286">
        <f>AnnualAggregations!$X13</f>
        <v>18452.229534747457</v>
      </c>
      <c r="EX21" s="286">
        <f>AnnualDiversions!$AL13</f>
        <v>12021.352313165868</v>
      </c>
      <c r="EY21" s="286">
        <f>AnnualDiversions!$AG13</f>
        <v>17932.17093573614</v>
      </c>
      <c r="EZ21" s="286">
        <f>AnnualDiversions!$AN13</f>
        <v>6116.3861991155864</v>
      </c>
      <c r="FA21" s="287">
        <f t="shared" si="78"/>
        <v>120016.65031504902</v>
      </c>
      <c r="FB21" s="287">
        <f t="shared" si="79"/>
        <v>423609.16872565518</v>
      </c>
      <c r="FC21" s="286">
        <f>AnnualDiversions!$AP13</f>
        <v>378.87777777775057</v>
      </c>
      <c r="FD21" s="442" t="s">
        <v>597</v>
      </c>
      <c r="FE21" s="286">
        <f>AnnualDiversions!$AJ13</f>
        <v>38999.999998983854</v>
      </c>
      <c r="FF21" s="286">
        <f>AnnualDiversions!$BC13</f>
        <v>16199.99999897049</v>
      </c>
      <c r="FG21" s="286">
        <f>AnnualDiversions!$J13</f>
        <v>4166.6500000021233</v>
      </c>
      <c r="FH21" s="286">
        <f>AnnualAggregations!$Y13</f>
        <v>19374.983333335964</v>
      </c>
      <c r="FI21" s="287">
        <f t="shared" si="80"/>
        <v>79120.511109070183</v>
      </c>
      <c r="FJ21" s="287">
        <f t="shared" si="81"/>
        <v>79120.511109070183</v>
      </c>
      <c r="FK21" s="287">
        <f t="shared" si="82"/>
        <v>502729.67983472534</v>
      </c>
      <c r="FM21" s="440" t="s">
        <v>628</v>
      </c>
      <c r="FN21" s="440" t="s">
        <v>628</v>
      </c>
      <c r="FO21" s="440" t="s">
        <v>628</v>
      </c>
      <c r="FP21" s="440" t="s">
        <v>628</v>
      </c>
      <c r="FQ21" s="440" t="s">
        <v>628</v>
      </c>
      <c r="FR21" s="440" t="s">
        <v>628</v>
      </c>
      <c r="FS21" s="440" t="s">
        <v>628</v>
      </c>
      <c r="FT21" s="440" t="s">
        <v>628</v>
      </c>
      <c r="FU21" s="440" t="s">
        <v>628</v>
      </c>
      <c r="FV21" s="440" t="s">
        <v>628</v>
      </c>
      <c r="FW21" s="440" t="s">
        <v>628</v>
      </c>
      <c r="FX21" s="440" t="s">
        <v>628</v>
      </c>
      <c r="FY21" s="440" t="s">
        <v>628</v>
      </c>
      <c r="GA21" s="440" t="s">
        <v>628</v>
      </c>
      <c r="GC21" s="286">
        <f>AnnualAggregations!$T13</f>
        <v>37764.238566617627</v>
      </c>
      <c r="GD21" s="286">
        <f>AnnualAggregations!$R13</f>
        <v>109067.13000005134</v>
      </c>
      <c r="GE21" s="443">
        <f t="shared" si="83"/>
        <v>42254.101411964548</v>
      </c>
      <c r="GF21" s="286">
        <f>AnnualAggregations!$U13</f>
        <v>5000.0000000019172</v>
      </c>
      <c r="GG21" s="287">
        <f t="shared" si="84"/>
        <v>194085.46997863543</v>
      </c>
      <c r="GH21" s="440" t="s">
        <v>628</v>
      </c>
      <c r="GI21" s="440" t="s">
        <v>628</v>
      </c>
      <c r="GJ21" s="440" t="s">
        <v>628</v>
      </c>
      <c r="GK21" s="440" t="s">
        <v>628</v>
      </c>
      <c r="GL21" s="286">
        <f>AnnualDiversions!$BG13</f>
        <v>12296.800000006155</v>
      </c>
      <c r="GN21" s="440" t="s">
        <v>628</v>
      </c>
      <c r="GO21" s="440" t="s">
        <v>628</v>
      </c>
      <c r="GP21" s="440" t="s">
        <v>628</v>
      </c>
      <c r="GQ21" s="442" t="s">
        <v>597</v>
      </c>
      <c r="GU21" s="282">
        <v>1934</v>
      </c>
      <c r="GV21" s="286">
        <f>AnnualAggregations!AA13</f>
        <v>258951.3912809937</v>
      </c>
      <c r="GW21" s="442" t="s">
        <v>597</v>
      </c>
      <c r="GX21" s="286">
        <f>AnnualDivReqs!$AM13</f>
        <v>24160.880683189996</v>
      </c>
      <c r="GY21" s="286">
        <f>AnnualDivReqs!$AK13</f>
        <v>15864.246446422745</v>
      </c>
      <c r="GZ21" s="286">
        <f>AnnualDivReqs!$L13</f>
        <v>1799.9999999999995</v>
      </c>
      <c r="HA21" s="287">
        <f t="shared" si="85"/>
        <v>300776.51841060648</v>
      </c>
      <c r="HB21" s="286">
        <f>AnnualDivReqs!$AO13</f>
        <v>2815.9999999996735</v>
      </c>
      <c r="HC21" s="286">
        <f>AnnualDivReqs!$AY13</f>
        <v>2941.1764705878977</v>
      </c>
      <c r="HD21" s="286">
        <f>AnnualAggregations!$AD13</f>
        <v>57356.96364773604</v>
      </c>
      <c r="HE21" s="286">
        <f>AnnualAggregations!$AE13</f>
        <v>22037.398844316482</v>
      </c>
      <c r="HF21" s="286">
        <f>AnnualAggregations!$AF13</f>
        <v>18452.229534747457</v>
      </c>
      <c r="HG21" s="286">
        <f>AnnualDivReqs!$AL13</f>
        <v>12021.352313165868</v>
      </c>
      <c r="HH21" s="286">
        <f>AnnualDivReqs!$AG13</f>
        <v>18328.437411160619</v>
      </c>
      <c r="HI21" s="286">
        <f>AnnualDivReqs!$AN13</f>
        <v>6116.3861991155864</v>
      </c>
      <c r="HJ21" s="287">
        <f t="shared" si="86"/>
        <v>137253.94442082994</v>
      </c>
      <c r="HK21" s="287">
        <f t="shared" si="87"/>
        <v>440846.46283143607</v>
      </c>
      <c r="HL21" s="286">
        <f>AnnualDivReqs!$AP13</f>
        <v>378.87777777775057</v>
      </c>
      <c r="HM21" s="442" t="s">
        <v>597</v>
      </c>
      <c r="HN21" s="286">
        <f>AnnualDivReqs!$AJ13</f>
        <v>38999.999998983854</v>
      </c>
      <c r="HO21" s="286">
        <f>AnnualDivReqs!$BC13</f>
        <v>16199.99999897049</v>
      </c>
      <c r="HP21" s="286">
        <f>AnnualDivReqs!$J13</f>
        <v>4166.6500000021233</v>
      </c>
      <c r="HQ21" s="286">
        <f>AnnualAggregations!$AG13</f>
        <v>19374.983333335964</v>
      </c>
      <c r="HR21" s="287">
        <f t="shared" si="88"/>
        <v>79120.511109070183</v>
      </c>
      <c r="HS21" s="287">
        <f t="shared" si="89"/>
        <v>79120.511109070183</v>
      </c>
      <c r="HT21" s="287">
        <f t="shared" si="90"/>
        <v>519966.97394050623</v>
      </c>
      <c r="HV21" s="440" t="s">
        <v>628</v>
      </c>
      <c r="HW21" s="440" t="s">
        <v>628</v>
      </c>
      <c r="HX21" s="440" t="s">
        <v>628</v>
      </c>
      <c r="HY21" s="440" t="s">
        <v>628</v>
      </c>
      <c r="HZ21" s="440" t="s">
        <v>628</v>
      </c>
      <c r="IA21" s="440" t="s">
        <v>628</v>
      </c>
      <c r="IB21" s="440" t="s">
        <v>628</v>
      </c>
      <c r="IC21" s="440" t="s">
        <v>628</v>
      </c>
      <c r="ID21" s="440" t="s">
        <v>628</v>
      </c>
      <c r="IE21" s="440" t="s">
        <v>628</v>
      </c>
      <c r="IF21" s="440" t="s">
        <v>628</v>
      </c>
      <c r="IG21" s="440" t="s">
        <v>628</v>
      </c>
      <c r="IH21" s="440" t="s">
        <v>628</v>
      </c>
      <c r="IJ21" s="440" t="s">
        <v>628</v>
      </c>
      <c r="IL21" s="286">
        <f>AnnualAggregations!$AB13</f>
        <v>37764.238566617634</v>
      </c>
      <c r="IM21" s="286">
        <f>AnnualAggregations!$Z13</f>
        <v>110374.40463329067</v>
      </c>
      <c r="IN21" s="442" t="s">
        <v>597</v>
      </c>
      <c r="IO21" s="286">
        <f>AnnualAggregations!$AC13</f>
        <v>5000.0000000019172</v>
      </c>
      <c r="IP21" s="442" t="s">
        <v>597</v>
      </c>
      <c r="IQ21" s="440" t="s">
        <v>628</v>
      </c>
      <c r="IR21" s="440" t="s">
        <v>628</v>
      </c>
      <c r="IS21" s="440" t="s">
        <v>628</v>
      </c>
      <c r="IT21" s="440" t="s">
        <v>628</v>
      </c>
      <c r="IU21" s="286">
        <f>AnnualDivReqs!$BG13</f>
        <v>12296.800000006155</v>
      </c>
      <c r="IW21" s="440" t="s">
        <v>628</v>
      </c>
      <c r="IX21" s="440" t="s">
        <v>628</v>
      </c>
      <c r="IY21" s="440" t="s">
        <v>628</v>
      </c>
      <c r="IZ21" s="442" t="s">
        <v>597</v>
      </c>
    </row>
    <row r="22" spans="1:260" ht="15.75" thickBot="1" x14ac:dyDescent="0.3">
      <c r="A22" s="480" t="str">
        <f>ADDRESS(ROW(SJRIPSummary!E14),COLUMN(SJRIPSummary!E14),4,1)</f>
        <v>E14</v>
      </c>
      <c r="B22" s="480" t="str">
        <f t="shared" si="57"/>
        <v>14</v>
      </c>
      <c r="C22" t="s">
        <v>79</v>
      </c>
      <c r="D22" s="404">
        <v>7</v>
      </c>
      <c r="E22" s="404">
        <v>68</v>
      </c>
      <c r="F22" s="404">
        <v>129</v>
      </c>
      <c r="G22" s="404">
        <v>190</v>
      </c>
      <c r="H22" s="392"/>
      <c r="I22" s="602"/>
      <c r="J22" s="604"/>
      <c r="K22" s="170"/>
      <c r="L22" s="171" t="s">
        <v>79</v>
      </c>
      <c r="M22" s="172">
        <f ca="1">ROUND(SJRIPSummaryRAW!B17,-2)</f>
        <v>1100</v>
      </c>
      <c r="N22" s="167"/>
      <c r="O22" s="235">
        <f ca="1">ROUND(SJRIPSummaryRAW!D17,-2)</f>
        <v>1600</v>
      </c>
      <c r="P22" s="236">
        <f ca="1">ROUND(SJRIPSummaryRAW!E17,-2)</f>
        <v>700</v>
      </c>
      <c r="Q22" s="392"/>
      <c r="R22" s="21"/>
      <c r="S22" s="21"/>
      <c r="T22" s="282">
        <v>1935</v>
      </c>
      <c r="U22" s="286">
        <f>AnnualAggregations!$C14</f>
        <v>202017.19700861812</v>
      </c>
      <c r="V22" s="286">
        <f>AnnualDepletions!$BI14</f>
        <v>-9108.5806175131984</v>
      </c>
      <c r="W22" s="286">
        <f>AnnualDepletions!$AM14</f>
        <v>12099.999999999996</v>
      </c>
      <c r="X22" s="286">
        <f>AnnualDepletions!$AK14</f>
        <v>7969.9999999999909</v>
      </c>
      <c r="Y22" s="286">
        <f>AnnualDepletions!$L14</f>
        <v>899.99999999999977</v>
      </c>
      <c r="Z22" s="287">
        <f t="shared" si="58"/>
        <v>213878.61639110494</v>
      </c>
      <c r="AA22" s="286">
        <f>AnnualDepletions!$AO14</f>
        <v>1006.9999999998837</v>
      </c>
      <c r="AB22" s="286">
        <f>AnnualDepletions!$AY14</f>
        <v>1230.9999999998588</v>
      </c>
      <c r="AC22" s="286">
        <f>AnnualAggregations!$F14</f>
        <v>29222.759685865909</v>
      </c>
      <c r="AD22" s="286">
        <f>AnnualAggregations!$G14</f>
        <v>6172.5774747933629</v>
      </c>
      <c r="AE22" s="286">
        <f>AnnualAggregations!$H14</f>
        <v>10205.999999998825</v>
      </c>
      <c r="AF22" s="286">
        <f>AnnualDepletions!$AL14</f>
        <v>8625.9999999990068</v>
      </c>
      <c r="AG22" s="286">
        <f>AnnualDepletions!$AG14</f>
        <v>9342.9999999989268</v>
      </c>
      <c r="AH22" s="286">
        <f>AnnualDepletions!$AN14</f>
        <v>3122.9999999996398</v>
      </c>
      <c r="AI22" s="287">
        <f t="shared" si="59"/>
        <v>67924.33716065553</v>
      </c>
      <c r="AJ22" s="287">
        <f t="shared" si="60"/>
        <v>282809.95355176035</v>
      </c>
      <c r="AK22" s="286">
        <f>AnnualDepletions!$AP14</f>
        <v>340.98999999997505</v>
      </c>
      <c r="AL22" s="286">
        <f>AnnualDepletions!$BH14</f>
        <v>25280.278531871547</v>
      </c>
      <c r="AM22" s="286">
        <f>AnnualDepletions!$AJ14</f>
        <v>38999.999998983854</v>
      </c>
      <c r="AN22" s="286">
        <f>AnnualDepletions!$BC14</f>
        <v>16199.99999897049</v>
      </c>
      <c r="AO22" s="286">
        <f>AnnualDepletions!$J14</f>
        <v>2499.9900000012672</v>
      </c>
      <c r="AP22" s="286">
        <f>AnnualAggregations!$I14</f>
        <v>11624.990000001573</v>
      </c>
      <c r="AQ22" s="287">
        <f t="shared" si="61"/>
        <v>69665.96999795716</v>
      </c>
      <c r="AR22" s="287">
        <f t="shared" si="62"/>
        <v>94946.248529828721</v>
      </c>
      <c r="AS22" s="287">
        <f t="shared" si="63"/>
        <v>377756.20208158909</v>
      </c>
      <c r="AU22" s="321">
        <f ca="1">StateModDepletions_ThisScenario!AC12</f>
        <v>33743.14193816483</v>
      </c>
      <c r="AV22" s="321">
        <f ca="1">StateModDepletions_ThisScenario!AD12</f>
        <v>18374.019779726863</v>
      </c>
      <c r="AW22" s="321">
        <f ca="1">StateModDepletions_ThisScenario!AE12</f>
        <v>104712.28820652515</v>
      </c>
      <c r="AX22" s="321">
        <f ca="1">StateModDepletions_ThisScenario!AB12</f>
        <v>24765.810481309891</v>
      </c>
      <c r="AY22" s="288">
        <f t="shared" ca="1" si="64"/>
        <v>181595.26040572673</v>
      </c>
      <c r="AZ22" s="321">
        <f ca="1">StateModDepletions_ThisScenario!AG12</f>
        <v>46669.382399170179</v>
      </c>
      <c r="BA22" s="321">
        <f ca="1">StateModDepletions_ThisScenario!AF12</f>
        <v>17000.052638411507</v>
      </c>
      <c r="BB22" s="321">
        <f ca="1">StateModDepletions_ThisScenario!AH12</f>
        <v>21870.231114616618</v>
      </c>
      <c r="BC22" s="321">
        <f ca="1">StateModDepletions_ThisScenario!AI12</f>
        <v>24881.696270726548</v>
      </c>
      <c r="BD22" s="321">
        <f ca="1">StateModDepletions_ThisScenario!N12</f>
        <v>1326.6977829933167</v>
      </c>
      <c r="BE22" s="321">
        <f ca="1">StateModDepletions_ThisScenario!V12</f>
        <v>15053.875845909119</v>
      </c>
      <c r="BF22" s="288">
        <f t="shared" ca="1" si="65"/>
        <v>126801.93605182729</v>
      </c>
      <c r="BG22" s="288">
        <f t="shared" ca="1" si="66"/>
        <v>308397.196457554</v>
      </c>
      <c r="BI22" s="288">
        <f t="shared" ca="1" si="67"/>
        <v>686153.39853914315</v>
      </c>
      <c r="BK22" s="286">
        <f>AnnualAggregations!$D14</f>
        <v>35893.000000000051</v>
      </c>
      <c r="BL22" s="286">
        <f>AnnualAggregations!$B14</f>
        <v>56920.991730396876</v>
      </c>
      <c r="BM22" s="286">
        <f>AnnualDepletions!$BK14</f>
        <v>151929.32934493475</v>
      </c>
      <c r="BN22" s="286">
        <f>AnnualAggregations!$E14</f>
        <v>5000.0000000019172</v>
      </c>
      <c r="BO22" s="287">
        <f t="shared" si="68"/>
        <v>249743.3210753336</v>
      </c>
      <c r="BP22" s="321">
        <f ca="1">StateModDepletions_ThisScenario!Y12</f>
        <v>212.11356273293495</v>
      </c>
      <c r="BQ22" s="321">
        <f ca="1">StateModDepletions_ThisScenario!AJ12</f>
        <v>136888.13289645343</v>
      </c>
      <c r="BR22" s="321">
        <f ca="1">StateModDepletions_ThisScenario!Z12</f>
        <v>247737.88262915611</v>
      </c>
      <c r="BS22" s="321">
        <f ca="1">StateModDepletions_ThisScenario!AA12</f>
        <v>110637.63616996973</v>
      </c>
      <c r="BT22" s="286">
        <f>AnnualDepletions!$BG14</f>
        <v>12296.800000006155</v>
      </c>
      <c r="BV22" s="287">
        <f t="shared" ca="1" si="69"/>
        <v>948193.51961448288</v>
      </c>
      <c r="BW22" s="287">
        <f t="shared" ca="1" si="70"/>
        <v>837555.88344451319</v>
      </c>
      <c r="BX22" s="287">
        <f t="shared" ca="1" si="56"/>
        <v>852430.88344451319</v>
      </c>
      <c r="BY22" s="287">
        <f>SJRIPSummaryRAW!$B$79</f>
        <v>14875</v>
      </c>
      <c r="CC22" s="282">
        <v>1935</v>
      </c>
      <c r="CD22" s="286">
        <f>AnnualAggregations!K14</f>
        <v>202017.19700861812</v>
      </c>
      <c r="CE22" s="442" t="s">
        <v>597</v>
      </c>
      <c r="CF22" s="286">
        <f>AnnualDeplReqs!$AM14</f>
        <v>12099.999999999996</v>
      </c>
      <c r="CG22" s="286">
        <f>AnnualDeplReqs!$AK14</f>
        <v>7969.9999999999909</v>
      </c>
      <c r="CH22" s="286">
        <f>AnnualDeplReqs!$L14</f>
        <v>899.99999999999977</v>
      </c>
      <c r="CI22" s="443">
        <f t="shared" si="71"/>
        <v>213878.61639110494</v>
      </c>
      <c r="CJ22" s="286">
        <f>AnnualDeplReqs!$AO14</f>
        <v>1006.9999999998837</v>
      </c>
      <c r="CK22" s="286">
        <f>AnnualDeplReqs!$AY14</f>
        <v>1230.9999999998588</v>
      </c>
      <c r="CL22" s="286">
        <f>AnnualAggregations!$N14</f>
        <v>29222.759685865909</v>
      </c>
      <c r="CM22" s="286">
        <f>AnnualAggregations!$O14</f>
        <v>10501.999999998792</v>
      </c>
      <c r="CN22" s="286">
        <f>AnnualAggregations!$P14</f>
        <v>10205.999999998825</v>
      </c>
      <c r="CO22" s="286">
        <f>AnnualDeplReqs!$AL14</f>
        <v>8625.9999999990068</v>
      </c>
      <c r="CP22" s="286">
        <f>AnnualDeplReqs!$AG14</f>
        <v>9342.9999999989268</v>
      </c>
      <c r="CQ22" s="286">
        <f>AnnualDeplReqs!$AN14</f>
        <v>3122.9999999996398</v>
      </c>
      <c r="CR22" s="287">
        <f t="shared" si="72"/>
        <v>72253.759685860947</v>
      </c>
      <c r="CS22" s="287">
        <f t="shared" si="73"/>
        <v>287139.37607696577</v>
      </c>
      <c r="CT22" s="286">
        <f>AnnualDeplReqs!$AP14</f>
        <v>340.98999999997505</v>
      </c>
      <c r="CU22" s="442" t="s">
        <v>597</v>
      </c>
      <c r="CV22" s="286">
        <f>AnnualDeplReqs!$AJ14</f>
        <v>38999.999998983854</v>
      </c>
      <c r="CW22" s="286">
        <f>AnnualDeplReqs!$BC14</f>
        <v>16199.99999897049</v>
      </c>
      <c r="CX22" s="286">
        <f>AnnualDeplReqs!$J14</f>
        <v>2499.9900000012672</v>
      </c>
      <c r="CY22" s="286">
        <f>AnnualAggregations!$Q14</f>
        <v>11624.990000001573</v>
      </c>
      <c r="CZ22" s="287">
        <f t="shared" si="74"/>
        <v>69665.96999795716</v>
      </c>
      <c r="DA22" s="443">
        <f t="shared" si="75"/>
        <v>94946.248529828707</v>
      </c>
      <c r="DB22" s="287">
        <f t="shared" si="76"/>
        <v>382085.62460679444</v>
      </c>
      <c r="DD22" s="440" t="s">
        <v>628</v>
      </c>
      <c r="DE22" s="440" t="s">
        <v>628</v>
      </c>
      <c r="DF22" s="440" t="s">
        <v>628</v>
      </c>
      <c r="DG22" s="440" t="s">
        <v>628</v>
      </c>
      <c r="DH22" s="440" t="s">
        <v>628</v>
      </c>
      <c r="DI22" s="440" t="s">
        <v>628</v>
      </c>
      <c r="DJ22" s="440" t="s">
        <v>628</v>
      </c>
      <c r="DK22" s="440" t="s">
        <v>628</v>
      </c>
      <c r="DL22" s="440" t="s">
        <v>628</v>
      </c>
      <c r="DM22" s="440" t="s">
        <v>628</v>
      </c>
      <c r="DN22" s="440" t="s">
        <v>628</v>
      </c>
      <c r="DO22" s="440" t="s">
        <v>628</v>
      </c>
      <c r="DP22" s="440" t="s">
        <v>628</v>
      </c>
      <c r="DR22" s="440" t="s">
        <v>628</v>
      </c>
      <c r="DT22" s="286">
        <f>AnnualAggregations!$L14</f>
        <v>35893.000000000073</v>
      </c>
      <c r="DU22" s="443">
        <f>AnnualAggregations!$J14</f>
        <v>56920.991730396876</v>
      </c>
      <c r="DV22" s="442" t="s">
        <v>597</v>
      </c>
      <c r="DW22" s="286">
        <f>AnnualAggregations!$M14</f>
        <v>5000.0000000019172</v>
      </c>
      <c r="DX22" s="442" t="s">
        <v>597</v>
      </c>
      <c r="DY22" s="440" t="s">
        <v>628</v>
      </c>
      <c r="DZ22" s="440" t="s">
        <v>628</v>
      </c>
      <c r="EA22" s="440" t="s">
        <v>628</v>
      </c>
      <c r="EB22" s="440" t="s">
        <v>628</v>
      </c>
      <c r="EC22" s="286">
        <f>AnnualDeplReqs!$BG14</f>
        <v>12296.800000006155</v>
      </c>
      <c r="EE22" s="440" t="s">
        <v>628</v>
      </c>
      <c r="EF22" s="440" t="s">
        <v>628</v>
      </c>
      <c r="EG22" s="440" t="s">
        <v>628</v>
      </c>
      <c r="EH22" s="442" t="s">
        <v>597</v>
      </c>
      <c r="EL22" s="282">
        <v>1935</v>
      </c>
      <c r="EM22" s="286">
        <f>AnnualAggregations!S14</f>
        <v>252521.49626077205</v>
      </c>
      <c r="EN22" s="442" t="s">
        <v>597</v>
      </c>
      <c r="EO22" s="286">
        <f>AnnualDiversions!$AM14</f>
        <v>24160.880683189982</v>
      </c>
      <c r="EP22" s="286">
        <f>AnnualDiversions!$AK14</f>
        <v>15864.246446422751</v>
      </c>
      <c r="EQ22" s="286">
        <f>AnnualDiversions!$L14</f>
        <v>1799.9999999999995</v>
      </c>
      <c r="ER22" s="287">
        <f t="shared" si="77"/>
        <v>294346.62339038478</v>
      </c>
      <c r="ES22" s="286">
        <f>AnnualDiversions!$AO14</f>
        <v>2013.9999999997674</v>
      </c>
      <c r="ET22" s="286">
        <f>AnnualDiversions!$AY14</f>
        <v>2228.0542986422779</v>
      </c>
      <c r="EU22" s="286">
        <f>AnnualAggregations!$V14</f>
        <v>49030.469861954218</v>
      </c>
      <c r="EV22" s="286">
        <f>AnnualAggregations!$W14</f>
        <v>11539.183818691326</v>
      </c>
      <c r="EW22" s="286">
        <f>AnnualAggregations!$X14</f>
        <v>15644.099653397121</v>
      </c>
      <c r="EX22" s="286">
        <f>AnnualDiversions!$AL14</f>
        <v>10232.502965597865</v>
      </c>
      <c r="EY22" s="286">
        <f>AnnualDiversions!$AG14</f>
        <v>17706.813228463812</v>
      </c>
      <c r="EZ22" s="286">
        <f>AnnualDiversions!$AN14</f>
        <v>5871.9563786775225</v>
      </c>
      <c r="FA22" s="287">
        <f t="shared" si="78"/>
        <v>112253.08020542415</v>
      </c>
      <c r="FB22" s="287">
        <f t="shared" si="79"/>
        <v>408613.70359580871</v>
      </c>
      <c r="FC22" s="286">
        <f>AnnualDiversions!$AP14</f>
        <v>378.87777777775057</v>
      </c>
      <c r="FD22" s="442" t="s">
        <v>597</v>
      </c>
      <c r="FE22" s="286">
        <f>AnnualDiversions!$AJ14</f>
        <v>38999.999998983854</v>
      </c>
      <c r="FF22" s="286">
        <f>AnnualDiversions!$BC14</f>
        <v>16199.99999897049</v>
      </c>
      <c r="FG22" s="286">
        <f>AnnualDiversions!$J14</f>
        <v>4166.6500000021233</v>
      </c>
      <c r="FH22" s="286">
        <f>AnnualAggregations!$Y14</f>
        <v>19374.983333335964</v>
      </c>
      <c r="FI22" s="287">
        <f t="shared" si="80"/>
        <v>79120.511109070183</v>
      </c>
      <c r="FJ22" s="287">
        <f t="shared" si="81"/>
        <v>79120.511109070183</v>
      </c>
      <c r="FK22" s="287">
        <f t="shared" si="82"/>
        <v>487734.21470487886</v>
      </c>
      <c r="FM22" s="440" t="s">
        <v>628</v>
      </c>
      <c r="FN22" s="440" t="s">
        <v>628</v>
      </c>
      <c r="FO22" s="440" t="s">
        <v>628</v>
      </c>
      <c r="FP22" s="440" t="s">
        <v>628</v>
      </c>
      <c r="FQ22" s="440" t="s">
        <v>628</v>
      </c>
      <c r="FR22" s="440" t="s">
        <v>628</v>
      </c>
      <c r="FS22" s="440" t="s">
        <v>628</v>
      </c>
      <c r="FT22" s="440" t="s">
        <v>628</v>
      </c>
      <c r="FU22" s="440" t="s">
        <v>628</v>
      </c>
      <c r="FV22" s="440" t="s">
        <v>628</v>
      </c>
      <c r="FW22" s="440" t="s">
        <v>628</v>
      </c>
      <c r="FX22" s="440" t="s">
        <v>628</v>
      </c>
      <c r="FY22" s="440" t="s">
        <v>628</v>
      </c>
      <c r="GA22" s="440" t="s">
        <v>628</v>
      </c>
      <c r="GC22" s="286">
        <f>AnnualAggregations!$T14</f>
        <v>37764.238566617612</v>
      </c>
      <c r="GD22" s="286">
        <f>AnnualAggregations!$R14</f>
        <v>109067.13000005133</v>
      </c>
      <c r="GE22" s="443">
        <f t="shared" si="83"/>
        <v>151929.32934493475</v>
      </c>
      <c r="GF22" s="286">
        <f>AnnualAggregations!$U14</f>
        <v>5000.0000000019172</v>
      </c>
      <c r="GG22" s="287">
        <f t="shared" si="84"/>
        <v>303760.69791160565</v>
      </c>
      <c r="GH22" s="440" t="s">
        <v>628</v>
      </c>
      <c r="GI22" s="440" t="s">
        <v>628</v>
      </c>
      <c r="GJ22" s="440" t="s">
        <v>628</v>
      </c>
      <c r="GK22" s="440" t="s">
        <v>628</v>
      </c>
      <c r="GL22" s="286">
        <f>AnnualDiversions!$BG14</f>
        <v>12296.800000006155</v>
      </c>
      <c r="GN22" s="440" t="s">
        <v>628</v>
      </c>
      <c r="GO22" s="440" t="s">
        <v>628</v>
      </c>
      <c r="GP22" s="440" t="s">
        <v>628</v>
      </c>
      <c r="GQ22" s="442" t="s">
        <v>597</v>
      </c>
      <c r="GU22" s="282">
        <v>1935</v>
      </c>
      <c r="GV22" s="286">
        <f>AnnualAggregations!AA14</f>
        <v>252521.49626077205</v>
      </c>
      <c r="GW22" s="442" t="s">
        <v>597</v>
      </c>
      <c r="GX22" s="286">
        <f>AnnualDivReqs!$AM14</f>
        <v>24160.880683189982</v>
      </c>
      <c r="GY22" s="286">
        <f>AnnualDivReqs!$AK14</f>
        <v>15864.246446422751</v>
      </c>
      <c r="GZ22" s="286">
        <f>AnnualDivReqs!$L14</f>
        <v>1799.9999999999995</v>
      </c>
      <c r="HA22" s="287">
        <f t="shared" si="85"/>
        <v>294346.62339038478</v>
      </c>
      <c r="HB22" s="286">
        <f>AnnualDivReqs!$AO14</f>
        <v>2013.9999999997674</v>
      </c>
      <c r="HC22" s="286">
        <f>AnnualDivReqs!$AY14</f>
        <v>2228.0542986422779</v>
      </c>
      <c r="HD22" s="286">
        <f>AnnualAggregations!$AD14</f>
        <v>49030.469861954218</v>
      </c>
      <c r="HE22" s="286">
        <f>AnnualAggregations!$AE14</f>
        <v>18810.343325278864</v>
      </c>
      <c r="HF22" s="286">
        <f>AnnualAggregations!$AF14</f>
        <v>15644.099653397121</v>
      </c>
      <c r="HG22" s="286">
        <f>AnnualDivReqs!$AL14</f>
        <v>10232.502965597865</v>
      </c>
      <c r="HH22" s="286">
        <f>AnnualDivReqs!$AG14</f>
        <v>17706.813228463812</v>
      </c>
      <c r="HI22" s="286">
        <f>AnnualDivReqs!$AN14</f>
        <v>5871.9563786775225</v>
      </c>
      <c r="HJ22" s="287">
        <f t="shared" si="86"/>
        <v>119524.23971201169</v>
      </c>
      <c r="HK22" s="287">
        <f t="shared" si="87"/>
        <v>415884.86310239625</v>
      </c>
      <c r="HL22" s="286">
        <f>AnnualDivReqs!$AP14</f>
        <v>378.87777777775057</v>
      </c>
      <c r="HM22" s="442" t="s">
        <v>597</v>
      </c>
      <c r="HN22" s="286">
        <f>AnnualDivReqs!$AJ14</f>
        <v>38999.999998983854</v>
      </c>
      <c r="HO22" s="286">
        <f>AnnualDivReqs!$BC14</f>
        <v>16199.99999897049</v>
      </c>
      <c r="HP22" s="286">
        <f>AnnualDivReqs!$J14</f>
        <v>4166.6500000021233</v>
      </c>
      <c r="HQ22" s="286">
        <f>AnnualAggregations!$AG14</f>
        <v>19374.983333335964</v>
      </c>
      <c r="HR22" s="287">
        <f t="shared" si="88"/>
        <v>79120.511109070183</v>
      </c>
      <c r="HS22" s="287">
        <f t="shared" si="89"/>
        <v>79120.511109070183</v>
      </c>
      <c r="HT22" s="287">
        <f t="shared" si="90"/>
        <v>495005.37421146641</v>
      </c>
      <c r="HV22" s="440" t="s">
        <v>628</v>
      </c>
      <c r="HW22" s="440" t="s">
        <v>628</v>
      </c>
      <c r="HX22" s="440" t="s">
        <v>628</v>
      </c>
      <c r="HY22" s="440" t="s">
        <v>628</v>
      </c>
      <c r="HZ22" s="440" t="s">
        <v>628</v>
      </c>
      <c r="IA22" s="440" t="s">
        <v>628</v>
      </c>
      <c r="IB22" s="440" t="s">
        <v>628</v>
      </c>
      <c r="IC22" s="440" t="s">
        <v>628</v>
      </c>
      <c r="ID22" s="440" t="s">
        <v>628</v>
      </c>
      <c r="IE22" s="440" t="s">
        <v>628</v>
      </c>
      <c r="IF22" s="440" t="s">
        <v>628</v>
      </c>
      <c r="IG22" s="440" t="s">
        <v>628</v>
      </c>
      <c r="IH22" s="440" t="s">
        <v>628</v>
      </c>
      <c r="IJ22" s="440" t="s">
        <v>628</v>
      </c>
      <c r="IL22" s="286">
        <f>AnnualAggregations!$AB14</f>
        <v>37764.238566617634</v>
      </c>
      <c r="IM22" s="286">
        <f>AnnualAggregations!$Z14</f>
        <v>109067.13000005133</v>
      </c>
      <c r="IN22" s="442" t="s">
        <v>597</v>
      </c>
      <c r="IO22" s="286">
        <f>AnnualAggregations!$AC14</f>
        <v>5000.0000000019172</v>
      </c>
      <c r="IP22" s="442" t="s">
        <v>597</v>
      </c>
      <c r="IQ22" s="440" t="s">
        <v>628</v>
      </c>
      <c r="IR22" s="440" t="s">
        <v>628</v>
      </c>
      <c r="IS22" s="440" t="s">
        <v>628</v>
      </c>
      <c r="IT22" s="440" t="s">
        <v>628</v>
      </c>
      <c r="IU22" s="286">
        <f>AnnualDivReqs!$BG14</f>
        <v>12296.800000006155</v>
      </c>
      <c r="IW22" s="440" t="s">
        <v>628</v>
      </c>
      <c r="IX22" s="440" t="s">
        <v>628</v>
      </c>
      <c r="IY22" s="440" t="s">
        <v>628</v>
      </c>
      <c r="IZ22" s="442" t="s">
        <v>597</v>
      </c>
    </row>
    <row r="23" spans="1:260" x14ac:dyDescent="0.25">
      <c r="A23" s="480" t="str">
        <f>ADDRESS(ROW(SJRIPSummary!E15),COLUMN(SJRIPSummary!E15),4,1)</f>
        <v>E15</v>
      </c>
      <c r="B23" s="480" t="str">
        <f t="shared" si="57"/>
        <v>15</v>
      </c>
      <c r="C23" t="s">
        <v>81</v>
      </c>
      <c r="D23" s="404">
        <v>8</v>
      </c>
      <c r="E23" s="404">
        <v>69</v>
      </c>
      <c r="F23" s="404">
        <v>130</v>
      </c>
      <c r="G23" s="404">
        <v>191</v>
      </c>
      <c r="H23" s="391"/>
      <c r="I23" s="602"/>
      <c r="J23" s="605"/>
      <c r="K23" s="609" t="s">
        <v>80</v>
      </c>
      <c r="L23" s="173" t="s">
        <v>81</v>
      </c>
      <c r="M23" s="174">
        <f ca="1">ROUND(SJRIPSummaryRAW!B16,-2)</f>
        <v>1600</v>
      </c>
      <c r="N23" s="148"/>
      <c r="O23" s="219">
        <f ca="1">ROUND(SJRIPSummaryRAW!D16,-2)</f>
        <v>2200</v>
      </c>
      <c r="P23" s="220">
        <f ca="1">ROUND(SJRIPSummaryRAW!E16,-2)</f>
        <v>1200</v>
      </c>
      <c r="Q23" s="391"/>
      <c r="R23" s="21"/>
      <c r="S23" s="21"/>
      <c r="T23" s="282">
        <v>1936</v>
      </c>
      <c r="U23" s="286">
        <f>AnnualAggregations!$C15</f>
        <v>248806.2631299436</v>
      </c>
      <c r="V23" s="286">
        <f>AnnualDepletions!$BI15</f>
        <v>113.58323683622595</v>
      </c>
      <c r="W23" s="286">
        <f>AnnualDepletions!$AM15</f>
        <v>12099.999999999989</v>
      </c>
      <c r="X23" s="286">
        <f>AnnualDepletions!$AK15</f>
        <v>7969.9999999999955</v>
      </c>
      <c r="Y23" s="286">
        <f>AnnualDepletions!$L15</f>
        <v>899.99999999999955</v>
      </c>
      <c r="Z23" s="287">
        <f t="shared" si="58"/>
        <v>269889.84636677982</v>
      </c>
      <c r="AA23" s="286">
        <f>AnnualDepletions!$AO15</f>
        <v>1072.999999999877</v>
      </c>
      <c r="AB23" s="286">
        <f>AnnualDepletions!$AY15</f>
        <v>1447.9999999998331</v>
      </c>
      <c r="AC23" s="286">
        <f>AnnualAggregations!$F15</f>
        <v>31825.506088542254</v>
      </c>
      <c r="AD23" s="286">
        <f>AnnualAggregations!$G15</f>
        <v>5117.2464656577467</v>
      </c>
      <c r="AE23" s="286">
        <f>AnnualAggregations!$H15</f>
        <v>12138.999999998608</v>
      </c>
      <c r="AF23" s="286">
        <f>AnnualDepletions!$AL15</f>
        <v>10304.999999998818</v>
      </c>
      <c r="AG23" s="286">
        <f>AnnualDepletions!$AG15</f>
        <v>9385.9999999989104</v>
      </c>
      <c r="AH23" s="286">
        <f>AnnualDepletions!$AN15</f>
        <v>3124.9999999996403</v>
      </c>
      <c r="AI23" s="287">
        <f t="shared" si="59"/>
        <v>73345.752554195802</v>
      </c>
      <c r="AJ23" s="287">
        <f t="shared" si="60"/>
        <v>344308.59892097552</v>
      </c>
      <c r="AK23" s="286">
        <f>AnnualDepletions!$AP15</f>
        <v>340.98999999997511</v>
      </c>
      <c r="AL23" s="286">
        <f>AnnualDepletions!$BH15</f>
        <v>26882.833326027747</v>
      </c>
      <c r="AM23" s="286">
        <f>AnnualDepletions!$AJ15</f>
        <v>38999.999998983862</v>
      </c>
      <c r="AN23" s="286">
        <f>AnnualDepletions!$BC15</f>
        <v>16199.999998970494</v>
      </c>
      <c r="AO23" s="286">
        <f>AnnualDepletions!$J15</f>
        <v>2499.9900000012672</v>
      </c>
      <c r="AP23" s="286">
        <f>AnnualAggregations!$I15</f>
        <v>11624.990000001573</v>
      </c>
      <c r="AQ23" s="287">
        <f t="shared" si="61"/>
        <v>69665.969997957174</v>
      </c>
      <c r="AR23" s="287">
        <f t="shared" si="62"/>
        <v>96548.803323984932</v>
      </c>
      <c r="AS23" s="287">
        <f t="shared" si="63"/>
        <v>440857.40224496042</v>
      </c>
      <c r="AU23" s="321">
        <f ca="1">StateModDepletions_ThisScenario!AC13</f>
        <v>32076.520992517471</v>
      </c>
      <c r="AV23" s="321">
        <f ca="1">StateModDepletions_ThisScenario!AD13</f>
        <v>17198.153466418386</v>
      </c>
      <c r="AW23" s="321">
        <f ca="1">StateModDepletions_ThisScenario!AE13</f>
        <v>106145.77722257376</v>
      </c>
      <c r="AX23" s="321">
        <f ca="1">StateModDepletions_ThisScenario!AB13</f>
        <v>24765.810481309891</v>
      </c>
      <c r="AY23" s="288">
        <f t="shared" ca="1" si="64"/>
        <v>180186.2621628195</v>
      </c>
      <c r="AZ23" s="321">
        <f ca="1">StateModDepletions_ThisScenario!AG13</f>
        <v>41644.738187147756</v>
      </c>
      <c r="BA23" s="321">
        <f ca="1">StateModDepletions_ThisScenario!AF13</f>
        <v>17825.266469702106</v>
      </c>
      <c r="BB23" s="321">
        <f ca="1">StateModDepletions_ThisScenario!AH13</f>
        <v>15485.000565774739</v>
      </c>
      <c r="BC23" s="321">
        <f ca="1">StateModDepletions_ThisScenario!AI13</f>
        <v>16891.12041179173</v>
      </c>
      <c r="BD23" s="321">
        <f ca="1">StateModDepletions_ThisScenario!N13</f>
        <v>1326.6977829933167</v>
      </c>
      <c r="BE23" s="321">
        <f ca="1">StateModDepletions_ThisScenario!V13</f>
        <v>10991.752844810486</v>
      </c>
      <c r="BF23" s="288">
        <f t="shared" ca="1" si="65"/>
        <v>104164.57626222013</v>
      </c>
      <c r="BG23" s="288">
        <f t="shared" ca="1" si="66"/>
        <v>284350.83842503966</v>
      </c>
      <c r="BI23" s="288">
        <f t="shared" ca="1" si="67"/>
        <v>725208.24067000009</v>
      </c>
      <c r="BK23" s="286">
        <f>AnnualAggregations!$D15</f>
        <v>35893.000000000044</v>
      </c>
      <c r="BL23" s="286">
        <f>AnnualAggregations!$B15</f>
        <v>57172.447655709606</v>
      </c>
      <c r="BM23" s="286">
        <f>AnnualDepletions!$BK15</f>
        <v>110776.66286807066</v>
      </c>
      <c r="BN23" s="286">
        <f>AnnualAggregations!$E15</f>
        <v>4983.6065573789629</v>
      </c>
      <c r="BO23" s="287">
        <f t="shared" si="68"/>
        <v>208825.71708115927</v>
      </c>
      <c r="BP23" s="321">
        <f ca="1">StateModDepletions_ThisScenario!Y13</f>
        <v>212.11356273293495</v>
      </c>
      <c r="BQ23" s="321">
        <f ca="1">StateModDepletions_ThisScenario!AJ13</f>
        <v>142165.75164433167</v>
      </c>
      <c r="BR23" s="321">
        <f ca="1">StateModDepletions_ThisScenario!Z13</f>
        <v>221296.78032398224</v>
      </c>
      <c r="BS23" s="321">
        <f ca="1">StateModDepletions_ThisScenario!AA13</f>
        <v>78918.915116917633</v>
      </c>
      <c r="BT23" s="286">
        <f>AnnualDepletions!$BG15</f>
        <v>12296.800000006155</v>
      </c>
      <c r="BV23" s="287">
        <f t="shared" ca="1" si="69"/>
        <v>946330.75775116554</v>
      </c>
      <c r="BW23" s="287">
        <f t="shared" ca="1" si="70"/>
        <v>867411.84263424785</v>
      </c>
      <c r="BX23" s="287">
        <f t="shared" ca="1" si="56"/>
        <v>882286.84263424785</v>
      </c>
      <c r="BY23" s="287">
        <f>SJRIPSummaryRAW!$B$79</f>
        <v>14875</v>
      </c>
      <c r="CC23" s="282">
        <v>1936</v>
      </c>
      <c r="CD23" s="286">
        <f>AnnualAggregations!K15</f>
        <v>248806.2631299436</v>
      </c>
      <c r="CE23" s="442" t="s">
        <v>597</v>
      </c>
      <c r="CF23" s="286">
        <f>AnnualDeplReqs!$AM15</f>
        <v>12099.999999999989</v>
      </c>
      <c r="CG23" s="286">
        <f>AnnualDeplReqs!$AK15</f>
        <v>7969.9999999999955</v>
      </c>
      <c r="CH23" s="286">
        <f>AnnualDeplReqs!$L15</f>
        <v>899.99999999999955</v>
      </c>
      <c r="CI23" s="443">
        <f t="shared" si="71"/>
        <v>269889.84636677982</v>
      </c>
      <c r="CJ23" s="286">
        <f>AnnualDeplReqs!$AO15</f>
        <v>1072.999999999877</v>
      </c>
      <c r="CK23" s="286">
        <f>AnnualDeplReqs!$AY15</f>
        <v>1447.9999999998331</v>
      </c>
      <c r="CL23" s="286">
        <f>AnnualAggregations!$N15</f>
        <v>31825.506088542254</v>
      </c>
      <c r="CM23" s="286">
        <f>AnnualAggregations!$O15</f>
        <v>11645.999999998663</v>
      </c>
      <c r="CN23" s="286">
        <f>AnnualAggregations!$P15</f>
        <v>12138.999999998608</v>
      </c>
      <c r="CO23" s="286">
        <f>AnnualDeplReqs!$AL15</f>
        <v>10304.999999998818</v>
      </c>
      <c r="CP23" s="286">
        <f>AnnualDeplReqs!$AG15</f>
        <v>9385.9999999989104</v>
      </c>
      <c r="CQ23" s="286">
        <f>AnnualDeplReqs!$AN15</f>
        <v>3124.9999999996403</v>
      </c>
      <c r="CR23" s="287">
        <f t="shared" si="72"/>
        <v>79874.506088536727</v>
      </c>
      <c r="CS23" s="287">
        <f t="shared" si="73"/>
        <v>350837.35245531646</v>
      </c>
      <c r="CT23" s="286">
        <f>AnnualDeplReqs!$AP15</f>
        <v>340.98999999997511</v>
      </c>
      <c r="CU23" s="442" t="s">
        <v>597</v>
      </c>
      <c r="CV23" s="286">
        <f>AnnualDeplReqs!$AJ15</f>
        <v>38999.999998983862</v>
      </c>
      <c r="CW23" s="286">
        <f>AnnualDeplReqs!$BC15</f>
        <v>16199.999998970494</v>
      </c>
      <c r="CX23" s="286">
        <f>AnnualDeplReqs!$J15</f>
        <v>2499.9900000012672</v>
      </c>
      <c r="CY23" s="286">
        <f>AnnualAggregations!$Q15</f>
        <v>11624.990000001573</v>
      </c>
      <c r="CZ23" s="287">
        <f t="shared" si="74"/>
        <v>69665.969997957174</v>
      </c>
      <c r="DA23" s="443">
        <f t="shared" si="75"/>
        <v>96548.803323984917</v>
      </c>
      <c r="DB23" s="287">
        <f t="shared" si="76"/>
        <v>447386.15577930136</v>
      </c>
      <c r="DD23" s="440" t="s">
        <v>628</v>
      </c>
      <c r="DE23" s="440" t="s">
        <v>628</v>
      </c>
      <c r="DF23" s="440" t="s">
        <v>628</v>
      </c>
      <c r="DG23" s="440" t="s">
        <v>628</v>
      </c>
      <c r="DH23" s="440" t="s">
        <v>628</v>
      </c>
      <c r="DI23" s="440" t="s">
        <v>628</v>
      </c>
      <c r="DJ23" s="440" t="s">
        <v>628</v>
      </c>
      <c r="DK23" s="440" t="s">
        <v>628</v>
      </c>
      <c r="DL23" s="440" t="s">
        <v>628</v>
      </c>
      <c r="DM23" s="440" t="s">
        <v>628</v>
      </c>
      <c r="DN23" s="440" t="s">
        <v>628</v>
      </c>
      <c r="DO23" s="440" t="s">
        <v>628</v>
      </c>
      <c r="DP23" s="440" t="s">
        <v>628</v>
      </c>
      <c r="DR23" s="440" t="s">
        <v>628</v>
      </c>
      <c r="DT23" s="286">
        <f>AnnualAggregations!$L15</f>
        <v>35893.000000000073</v>
      </c>
      <c r="DU23" s="443">
        <f>AnnualAggregations!$J15</f>
        <v>57172.447655709606</v>
      </c>
      <c r="DV23" s="442" t="s">
        <v>597</v>
      </c>
      <c r="DW23" s="286">
        <f>AnnualAggregations!$M15</f>
        <v>5000.0000000019463</v>
      </c>
      <c r="DX23" s="442" t="s">
        <v>597</v>
      </c>
      <c r="DY23" s="440" t="s">
        <v>628</v>
      </c>
      <c r="DZ23" s="440" t="s">
        <v>628</v>
      </c>
      <c r="EA23" s="440" t="s">
        <v>628</v>
      </c>
      <c r="EB23" s="440" t="s">
        <v>628</v>
      </c>
      <c r="EC23" s="286">
        <f>AnnualDeplReqs!$BG15</f>
        <v>12296.800000006155</v>
      </c>
      <c r="EE23" s="440" t="s">
        <v>628</v>
      </c>
      <c r="EF23" s="440" t="s">
        <v>628</v>
      </c>
      <c r="EG23" s="440" t="s">
        <v>628</v>
      </c>
      <c r="EH23" s="442" t="s">
        <v>597</v>
      </c>
      <c r="EL23" s="282">
        <v>1936</v>
      </c>
      <c r="EM23" s="286">
        <f>AnnualAggregations!S15</f>
        <v>311007.82891242928</v>
      </c>
      <c r="EN23" s="442" t="s">
        <v>597</v>
      </c>
      <c r="EO23" s="286">
        <f>AnnualDiversions!$AM15</f>
        <v>24160.880683189946</v>
      </c>
      <c r="EP23" s="286">
        <f>AnnualDiversions!$AK15</f>
        <v>15864.246446422729</v>
      </c>
      <c r="EQ23" s="286">
        <f>AnnualDiversions!$L15</f>
        <v>1799.9999999999991</v>
      </c>
      <c r="ER23" s="287">
        <f t="shared" si="77"/>
        <v>352832.95604204194</v>
      </c>
      <c r="ES23" s="286">
        <f>AnnualDiversions!$AO15</f>
        <v>2145.999999999754</v>
      </c>
      <c r="ET23" s="286">
        <f>AnnualDiversions!$AY15</f>
        <v>2620.814479637706</v>
      </c>
      <c r="EU23" s="286">
        <f>AnnualAggregations!$V15</f>
        <v>53411.617479564724</v>
      </c>
      <c r="EV23" s="286">
        <f>AnnualAggregations!$W15</f>
        <v>9227.581775242581</v>
      </c>
      <c r="EW23" s="286">
        <f>AnnualAggregations!$X15</f>
        <v>18607.990576823926</v>
      </c>
      <c r="EX23" s="286">
        <f>AnnualDiversions!$AL15</f>
        <v>12224.199288254822</v>
      </c>
      <c r="EY23" s="286">
        <f>AnnualDiversions!$AG15</f>
        <v>17788.306642658827</v>
      </c>
      <c r="EZ23" s="286">
        <f>AnnualDiversions!$AN15</f>
        <v>5875.7168374534858</v>
      </c>
      <c r="FA23" s="287">
        <f t="shared" si="78"/>
        <v>119756.22707963607</v>
      </c>
      <c r="FB23" s="287">
        <f t="shared" si="79"/>
        <v>474735.18312167778</v>
      </c>
      <c r="FC23" s="286">
        <f>AnnualDiversions!$AP15</f>
        <v>378.87777777775057</v>
      </c>
      <c r="FD23" s="442" t="s">
        <v>597</v>
      </c>
      <c r="FE23" s="286">
        <f>AnnualDiversions!$AJ15</f>
        <v>38999.999998983862</v>
      </c>
      <c r="FF23" s="286">
        <f>AnnualDiversions!$BC15</f>
        <v>16199.999998970494</v>
      </c>
      <c r="FG23" s="286">
        <f>AnnualDiversions!$J15</f>
        <v>4166.6500000021233</v>
      </c>
      <c r="FH23" s="286">
        <f>AnnualAggregations!$Y15</f>
        <v>19374.983333335967</v>
      </c>
      <c r="FI23" s="287">
        <f t="shared" si="80"/>
        <v>79120.511109070212</v>
      </c>
      <c r="FJ23" s="287">
        <f t="shared" si="81"/>
        <v>79120.511109070198</v>
      </c>
      <c r="FK23" s="287">
        <f t="shared" si="82"/>
        <v>553855.69423074799</v>
      </c>
      <c r="FM23" s="440" t="s">
        <v>628</v>
      </c>
      <c r="FN23" s="440" t="s">
        <v>628</v>
      </c>
      <c r="FO23" s="440" t="s">
        <v>628</v>
      </c>
      <c r="FP23" s="440" t="s">
        <v>628</v>
      </c>
      <c r="FQ23" s="440" t="s">
        <v>628</v>
      </c>
      <c r="FR23" s="440" t="s">
        <v>628</v>
      </c>
      <c r="FS23" s="440" t="s">
        <v>628</v>
      </c>
      <c r="FT23" s="440" t="s">
        <v>628</v>
      </c>
      <c r="FU23" s="440" t="s">
        <v>628</v>
      </c>
      <c r="FV23" s="440" t="s">
        <v>628</v>
      </c>
      <c r="FW23" s="440" t="s">
        <v>628</v>
      </c>
      <c r="FX23" s="440" t="s">
        <v>628</v>
      </c>
      <c r="FY23" s="440" t="s">
        <v>628</v>
      </c>
      <c r="GA23" s="440" t="s">
        <v>628</v>
      </c>
      <c r="GC23" s="286">
        <f>AnnualAggregations!$T15</f>
        <v>37763.476493275419</v>
      </c>
      <c r="GD23" s="286">
        <f>AnnualAggregations!$R15</f>
        <v>109067.13000005131</v>
      </c>
      <c r="GE23" s="443">
        <f t="shared" si="83"/>
        <v>110776.66286807066</v>
      </c>
      <c r="GF23" s="286">
        <f>AnnualAggregations!$U15</f>
        <v>4983.6065573789629</v>
      </c>
      <c r="GG23" s="287">
        <f t="shared" si="84"/>
        <v>262590.87591877632</v>
      </c>
      <c r="GH23" s="440" t="s">
        <v>628</v>
      </c>
      <c r="GI23" s="440" t="s">
        <v>628</v>
      </c>
      <c r="GJ23" s="440" t="s">
        <v>628</v>
      </c>
      <c r="GK23" s="440" t="s">
        <v>628</v>
      </c>
      <c r="GL23" s="286">
        <f>AnnualDiversions!$BG15</f>
        <v>12296.800000006155</v>
      </c>
      <c r="GN23" s="440" t="s">
        <v>628</v>
      </c>
      <c r="GO23" s="440" t="s">
        <v>628</v>
      </c>
      <c r="GP23" s="440" t="s">
        <v>628</v>
      </c>
      <c r="GQ23" s="442" t="s">
        <v>597</v>
      </c>
      <c r="GU23" s="282">
        <v>1936</v>
      </c>
      <c r="GV23" s="286">
        <f>AnnualAggregations!AA15</f>
        <v>311007.82891242928</v>
      </c>
      <c r="GW23" s="442" t="s">
        <v>597</v>
      </c>
      <c r="GX23" s="286">
        <f>AnnualDivReqs!$AM15</f>
        <v>24160.880683189946</v>
      </c>
      <c r="GY23" s="286">
        <f>AnnualDivReqs!$AK15</f>
        <v>15864.246446422729</v>
      </c>
      <c r="GZ23" s="286">
        <f>AnnualDivReqs!$L15</f>
        <v>1799.9999999999991</v>
      </c>
      <c r="HA23" s="287">
        <f t="shared" si="85"/>
        <v>352832.95604204194</v>
      </c>
      <c r="HB23" s="286">
        <f>AnnualDivReqs!$AO15</f>
        <v>2145.999999999754</v>
      </c>
      <c r="HC23" s="286">
        <f>AnnualDivReqs!$AY15</f>
        <v>2620.814479637706</v>
      </c>
      <c r="HD23" s="286">
        <f>AnnualAggregations!$AD15</f>
        <v>53411.617479564724</v>
      </c>
      <c r="HE23" s="286">
        <f>AnnualAggregations!$AE15</f>
        <v>20860.545608296179</v>
      </c>
      <c r="HF23" s="286">
        <f>AnnualAggregations!$AF15</f>
        <v>18607.990576823926</v>
      </c>
      <c r="HG23" s="286">
        <f>AnnualDivReqs!$AL15</f>
        <v>12224.199288254822</v>
      </c>
      <c r="HH23" s="286">
        <f>AnnualDivReqs!$AG15</f>
        <v>17788.306642658827</v>
      </c>
      <c r="HI23" s="286">
        <f>AnnualDivReqs!$AN15</f>
        <v>5875.7168374534858</v>
      </c>
      <c r="HJ23" s="287">
        <f t="shared" si="86"/>
        <v>131389.19091268966</v>
      </c>
      <c r="HK23" s="287">
        <f t="shared" si="87"/>
        <v>486368.14695473138</v>
      </c>
      <c r="HL23" s="286">
        <f>AnnualDivReqs!$AP15</f>
        <v>378.87777777775057</v>
      </c>
      <c r="HM23" s="442" t="s">
        <v>597</v>
      </c>
      <c r="HN23" s="286">
        <f>AnnualDivReqs!$AJ15</f>
        <v>38999.999998983862</v>
      </c>
      <c r="HO23" s="286">
        <f>AnnualDivReqs!$BC15</f>
        <v>16199.999998970494</v>
      </c>
      <c r="HP23" s="286">
        <f>AnnualDivReqs!$J15</f>
        <v>4166.6500000021233</v>
      </c>
      <c r="HQ23" s="286">
        <f>AnnualAggregations!$AG15</f>
        <v>19374.983333335967</v>
      </c>
      <c r="HR23" s="287">
        <f t="shared" si="88"/>
        <v>79120.511109070212</v>
      </c>
      <c r="HS23" s="287">
        <f t="shared" si="89"/>
        <v>79120.511109070198</v>
      </c>
      <c r="HT23" s="287">
        <f t="shared" si="90"/>
        <v>565488.65806380159</v>
      </c>
      <c r="HV23" s="440" t="s">
        <v>628</v>
      </c>
      <c r="HW23" s="440" t="s">
        <v>628</v>
      </c>
      <c r="HX23" s="440" t="s">
        <v>628</v>
      </c>
      <c r="HY23" s="440" t="s">
        <v>628</v>
      </c>
      <c r="HZ23" s="440" t="s">
        <v>628</v>
      </c>
      <c r="IA23" s="440" t="s">
        <v>628</v>
      </c>
      <c r="IB23" s="440" t="s">
        <v>628</v>
      </c>
      <c r="IC23" s="440" t="s">
        <v>628</v>
      </c>
      <c r="ID23" s="440" t="s">
        <v>628</v>
      </c>
      <c r="IE23" s="440" t="s">
        <v>628</v>
      </c>
      <c r="IF23" s="440" t="s">
        <v>628</v>
      </c>
      <c r="IG23" s="440" t="s">
        <v>628</v>
      </c>
      <c r="IH23" s="440" t="s">
        <v>628</v>
      </c>
      <c r="IJ23" s="440" t="s">
        <v>628</v>
      </c>
      <c r="IL23" s="286">
        <f>AnnualAggregations!$AB15</f>
        <v>37763.476493275448</v>
      </c>
      <c r="IM23" s="286">
        <f>AnnualAggregations!$Z15</f>
        <v>109067.13000005131</v>
      </c>
      <c r="IN23" s="442" t="s">
        <v>597</v>
      </c>
      <c r="IO23" s="286">
        <f>AnnualAggregations!$AC15</f>
        <v>5000.0000000019463</v>
      </c>
      <c r="IP23" s="442" t="s">
        <v>597</v>
      </c>
      <c r="IQ23" s="440" t="s">
        <v>628</v>
      </c>
      <c r="IR23" s="440" t="s">
        <v>628</v>
      </c>
      <c r="IS23" s="440" t="s">
        <v>628</v>
      </c>
      <c r="IT23" s="440" t="s">
        <v>628</v>
      </c>
      <c r="IU23" s="286">
        <f>AnnualDivReqs!$BG15</f>
        <v>12296.800000006155</v>
      </c>
      <c r="IW23" s="440" t="s">
        <v>628</v>
      </c>
      <c r="IX23" s="440" t="s">
        <v>628</v>
      </c>
      <c r="IY23" s="440" t="s">
        <v>628</v>
      </c>
      <c r="IZ23" s="442" t="s">
        <v>597</v>
      </c>
    </row>
    <row r="24" spans="1:260" x14ac:dyDescent="0.25">
      <c r="A24" s="480" t="str">
        <f>ADDRESS(ROW(SJRIPSummary!E16),COLUMN(SJRIPSummary!E16),4,1)</f>
        <v>E16</v>
      </c>
      <c r="B24" s="480" t="str">
        <f t="shared" si="57"/>
        <v>16</v>
      </c>
      <c r="C24" t="s">
        <v>605</v>
      </c>
      <c r="D24" s="404">
        <v>9</v>
      </c>
      <c r="E24" s="404">
        <v>70</v>
      </c>
      <c r="F24" s="404">
        <v>131</v>
      </c>
      <c r="G24" s="404">
        <v>192</v>
      </c>
      <c r="H24" s="391"/>
      <c r="I24" s="602"/>
      <c r="J24" s="605"/>
      <c r="K24" s="609"/>
      <c r="L24" s="175" t="s">
        <v>82</v>
      </c>
      <c r="M24" s="174">
        <f ca="1">ROUND(SJRIPSummaryRAW!B18,-2)</f>
        <v>32500</v>
      </c>
      <c r="N24" s="148"/>
      <c r="O24" s="221">
        <f ca="1">ROUND(SJRIPSummaryRAW!D18,-2)</f>
        <v>39000</v>
      </c>
      <c r="P24" s="222">
        <f ca="1">ROUND(SJRIPSummaryRAW!E18,-2)</f>
        <v>23000</v>
      </c>
      <c r="Q24" s="391"/>
      <c r="R24" s="21"/>
      <c r="S24" s="21"/>
      <c r="T24" s="282">
        <v>1937</v>
      </c>
      <c r="U24" s="286">
        <f>AnnualAggregations!$C16</f>
        <v>225338.30025350093</v>
      </c>
      <c r="V24" s="286">
        <f>AnnualDepletions!$BI16</f>
        <v>-4444.3599685365725</v>
      </c>
      <c r="W24" s="286">
        <f>AnnualDepletions!$AM16</f>
        <v>12100.000000000009</v>
      </c>
      <c r="X24" s="286">
        <f>AnnualDepletions!$AK16</f>
        <v>7970</v>
      </c>
      <c r="Y24" s="286">
        <f>AnnualDepletions!$L16</f>
        <v>900.00000000000114</v>
      </c>
      <c r="Z24" s="287">
        <f t="shared" si="58"/>
        <v>241863.94028496437</v>
      </c>
      <c r="AA24" s="286">
        <f>AnnualDepletions!$AO16</f>
        <v>1186.9999999998631</v>
      </c>
      <c r="AB24" s="286">
        <f>AnnualDepletions!$AY16</f>
        <v>1577.9999999998174</v>
      </c>
      <c r="AC24" s="286">
        <f>AnnualAggregations!$F16</f>
        <v>30456.982103162201</v>
      </c>
      <c r="AD24" s="286">
        <f>AnnualAggregations!$G16</f>
        <v>6733.0773889399352</v>
      </c>
      <c r="AE24" s="286">
        <f>AnnualAggregations!$H16</f>
        <v>12960.999999998514</v>
      </c>
      <c r="AF24" s="286">
        <f>AnnualDepletions!$AL16</f>
        <v>10960.999999998738</v>
      </c>
      <c r="AG24" s="286">
        <f>AnnualDepletions!$AG16</f>
        <v>9376.9999999989068</v>
      </c>
      <c r="AH24" s="286">
        <f>AnnualDepletions!$AN16</f>
        <v>3231.9999999996253</v>
      </c>
      <c r="AI24" s="287">
        <f t="shared" si="59"/>
        <v>75299.059492097731</v>
      </c>
      <c r="AJ24" s="287">
        <f t="shared" si="60"/>
        <v>318349.99977706198</v>
      </c>
      <c r="AK24" s="286">
        <f>AnnualDepletions!$AP16</f>
        <v>340.98999999997505</v>
      </c>
      <c r="AL24" s="286">
        <f>AnnualDepletions!$BH16</f>
        <v>27204.440601008951</v>
      </c>
      <c r="AM24" s="286">
        <f>AnnualDepletions!$AJ16</f>
        <v>38999.999998983854</v>
      </c>
      <c r="AN24" s="286">
        <f>AnnualDepletions!$BC16</f>
        <v>16199.99999897049</v>
      </c>
      <c r="AO24" s="286">
        <f>AnnualDepletions!$J16</f>
        <v>2499.9900000012672</v>
      </c>
      <c r="AP24" s="286">
        <f>AnnualAggregations!$I16</f>
        <v>11624.990000001573</v>
      </c>
      <c r="AQ24" s="287">
        <f t="shared" si="61"/>
        <v>69665.96999795716</v>
      </c>
      <c r="AR24" s="287">
        <f t="shared" si="62"/>
        <v>96870.410598966118</v>
      </c>
      <c r="AS24" s="287">
        <f t="shared" si="63"/>
        <v>415220.4103760281</v>
      </c>
      <c r="AU24" s="321">
        <f ca="1">StateModDepletions_ThisScenario!AC14</f>
        <v>33438.868517309427</v>
      </c>
      <c r="AV24" s="321">
        <f ca="1">StateModDepletions_ThisScenario!AD14</f>
        <v>17940.196015000343</v>
      </c>
      <c r="AW24" s="321">
        <f ca="1">StateModDepletions_ThisScenario!AE14</f>
        <v>111024.76712564006</v>
      </c>
      <c r="AX24" s="321">
        <f ca="1">StateModDepletions_ThisScenario!AB14</f>
        <v>24765.810481309891</v>
      </c>
      <c r="AY24" s="288">
        <f t="shared" ca="1" si="64"/>
        <v>187169.64213925973</v>
      </c>
      <c r="AZ24" s="321">
        <f ca="1">StateModDepletions_ThisScenario!AG14</f>
        <v>41137.798650531549</v>
      </c>
      <c r="BA24" s="321">
        <f ca="1">StateModDepletions_ThisScenario!AF14</f>
        <v>18550.271567501131</v>
      </c>
      <c r="BB24" s="321">
        <f ca="1">StateModDepletions_ThisScenario!AH14</f>
        <v>18493.262535102665</v>
      </c>
      <c r="BC24" s="321">
        <f ca="1">StateModDepletions_ThisScenario!AI14</f>
        <v>18392.430309402465</v>
      </c>
      <c r="BD24" s="321">
        <f ca="1">StateModDepletions_ThisScenario!N14</f>
        <v>1326.6977829933167</v>
      </c>
      <c r="BE24" s="321">
        <f ca="1">StateModDepletions_ThisScenario!V14</f>
        <v>13258.551636695862</v>
      </c>
      <c r="BF24" s="288">
        <f t="shared" ca="1" si="65"/>
        <v>111159.01248222699</v>
      </c>
      <c r="BG24" s="288">
        <f t="shared" ca="1" si="66"/>
        <v>298328.65462148673</v>
      </c>
      <c r="BI24" s="288">
        <f t="shared" ca="1" si="67"/>
        <v>713549.06499751483</v>
      </c>
      <c r="BK24" s="286">
        <f>AnnualAggregations!$D16</f>
        <v>35893.000000000058</v>
      </c>
      <c r="BL24" s="286">
        <f>AnnualAggregations!$B16</f>
        <v>57150.466679511846</v>
      </c>
      <c r="BM24" s="286">
        <f>AnnualDepletions!$BK16</f>
        <v>147736.7476791798</v>
      </c>
      <c r="BN24" s="286">
        <f>AnnualAggregations!$E16</f>
        <v>5000.0000000019172</v>
      </c>
      <c r="BO24" s="287">
        <f t="shared" si="68"/>
        <v>245780.21435869363</v>
      </c>
      <c r="BP24" s="321">
        <f ca="1">StateModDepletions_ThisScenario!Y14</f>
        <v>212.11356273293495</v>
      </c>
      <c r="BQ24" s="321">
        <f ca="1">StateModDepletions_ThisScenario!AJ14</f>
        <v>143706.83743427665</v>
      </c>
      <c r="BR24" s="321">
        <f ca="1">StateModDepletions_ThisScenario!Z14</f>
        <v>222134.37148737907</v>
      </c>
      <c r="BS24" s="321">
        <f ca="1">StateModDepletions_ThisScenario!AA14</f>
        <v>78215.420490369492</v>
      </c>
      <c r="BT24" s="286">
        <f>AnnualDepletions!$BG16</f>
        <v>12296.800000006155</v>
      </c>
      <c r="BV24" s="287">
        <f t="shared" ca="1" si="69"/>
        <v>971626.07935621461</v>
      </c>
      <c r="BW24" s="287">
        <f t="shared" ca="1" si="70"/>
        <v>893410.65886584506</v>
      </c>
      <c r="BX24" s="287">
        <f t="shared" ca="1" si="56"/>
        <v>908285.65886584506</v>
      </c>
      <c r="BY24" s="287">
        <f>SJRIPSummaryRAW!$B$79</f>
        <v>14875</v>
      </c>
      <c r="CC24" s="282">
        <v>1937</v>
      </c>
      <c r="CD24" s="286">
        <f>AnnualAggregations!K16</f>
        <v>225338.30025350093</v>
      </c>
      <c r="CE24" s="442" t="s">
        <v>597</v>
      </c>
      <c r="CF24" s="286">
        <f>AnnualDeplReqs!$AM16</f>
        <v>12100.000000000009</v>
      </c>
      <c r="CG24" s="286">
        <f>AnnualDeplReqs!$AK16</f>
        <v>7970</v>
      </c>
      <c r="CH24" s="286">
        <f>AnnualDeplReqs!$L16</f>
        <v>900.00000000000114</v>
      </c>
      <c r="CI24" s="443">
        <f t="shared" si="71"/>
        <v>241863.94028496437</v>
      </c>
      <c r="CJ24" s="286">
        <f>AnnualDeplReqs!$AO16</f>
        <v>1186.9999999998631</v>
      </c>
      <c r="CK24" s="286">
        <f>AnnualDeplReqs!$AY16</f>
        <v>1577.9999999998174</v>
      </c>
      <c r="CL24" s="286">
        <f>AnnualAggregations!$N16</f>
        <v>30456.982103162201</v>
      </c>
      <c r="CM24" s="286">
        <f>AnnualAggregations!$O16</f>
        <v>10932.999999998738</v>
      </c>
      <c r="CN24" s="286">
        <f>AnnualAggregations!$P16</f>
        <v>12960.999999998514</v>
      </c>
      <c r="CO24" s="286">
        <f>AnnualDeplReqs!$AL16</f>
        <v>10960.999999998738</v>
      </c>
      <c r="CP24" s="286">
        <f>AnnualDeplReqs!$AG16</f>
        <v>9376.9999999989068</v>
      </c>
      <c r="CQ24" s="286">
        <f>AnnualDeplReqs!$AN16</f>
        <v>3231.9999999996253</v>
      </c>
      <c r="CR24" s="287">
        <f t="shared" si="72"/>
        <v>79498.982103156537</v>
      </c>
      <c r="CS24" s="287">
        <f t="shared" si="73"/>
        <v>322549.92238812079</v>
      </c>
      <c r="CT24" s="286">
        <f>AnnualDeplReqs!$AP16</f>
        <v>340.98999999997505</v>
      </c>
      <c r="CU24" s="442" t="s">
        <v>597</v>
      </c>
      <c r="CV24" s="286">
        <f>AnnualDeplReqs!$AJ16</f>
        <v>38999.999998983854</v>
      </c>
      <c r="CW24" s="286">
        <f>AnnualDeplReqs!$BC16</f>
        <v>16199.99999897049</v>
      </c>
      <c r="CX24" s="286">
        <f>AnnualDeplReqs!$J16</f>
        <v>2499.9900000012672</v>
      </c>
      <c r="CY24" s="286">
        <f>AnnualAggregations!$Q16</f>
        <v>11624.990000001573</v>
      </c>
      <c r="CZ24" s="287">
        <f t="shared" si="74"/>
        <v>69665.96999795716</v>
      </c>
      <c r="DA24" s="443">
        <f t="shared" si="75"/>
        <v>96870.410598966118</v>
      </c>
      <c r="DB24" s="287">
        <f t="shared" si="76"/>
        <v>419420.33298708691</v>
      </c>
      <c r="DD24" s="440" t="s">
        <v>628</v>
      </c>
      <c r="DE24" s="440" t="s">
        <v>628</v>
      </c>
      <c r="DF24" s="440" t="s">
        <v>628</v>
      </c>
      <c r="DG24" s="440" t="s">
        <v>628</v>
      </c>
      <c r="DH24" s="440" t="s">
        <v>628</v>
      </c>
      <c r="DI24" s="440" t="s">
        <v>628</v>
      </c>
      <c r="DJ24" s="440" t="s">
        <v>628</v>
      </c>
      <c r="DK24" s="440" t="s">
        <v>628</v>
      </c>
      <c r="DL24" s="440" t="s">
        <v>628</v>
      </c>
      <c r="DM24" s="440" t="s">
        <v>628</v>
      </c>
      <c r="DN24" s="440" t="s">
        <v>628</v>
      </c>
      <c r="DO24" s="440" t="s">
        <v>628</v>
      </c>
      <c r="DP24" s="440" t="s">
        <v>628</v>
      </c>
      <c r="DR24" s="440" t="s">
        <v>628</v>
      </c>
      <c r="DT24" s="286">
        <f>AnnualAggregations!$L16</f>
        <v>35893.000000000073</v>
      </c>
      <c r="DU24" s="443">
        <f>AnnualAggregations!$J16</f>
        <v>57183.959219284712</v>
      </c>
      <c r="DV24" s="442" t="s">
        <v>597</v>
      </c>
      <c r="DW24" s="286">
        <f>AnnualAggregations!$M16</f>
        <v>5000.0000000019172</v>
      </c>
      <c r="DX24" s="442" t="s">
        <v>597</v>
      </c>
      <c r="DY24" s="440" t="s">
        <v>628</v>
      </c>
      <c r="DZ24" s="440" t="s">
        <v>628</v>
      </c>
      <c r="EA24" s="440" t="s">
        <v>628</v>
      </c>
      <c r="EB24" s="440" t="s">
        <v>628</v>
      </c>
      <c r="EC24" s="286">
        <f>AnnualDeplReqs!$BG16</f>
        <v>12296.800000006155</v>
      </c>
      <c r="EE24" s="440" t="s">
        <v>628</v>
      </c>
      <c r="EF24" s="440" t="s">
        <v>628</v>
      </c>
      <c r="EG24" s="440" t="s">
        <v>628</v>
      </c>
      <c r="EH24" s="442" t="s">
        <v>597</v>
      </c>
      <c r="EL24" s="282">
        <v>1937</v>
      </c>
      <c r="EM24" s="286">
        <f>AnnualAggregations!S16</f>
        <v>281672.87531687622</v>
      </c>
      <c r="EN24" s="442" t="s">
        <v>597</v>
      </c>
      <c r="EO24" s="286">
        <f>AnnualDiversions!$AM16</f>
        <v>24160.880683190011</v>
      </c>
      <c r="EP24" s="286">
        <f>AnnualDiversions!$AK16</f>
        <v>15864.24644642276</v>
      </c>
      <c r="EQ24" s="286">
        <f>AnnualDiversions!$L16</f>
        <v>1800.0000000000023</v>
      </c>
      <c r="ER24" s="287">
        <f t="shared" si="77"/>
        <v>323498.002446489</v>
      </c>
      <c r="ES24" s="286">
        <f>AnnualDiversions!$AO16</f>
        <v>2373.9999999997262</v>
      </c>
      <c r="ET24" s="286">
        <f>AnnualDiversions!$AY16</f>
        <v>2856.1085972847386</v>
      </c>
      <c r="EU24" s="286">
        <f>AnnualAggregations!$V16</f>
        <v>51118.682726913794</v>
      </c>
      <c r="EV24" s="286">
        <f>AnnualAggregations!$W16</f>
        <v>12459.474154437847</v>
      </c>
      <c r="EW24" s="286">
        <f>AnnualAggregations!$X16</f>
        <v>19867.007364706416</v>
      </c>
      <c r="EX24" s="286">
        <f>AnnualDiversions!$AL16</f>
        <v>13002.372479239311</v>
      </c>
      <c r="EY24" s="286">
        <f>AnnualDiversions!$AG16</f>
        <v>17771.249881548221</v>
      </c>
      <c r="EZ24" s="286">
        <f>AnnualDiversions!$AN16</f>
        <v>6076.9013819678967</v>
      </c>
      <c r="FA24" s="287">
        <f t="shared" si="78"/>
        <v>123151.79658609822</v>
      </c>
      <c r="FB24" s="287">
        <f t="shared" si="79"/>
        <v>449023.79903258692</v>
      </c>
      <c r="FC24" s="286">
        <f>AnnualDiversions!$AP16</f>
        <v>378.87777777775057</v>
      </c>
      <c r="FD24" s="442" t="s">
        <v>597</v>
      </c>
      <c r="FE24" s="286">
        <f>AnnualDiversions!$AJ16</f>
        <v>38999.999998983854</v>
      </c>
      <c r="FF24" s="286">
        <f>AnnualDiversions!$BC16</f>
        <v>16199.99999897049</v>
      </c>
      <c r="FG24" s="286">
        <f>AnnualDiversions!$J16</f>
        <v>4166.6500000021233</v>
      </c>
      <c r="FH24" s="286">
        <f>AnnualAggregations!$Y16</f>
        <v>19374.983333335964</v>
      </c>
      <c r="FI24" s="287">
        <f t="shared" si="80"/>
        <v>79120.511109070183</v>
      </c>
      <c r="FJ24" s="287">
        <f t="shared" si="81"/>
        <v>79120.511109070183</v>
      </c>
      <c r="FK24" s="287">
        <f t="shared" si="82"/>
        <v>528144.31014165713</v>
      </c>
      <c r="FM24" s="440" t="s">
        <v>628</v>
      </c>
      <c r="FN24" s="440" t="s">
        <v>628</v>
      </c>
      <c r="FO24" s="440" t="s">
        <v>628</v>
      </c>
      <c r="FP24" s="440" t="s">
        <v>628</v>
      </c>
      <c r="FQ24" s="440" t="s">
        <v>628</v>
      </c>
      <c r="FR24" s="440" t="s">
        <v>628</v>
      </c>
      <c r="FS24" s="440" t="s">
        <v>628</v>
      </c>
      <c r="FT24" s="440" t="s">
        <v>628</v>
      </c>
      <c r="FU24" s="440" t="s">
        <v>628</v>
      </c>
      <c r="FV24" s="440" t="s">
        <v>628</v>
      </c>
      <c r="FW24" s="440" t="s">
        <v>628</v>
      </c>
      <c r="FX24" s="440" t="s">
        <v>628</v>
      </c>
      <c r="FY24" s="440" t="s">
        <v>628</v>
      </c>
      <c r="GA24" s="440" t="s">
        <v>628</v>
      </c>
      <c r="GC24" s="286">
        <f>AnnualAggregations!$T16</f>
        <v>37764.23856661762</v>
      </c>
      <c r="GD24" s="286">
        <f>AnnualAggregations!$R16</f>
        <v>109067.13000005133</v>
      </c>
      <c r="GE24" s="443">
        <f t="shared" si="83"/>
        <v>147736.7476791798</v>
      </c>
      <c r="GF24" s="286">
        <f>AnnualAggregations!$U16</f>
        <v>5000.0000000019172</v>
      </c>
      <c r="GG24" s="287">
        <f t="shared" si="84"/>
        <v>299568.11624585063</v>
      </c>
      <c r="GH24" s="440" t="s">
        <v>628</v>
      </c>
      <c r="GI24" s="440" t="s">
        <v>628</v>
      </c>
      <c r="GJ24" s="440" t="s">
        <v>628</v>
      </c>
      <c r="GK24" s="440" t="s">
        <v>628</v>
      </c>
      <c r="GL24" s="286">
        <f>AnnualDiversions!$BG16</f>
        <v>12296.800000006155</v>
      </c>
      <c r="GN24" s="440" t="s">
        <v>628</v>
      </c>
      <c r="GO24" s="440" t="s">
        <v>628</v>
      </c>
      <c r="GP24" s="440" t="s">
        <v>628</v>
      </c>
      <c r="GQ24" s="442" t="s">
        <v>597</v>
      </c>
      <c r="GU24" s="282">
        <v>1937</v>
      </c>
      <c r="GV24" s="286">
        <f>AnnualAggregations!AA16</f>
        <v>281672.87531687622</v>
      </c>
      <c r="GW24" s="442" t="s">
        <v>597</v>
      </c>
      <c r="GX24" s="286">
        <f>AnnualDivReqs!$AM16</f>
        <v>24160.880683190011</v>
      </c>
      <c r="GY24" s="286">
        <f>AnnualDivReqs!$AK16</f>
        <v>15864.24644642276</v>
      </c>
      <c r="GZ24" s="286">
        <f>AnnualDivReqs!$L16</f>
        <v>1800.0000000000023</v>
      </c>
      <c r="HA24" s="287">
        <f t="shared" si="85"/>
        <v>323498.002446489</v>
      </c>
      <c r="HB24" s="286">
        <f>AnnualDivReqs!$AO16</f>
        <v>2373.9999999997262</v>
      </c>
      <c r="HC24" s="286">
        <f>AnnualDivReqs!$AY16</f>
        <v>2856.1085972847386</v>
      </c>
      <c r="HD24" s="286">
        <f>AnnualAggregations!$AD16</f>
        <v>51118.682726913794</v>
      </c>
      <c r="HE24" s="286">
        <f>AnnualAggregations!$AE16</f>
        <v>19584.265431807667</v>
      </c>
      <c r="HF24" s="286">
        <f>AnnualAggregations!$AF16</f>
        <v>19867.007364706416</v>
      </c>
      <c r="HG24" s="286">
        <f>AnnualDivReqs!$AL16</f>
        <v>13002.372479239311</v>
      </c>
      <c r="HH24" s="286">
        <f>AnnualDivReqs!$AG16</f>
        <v>17771.249881548221</v>
      </c>
      <c r="HI24" s="286">
        <f>AnnualDivReqs!$AN16</f>
        <v>6076.9013819678967</v>
      </c>
      <c r="HJ24" s="287">
        <f t="shared" si="86"/>
        <v>130276.58786346806</v>
      </c>
      <c r="HK24" s="287">
        <f t="shared" si="87"/>
        <v>456148.59030995675</v>
      </c>
      <c r="HL24" s="286">
        <f>AnnualDivReqs!$AP16</f>
        <v>378.87777777775057</v>
      </c>
      <c r="HM24" s="442" t="s">
        <v>597</v>
      </c>
      <c r="HN24" s="286">
        <f>AnnualDivReqs!$AJ16</f>
        <v>38999.999998983854</v>
      </c>
      <c r="HO24" s="286">
        <f>AnnualDivReqs!$BC16</f>
        <v>16199.99999897049</v>
      </c>
      <c r="HP24" s="286">
        <f>AnnualDivReqs!$J16</f>
        <v>4166.6500000021233</v>
      </c>
      <c r="HQ24" s="286">
        <f>AnnualAggregations!$AG16</f>
        <v>19374.983333335964</v>
      </c>
      <c r="HR24" s="287">
        <f t="shared" si="88"/>
        <v>79120.511109070183</v>
      </c>
      <c r="HS24" s="287">
        <f t="shared" si="89"/>
        <v>79120.511109070183</v>
      </c>
      <c r="HT24" s="287">
        <f t="shared" si="90"/>
        <v>535269.10141902696</v>
      </c>
      <c r="HV24" s="440" t="s">
        <v>628</v>
      </c>
      <c r="HW24" s="440" t="s">
        <v>628</v>
      </c>
      <c r="HX24" s="440" t="s">
        <v>628</v>
      </c>
      <c r="HY24" s="440" t="s">
        <v>628</v>
      </c>
      <c r="HZ24" s="440" t="s">
        <v>628</v>
      </c>
      <c r="IA24" s="440" t="s">
        <v>628</v>
      </c>
      <c r="IB24" s="440" t="s">
        <v>628</v>
      </c>
      <c r="IC24" s="440" t="s">
        <v>628</v>
      </c>
      <c r="ID24" s="440" t="s">
        <v>628</v>
      </c>
      <c r="IE24" s="440" t="s">
        <v>628</v>
      </c>
      <c r="IF24" s="440" t="s">
        <v>628</v>
      </c>
      <c r="IG24" s="440" t="s">
        <v>628</v>
      </c>
      <c r="IH24" s="440" t="s">
        <v>628</v>
      </c>
      <c r="IJ24" s="440" t="s">
        <v>628</v>
      </c>
      <c r="IL24" s="286">
        <f>AnnualAggregations!$AB16</f>
        <v>37764.238566617634</v>
      </c>
      <c r="IM24" s="286">
        <f>AnnualAggregations!$Z16</f>
        <v>109134.11507959706</v>
      </c>
      <c r="IN24" s="442" t="s">
        <v>597</v>
      </c>
      <c r="IO24" s="286">
        <f>AnnualAggregations!$AC16</f>
        <v>5000.0000000019172</v>
      </c>
      <c r="IP24" s="442" t="s">
        <v>597</v>
      </c>
      <c r="IQ24" s="440" t="s">
        <v>628</v>
      </c>
      <c r="IR24" s="440" t="s">
        <v>628</v>
      </c>
      <c r="IS24" s="440" t="s">
        <v>628</v>
      </c>
      <c r="IT24" s="440" t="s">
        <v>628</v>
      </c>
      <c r="IU24" s="286">
        <f>AnnualDivReqs!$BG16</f>
        <v>12296.800000006155</v>
      </c>
      <c r="IW24" s="440" t="s">
        <v>628</v>
      </c>
      <c r="IX24" s="440" t="s">
        <v>628</v>
      </c>
      <c r="IY24" s="440" t="s">
        <v>628</v>
      </c>
      <c r="IZ24" s="442" t="s">
        <v>597</v>
      </c>
    </row>
    <row r="25" spans="1:260" x14ac:dyDescent="0.25">
      <c r="A25" s="480" t="str">
        <f>ADDRESS(ROW(SJRIPSummary!E17),COLUMN(SJRIPSummary!E17),4,1)</f>
        <v>E17</v>
      </c>
      <c r="B25" s="480" t="str">
        <f t="shared" si="57"/>
        <v>17</v>
      </c>
      <c r="C25" t="s">
        <v>606</v>
      </c>
      <c r="D25" s="404">
        <v>10</v>
      </c>
      <c r="E25" s="404">
        <v>71</v>
      </c>
      <c r="F25" s="404">
        <v>132</v>
      </c>
      <c r="G25" s="404">
        <v>193</v>
      </c>
      <c r="H25" s="391"/>
      <c r="I25" s="602"/>
      <c r="J25" s="605"/>
      <c r="K25" s="609"/>
      <c r="L25" s="175" t="s">
        <v>83</v>
      </c>
      <c r="M25" s="174">
        <f ca="1">ROUND(SJRIPSummaryRAW!B19,-2)</f>
        <v>4300</v>
      </c>
      <c r="N25" s="148"/>
      <c r="O25" s="221">
        <f ca="1">ROUND(SJRIPSummaryRAW!D19,-2)</f>
        <v>9000</v>
      </c>
      <c r="P25" s="222">
        <f ca="1">ROUND(SJRIPSummaryRAW!E19,-2)</f>
        <v>600</v>
      </c>
      <c r="Q25" s="391"/>
      <c r="R25" s="21"/>
      <c r="S25" s="21"/>
      <c r="T25" s="282">
        <v>1938</v>
      </c>
      <c r="U25" s="286">
        <f>AnnualAggregations!$C17</f>
        <v>244095.14721147413</v>
      </c>
      <c r="V25" s="286">
        <f>AnnualDepletions!$BI17</f>
        <v>-692.9905769417486</v>
      </c>
      <c r="W25" s="286">
        <f>AnnualDepletions!$AM17</f>
        <v>12100.000000000002</v>
      </c>
      <c r="X25" s="286">
        <f>AnnualDepletions!$AK17</f>
        <v>7970.0000000000018</v>
      </c>
      <c r="Y25" s="286">
        <f>AnnualDepletions!$L17</f>
        <v>900.00000000000057</v>
      </c>
      <c r="Z25" s="287">
        <f t="shared" si="58"/>
        <v>264372.15663453238</v>
      </c>
      <c r="AA25" s="286">
        <f>AnnualDepletions!$AO17</f>
        <v>1141.9999999998679</v>
      </c>
      <c r="AB25" s="286">
        <f>AnnualDepletions!$AY17</f>
        <v>1483.9999999998281</v>
      </c>
      <c r="AC25" s="286">
        <f>AnnualAggregations!$F17</f>
        <v>29392.020937572586</v>
      </c>
      <c r="AD25" s="286">
        <f>AnnualAggregations!$G17</f>
        <v>4856.4461124130275</v>
      </c>
      <c r="AE25" s="286">
        <f>AnnualAggregations!$H17</f>
        <v>11905.999999998634</v>
      </c>
      <c r="AF25" s="286">
        <f>AnnualDepletions!$AL17</f>
        <v>10053.999999998843</v>
      </c>
      <c r="AG25" s="286">
        <f>AnnualDepletions!$AG17</f>
        <v>9787.9999999988613</v>
      </c>
      <c r="AH25" s="286">
        <f>AnnualDepletions!$AN17</f>
        <v>3225.9999999996276</v>
      </c>
      <c r="AI25" s="287">
        <f t="shared" si="59"/>
        <v>70706.467049981395</v>
      </c>
      <c r="AJ25" s="287">
        <f t="shared" si="60"/>
        <v>336220.62368451367</v>
      </c>
      <c r="AK25" s="286">
        <f>AnnualDepletions!$AP17</f>
        <v>340.98999999997505</v>
      </c>
      <c r="AL25" s="286">
        <f>AnnualDepletions!$BH17</f>
        <v>26909.726485210151</v>
      </c>
      <c r="AM25" s="286">
        <f>AnnualDepletions!$AJ17</f>
        <v>38999.999998983854</v>
      </c>
      <c r="AN25" s="286">
        <f>AnnualDepletions!$BC17</f>
        <v>16199.99999897049</v>
      </c>
      <c r="AO25" s="286">
        <f>AnnualDepletions!$J17</f>
        <v>2499.9900000012672</v>
      </c>
      <c r="AP25" s="286">
        <f>AnnualAggregations!$I17</f>
        <v>11624.990000001573</v>
      </c>
      <c r="AQ25" s="287">
        <f t="shared" si="61"/>
        <v>69665.96999795716</v>
      </c>
      <c r="AR25" s="287">
        <f t="shared" si="62"/>
        <v>96575.696483167325</v>
      </c>
      <c r="AS25" s="287">
        <f t="shared" si="63"/>
        <v>432796.32016768097</v>
      </c>
      <c r="AU25" s="321">
        <f ca="1">StateModDepletions_ThisScenario!AC15</f>
        <v>32373.62467315048</v>
      </c>
      <c r="AV25" s="321">
        <f ca="1">StateModDepletions_ThisScenario!AD15</f>
        <v>17395.552780628204</v>
      </c>
      <c r="AW25" s="321">
        <f ca="1">StateModDepletions_ThisScenario!AE15</f>
        <v>104107.51374334097</v>
      </c>
      <c r="AX25" s="321">
        <f ca="1">StateModDepletions_ThisScenario!AB15</f>
        <v>24765.810481309891</v>
      </c>
      <c r="AY25" s="288">
        <f t="shared" ca="1" si="64"/>
        <v>178642.50167842954</v>
      </c>
      <c r="AZ25" s="321">
        <f ca="1">StateModDepletions_ThisScenario!AG15</f>
        <v>46536.53519348659</v>
      </c>
      <c r="BA25" s="321">
        <f ca="1">StateModDepletions_ThisScenario!AF15</f>
        <v>17119.031358689055</v>
      </c>
      <c r="BB25" s="321">
        <f ca="1">StateModDepletions_ThisScenario!AH15</f>
        <v>17848.249059602618</v>
      </c>
      <c r="BC25" s="321">
        <f ca="1">StateModDepletions_ThisScenario!AI15</f>
        <v>20012.18410571817</v>
      </c>
      <c r="BD25" s="321">
        <f ca="1">StateModDepletions_ThisScenario!N15</f>
        <v>1326.6977829933167</v>
      </c>
      <c r="BE25" s="321">
        <f ca="1">StateModDepletions_ThisScenario!V15</f>
        <v>14570.047814369202</v>
      </c>
      <c r="BF25" s="288">
        <f t="shared" ca="1" si="65"/>
        <v>117412.74531485896</v>
      </c>
      <c r="BG25" s="288">
        <f t="shared" ca="1" si="66"/>
        <v>296055.24699328851</v>
      </c>
      <c r="BI25" s="288">
        <f t="shared" ca="1" si="67"/>
        <v>728851.56716096948</v>
      </c>
      <c r="BK25" s="286">
        <f>AnnualAggregations!$D17</f>
        <v>35893.000000000044</v>
      </c>
      <c r="BL25" s="286">
        <f>AnnualAggregations!$B17</f>
        <v>57172.960484178126</v>
      </c>
      <c r="BM25" s="286">
        <f>AnnualDepletions!$BK17</f>
        <v>154598.1292912857</v>
      </c>
      <c r="BN25" s="286">
        <f>AnnualAggregations!$E17</f>
        <v>5000.0000000019172</v>
      </c>
      <c r="BO25" s="287">
        <f t="shared" si="68"/>
        <v>252664.08977546578</v>
      </c>
      <c r="BP25" s="321">
        <f ca="1">StateModDepletions_ThisScenario!Y15</f>
        <v>212.11356273293495</v>
      </c>
      <c r="BQ25" s="321">
        <f ca="1">StateModDepletions_ThisScenario!AJ15</f>
        <v>133318.57844572744</v>
      </c>
      <c r="BR25" s="321">
        <f ca="1">StateModDepletions_ThisScenario!Z15</f>
        <v>223787.21753585339</v>
      </c>
      <c r="BS25" s="321">
        <f ca="1">StateModDepletions_ThisScenario!AA15</f>
        <v>90256.525527392994</v>
      </c>
      <c r="BT25" s="286">
        <f>AnnualDepletions!$BG17</f>
        <v>12296.800000006155</v>
      </c>
      <c r="BV25" s="287">
        <f t="shared" ca="1" si="69"/>
        <v>993812.45693644136</v>
      </c>
      <c r="BW25" s="287">
        <f t="shared" ca="1" si="70"/>
        <v>903555.93140904838</v>
      </c>
      <c r="BX25" s="287">
        <f t="shared" ca="1" si="56"/>
        <v>918430.93140904838</v>
      </c>
      <c r="BY25" s="287">
        <f>SJRIPSummaryRAW!$B$79</f>
        <v>14875</v>
      </c>
      <c r="CC25" s="282">
        <v>1938</v>
      </c>
      <c r="CD25" s="286">
        <f>AnnualAggregations!K17</f>
        <v>244095.14721147413</v>
      </c>
      <c r="CE25" s="442" t="s">
        <v>597</v>
      </c>
      <c r="CF25" s="286">
        <f>AnnualDeplReqs!$AM17</f>
        <v>12100.000000000002</v>
      </c>
      <c r="CG25" s="286">
        <f>AnnualDeplReqs!$AK17</f>
        <v>7970.0000000000018</v>
      </c>
      <c r="CH25" s="286">
        <f>AnnualDeplReqs!$L17</f>
        <v>900.00000000000057</v>
      </c>
      <c r="CI25" s="443">
        <f t="shared" si="71"/>
        <v>264372.15663453238</v>
      </c>
      <c r="CJ25" s="286">
        <f>AnnualDeplReqs!$AO17</f>
        <v>1141.9999999998679</v>
      </c>
      <c r="CK25" s="286">
        <f>AnnualDeplReqs!$AY17</f>
        <v>1483.9999999998281</v>
      </c>
      <c r="CL25" s="286">
        <f>AnnualAggregations!$N17</f>
        <v>29392.020937572586</v>
      </c>
      <c r="CM25" s="286">
        <f>AnnualAggregations!$O17</f>
        <v>10497.999999998794</v>
      </c>
      <c r="CN25" s="286">
        <f>AnnualAggregations!$P17</f>
        <v>11905.999999998634</v>
      </c>
      <c r="CO25" s="286">
        <f>AnnualDeplReqs!$AL17</f>
        <v>10053.999999998843</v>
      </c>
      <c r="CP25" s="286">
        <f>AnnualDeplReqs!$AG17</f>
        <v>9787.9999999988613</v>
      </c>
      <c r="CQ25" s="286">
        <f>AnnualDeplReqs!$AN17</f>
        <v>3225.9999999996276</v>
      </c>
      <c r="CR25" s="287">
        <f t="shared" si="72"/>
        <v>76348.020937567169</v>
      </c>
      <c r="CS25" s="287">
        <f t="shared" si="73"/>
        <v>341862.17757209943</v>
      </c>
      <c r="CT25" s="286">
        <f>AnnualDeplReqs!$AP17</f>
        <v>340.98999999997505</v>
      </c>
      <c r="CU25" s="442" t="s">
        <v>597</v>
      </c>
      <c r="CV25" s="286">
        <f>AnnualDeplReqs!$AJ17</f>
        <v>38999.999998983854</v>
      </c>
      <c r="CW25" s="286">
        <f>AnnualDeplReqs!$BC17</f>
        <v>16199.99999897049</v>
      </c>
      <c r="CX25" s="286">
        <f>AnnualDeplReqs!$J17</f>
        <v>2499.9900000012672</v>
      </c>
      <c r="CY25" s="286">
        <f>AnnualAggregations!$Q17</f>
        <v>11624.990000001573</v>
      </c>
      <c r="CZ25" s="287">
        <f t="shared" si="74"/>
        <v>69665.96999795716</v>
      </c>
      <c r="DA25" s="443">
        <f t="shared" si="75"/>
        <v>96575.69648316731</v>
      </c>
      <c r="DB25" s="287">
        <f t="shared" si="76"/>
        <v>438437.87405526673</v>
      </c>
      <c r="DD25" s="440" t="s">
        <v>628</v>
      </c>
      <c r="DE25" s="440" t="s">
        <v>628</v>
      </c>
      <c r="DF25" s="440" t="s">
        <v>628</v>
      </c>
      <c r="DG25" s="440" t="s">
        <v>628</v>
      </c>
      <c r="DH25" s="440" t="s">
        <v>628</v>
      </c>
      <c r="DI25" s="440" t="s">
        <v>628</v>
      </c>
      <c r="DJ25" s="440" t="s">
        <v>628</v>
      </c>
      <c r="DK25" s="440" t="s">
        <v>628</v>
      </c>
      <c r="DL25" s="440" t="s">
        <v>628</v>
      </c>
      <c r="DM25" s="440" t="s">
        <v>628</v>
      </c>
      <c r="DN25" s="440" t="s">
        <v>628</v>
      </c>
      <c r="DO25" s="440" t="s">
        <v>628</v>
      </c>
      <c r="DP25" s="440" t="s">
        <v>628</v>
      </c>
      <c r="DR25" s="440" t="s">
        <v>628</v>
      </c>
      <c r="DT25" s="286">
        <f>AnnualAggregations!$L17</f>
        <v>35893.000000000073</v>
      </c>
      <c r="DU25" s="443">
        <f>AnnualAggregations!$J17</f>
        <v>57172.960484178126</v>
      </c>
      <c r="DV25" s="442" t="s">
        <v>597</v>
      </c>
      <c r="DW25" s="286">
        <f>AnnualAggregations!$M17</f>
        <v>5000.0000000019172</v>
      </c>
      <c r="DX25" s="442" t="s">
        <v>597</v>
      </c>
      <c r="DY25" s="440" t="s">
        <v>628</v>
      </c>
      <c r="DZ25" s="440" t="s">
        <v>628</v>
      </c>
      <c r="EA25" s="440" t="s">
        <v>628</v>
      </c>
      <c r="EB25" s="440" t="s">
        <v>628</v>
      </c>
      <c r="EC25" s="286">
        <f>AnnualDeplReqs!$BG17</f>
        <v>12296.800000006155</v>
      </c>
      <c r="EE25" s="440" t="s">
        <v>628</v>
      </c>
      <c r="EF25" s="440" t="s">
        <v>628</v>
      </c>
      <c r="EG25" s="440" t="s">
        <v>628</v>
      </c>
      <c r="EH25" s="442" t="s">
        <v>597</v>
      </c>
      <c r="EL25" s="282">
        <v>1938</v>
      </c>
      <c r="EM25" s="286">
        <f>AnnualAggregations!S17</f>
        <v>305118.93401434319</v>
      </c>
      <c r="EN25" s="442" t="s">
        <v>597</v>
      </c>
      <c r="EO25" s="286">
        <f>AnnualDiversions!$AM17</f>
        <v>24160.880683189982</v>
      </c>
      <c r="EP25" s="286">
        <f>AnnualDiversions!$AK17</f>
        <v>15864.246446422736</v>
      </c>
      <c r="EQ25" s="286">
        <f>AnnualDiversions!$L17</f>
        <v>1800.0000000000011</v>
      </c>
      <c r="ER25" s="287">
        <f t="shared" si="77"/>
        <v>346944.06114395586</v>
      </c>
      <c r="ES25" s="286">
        <f>AnnualDiversions!$AO17</f>
        <v>2283.9999999997358</v>
      </c>
      <c r="ET25" s="286">
        <f>AnnualDiversions!$AY17</f>
        <v>2685.9728506784236</v>
      </c>
      <c r="EU25" s="286">
        <f>AnnualAggregations!$V17</f>
        <v>49293.606023274064</v>
      </c>
      <c r="EV25" s="286">
        <f>AnnualAggregations!$W17</f>
        <v>9118.2981611980085</v>
      </c>
      <c r="EW25" s="286">
        <f>AnnualAggregations!$X17</f>
        <v>18249.296119334162</v>
      </c>
      <c r="EX25" s="286">
        <f>AnnualDiversions!$AL17</f>
        <v>11926.453143533625</v>
      </c>
      <c r="EY25" s="286">
        <f>AnnualDiversions!$AG17</f>
        <v>18550.175305598164</v>
      </c>
      <c r="EZ25" s="286">
        <f>AnnualDiversions!$AN17</f>
        <v>6065.6200056399866</v>
      </c>
      <c r="FA25" s="287">
        <f t="shared" si="78"/>
        <v>115889.42160925643</v>
      </c>
      <c r="FB25" s="287">
        <f t="shared" si="79"/>
        <v>465117.48275321198</v>
      </c>
      <c r="FC25" s="286">
        <f>AnnualDiversions!$AP17</f>
        <v>378.87777777775057</v>
      </c>
      <c r="FD25" s="442" t="s">
        <v>597</v>
      </c>
      <c r="FE25" s="286">
        <f>AnnualDiversions!$AJ17</f>
        <v>38999.999998983854</v>
      </c>
      <c r="FF25" s="286">
        <f>AnnualDiversions!$BC17</f>
        <v>16199.99999897049</v>
      </c>
      <c r="FG25" s="286">
        <f>AnnualDiversions!$J17</f>
        <v>4166.6500000021233</v>
      </c>
      <c r="FH25" s="286">
        <f>AnnualAggregations!$Y17</f>
        <v>19374.983333335964</v>
      </c>
      <c r="FI25" s="287">
        <f t="shared" si="80"/>
        <v>79120.511109070183</v>
      </c>
      <c r="FJ25" s="287">
        <f t="shared" si="81"/>
        <v>79120.511109070183</v>
      </c>
      <c r="FK25" s="287">
        <f t="shared" si="82"/>
        <v>544237.99386228214</v>
      </c>
      <c r="FM25" s="440" t="s">
        <v>628</v>
      </c>
      <c r="FN25" s="440" t="s">
        <v>628</v>
      </c>
      <c r="FO25" s="440" t="s">
        <v>628</v>
      </c>
      <c r="FP25" s="440" t="s">
        <v>628</v>
      </c>
      <c r="FQ25" s="440" t="s">
        <v>628</v>
      </c>
      <c r="FR25" s="440" t="s">
        <v>628</v>
      </c>
      <c r="FS25" s="440" t="s">
        <v>628</v>
      </c>
      <c r="FT25" s="440" t="s">
        <v>628</v>
      </c>
      <c r="FU25" s="440" t="s">
        <v>628</v>
      </c>
      <c r="FV25" s="440" t="s">
        <v>628</v>
      </c>
      <c r="FW25" s="440" t="s">
        <v>628</v>
      </c>
      <c r="FX25" s="440" t="s">
        <v>628</v>
      </c>
      <c r="FY25" s="440" t="s">
        <v>628</v>
      </c>
      <c r="GA25" s="440" t="s">
        <v>628</v>
      </c>
      <c r="GC25" s="286">
        <f>AnnualAggregations!$T17</f>
        <v>37764.238566617612</v>
      </c>
      <c r="GD25" s="286">
        <f>AnnualAggregations!$R17</f>
        <v>109067.13000005133</v>
      </c>
      <c r="GE25" s="443">
        <f t="shared" si="83"/>
        <v>154598.1292912857</v>
      </c>
      <c r="GF25" s="286">
        <f>AnnualAggregations!$U17</f>
        <v>5000.0000000019172</v>
      </c>
      <c r="GG25" s="287">
        <f t="shared" si="84"/>
        <v>306429.49785795656</v>
      </c>
      <c r="GH25" s="440" t="s">
        <v>628</v>
      </c>
      <c r="GI25" s="440" t="s">
        <v>628</v>
      </c>
      <c r="GJ25" s="440" t="s">
        <v>628</v>
      </c>
      <c r="GK25" s="440" t="s">
        <v>628</v>
      </c>
      <c r="GL25" s="286">
        <f>AnnualDiversions!$BG17</f>
        <v>12296.800000006155</v>
      </c>
      <c r="GN25" s="440" t="s">
        <v>628</v>
      </c>
      <c r="GO25" s="440" t="s">
        <v>628</v>
      </c>
      <c r="GP25" s="440" t="s">
        <v>628</v>
      </c>
      <c r="GQ25" s="442" t="s">
        <v>597</v>
      </c>
      <c r="GU25" s="282">
        <v>1938</v>
      </c>
      <c r="GV25" s="286">
        <f>AnnualAggregations!AA17</f>
        <v>305118.93401434319</v>
      </c>
      <c r="GW25" s="442" t="s">
        <v>597</v>
      </c>
      <c r="GX25" s="286">
        <f>AnnualDivReqs!$AM17</f>
        <v>24160.880683189982</v>
      </c>
      <c r="GY25" s="286">
        <f>AnnualDivReqs!$AK17</f>
        <v>15864.246446422736</v>
      </c>
      <c r="GZ25" s="286">
        <f>AnnualDivReqs!$L17</f>
        <v>1800.0000000000011</v>
      </c>
      <c r="HA25" s="287">
        <f t="shared" si="85"/>
        <v>346944.06114395586</v>
      </c>
      <c r="HB25" s="286">
        <f>AnnualDivReqs!$AO17</f>
        <v>2283.9999999997358</v>
      </c>
      <c r="HC25" s="286">
        <f>AnnualDivReqs!$AY17</f>
        <v>2685.9728506784236</v>
      </c>
      <c r="HD25" s="286">
        <f>AnnualAggregations!$AD17</f>
        <v>49293.606023274064</v>
      </c>
      <c r="HE25" s="286">
        <f>AnnualAggregations!$AE17</f>
        <v>18802.559532479045</v>
      </c>
      <c r="HF25" s="286">
        <f>AnnualAggregations!$AF17</f>
        <v>18249.296119334162</v>
      </c>
      <c r="HG25" s="286">
        <f>AnnualDivReqs!$AL17</f>
        <v>11926.453143533625</v>
      </c>
      <c r="HH25" s="286">
        <f>AnnualDivReqs!$AG17</f>
        <v>18550.175305598164</v>
      </c>
      <c r="HI25" s="286">
        <f>AnnualDivReqs!$AN17</f>
        <v>6065.6200056399866</v>
      </c>
      <c r="HJ25" s="287">
        <f t="shared" si="86"/>
        <v>125573.68298053747</v>
      </c>
      <c r="HK25" s="287">
        <f t="shared" si="87"/>
        <v>474801.74412449304</v>
      </c>
      <c r="HL25" s="286">
        <f>AnnualDivReqs!$AP17</f>
        <v>378.87777777775057</v>
      </c>
      <c r="HM25" s="442" t="s">
        <v>597</v>
      </c>
      <c r="HN25" s="286">
        <f>AnnualDivReqs!$AJ17</f>
        <v>38999.999998983854</v>
      </c>
      <c r="HO25" s="286">
        <f>AnnualDivReqs!$BC17</f>
        <v>16199.99999897049</v>
      </c>
      <c r="HP25" s="286">
        <f>AnnualDivReqs!$J17</f>
        <v>4166.6500000021233</v>
      </c>
      <c r="HQ25" s="286">
        <f>AnnualAggregations!$AG17</f>
        <v>19374.983333335964</v>
      </c>
      <c r="HR25" s="287">
        <f t="shared" si="88"/>
        <v>79120.511109070183</v>
      </c>
      <c r="HS25" s="287">
        <f t="shared" si="89"/>
        <v>79120.511109070183</v>
      </c>
      <c r="HT25" s="287">
        <f t="shared" si="90"/>
        <v>553922.25523356325</v>
      </c>
      <c r="HV25" s="440" t="s">
        <v>628</v>
      </c>
      <c r="HW25" s="440" t="s">
        <v>628</v>
      </c>
      <c r="HX25" s="440" t="s">
        <v>628</v>
      </c>
      <c r="HY25" s="440" t="s">
        <v>628</v>
      </c>
      <c r="HZ25" s="440" t="s">
        <v>628</v>
      </c>
      <c r="IA25" s="440" t="s">
        <v>628</v>
      </c>
      <c r="IB25" s="440" t="s">
        <v>628</v>
      </c>
      <c r="IC25" s="440" t="s">
        <v>628</v>
      </c>
      <c r="ID25" s="440" t="s">
        <v>628</v>
      </c>
      <c r="IE25" s="440" t="s">
        <v>628</v>
      </c>
      <c r="IF25" s="440" t="s">
        <v>628</v>
      </c>
      <c r="IG25" s="440" t="s">
        <v>628</v>
      </c>
      <c r="IH25" s="440" t="s">
        <v>628</v>
      </c>
      <c r="IJ25" s="440" t="s">
        <v>628</v>
      </c>
      <c r="IL25" s="286">
        <f>AnnualAggregations!$AB17</f>
        <v>37764.238566617634</v>
      </c>
      <c r="IM25" s="286">
        <f>AnnualAggregations!$Z17</f>
        <v>109067.13000005133</v>
      </c>
      <c r="IN25" s="442" t="s">
        <v>597</v>
      </c>
      <c r="IO25" s="286">
        <f>AnnualAggregations!$AC17</f>
        <v>5000.0000000019172</v>
      </c>
      <c r="IP25" s="442" t="s">
        <v>597</v>
      </c>
      <c r="IQ25" s="440" t="s">
        <v>628</v>
      </c>
      <c r="IR25" s="440" t="s">
        <v>628</v>
      </c>
      <c r="IS25" s="440" t="s">
        <v>628</v>
      </c>
      <c r="IT25" s="440" t="s">
        <v>628</v>
      </c>
      <c r="IU25" s="286">
        <f>AnnualDivReqs!$BG17</f>
        <v>12296.800000006155</v>
      </c>
      <c r="IW25" s="440" t="s">
        <v>628</v>
      </c>
      <c r="IX25" s="440" t="s">
        <v>628</v>
      </c>
      <c r="IY25" s="440" t="s">
        <v>628</v>
      </c>
      <c r="IZ25" s="442" t="s">
        <v>597</v>
      </c>
    </row>
    <row r="26" spans="1:260" x14ac:dyDescent="0.25">
      <c r="A26" s="480" t="str">
        <f>ADDRESS(ROW(SJRIPSummary!E18),COLUMN(SJRIPSummary!E18),4,1)</f>
        <v>E18</v>
      </c>
      <c r="B26" s="480" t="str">
        <f t="shared" si="57"/>
        <v>18</v>
      </c>
      <c r="C26" t="s">
        <v>607</v>
      </c>
      <c r="D26" s="404">
        <v>11</v>
      </c>
      <c r="E26" s="404">
        <v>72</v>
      </c>
      <c r="F26" s="404">
        <v>133</v>
      </c>
      <c r="G26" s="404">
        <v>194</v>
      </c>
      <c r="H26" s="391"/>
      <c r="I26" s="602"/>
      <c r="J26" s="605"/>
      <c r="K26" s="609"/>
      <c r="L26" s="175" t="s">
        <v>84</v>
      </c>
      <c r="M26" s="174">
        <f ca="1">ROUND(SJRIPSummaryRAW!B20,-2)</f>
        <v>12700</v>
      </c>
      <c r="N26" s="148"/>
      <c r="O26" s="221">
        <f ca="1">ROUND(SJRIPSummaryRAW!D20,-2)</f>
        <v>15000</v>
      </c>
      <c r="P26" s="222">
        <f ca="1">ROUND(SJRIPSummaryRAW!E20,-2)</f>
        <v>9400</v>
      </c>
      <c r="Q26" s="391"/>
      <c r="R26" s="21"/>
      <c r="S26" s="21"/>
      <c r="T26" s="282">
        <v>1939</v>
      </c>
      <c r="U26" s="286">
        <f>AnnualAggregations!$C18</f>
        <v>273067.38219530316</v>
      </c>
      <c r="V26" s="286">
        <f>AnnualDepletions!$BI18</f>
        <v>5101.4564198238068</v>
      </c>
      <c r="W26" s="286">
        <f>AnnualDepletions!$AM18</f>
        <v>12100.000000000011</v>
      </c>
      <c r="X26" s="286">
        <f>AnnualDepletions!$AK18</f>
        <v>7970</v>
      </c>
      <c r="Y26" s="286">
        <f>AnnualDepletions!$L18</f>
        <v>899.99999999999955</v>
      </c>
      <c r="Z26" s="287">
        <f t="shared" si="58"/>
        <v>299138.83861512697</v>
      </c>
      <c r="AA26" s="286">
        <f>AnnualDepletions!$AO18</f>
        <v>1224.9999999998595</v>
      </c>
      <c r="AB26" s="286">
        <f>AnnualDepletions!$AY18</f>
        <v>1676.9999999998061</v>
      </c>
      <c r="AC26" s="286">
        <f>AnnualAggregations!$F18</f>
        <v>34431.895437547821</v>
      </c>
      <c r="AD26" s="286">
        <f>AnnualAggregations!$G18</f>
        <v>3096.5966205326999</v>
      </c>
      <c r="AE26" s="286">
        <f>AnnualAggregations!$H18</f>
        <v>13783.999999998417</v>
      </c>
      <c r="AF26" s="286">
        <f>AnnualDepletions!$AL18</f>
        <v>11643.999999998656</v>
      </c>
      <c r="AG26" s="286">
        <f>AnnualDepletions!$AG18</f>
        <v>10232.997293637613</v>
      </c>
      <c r="AH26" s="286">
        <f>AnnualDepletions!$AN18</f>
        <v>3331.9999999996153</v>
      </c>
      <c r="AI26" s="287">
        <f t="shared" si="59"/>
        <v>78198.489351714627</v>
      </c>
      <c r="AJ26" s="287">
        <f t="shared" si="60"/>
        <v>378562.32796684146</v>
      </c>
      <c r="AK26" s="286">
        <f>AnnualDepletions!$AP18</f>
        <v>340.98999999997505</v>
      </c>
      <c r="AL26" s="286">
        <f>AnnualDepletions!$BH18</f>
        <v>28673.540868840359</v>
      </c>
      <c r="AM26" s="286">
        <f>AnnualDepletions!$AJ18</f>
        <v>38999.999998983854</v>
      </c>
      <c r="AN26" s="286">
        <f>AnnualDepletions!$BC18</f>
        <v>16199.99999897049</v>
      </c>
      <c r="AO26" s="286">
        <f>AnnualDepletions!$J18</f>
        <v>2499.9900000012672</v>
      </c>
      <c r="AP26" s="286">
        <f>AnnualAggregations!$I18</f>
        <v>11624.990000001573</v>
      </c>
      <c r="AQ26" s="287">
        <f t="shared" si="61"/>
        <v>69665.96999795716</v>
      </c>
      <c r="AR26" s="287">
        <f t="shared" si="62"/>
        <v>98339.510866797529</v>
      </c>
      <c r="AS26" s="287">
        <f t="shared" si="63"/>
        <v>476901.83883363899</v>
      </c>
      <c r="AU26" s="321">
        <f ca="1">StateModDepletions_ThisScenario!AC16</f>
        <v>31400.679776802659</v>
      </c>
      <c r="AV26" s="321">
        <f ca="1">StateModDepletions_ThisScenario!AD16</f>
        <v>16706.234877586365</v>
      </c>
      <c r="AW26" s="321">
        <f ca="1">StateModDepletions_ThisScenario!AE16</f>
        <v>107768.87129013985</v>
      </c>
      <c r="AX26" s="321">
        <f ca="1">StateModDepletions_ThisScenario!AB16</f>
        <v>24765.810481309891</v>
      </c>
      <c r="AY26" s="288">
        <f t="shared" ca="1" si="64"/>
        <v>180641.59642583877</v>
      </c>
      <c r="AZ26" s="321">
        <f ca="1">StateModDepletions_ThisScenario!AG16</f>
        <v>36127.176998509545</v>
      </c>
      <c r="BA26" s="321">
        <f ca="1">StateModDepletions_ThisScenario!AF16</f>
        <v>18254.208867199715</v>
      </c>
      <c r="BB26" s="321">
        <f ca="1">StateModDepletions_ThisScenario!AH16</f>
        <v>10718.656040413305</v>
      </c>
      <c r="BC26" s="321">
        <f ca="1">StateModDepletions_ThisScenario!AI16</f>
        <v>11813.428537775359</v>
      </c>
      <c r="BD26" s="321">
        <f ca="1">StateModDepletions_ThisScenario!N16</f>
        <v>1326.6977829933167</v>
      </c>
      <c r="BE26" s="321">
        <f ca="1">StateModDepletions_ThisScenario!V16</f>
        <v>7240.6926755905151</v>
      </c>
      <c r="BF26" s="288">
        <f t="shared" ca="1" si="65"/>
        <v>85480.860902481756</v>
      </c>
      <c r="BG26" s="288">
        <f t="shared" ca="1" si="66"/>
        <v>266122.45732832054</v>
      </c>
      <c r="BI26" s="288">
        <f t="shared" ca="1" si="67"/>
        <v>743024.29616195953</v>
      </c>
      <c r="BK26" s="286">
        <f>AnnualAggregations!$D18</f>
        <v>35893.000000000073</v>
      </c>
      <c r="BL26" s="286">
        <f>AnnualAggregations!$B18</f>
        <v>57116.847032417296</v>
      </c>
      <c r="BM26" s="286">
        <f>AnnualDepletions!$BK18</f>
        <v>81030.742665702506</v>
      </c>
      <c r="BN26" s="286">
        <f>AnnualAggregations!$E18</f>
        <v>5000.0000000019172</v>
      </c>
      <c r="BO26" s="287">
        <f t="shared" si="68"/>
        <v>179040.5896981218</v>
      </c>
      <c r="BP26" s="321">
        <f ca="1">StateModDepletions_ThisScenario!Y16</f>
        <v>212.11356273293495</v>
      </c>
      <c r="BQ26" s="321">
        <f ca="1">StateModDepletions_ThisScenario!AJ16</f>
        <v>151838.30698001728</v>
      </c>
      <c r="BR26" s="321">
        <f ca="1">StateModDepletions_ThisScenario!Z16</f>
        <v>203431.54347598553</v>
      </c>
      <c r="BS26" s="321">
        <f ca="1">StateModDepletions_ThisScenario!AA16</f>
        <v>51381.12293323531</v>
      </c>
      <c r="BT26" s="286">
        <f>AnnualDepletions!$BG18</f>
        <v>12296.800000006155</v>
      </c>
      <c r="BV26" s="287">
        <f t="shared" ca="1" si="69"/>
        <v>934361.68586008751</v>
      </c>
      <c r="BW26" s="287">
        <f t="shared" ca="1" si="70"/>
        <v>882980.56292685214</v>
      </c>
      <c r="BX26" s="287">
        <f t="shared" ca="1" si="56"/>
        <v>897855.56292685214</v>
      </c>
      <c r="BY26" s="287">
        <f>SJRIPSummaryRAW!$B$79</f>
        <v>14875</v>
      </c>
      <c r="CC26" s="282">
        <v>1939</v>
      </c>
      <c r="CD26" s="286">
        <f>AnnualAggregations!K18</f>
        <v>273067.38219530316</v>
      </c>
      <c r="CE26" s="442" t="s">
        <v>597</v>
      </c>
      <c r="CF26" s="286">
        <f>AnnualDeplReqs!$AM18</f>
        <v>12100.000000000011</v>
      </c>
      <c r="CG26" s="286">
        <f>AnnualDeplReqs!$AK18</f>
        <v>7970</v>
      </c>
      <c r="CH26" s="286">
        <f>AnnualDeplReqs!$L18</f>
        <v>899.99999999999955</v>
      </c>
      <c r="CI26" s="443">
        <f t="shared" si="71"/>
        <v>299138.83861512697</v>
      </c>
      <c r="CJ26" s="286">
        <f>AnnualDeplReqs!$AO18</f>
        <v>1224.9999999998595</v>
      </c>
      <c r="CK26" s="286">
        <f>AnnualDeplReqs!$AY18</f>
        <v>1676.9999999998061</v>
      </c>
      <c r="CL26" s="286">
        <f>AnnualAggregations!$N18</f>
        <v>34431.895437547821</v>
      </c>
      <c r="CM26" s="286">
        <f>AnnualAggregations!$O18</f>
        <v>12838.999999998534</v>
      </c>
      <c r="CN26" s="286">
        <f>AnnualAggregations!$P18</f>
        <v>13783.999999998417</v>
      </c>
      <c r="CO26" s="286">
        <f>AnnualDeplReqs!$AL18</f>
        <v>11643.999999998656</v>
      </c>
      <c r="CP26" s="286">
        <f>AnnualDeplReqs!$AG18</f>
        <v>10747.999999998761</v>
      </c>
      <c r="CQ26" s="286">
        <f>AnnualDeplReqs!$AN18</f>
        <v>3331.9999999996153</v>
      </c>
      <c r="CR26" s="287">
        <f t="shared" si="72"/>
        <v>88455.895437541622</v>
      </c>
      <c r="CS26" s="287">
        <f t="shared" si="73"/>
        <v>388819.73405266844</v>
      </c>
      <c r="CT26" s="286">
        <f>AnnualDeplReqs!$AP18</f>
        <v>340.98999999997505</v>
      </c>
      <c r="CU26" s="442" t="s">
        <v>597</v>
      </c>
      <c r="CV26" s="286">
        <f>AnnualDeplReqs!$AJ18</f>
        <v>38999.999998983854</v>
      </c>
      <c r="CW26" s="286">
        <f>AnnualDeplReqs!$BC18</f>
        <v>16199.99999897049</v>
      </c>
      <c r="CX26" s="286">
        <f>AnnualDeplReqs!$J18</f>
        <v>2499.9900000012672</v>
      </c>
      <c r="CY26" s="286">
        <f>AnnualAggregations!$Q18</f>
        <v>11624.990000001573</v>
      </c>
      <c r="CZ26" s="287">
        <f t="shared" si="74"/>
        <v>69665.96999795716</v>
      </c>
      <c r="DA26" s="443">
        <f t="shared" si="75"/>
        <v>98339.510866797515</v>
      </c>
      <c r="DB26" s="287">
        <f t="shared" si="76"/>
        <v>487159.24491946597</v>
      </c>
      <c r="DD26" s="440" t="s">
        <v>628</v>
      </c>
      <c r="DE26" s="440" t="s">
        <v>628</v>
      </c>
      <c r="DF26" s="440" t="s">
        <v>628</v>
      </c>
      <c r="DG26" s="440" t="s">
        <v>628</v>
      </c>
      <c r="DH26" s="440" t="s">
        <v>628</v>
      </c>
      <c r="DI26" s="440" t="s">
        <v>628</v>
      </c>
      <c r="DJ26" s="440" t="s">
        <v>628</v>
      </c>
      <c r="DK26" s="440" t="s">
        <v>628</v>
      </c>
      <c r="DL26" s="440" t="s">
        <v>628</v>
      </c>
      <c r="DM26" s="440" t="s">
        <v>628</v>
      </c>
      <c r="DN26" s="440" t="s">
        <v>628</v>
      </c>
      <c r="DO26" s="440" t="s">
        <v>628</v>
      </c>
      <c r="DP26" s="440" t="s">
        <v>628</v>
      </c>
      <c r="DR26" s="440" t="s">
        <v>628</v>
      </c>
      <c r="DT26" s="286">
        <f>AnnualAggregations!$L18</f>
        <v>35893.000000000073</v>
      </c>
      <c r="DU26" s="443">
        <f>AnnualAggregations!$J18</f>
        <v>57328.867354998045</v>
      </c>
      <c r="DV26" s="442" t="s">
        <v>597</v>
      </c>
      <c r="DW26" s="286">
        <f>AnnualAggregations!$M18</f>
        <v>5000.0000000019172</v>
      </c>
      <c r="DX26" s="442" t="s">
        <v>597</v>
      </c>
      <c r="DY26" s="440" t="s">
        <v>628</v>
      </c>
      <c r="DZ26" s="440" t="s">
        <v>628</v>
      </c>
      <c r="EA26" s="440" t="s">
        <v>628</v>
      </c>
      <c r="EB26" s="440" t="s">
        <v>628</v>
      </c>
      <c r="EC26" s="286">
        <f>AnnualDeplReqs!$BG18</f>
        <v>12296.800000006155</v>
      </c>
      <c r="EE26" s="440" t="s">
        <v>628</v>
      </c>
      <c r="EF26" s="440" t="s">
        <v>628</v>
      </c>
      <c r="EG26" s="440" t="s">
        <v>628</v>
      </c>
      <c r="EH26" s="442" t="s">
        <v>597</v>
      </c>
      <c r="EL26" s="282">
        <v>1939</v>
      </c>
      <c r="EM26" s="286">
        <f>AnnualAggregations!S18</f>
        <v>341334.22774412815</v>
      </c>
      <c r="EN26" s="442" t="s">
        <v>597</v>
      </c>
      <c r="EO26" s="286">
        <f>AnnualDiversions!$AM18</f>
        <v>24160.880683189996</v>
      </c>
      <c r="EP26" s="286">
        <f>AnnualDiversions!$AK18</f>
        <v>15864.246446422745</v>
      </c>
      <c r="EQ26" s="286">
        <f>AnnualDiversions!$L18</f>
        <v>1799.9999999999991</v>
      </c>
      <c r="ER26" s="287">
        <f t="shared" si="77"/>
        <v>383159.35487374093</v>
      </c>
      <c r="ES26" s="286">
        <f>AnnualDiversions!$AO18</f>
        <v>2449.999999999719</v>
      </c>
      <c r="ET26" s="286">
        <f>AnnualDiversions!$AY18</f>
        <v>3035.2941176467116</v>
      </c>
      <c r="EU26" s="286">
        <f>AnnualAggregations!$V18</f>
        <v>57802.605791367139</v>
      </c>
      <c r="EV26" s="286">
        <f>AnnualAggregations!$W18</f>
        <v>5332.1776826745981</v>
      </c>
      <c r="EW26" s="286">
        <f>AnnualAggregations!$X18</f>
        <v>21127.947414441056</v>
      </c>
      <c r="EX26" s="286">
        <f>AnnualDiversions!$AL18</f>
        <v>13812.574139974677</v>
      </c>
      <c r="EY26" s="286">
        <f>AnnualDiversions!$AG18</f>
        <v>19393.532253648493</v>
      </c>
      <c r="EZ26" s="286">
        <f>AnnualDiversions!$AN18</f>
        <v>6264.9243207664085</v>
      </c>
      <c r="FA26" s="287">
        <f t="shared" si="78"/>
        <v>126769.05572051907</v>
      </c>
      <c r="FB26" s="287">
        <f t="shared" si="79"/>
        <v>512378.41059425974</v>
      </c>
      <c r="FC26" s="286">
        <f>AnnualDiversions!$AP18</f>
        <v>378.87777777775057</v>
      </c>
      <c r="FD26" s="442" t="s">
        <v>597</v>
      </c>
      <c r="FE26" s="286">
        <f>AnnualDiversions!$AJ18</f>
        <v>38999.999998983854</v>
      </c>
      <c r="FF26" s="286">
        <f>AnnualDiversions!$BC18</f>
        <v>16199.99999897049</v>
      </c>
      <c r="FG26" s="286">
        <f>AnnualDiversions!$J18</f>
        <v>4166.6500000021233</v>
      </c>
      <c r="FH26" s="286">
        <f>AnnualAggregations!$Y18</f>
        <v>19374.983333335964</v>
      </c>
      <c r="FI26" s="287">
        <f t="shared" si="80"/>
        <v>79120.511109070183</v>
      </c>
      <c r="FJ26" s="287">
        <f t="shared" si="81"/>
        <v>79120.511109070183</v>
      </c>
      <c r="FK26" s="287">
        <f t="shared" si="82"/>
        <v>591498.92170332989</v>
      </c>
      <c r="FM26" s="440" t="s">
        <v>628</v>
      </c>
      <c r="FN26" s="440" t="s">
        <v>628</v>
      </c>
      <c r="FO26" s="440" t="s">
        <v>628</v>
      </c>
      <c r="FP26" s="440" t="s">
        <v>628</v>
      </c>
      <c r="FQ26" s="440" t="s">
        <v>628</v>
      </c>
      <c r="FR26" s="440" t="s">
        <v>628</v>
      </c>
      <c r="FS26" s="440" t="s">
        <v>628</v>
      </c>
      <c r="FT26" s="440" t="s">
        <v>628</v>
      </c>
      <c r="FU26" s="440" t="s">
        <v>628</v>
      </c>
      <c r="FV26" s="440" t="s">
        <v>628</v>
      </c>
      <c r="FW26" s="440" t="s">
        <v>628</v>
      </c>
      <c r="FX26" s="440" t="s">
        <v>628</v>
      </c>
      <c r="FY26" s="440" t="s">
        <v>628</v>
      </c>
      <c r="GA26" s="440" t="s">
        <v>628</v>
      </c>
      <c r="GC26" s="286">
        <f>AnnualAggregations!$T18</f>
        <v>37764.238566617634</v>
      </c>
      <c r="GD26" s="286">
        <f>AnnualAggregations!$R18</f>
        <v>109067.13000005133</v>
      </c>
      <c r="GE26" s="443">
        <f t="shared" si="83"/>
        <v>81030.742665702506</v>
      </c>
      <c r="GF26" s="286">
        <f>AnnualAggregations!$U18</f>
        <v>5000.0000000019172</v>
      </c>
      <c r="GG26" s="287">
        <f t="shared" si="84"/>
        <v>232862.1112323734</v>
      </c>
      <c r="GH26" s="440" t="s">
        <v>628</v>
      </c>
      <c r="GI26" s="440" t="s">
        <v>628</v>
      </c>
      <c r="GJ26" s="440" t="s">
        <v>628</v>
      </c>
      <c r="GK26" s="440" t="s">
        <v>628</v>
      </c>
      <c r="GL26" s="286">
        <f>AnnualDiversions!$BG18</f>
        <v>12296.800000006155</v>
      </c>
      <c r="GN26" s="440" t="s">
        <v>628</v>
      </c>
      <c r="GO26" s="440" t="s">
        <v>628</v>
      </c>
      <c r="GP26" s="440" t="s">
        <v>628</v>
      </c>
      <c r="GQ26" s="442" t="s">
        <v>597</v>
      </c>
      <c r="GU26" s="282">
        <v>1939</v>
      </c>
      <c r="GV26" s="286">
        <f>AnnualAggregations!AA18</f>
        <v>341334.22774412815</v>
      </c>
      <c r="GW26" s="442" t="s">
        <v>597</v>
      </c>
      <c r="GX26" s="286">
        <f>AnnualDivReqs!$AM18</f>
        <v>24160.880683189996</v>
      </c>
      <c r="GY26" s="286">
        <f>AnnualDivReqs!$AK18</f>
        <v>15864.246446422745</v>
      </c>
      <c r="GZ26" s="286">
        <f>AnnualDivReqs!$L18</f>
        <v>1799.9999999999991</v>
      </c>
      <c r="HA26" s="287">
        <f t="shared" si="85"/>
        <v>383159.35487374093</v>
      </c>
      <c r="HB26" s="286">
        <f>AnnualDivReqs!$AO18</f>
        <v>2449.999999999719</v>
      </c>
      <c r="HC26" s="286">
        <f>AnnualDivReqs!$AY18</f>
        <v>3035.2941176467116</v>
      </c>
      <c r="HD26" s="286">
        <f>AnnualAggregations!$AD18</f>
        <v>57802.605791367139</v>
      </c>
      <c r="HE26" s="286">
        <f>AnnualAggregations!$AE18</f>
        <v>22996.337747026791</v>
      </c>
      <c r="HF26" s="286">
        <f>AnnualAggregations!$AF18</f>
        <v>21127.947414441056</v>
      </c>
      <c r="HG26" s="286">
        <f>AnnualDivReqs!$AL18</f>
        <v>13812.574139974677</v>
      </c>
      <c r="HH26" s="286">
        <f>AnnualDivReqs!$AG18</f>
        <v>20369.56315739367</v>
      </c>
      <c r="HI26" s="286">
        <f>AnnualDivReqs!$AN18</f>
        <v>6264.9243207664085</v>
      </c>
      <c r="HJ26" s="287">
        <f t="shared" si="86"/>
        <v>145409.24668861646</v>
      </c>
      <c r="HK26" s="287">
        <f t="shared" si="87"/>
        <v>531018.60156235704</v>
      </c>
      <c r="HL26" s="286">
        <f>AnnualDivReqs!$AP18</f>
        <v>378.87777777775057</v>
      </c>
      <c r="HM26" s="442" t="s">
        <v>597</v>
      </c>
      <c r="HN26" s="286">
        <f>AnnualDivReqs!$AJ18</f>
        <v>38999.999998983854</v>
      </c>
      <c r="HO26" s="286">
        <f>AnnualDivReqs!$BC18</f>
        <v>16199.99999897049</v>
      </c>
      <c r="HP26" s="286">
        <f>AnnualDivReqs!$J18</f>
        <v>4166.6500000021233</v>
      </c>
      <c r="HQ26" s="286">
        <f>AnnualAggregations!$AG18</f>
        <v>19374.983333335964</v>
      </c>
      <c r="HR26" s="287">
        <f t="shared" si="88"/>
        <v>79120.511109070183</v>
      </c>
      <c r="HS26" s="287">
        <f t="shared" si="89"/>
        <v>79120.511109070183</v>
      </c>
      <c r="HT26" s="287">
        <f t="shared" si="90"/>
        <v>610139.1126714272</v>
      </c>
      <c r="HV26" s="440" t="s">
        <v>628</v>
      </c>
      <c r="HW26" s="440" t="s">
        <v>628</v>
      </c>
      <c r="HX26" s="440" t="s">
        <v>628</v>
      </c>
      <c r="HY26" s="440" t="s">
        <v>628</v>
      </c>
      <c r="HZ26" s="440" t="s">
        <v>628</v>
      </c>
      <c r="IA26" s="440" t="s">
        <v>628</v>
      </c>
      <c r="IB26" s="440" t="s">
        <v>628</v>
      </c>
      <c r="IC26" s="440" t="s">
        <v>628</v>
      </c>
      <c r="ID26" s="440" t="s">
        <v>628</v>
      </c>
      <c r="IE26" s="440" t="s">
        <v>628</v>
      </c>
      <c r="IF26" s="440" t="s">
        <v>628</v>
      </c>
      <c r="IG26" s="440" t="s">
        <v>628</v>
      </c>
      <c r="IH26" s="440" t="s">
        <v>628</v>
      </c>
      <c r="IJ26" s="440" t="s">
        <v>628</v>
      </c>
      <c r="IL26" s="286">
        <f>AnnualAggregations!$AB18</f>
        <v>37764.238566617634</v>
      </c>
      <c r="IM26" s="286">
        <f>AnnualAggregations!$Z18</f>
        <v>109491.17064521283</v>
      </c>
      <c r="IN26" s="442" t="s">
        <v>597</v>
      </c>
      <c r="IO26" s="286">
        <f>AnnualAggregations!$AC18</f>
        <v>5000.0000000019172</v>
      </c>
      <c r="IP26" s="442" t="s">
        <v>597</v>
      </c>
      <c r="IQ26" s="440" t="s">
        <v>628</v>
      </c>
      <c r="IR26" s="440" t="s">
        <v>628</v>
      </c>
      <c r="IS26" s="440" t="s">
        <v>628</v>
      </c>
      <c r="IT26" s="440" t="s">
        <v>628</v>
      </c>
      <c r="IU26" s="286">
        <f>AnnualDivReqs!$BG18</f>
        <v>12296.800000006155</v>
      </c>
      <c r="IW26" s="440" t="s">
        <v>628</v>
      </c>
      <c r="IX26" s="440" t="s">
        <v>628</v>
      </c>
      <c r="IY26" s="440" t="s">
        <v>628</v>
      </c>
      <c r="IZ26" s="442" t="s">
        <v>597</v>
      </c>
    </row>
    <row r="27" spans="1:260" x14ac:dyDescent="0.25">
      <c r="A27" s="480" t="str">
        <f>ADDRESS(ROW(SJRIPSummary!E19),COLUMN(SJRIPSummary!E19),4,1)</f>
        <v>E19</v>
      </c>
      <c r="B27" s="480" t="str">
        <f t="shared" si="57"/>
        <v>19</v>
      </c>
      <c r="C27" t="s">
        <v>85</v>
      </c>
      <c r="D27" s="404">
        <v>12</v>
      </c>
      <c r="E27" s="404">
        <v>73</v>
      </c>
      <c r="F27" s="404">
        <v>134</v>
      </c>
      <c r="G27" s="404">
        <v>195</v>
      </c>
      <c r="H27" s="391"/>
      <c r="I27" s="602"/>
      <c r="J27" s="605"/>
      <c r="K27" s="609"/>
      <c r="L27" s="175" t="s">
        <v>85</v>
      </c>
      <c r="M27" s="174">
        <f ca="1">ROUND(SJRIPSummaryRAW!B21,-2)</f>
        <v>10800</v>
      </c>
      <c r="N27" s="148"/>
      <c r="O27" s="221">
        <f ca="1">ROUND(SJRIPSummaryRAW!D21,-2)</f>
        <v>12800</v>
      </c>
      <c r="P27" s="222">
        <f ca="1">ROUND(SJRIPSummaryRAW!E21,-2)</f>
        <v>8100</v>
      </c>
      <c r="Q27" s="391"/>
      <c r="R27" s="21"/>
      <c r="S27" s="21"/>
      <c r="T27" s="282">
        <v>1940</v>
      </c>
      <c r="U27" s="286">
        <f>AnnualAggregations!$C19</f>
        <v>233372.03917338364</v>
      </c>
      <c r="V27" s="286">
        <f>AnnualDepletions!$BI19</f>
        <v>-2973.2615544759115</v>
      </c>
      <c r="W27" s="286">
        <f>AnnualDepletions!$AM19</f>
        <v>12100.000000000004</v>
      </c>
      <c r="X27" s="286">
        <f>AnnualDepletions!$AK19</f>
        <v>7970</v>
      </c>
      <c r="Y27" s="286">
        <f>AnnualDepletions!$L19</f>
        <v>899.99999999999943</v>
      </c>
      <c r="Z27" s="287">
        <f t="shared" si="58"/>
        <v>251368.77761890774</v>
      </c>
      <c r="AA27" s="286">
        <f>AnnualDepletions!$AO19</f>
        <v>1216.9999999998599</v>
      </c>
      <c r="AB27" s="286">
        <f>AnnualDepletions!$AY19</f>
        <v>1528.9999999998233</v>
      </c>
      <c r="AC27" s="286">
        <f>AnnualAggregations!$F19</f>
        <v>31578.70035088744</v>
      </c>
      <c r="AD27" s="286">
        <f>AnnualAggregations!$G19</f>
        <v>3944.8969409350393</v>
      </c>
      <c r="AE27" s="286">
        <f>AnnualAggregations!$H19</f>
        <v>12055.99999999861</v>
      </c>
      <c r="AF27" s="286">
        <f>AnnualDepletions!$AL19</f>
        <v>10215.999999998825</v>
      </c>
      <c r="AG27" s="286">
        <f>AnnualDepletions!$AG19</f>
        <v>10121.999999998827</v>
      </c>
      <c r="AH27" s="286">
        <f>AnnualDepletions!$AN19</f>
        <v>3357.9999999996135</v>
      </c>
      <c r="AI27" s="287">
        <f t="shared" si="59"/>
        <v>72804.597291818165</v>
      </c>
      <c r="AJ27" s="287">
        <f t="shared" si="60"/>
        <v>325390.37491072575</v>
      </c>
      <c r="AK27" s="286">
        <f>AnnualDepletions!$AP19</f>
        <v>340.98999999997511</v>
      </c>
      <c r="AL27" s="286">
        <f>AnnualDepletions!$BH19</f>
        <v>26229.957715277298</v>
      </c>
      <c r="AM27" s="286">
        <f>AnnualDepletions!$AJ19</f>
        <v>38999.999998983862</v>
      </c>
      <c r="AN27" s="286">
        <f>AnnualDepletions!$BC19</f>
        <v>16199.999998970494</v>
      </c>
      <c r="AO27" s="286">
        <f>AnnualDepletions!$J19</f>
        <v>2499.9900000012672</v>
      </c>
      <c r="AP27" s="286">
        <f>AnnualAggregations!$I19</f>
        <v>11624.990000001573</v>
      </c>
      <c r="AQ27" s="287">
        <f t="shared" si="61"/>
        <v>69665.969997957174</v>
      </c>
      <c r="AR27" s="287">
        <f t="shared" si="62"/>
        <v>95895.927713234472</v>
      </c>
      <c r="AS27" s="287">
        <f t="shared" si="63"/>
        <v>421286.30262396019</v>
      </c>
      <c r="AU27" s="321">
        <f ca="1">StateModDepletions_ThisScenario!AC17</f>
        <v>31431.880688205361</v>
      </c>
      <c r="AV27" s="321">
        <f ca="1">StateModDepletions_ThisScenario!AD17</f>
        <v>16671.424088746309</v>
      </c>
      <c r="AW27" s="321">
        <f ca="1">StateModDepletions_ThisScenario!AE17</f>
        <v>105356.38797721267</v>
      </c>
      <c r="AX27" s="321">
        <f ca="1">StateModDepletions_ThisScenario!AB17</f>
        <v>24765.810481309891</v>
      </c>
      <c r="AY27" s="288">
        <f t="shared" ca="1" si="64"/>
        <v>178225.50323547423</v>
      </c>
      <c r="AZ27" s="321">
        <f ca="1">StateModDepletions_ThisScenario!AG17</f>
        <v>26124.423997251764</v>
      </c>
      <c r="BA27" s="321">
        <f ca="1">StateModDepletions_ThisScenario!AF17</f>
        <v>17922.85107424853</v>
      </c>
      <c r="BB27" s="321">
        <f ca="1">StateModDepletions_ThisScenario!AH17</f>
        <v>13104.195273295045</v>
      </c>
      <c r="BC27" s="321">
        <f ca="1">StateModDepletions_ThisScenario!AI17</f>
        <v>14525.362112137</v>
      </c>
      <c r="BD27" s="321">
        <f ca="1">StateModDepletions_ThisScenario!N17</f>
        <v>1326.6977829933167</v>
      </c>
      <c r="BE27" s="321">
        <f ca="1">StateModDepletions_ThisScenario!V17</f>
        <v>10779.196904182434</v>
      </c>
      <c r="BF27" s="288">
        <f t="shared" ca="1" si="65"/>
        <v>83782.727144108081</v>
      </c>
      <c r="BG27" s="288">
        <f t="shared" ca="1" si="66"/>
        <v>262008.23037958232</v>
      </c>
      <c r="BI27" s="288">
        <f t="shared" ca="1" si="67"/>
        <v>683294.53300354257</v>
      </c>
      <c r="BK27" s="286">
        <f>AnnualAggregations!$D19</f>
        <v>35893.000000000058</v>
      </c>
      <c r="BL27" s="286">
        <f>AnnualAggregations!$B19</f>
        <v>57097.749219947989</v>
      </c>
      <c r="BM27" s="286">
        <f>AnnualDepletions!$BK19</f>
        <v>72957.422010516268</v>
      </c>
      <c r="BN27" s="286">
        <f>AnnualAggregations!$E19</f>
        <v>5000.0000000019463</v>
      </c>
      <c r="BO27" s="287">
        <f t="shared" si="68"/>
        <v>170948.17123046625</v>
      </c>
      <c r="BP27" s="321">
        <f ca="1">StateModDepletions_ThisScenario!Y17</f>
        <v>212.11356273293495</v>
      </c>
      <c r="BQ27" s="321">
        <f ca="1">StateModDepletions_ThisScenario!AJ17</f>
        <v>145906.23744237394</v>
      </c>
      <c r="BR27" s="321">
        <f ca="1">StateModDepletions_ThisScenario!Z17</f>
        <v>236940.86011624336</v>
      </c>
      <c r="BS27" s="321">
        <f ca="1">StateModDepletions_ThisScenario!AA17</f>
        <v>90822.509111136489</v>
      </c>
      <c r="BT27" s="286">
        <f>AnnualDepletions!$BG19</f>
        <v>12296.800000006155</v>
      </c>
      <c r="BV27" s="287">
        <f t="shared" ca="1" si="69"/>
        <v>866539.50423401501</v>
      </c>
      <c r="BW27" s="287">
        <f t="shared" ca="1" si="70"/>
        <v>775716.99512287858</v>
      </c>
      <c r="BX27" s="287">
        <f t="shared" ca="1" si="56"/>
        <v>790591.99512287858</v>
      </c>
      <c r="BY27" s="287">
        <f>SJRIPSummaryRAW!$B$79</f>
        <v>14875</v>
      </c>
      <c r="CC27" s="282">
        <v>1940</v>
      </c>
      <c r="CD27" s="286">
        <f>AnnualAggregations!K19</f>
        <v>233372.03917338364</v>
      </c>
      <c r="CE27" s="442" t="s">
        <v>597</v>
      </c>
      <c r="CF27" s="286">
        <f>AnnualDeplReqs!$AM19</f>
        <v>12100.000000000004</v>
      </c>
      <c r="CG27" s="286">
        <f>AnnualDeplReqs!$AK19</f>
        <v>7970</v>
      </c>
      <c r="CH27" s="286">
        <f>AnnualDeplReqs!$L19</f>
        <v>899.99999999999943</v>
      </c>
      <c r="CI27" s="443">
        <f t="shared" si="71"/>
        <v>251368.77761890774</v>
      </c>
      <c r="CJ27" s="286">
        <f>AnnualDeplReqs!$AO19</f>
        <v>1216.9999999998599</v>
      </c>
      <c r="CK27" s="286">
        <f>AnnualDeplReqs!$AY19</f>
        <v>1528.9999999998233</v>
      </c>
      <c r="CL27" s="286">
        <f>AnnualAggregations!$N19</f>
        <v>31578.70035088744</v>
      </c>
      <c r="CM27" s="286">
        <f>AnnualAggregations!$O19</f>
        <v>11442.999999998672</v>
      </c>
      <c r="CN27" s="286">
        <f>AnnualAggregations!$P19</f>
        <v>12055.99999999861</v>
      </c>
      <c r="CO27" s="286">
        <f>AnnualDeplReqs!$AL19</f>
        <v>10215.999999998825</v>
      </c>
      <c r="CP27" s="286">
        <f>AnnualDeplReqs!$AG19</f>
        <v>10121.999999998827</v>
      </c>
      <c r="CQ27" s="286">
        <f>AnnualDeplReqs!$AN19</f>
        <v>3357.9999999996135</v>
      </c>
      <c r="CR27" s="287">
        <f t="shared" si="72"/>
        <v>80302.700350881802</v>
      </c>
      <c r="CS27" s="287">
        <f t="shared" si="73"/>
        <v>332888.47796978941</v>
      </c>
      <c r="CT27" s="286">
        <f>AnnualDeplReqs!$AP19</f>
        <v>340.98999999997511</v>
      </c>
      <c r="CU27" s="442" t="s">
        <v>597</v>
      </c>
      <c r="CV27" s="286">
        <f>AnnualDeplReqs!$AJ19</f>
        <v>38999.999998983862</v>
      </c>
      <c r="CW27" s="286">
        <f>AnnualDeplReqs!$BC19</f>
        <v>16199.999998970494</v>
      </c>
      <c r="CX27" s="286">
        <f>AnnualDeplReqs!$J19</f>
        <v>2499.9900000012672</v>
      </c>
      <c r="CY27" s="286">
        <f>AnnualAggregations!$Q19</f>
        <v>11624.990000001573</v>
      </c>
      <c r="CZ27" s="287">
        <f t="shared" si="74"/>
        <v>69665.969997957174</v>
      </c>
      <c r="DA27" s="443">
        <f t="shared" si="75"/>
        <v>95895.927713234472</v>
      </c>
      <c r="DB27" s="287">
        <f t="shared" si="76"/>
        <v>428784.40568302386</v>
      </c>
      <c r="DD27" s="440" t="s">
        <v>628</v>
      </c>
      <c r="DE27" s="440" t="s">
        <v>628</v>
      </c>
      <c r="DF27" s="440" t="s">
        <v>628</v>
      </c>
      <c r="DG27" s="440" t="s">
        <v>628</v>
      </c>
      <c r="DH27" s="440" t="s">
        <v>628</v>
      </c>
      <c r="DI27" s="440" t="s">
        <v>628</v>
      </c>
      <c r="DJ27" s="440" t="s">
        <v>628</v>
      </c>
      <c r="DK27" s="440" t="s">
        <v>628</v>
      </c>
      <c r="DL27" s="440" t="s">
        <v>628</v>
      </c>
      <c r="DM27" s="440" t="s">
        <v>628</v>
      </c>
      <c r="DN27" s="440" t="s">
        <v>628</v>
      </c>
      <c r="DO27" s="440" t="s">
        <v>628</v>
      </c>
      <c r="DP27" s="440" t="s">
        <v>628</v>
      </c>
      <c r="DR27" s="440" t="s">
        <v>628</v>
      </c>
      <c r="DT27" s="286">
        <f>AnnualAggregations!$L19</f>
        <v>35893.000000000073</v>
      </c>
      <c r="DU27" s="443">
        <f>AnnualAggregations!$J19</f>
        <v>57377.530654201444</v>
      </c>
      <c r="DV27" s="442" t="s">
        <v>597</v>
      </c>
      <c r="DW27" s="286">
        <f>AnnualAggregations!$M19</f>
        <v>5000.0000000019463</v>
      </c>
      <c r="DX27" s="442" t="s">
        <v>597</v>
      </c>
      <c r="DY27" s="440" t="s">
        <v>628</v>
      </c>
      <c r="DZ27" s="440" t="s">
        <v>628</v>
      </c>
      <c r="EA27" s="440" t="s">
        <v>628</v>
      </c>
      <c r="EB27" s="440" t="s">
        <v>628</v>
      </c>
      <c r="EC27" s="286">
        <f>AnnualDeplReqs!$BG19</f>
        <v>12296.800000006155</v>
      </c>
      <c r="EE27" s="440" t="s">
        <v>628</v>
      </c>
      <c r="EF27" s="440" t="s">
        <v>628</v>
      </c>
      <c r="EG27" s="440" t="s">
        <v>628</v>
      </c>
      <c r="EH27" s="442" t="s">
        <v>597</v>
      </c>
      <c r="EL27" s="282">
        <v>1940</v>
      </c>
      <c r="EM27" s="286">
        <f>AnnualAggregations!S19</f>
        <v>291715.04896672955</v>
      </c>
      <c r="EN27" s="442" t="s">
        <v>597</v>
      </c>
      <c r="EO27" s="286">
        <f>AnnualDiversions!$AM19</f>
        <v>24160.880683190004</v>
      </c>
      <c r="EP27" s="286">
        <f>AnnualDiversions!$AK19</f>
        <v>15864.246446422727</v>
      </c>
      <c r="EQ27" s="286">
        <f>AnnualDiversions!$L19</f>
        <v>1799.9999999999989</v>
      </c>
      <c r="ER27" s="287">
        <f t="shared" si="77"/>
        <v>333540.17609634227</v>
      </c>
      <c r="ES27" s="286">
        <f>AnnualDiversions!$AO19</f>
        <v>2433.9999999997199</v>
      </c>
      <c r="ET27" s="286">
        <f>AnnualDiversions!$AY19</f>
        <v>2767.4208144793206</v>
      </c>
      <c r="EU27" s="286">
        <f>AnnualAggregations!$V19</f>
        <v>53003.33273974718</v>
      </c>
      <c r="EV27" s="286">
        <f>AnnualAggregations!$W19</f>
        <v>6950.5383881173011</v>
      </c>
      <c r="EW27" s="286">
        <f>AnnualAggregations!$X19</f>
        <v>18480.106259037653</v>
      </c>
      <c r="EX27" s="286">
        <f>AnnualDiversions!$AL19</f>
        <v>12118.623962038948</v>
      </c>
      <c r="EY27" s="286">
        <f>AnnualDiversions!$AG19</f>
        <v>19183.170662368684</v>
      </c>
      <c r="EZ27" s="286">
        <f>AnnualDiversions!$AN19</f>
        <v>6313.8102848540293</v>
      </c>
      <c r="FA27" s="287">
        <f t="shared" si="78"/>
        <v>118817.00311064313</v>
      </c>
      <c r="FB27" s="287">
        <f t="shared" si="79"/>
        <v>454791.17920698511</v>
      </c>
      <c r="FC27" s="286">
        <f>AnnualDiversions!$AP19</f>
        <v>378.87777777775057</v>
      </c>
      <c r="FD27" s="442" t="s">
        <v>597</v>
      </c>
      <c r="FE27" s="286">
        <f>AnnualDiversions!$AJ19</f>
        <v>38999.999998983862</v>
      </c>
      <c r="FF27" s="286">
        <f>AnnualDiversions!$BC19</f>
        <v>16199.999998970494</v>
      </c>
      <c r="FG27" s="286">
        <f>AnnualDiversions!$J19</f>
        <v>4166.6500000021233</v>
      </c>
      <c r="FH27" s="286">
        <f>AnnualAggregations!$Y19</f>
        <v>19374.983333335967</v>
      </c>
      <c r="FI27" s="287">
        <f t="shared" si="80"/>
        <v>79120.511109070212</v>
      </c>
      <c r="FJ27" s="287">
        <f t="shared" si="81"/>
        <v>79120.511109070198</v>
      </c>
      <c r="FK27" s="287">
        <f t="shared" si="82"/>
        <v>533911.69031605532</v>
      </c>
      <c r="FM27" s="440" t="s">
        <v>628</v>
      </c>
      <c r="FN27" s="440" t="s">
        <v>628</v>
      </c>
      <c r="FO27" s="440" t="s">
        <v>628</v>
      </c>
      <c r="FP27" s="440" t="s">
        <v>628</v>
      </c>
      <c r="FQ27" s="440" t="s">
        <v>628</v>
      </c>
      <c r="FR27" s="440" t="s">
        <v>628</v>
      </c>
      <c r="FS27" s="440" t="s">
        <v>628</v>
      </c>
      <c r="FT27" s="440" t="s">
        <v>628</v>
      </c>
      <c r="FU27" s="440" t="s">
        <v>628</v>
      </c>
      <c r="FV27" s="440" t="s">
        <v>628</v>
      </c>
      <c r="FW27" s="440" t="s">
        <v>628</v>
      </c>
      <c r="FX27" s="440" t="s">
        <v>628</v>
      </c>
      <c r="FY27" s="440" t="s">
        <v>628</v>
      </c>
      <c r="GA27" s="440" t="s">
        <v>628</v>
      </c>
      <c r="GC27" s="286">
        <f>AnnualAggregations!$T19</f>
        <v>37763.476493275433</v>
      </c>
      <c r="GD27" s="286">
        <f>AnnualAggregations!$R19</f>
        <v>109067.13000005131</v>
      </c>
      <c r="GE27" s="443">
        <f t="shared" si="83"/>
        <v>72957.422010516268</v>
      </c>
      <c r="GF27" s="286">
        <f>AnnualAggregations!$U19</f>
        <v>5000.0000000019463</v>
      </c>
      <c r="GG27" s="287">
        <f t="shared" si="84"/>
        <v>224788.02850384495</v>
      </c>
      <c r="GH27" s="440" t="s">
        <v>628</v>
      </c>
      <c r="GI27" s="440" t="s">
        <v>628</v>
      </c>
      <c r="GJ27" s="440" t="s">
        <v>628</v>
      </c>
      <c r="GK27" s="440" t="s">
        <v>628</v>
      </c>
      <c r="GL27" s="286">
        <f>AnnualDiversions!$BG19</f>
        <v>12296.800000006155</v>
      </c>
      <c r="GN27" s="440" t="s">
        <v>628</v>
      </c>
      <c r="GO27" s="440" t="s">
        <v>628</v>
      </c>
      <c r="GP27" s="440" t="s">
        <v>628</v>
      </c>
      <c r="GQ27" s="442" t="s">
        <v>597</v>
      </c>
      <c r="GU27" s="282">
        <v>1940</v>
      </c>
      <c r="GV27" s="286">
        <f>AnnualAggregations!AA19</f>
        <v>291715.04896672955</v>
      </c>
      <c r="GW27" s="442" t="s">
        <v>597</v>
      </c>
      <c r="GX27" s="286">
        <f>AnnualDivReqs!$AM19</f>
        <v>24160.880683190004</v>
      </c>
      <c r="GY27" s="286">
        <f>AnnualDivReqs!$AK19</f>
        <v>15864.246446422727</v>
      </c>
      <c r="GZ27" s="286">
        <f>AnnualDivReqs!$L19</f>
        <v>1799.9999999999989</v>
      </c>
      <c r="HA27" s="287">
        <f t="shared" si="85"/>
        <v>333540.17609634227</v>
      </c>
      <c r="HB27" s="286">
        <f>AnnualDivReqs!$AO19</f>
        <v>2433.9999999997199</v>
      </c>
      <c r="HC27" s="286">
        <f>AnnualDivReqs!$AY19</f>
        <v>2767.4208144793206</v>
      </c>
      <c r="HD27" s="286">
        <f>AnnualAggregations!$AD19</f>
        <v>53003.33273974718</v>
      </c>
      <c r="HE27" s="286">
        <f>AnnualAggregations!$AE19</f>
        <v>20497.338424058693</v>
      </c>
      <c r="HF27" s="286">
        <f>AnnualAggregations!$AF19</f>
        <v>18480.106259037653</v>
      </c>
      <c r="HG27" s="286">
        <f>AnnualDivReqs!$AL19</f>
        <v>12118.623962038948</v>
      </c>
      <c r="HH27" s="286">
        <f>AnnualDivReqs!$AG19</f>
        <v>19183.170662368684</v>
      </c>
      <c r="HI27" s="286">
        <f>AnnualDivReqs!$AN19</f>
        <v>6313.8102848540293</v>
      </c>
      <c r="HJ27" s="287">
        <f t="shared" si="86"/>
        <v>132363.80314658451</v>
      </c>
      <c r="HK27" s="287">
        <f t="shared" si="87"/>
        <v>468337.97924292646</v>
      </c>
      <c r="HL27" s="286">
        <f>AnnualDivReqs!$AP19</f>
        <v>378.87777777775057</v>
      </c>
      <c r="HM27" s="442" t="s">
        <v>597</v>
      </c>
      <c r="HN27" s="286">
        <f>AnnualDivReqs!$AJ19</f>
        <v>38999.999998983862</v>
      </c>
      <c r="HO27" s="286">
        <f>AnnualDivReqs!$BC19</f>
        <v>16199.999998970494</v>
      </c>
      <c r="HP27" s="286">
        <f>AnnualDivReqs!$J19</f>
        <v>4166.6500000021233</v>
      </c>
      <c r="HQ27" s="286">
        <f>AnnualAggregations!$AG19</f>
        <v>19374.983333335967</v>
      </c>
      <c r="HR27" s="287">
        <f t="shared" si="88"/>
        <v>79120.511109070212</v>
      </c>
      <c r="HS27" s="287">
        <f t="shared" si="89"/>
        <v>79120.511109070198</v>
      </c>
      <c r="HT27" s="287">
        <f t="shared" si="90"/>
        <v>547458.49035199662</v>
      </c>
      <c r="HV27" s="440" t="s">
        <v>628</v>
      </c>
      <c r="HW27" s="440" t="s">
        <v>628</v>
      </c>
      <c r="HX27" s="440" t="s">
        <v>628</v>
      </c>
      <c r="HY27" s="440" t="s">
        <v>628</v>
      </c>
      <c r="HZ27" s="440" t="s">
        <v>628</v>
      </c>
      <c r="IA27" s="440" t="s">
        <v>628</v>
      </c>
      <c r="IB27" s="440" t="s">
        <v>628</v>
      </c>
      <c r="IC27" s="440" t="s">
        <v>628</v>
      </c>
      <c r="ID27" s="440" t="s">
        <v>628</v>
      </c>
      <c r="IE27" s="440" t="s">
        <v>628</v>
      </c>
      <c r="IF27" s="440" t="s">
        <v>628</v>
      </c>
      <c r="IG27" s="440" t="s">
        <v>628</v>
      </c>
      <c r="IH27" s="440" t="s">
        <v>628</v>
      </c>
      <c r="IJ27" s="440" t="s">
        <v>628</v>
      </c>
      <c r="IL27" s="286">
        <f>AnnualAggregations!$AB19</f>
        <v>37763.476493275448</v>
      </c>
      <c r="IM27" s="286">
        <f>AnnualAggregations!$Z19</f>
        <v>109626.69286855822</v>
      </c>
      <c r="IN27" s="442" t="s">
        <v>597</v>
      </c>
      <c r="IO27" s="286">
        <f>AnnualAggregations!$AC19</f>
        <v>5000.0000000019463</v>
      </c>
      <c r="IP27" s="442" t="s">
        <v>597</v>
      </c>
      <c r="IQ27" s="440" t="s">
        <v>628</v>
      </c>
      <c r="IR27" s="440" t="s">
        <v>628</v>
      </c>
      <c r="IS27" s="440" t="s">
        <v>628</v>
      </c>
      <c r="IT27" s="440" t="s">
        <v>628</v>
      </c>
      <c r="IU27" s="286">
        <f>AnnualDivReqs!$BG19</f>
        <v>12296.800000006155</v>
      </c>
      <c r="IW27" s="440" t="s">
        <v>628</v>
      </c>
      <c r="IX27" s="440" t="s">
        <v>628</v>
      </c>
      <c r="IY27" s="440" t="s">
        <v>628</v>
      </c>
      <c r="IZ27" s="442" t="s">
        <v>597</v>
      </c>
    </row>
    <row r="28" spans="1:260" x14ac:dyDescent="0.25">
      <c r="A28" s="480" t="str">
        <f>ADDRESS(ROW(SJRIPSummary!E20),COLUMN(SJRIPSummary!E20),4,1)</f>
        <v>E20</v>
      </c>
      <c r="B28" s="480" t="str">
        <f t="shared" si="57"/>
        <v>20</v>
      </c>
      <c r="C28" t="s">
        <v>86</v>
      </c>
      <c r="D28" s="404">
        <v>13</v>
      </c>
      <c r="E28" s="404">
        <v>74</v>
      </c>
      <c r="F28" s="404">
        <v>135</v>
      </c>
      <c r="G28" s="404">
        <v>196</v>
      </c>
      <c r="H28" s="391"/>
      <c r="I28" s="602"/>
      <c r="J28" s="605"/>
      <c r="K28" s="609"/>
      <c r="L28" s="175" t="s">
        <v>86</v>
      </c>
      <c r="M28" s="174">
        <f ca="1">ROUND(SJRIPSummaryRAW!B22,-2)</f>
        <v>9200</v>
      </c>
      <c r="N28" s="148"/>
      <c r="O28" s="221">
        <f ca="1">ROUND(SJRIPSummaryRAW!D22,-2)</f>
        <v>11300</v>
      </c>
      <c r="P28" s="222">
        <f ca="1">ROUND(SJRIPSummaryRAW!E22,-2)</f>
        <v>6700</v>
      </c>
      <c r="Q28" s="391"/>
      <c r="R28" s="21"/>
      <c r="S28" s="21"/>
      <c r="T28" s="282">
        <v>1941</v>
      </c>
      <c r="U28" s="286">
        <f>AnnualAggregations!$C20</f>
        <v>184306.25866179835</v>
      </c>
      <c r="V28" s="286">
        <f>AnnualDepletions!$BI20</f>
        <v>-12650.768286877113</v>
      </c>
      <c r="W28" s="286">
        <f>AnnualDepletions!$AM20</f>
        <v>12100.000000000011</v>
      </c>
      <c r="X28" s="286">
        <f>AnnualDepletions!$AK20</f>
        <v>7969.9999999999945</v>
      </c>
      <c r="Y28" s="286">
        <f>AnnualDepletions!$L20</f>
        <v>899.99999999999898</v>
      </c>
      <c r="Z28" s="287">
        <f t="shared" si="58"/>
        <v>192625.49037492124</v>
      </c>
      <c r="AA28" s="286">
        <f>AnnualDepletions!$AO20</f>
        <v>1188.999999999864</v>
      </c>
      <c r="AB28" s="286">
        <f>AnnualDepletions!$AY20</f>
        <v>1268.9999999998533</v>
      </c>
      <c r="AC28" s="286">
        <f>AnnualAggregations!$F20</f>
        <v>22952.62091931374</v>
      </c>
      <c r="AD28" s="286">
        <f>AnnualAggregations!$G20</f>
        <v>6636.5607394538229</v>
      </c>
      <c r="AE28" s="286">
        <f>AnnualAggregations!$H20</f>
        <v>9405.9999999989268</v>
      </c>
      <c r="AF28" s="286">
        <f>AnnualDepletions!$AL20</f>
        <v>8081.9999999990669</v>
      </c>
      <c r="AG28" s="286">
        <f>AnnualDepletions!$AG20</f>
        <v>7750.9999999991105</v>
      </c>
      <c r="AH28" s="286">
        <f>AnnualDepletions!$AN20</f>
        <v>2600.999999999699</v>
      </c>
      <c r="AI28" s="287">
        <f t="shared" si="59"/>
        <v>58698.181658764232</v>
      </c>
      <c r="AJ28" s="287">
        <f t="shared" si="60"/>
        <v>252512.67203368532</v>
      </c>
      <c r="AK28" s="286">
        <f>AnnualDepletions!$AP20</f>
        <v>340.98999999997505</v>
      </c>
      <c r="AL28" s="286">
        <f>AnnualDepletions!$BH20</f>
        <v>27659.271159515582</v>
      </c>
      <c r="AM28" s="286">
        <f>AnnualDepletions!$AJ20</f>
        <v>38999.999998983854</v>
      </c>
      <c r="AN28" s="286">
        <f>AnnualDepletions!$BC20</f>
        <v>16199.99999897049</v>
      </c>
      <c r="AO28" s="286">
        <f>AnnualDepletions!$J20</f>
        <v>2499.9900000012672</v>
      </c>
      <c r="AP28" s="286">
        <f>AnnualAggregations!$I20</f>
        <v>11624.990000001573</v>
      </c>
      <c r="AQ28" s="287">
        <f t="shared" si="61"/>
        <v>69665.96999795716</v>
      </c>
      <c r="AR28" s="287">
        <f t="shared" si="62"/>
        <v>97325.241157472759</v>
      </c>
      <c r="AS28" s="287">
        <f t="shared" si="63"/>
        <v>349837.91319115809</v>
      </c>
      <c r="AU28" s="321">
        <f ca="1">StateModDepletions_ThisScenario!AC18</f>
        <v>32232.438159294426</v>
      </c>
      <c r="AV28" s="321">
        <f ca="1">StateModDepletions_ThisScenario!AD18</f>
        <v>17399.778650380671</v>
      </c>
      <c r="AW28" s="321">
        <f ca="1">StateModDepletions_ThisScenario!AE18</f>
        <v>102160.56543774903</v>
      </c>
      <c r="AX28" s="321">
        <f ca="1">StateModDepletions_ThisScenario!AB18</f>
        <v>24765.810481309891</v>
      </c>
      <c r="AY28" s="288">
        <f t="shared" ca="1" si="64"/>
        <v>176558.59272873402</v>
      </c>
      <c r="AZ28" s="321">
        <f ca="1">StateModDepletions_ThisScenario!AG18</f>
        <v>45484.436408548136</v>
      </c>
      <c r="BA28" s="321">
        <f ca="1">StateModDepletions_ThisScenario!AF18</f>
        <v>16681.274964295313</v>
      </c>
      <c r="BB28" s="321">
        <f ca="1">StateModDepletions_ThisScenario!AH18</f>
        <v>23342.140531305224</v>
      </c>
      <c r="BC28" s="321">
        <f ca="1">StateModDepletions_ThisScenario!AI18</f>
        <v>28103.829732120998</v>
      </c>
      <c r="BD28" s="321">
        <f ca="1">StateModDepletions_ThisScenario!N18</f>
        <v>1326.6977829933167</v>
      </c>
      <c r="BE28" s="321">
        <f ca="1">StateModDepletions_ThisScenario!V18</f>
        <v>17656.200043678284</v>
      </c>
      <c r="BF28" s="288">
        <f t="shared" ca="1" si="65"/>
        <v>132594.57946294127</v>
      </c>
      <c r="BG28" s="288">
        <f t="shared" ca="1" si="66"/>
        <v>309153.17219167529</v>
      </c>
      <c r="BI28" s="288">
        <f t="shared" ca="1" si="67"/>
        <v>658991.08538283338</v>
      </c>
      <c r="BK28" s="286">
        <f>AnnualAggregations!$D20</f>
        <v>35893.000000000044</v>
      </c>
      <c r="BL28" s="286">
        <f>AnnualAggregations!$B20</f>
        <v>57174.017014937417</v>
      </c>
      <c r="BM28" s="286">
        <f>AnnualDepletions!$BK20</f>
        <v>233454.25910427465</v>
      </c>
      <c r="BN28" s="286">
        <f>AnnualAggregations!$E20</f>
        <v>5000.0000000019172</v>
      </c>
      <c r="BO28" s="287">
        <f t="shared" si="68"/>
        <v>331521.27611921402</v>
      </c>
      <c r="BP28" s="321">
        <f ca="1">StateModDepletions_ThisScenario!Y18</f>
        <v>212.11356273293495</v>
      </c>
      <c r="BQ28" s="321">
        <f ca="1">StateModDepletions_ThisScenario!AJ18</f>
        <v>129585.01283786763</v>
      </c>
      <c r="BR28" s="321">
        <f ca="1">StateModDepletions_ThisScenario!Z18</f>
        <v>196432.67501354218</v>
      </c>
      <c r="BS28" s="321">
        <f ca="1">StateModDepletions_ThisScenario!AA18</f>
        <v>66635.548612941609</v>
      </c>
      <c r="BT28" s="286">
        <f>AnnualDepletions!$BG20</f>
        <v>12296.800000006155</v>
      </c>
      <c r="BV28" s="287">
        <f t="shared" ca="1" si="69"/>
        <v>1002809.1615020535</v>
      </c>
      <c r="BW28" s="287">
        <f t="shared" ca="1" si="70"/>
        <v>936173.61288911186</v>
      </c>
      <c r="BX28" s="287">
        <f t="shared" ca="1" si="56"/>
        <v>951048.61288911186</v>
      </c>
      <c r="BY28" s="287">
        <f>SJRIPSummaryRAW!$B$79</f>
        <v>14875</v>
      </c>
      <c r="CC28" s="282">
        <v>1941</v>
      </c>
      <c r="CD28" s="286">
        <f>AnnualAggregations!K20</f>
        <v>184306.25866179835</v>
      </c>
      <c r="CE28" s="442" t="s">
        <v>597</v>
      </c>
      <c r="CF28" s="286">
        <f>AnnualDeplReqs!$AM20</f>
        <v>12100.000000000011</v>
      </c>
      <c r="CG28" s="286">
        <f>AnnualDeplReqs!$AK20</f>
        <v>7969.9999999999945</v>
      </c>
      <c r="CH28" s="286">
        <f>AnnualDeplReqs!$L20</f>
        <v>899.99999999999898</v>
      </c>
      <c r="CI28" s="443">
        <f t="shared" si="71"/>
        <v>192625.49037492124</v>
      </c>
      <c r="CJ28" s="286">
        <f>AnnualDeplReqs!$AO20</f>
        <v>1188.999999999864</v>
      </c>
      <c r="CK28" s="286">
        <f>AnnualDeplReqs!$AY20</f>
        <v>1268.9999999998533</v>
      </c>
      <c r="CL28" s="286">
        <f>AnnualAggregations!$N20</f>
        <v>22952.62091931374</v>
      </c>
      <c r="CM28" s="286">
        <f>AnnualAggregations!$O20</f>
        <v>8233.9999999990505</v>
      </c>
      <c r="CN28" s="286">
        <f>AnnualAggregations!$P20</f>
        <v>9405.9999999989268</v>
      </c>
      <c r="CO28" s="286">
        <f>AnnualDeplReqs!$AL20</f>
        <v>8081.9999999990669</v>
      </c>
      <c r="CP28" s="286">
        <f>AnnualDeplReqs!$AG20</f>
        <v>7750.9999999991105</v>
      </c>
      <c r="CQ28" s="286">
        <f>AnnualDeplReqs!$AN20</f>
        <v>2600.999999999699</v>
      </c>
      <c r="CR28" s="287">
        <f t="shared" si="72"/>
        <v>60295.620919309455</v>
      </c>
      <c r="CS28" s="287">
        <f t="shared" si="73"/>
        <v>254110.11129423056</v>
      </c>
      <c r="CT28" s="286">
        <f>AnnualDeplReqs!$AP20</f>
        <v>340.98999999997505</v>
      </c>
      <c r="CU28" s="442" t="s">
        <v>597</v>
      </c>
      <c r="CV28" s="286">
        <f>AnnualDeplReqs!$AJ20</f>
        <v>38999.999998983854</v>
      </c>
      <c r="CW28" s="286">
        <f>AnnualDeplReqs!$BC20</f>
        <v>16199.99999897049</v>
      </c>
      <c r="CX28" s="286">
        <f>AnnualDeplReqs!$J20</f>
        <v>2499.9900000012672</v>
      </c>
      <c r="CY28" s="286">
        <f>AnnualAggregations!$Q20</f>
        <v>11624.990000001573</v>
      </c>
      <c r="CZ28" s="287">
        <f t="shared" si="74"/>
        <v>69665.96999795716</v>
      </c>
      <c r="DA28" s="443">
        <f t="shared" si="75"/>
        <v>97325.241157472745</v>
      </c>
      <c r="DB28" s="287">
        <f t="shared" si="76"/>
        <v>351435.35245170328</v>
      </c>
      <c r="DD28" s="440" t="s">
        <v>628</v>
      </c>
      <c r="DE28" s="440" t="s">
        <v>628</v>
      </c>
      <c r="DF28" s="440" t="s">
        <v>628</v>
      </c>
      <c r="DG28" s="440" t="s">
        <v>628</v>
      </c>
      <c r="DH28" s="440" t="s">
        <v>628</v>
      </c>
      <c r="DI28" s="440" t="s">
        <v>628</v>
      </c>
      <c r="DJ28" s="440" t="s">
        <v>628</v>
      </c>
      <c r="DK28" s="440" t="s">
        <v>628</v>
      </c>
      <c r="DL28" s="440" t="s">
        <v>628</v>
      </c>
      <c r="DM28" s="440" t="s">
        <v>628</v>
      </c>
      <c r="DN28" s="440" t="s">
        <v>628</v>
      </c>
      <c r="DO28" s="440" t="s">
        <v>628</v>
      </c>
      <c r="DP28" s="440" t="s">
        <v>628</v>
      </c>
      <c r="DR28" s="440" t="s">
        <v>628</v>
      </c>
      <c r="DT28" s="286">
        <f>AnnualAggregations!$L20</f>
        <v>35893.000000000073</v>
      </c>
      <c r="DU28" s="443">
        <f>AnnualAggregations!$J20</f>
        <v>57174.017014937417</v>
      </c>
      <c r="DV28" s="442" t="s">
        <v>597</v>
      </c>
      <c r="DW28" s="286">
        <f>AnnualAggregations!$M20</f>
        <v>5000.0000000019172</v>
      </c>
      <c r="DX28" s="442" t="s">
        <v>597</v>
      </c>
      <c r="DY28" s="440" t="s">
        <v>628</v>
      </c>
      <c r="DZ28" s="440" t="s">
        <v>628</v>
      </c>
      <c r="EA28" s="440" t="s">
        <v>628</v>
      </c>
      <c r="EB28" s="440" t="s">
        <v>628</v>
      </c>
      <c r="EC28" s="286">
        <f>AnnualDeplReqs!$BG20</f>
        <v>12296.800000006155</v>
      </c>
      <c r="EE28" s="440" t="s">
        <v>628</v>
      </c>
      <c r="EF28" s="440" t="s">
        <v>628</v>
      </c>
      <c r="EG28" s="440" t="s">
        <v>628</v>
      </c>
      <c r="EH28" s="442" t="s">
        <v>597</v>
      </c>
      <c r="EL28" s="282">
        <v>1941</v>
      </c>
      <c r="EM28" s="286">
        <f>AnnualAggregations!S20</f>
        <v>230382.82332724886</v>
      </c>
      <c r="EN28" s="442" t="s">
        <v>597</v>
      </c>
      <c r="EO28" s="286">
        <f>AnnualDiversions!$AM20</f>
        <v>24160.880683190004</v>
      </c>
      <c r="EP28" s="286">
        <f>AnnualDiversions!$AK20</f>
        <v>15864.246446422711</v>
      </c>
      <c r="EQ28" s="286">
        <f>AnnualDiversions!$L20</f>
        <v>1799.999999999998</v>
      </c>
      <c r="ER28" s="287">
        <f t="shared" si="77"/>
        <v>272207.95045686158</v>
      </c>
      <c r="ES28" s="286">
        <f>AnnualDiversions!$AO20</f>
        <v>2377.9999999997281</v>
      </c>
      <c r="ET28" s="286">
        <f>AnnualDiversions!$AY20</f>
        <v>2296.8325791852553</v>
      </c>
      <c r="EU28" s="286">
        <f>AnnualAggregations!$V20</f>
        <v>38480.144017993531</v>
      </c>
      <c r="EV28" s="286">
        <f>AnnualAggregations!$W20</f>
        <v>12734.073343889073</v>
      </c>
      <c r="EW28" s="286">
        <f>AnnualAggregations!$X20</f>
        <v>14420.39543523437</v>
      </c>
      <c r="EX28" s="286">
        <f>AnnualDiversions!$AL20</f>
        <v>9587.1886120985455</v>
      </c>
      <c r="EY28" s="286">
        <f>AnnualDiversions!$AG20</f>
        <v>14689.661707569616</v>
      </c>
      <c r="EZ28" s="286">
        <f>AnnualDiversions!$AN20</f>
        <v>4890.4766381492909</v>
      </c>
      <c r="FA28" s="287">
        <f t="shared" si="78"/>
        <v>97098.772334119683</v>
      </c>
      <c r="FB28" s="287">
        <f t="shared" si="79"/>
        <v>371684.72279098094</v>
      </c>
      <c r="FC28" s="286">
        <f>AnnualDiversions!$AP20</f>
        <v>378.87777777775057</v>
      </c>
      <c r="FD28" s="442" t="s">
        <v>597</v>
      </c>
      <c r="FE28" s="286">
        <f>AnnualDiversions!$AJ20</f>
        <v>38999.999998983854</v>
      </c>
      <c r="FF28" s="286">
        <f>AnnualDiversions!$BC20</f>
        <v>16199.99999897049</v>
      </c>
      <c r="FG28" s="286">
        <f>AnnualDiversions!$J20</f>
        <v>4166.6500000021233</v>
      </c>
      <c r="FH28" s="286">
        <f>AnnualAggregations!$Y20</f>
        <v>19374.983333335964</v>
      </c>
      <c r="FI28" s="287">
        <f t="shared" si="80"/>
        <v>79120.511109070183</v>
      </c>
      <c r="FJ28" s="287">
        <f t="shared" si="81"/>
        <v>79120.511109070183</v>
      </c>
      <c r="FK28" s="287">
        <f t="shared" si="82"/>
        <v>450805.2339000511</v>
      </c>
      <c r="FM28" s="440" t="s">
        <v>628</v>
      </c>
      <c r="FN28" s="440" t="s">
        <v>628</v>
      </c>
      <c r="FO28" s="440" t="s">
        <v>628</v>
      </c>
      <c r="FP28" s="440" t="s">
        <v>628</v>
      </c>
      <c r="FQ28" s="440" t="s">
        <v>628</v>
      </c>
      <c r="FR28" s="440" t="s">
        <v>628</v>
      </c>
      <c r="FS28" s="440" t="s">
        <v>628</v>
      </c>
      <c r="FT28" s="440" t="s">
        <v>628</v>
      </c>
      <c r="FU28" s="440" t="s">
        <v>628</v>
      </c>
      <c r="FV28" s="440" t="s">
        <v>628</v>
      </c>
      <c r="FW28" s="440" t="s">
        <v>628</v>
      </c>
      <c r="FX28" s="440" t="s">
        <v>628</v>
      </c>
      <c r="FY28" s="440" t="s">
        <v>628</v>
      </c>
      <c r="GA28" s="440" t="s">
        <v>628</v>
      </c>
      <c r="GC28" s="286">
        <f>AnnualAggregations!$T20</f>
        <v>37764.238566617612</v>
      </c>
      <c r="GD28" s="286">
        <f>AnnualAggregations!$R20</f>
        <v>109067.13000005133</v>
      </c>
      <c r="GE28" s="443">
        <f t="shared" si="83"/>
        <v>233454.25910427465</v>
      </c>
      <c r="GF28" s="286">
        <f>AnnualAggregations!$U20</f>
        <v>5000.0000000019172</v>
      </c>
      <c r="GG28" s="287">
        <f t="shared" si="84"/>
        <v>385285.62767094554</v>
      </c>
      <c r="GH28" s="440" t="s">
        <v>628</v>
      </c>
      <c r="GI28" s="440" t="s">
        <v>628</v>
      </c>
      <c r="GJ28" s="440" t="s">
        <v>628</v>
      </c>
      <c r="GK28" s="440" t="s">
        <v>628</v>
      </c>
      <c r="GL28" s="286">
        <f>AnnualDiversions!$BG20</f>
        <v>12296.800000006155</v>
      </c>
      <c r="GN28" s="440" t="s">
        <v>628</v>
      </c>
      <c r="GO28" s="440" t="s">
        <v>628</v>
      </c>
      <c r="GP28" s="440" t="s">
        <v>628</v>
      </c>
      <c r="GQ28" s="442" t="s">
        <v>597</v>
      </c>
      <c r="GU28" s="282">
        <v>1941</v>
      </c>
      <c r="GV28" s="286">
        <f>AnnualAggregations!AA20</f>
        <v>230382.82332724886</v>
      </c>
      <c r="GW28" s="442" t="s">
        <v>597</v>
      </c>
      <c r="GX28" s="286">
        <f>AnnualDivReqs!$AM20</f>
        <v>24160.880683190004</v>
      </c>
      <c r="GY28" s="286">
        <f>AnnualDivReqs!$AK20</f>
        <v>15864.246446422711</v>
      </c>
      <c r="GZ28" s="286">
        <f>AnnualDivReqs!$L20</f>
        <v>1799.999999999998</v>
      </c>
      <c r="HA28" s="287">
        <f t="shared" si="85"/>
        <v>272207.95045686158</v>
      </c>
      <c r="HB28" s="286">
        <f>AnnualDivReqs!$AO20</f>
        <v>2377.9999999997281</v>
      </c>
      <c r="HC28" s="286">
        <f>AnnualDivReqs!$AY20</f>
        <v>2296.8325791852553</v>
      </c>
      <c r="HD28" s="286">
        <f>AnnualAggregations!$AD20</f>
        <v>38480.144017993531</v>
      </c>
      <c r="HE28" s="286">
        <f>AnnualAggregations!$AE20</f>
        <v>14745.815144723503</v>
      </c>
      <c r="HF28" s="286">
        <f>AnnualAggregations!$AF20</f>
        <v>14420.39543523437</v>
      </c>
      <c r="HG28" s="286">
        <f>AnnualDivReqs!$AL20</f>
        <v>9587.1886120985455</v>
      </c>
      <c r="HH28" s="286">
        <f>AnnualDivReqs!$AG20</f>
        <v>14689.661707569616</v>
      </c>
      <c r="HI28" s="286">
        <f>AnnualDivReqs!$AN20</f>
        <v>4890.4766381492909</v>
      </c>
      <c r="HJ28" s="287">
        <f t="shared" si="86"/>
        <v>99110.514134954108</v>
      </c>
      <c r="HK28" s="287">
        <f t="shared" si="87"/>
        <v>373696.46459181537</v>
      </c>
      <c r="HL28" s="286">
        <f>AnnualDivReqs!$AP20</f>
        <v>378.87777777775057</v>
      </c>
      <c r="HM28" s="442" t="s">
        <v>597</v>
      </c>
      <c r="HN28" s="286">
        <f>AnnualDivReqs!$AJ20</f>
        <v>38999.999998983854</v>
      </c>
      <c r="HO28" s="286">
        <f>AnnualDivReqs!$BC20</f>
        <v>16199.99999897049</v>
      </c>
      <c r="HP28" s="286">
        <f>AnnualDivReqs!$J20</f>
        <v>4166.6500000021233</v>
      </c>
      <c r="HQ28" s="286">
        <f>AnnualAggregations!$AG20</f>
        <v>19374.983333335964</v>
      </c>
      <c r="HR28" s="287">
        <f t="shared" si="88"/>
        <v>79120.511109070183</v>
      </c>
      <c r="HS28" s="287">
        <f t="shared" si="89"/>
        <v>79120.511109070183</v>
      </c>
      <c r="HT28" s="287">
        <f t="shared" si="90"/>
        <v>452816.97570088552</v>
      </c>
      <c r="HV28" s="440" t="s">
        <v>628</v>
      </c>
      <c r="HW28" s="440" t="s">
        <v>628</v>
      </c>
      <c r="HX28" s="440" t="s">
        <v>628</v>
      </c>
      <c r="HY28" s="440" t="s">
        <v>628</v>
      </c>
      <c r="HZ28" s="440" t="s">
        <v>628</v>
      </c>
      <c r="IA28" s="440" t="s">
        <v>628</v>
      </c>
      <c r="IB28" s="440" t="s">
        <v>628</v>
      </c>
      <c r="IC28" s="440" t="s">
        <v>628</v>
      </c>
      <c r="ID28" s="440" t="s">
        <v>628</v>
      </c>
      <c r="IE28" s="440" t="s">
        <v>628</v>
      </c>
      <c r="IF28" s="440" t="s">
        <v>628</v>
      </c>
      <c r="IG28" s="440" t="s">
        <v>628</v>
      </c>
      <c r="IH28" s="440" t="s">
        <v>628</v>
      </c>
      <c r="IJ28" s="440" t="s">
        <v>628</v>
      </c>
      <c r="IL28" s="286">
        <f>AnnualAggregations!$AB20</f>
        <v>37764.238566617634</v>
      </c>
      <c r="IM28" s="286">
        <f>AnnualAggregations!$Z20</f>
        <v>109067.13000005133</v>
      </c>
      <c r="IN28" s="442" t="s">
        <v>597</v>
      </c>
      <c r="IO28" s="286">
        <f>AnnualAggregations!$AC20</f>
        <v>5000.0000000019172</v>
      </c>
      <c r="IP28" s="442" t="s">
        <v>597</v>
      </c>
      <c r="IQ28" s="440" t="s">
        <v>628</v>
      </c>
      <c r="IR28" s="440" t="s">
        <v>628</v>
      </c>
      <c r="IS28" s="440" t="s">
        <v>628</v>
      </c>
      <c r="IT28" s="440" t="s">
        <v>628</v>
      </c>
      <c r="IU28" s="286">
        <f>AnnualDivReqs!$BG20</f>
        <v>12296.800000006155</v>
      </c>
      <c r="IW28" s="440" t="s">
        <v>628</v>
      </c>
      <c r="IX28" s="440" t="s">
        <v>628</v>
      </c>
      <c r="IY28" s="440" t="s">
        <v>628</v>
      </c>
      <c r="IZ28" s="442" t="s">
        <v>597</v>
      </c>
    </row>
    <row r="29" spans="1:260" ht="15.75" thickBot="1" x14ac:dyDescent="0.3">
      <c r="A29" s="480" t="str">
        <f>ADDRESS(ROW(SJRIPSummary!E21),COLUMN(SJRIPSummary!E21),4,1)</f>
        <v>E21</v>
      </c>
      <c r="B29" s="480" t="str">
        <f t="shared" si="57"/>
        <v>21</v>
      </c>
      <c r="C29" t="s">
        <v>87</v>
      </c>
      <c r="D29" s="404">
        <v>14</v>
      </c>
      <c r="E29" s="404">
        <v>75</v>
      </c>
      <c r="F29" s="404">
        <v>136</v>
      </c>
      <c r="G29" s="404">
        <v>197</v>
      </c>
      <c r="H29" s="391"/>
      <c r="I29" s="602"/>
      <c r="J29" s="605"/>
      <c r="K29" s="609"/>
      <c r="L29" s="175" t="s">
        <v>87</v>
      </c>
      <c r="M29" s="174">
        <f ca="1">ROUND(SJRIPSummaryRAW!B23,-2)</f>
        <v>3100</v>
      </c>
      <c r="N29" s="148"/>
      <c r="O29" s="223">
        <f ca="1">ROUND(SJRIPSummaryRAW!D23,-2)</f>
        <v>3600</v>
      </c>
      <c r="P29" s="224">
        <f ca="1">ROUND(SJRIPSummaryRAW!E23,-2)</f>
        <v>2300</v>
      </c>
      <c r="Q29" s="391"/>
      <c r="R29" s="21"/>
      <c r="S29" s="21"/>
      <c r="T29" s="282">
        <v>1942</v>
      </c>
      <c r="U29" s="286">
        <f>AnnualAggregations!$C21</f>
        <v>258037.79611683503</v>
      </c>
      <c r="V29" s="286">
        <f>AnnualDepletions!$BI21</f>
        <v>2095.5392041301875</v>
      </c>
      <c r="W29" s="286">
        <f>AnnualDepletions!$AM21</f>
        <v>12100.000000000007</v>
      </c>
      <c r="X29" s="286">
        <f>AnnualDepletions!$AK21</f>
        <v>7970.0000000000036</v>
      </c>
      <c r="Y29" s="286">
        <f>AnnualDepletions!$L21</f>
        <v>899.99999999999977</v>
      </c>
      <c r="Z29" s="287">
        <f t="shared" si="58"/>
        <v>281103.33532096521</v>
      </c>
      <c r="AA29" s="286">
        <f>AnnualDepletions!$AO21</f>
        <v>1316.9999999998477</v>
      </c>
      <c r="AB29" s="286">
        <f>AnnualDepletions!$AY21</f>
        <v>1641.9999999998108</v>
      </c>
      <c r="AC29" s="286">
        <f>AnnualAggregations!$F21</f>
        <v>33616.192577610331</v>
      </c>
      <c r="AD29" s="286">
        <f>AnnualAggregations!$G21</f>
        <v>4225.9462865458336</v>
      </c>
      <c r="AE29" s="286">
        <f>AnnualAggregations!$H21</f>
        <v>12807.999999998527</v>
      </c>
      <c r="AF29" s="286">
        <f>AnnualDepletions!$AL21</f>
        <v>10891.999999998739</v>
      </c>
      <c r="AG29" s="286">
        <f>AnnualDepletions!$AG21</f>
        <v>10090.999999998841</v>
      </c>
      <c r="AH29" s="286">
        <f>AnnualDepletions!$AN21</f>
        <v>3247.9999999996244</v>
      </c>
      <c r="AI29" s="287">
        <f t="shared" si="59"/>
        <v>76523.138864151711</v>
      </c>
      <c r="AJ29" s="287">
        <f t="shared" si="60"/>
        <v>358943.47418511676</v>
      </c>
      <c r="AK29" s="286">
        <f>AnnualDepletions!$AP21</f>
        <v>340.98999999997505</v>
      </c>
      <c r="AL29" s="286">
        <f>AnnualDepletions!$BH21</f>
        <v>29035.785803000545</v>
      </c>
      <c r="AM29" s="286">
        <f>AnnualDepletions!$AJ21</f>
        <v>38999.999998983854</v>
      </c>
      <c r="AN29" s="286">
        <f>AnnualDepletions!$BC21</f>
        <v>16199.99999897049</v>
      </c>
      <c r="AO29" s="286">
        <f>AnnualDepletions!$J21</f>
        <v>2499.9900000012672</v>
      </c>
      <c r="AP29" s="286">
        <f>AnnualAggregations!$I21</f>
        <v>11624.990000001573</v>
      </c>
      <c r="AQ29" s="287">
        <f t="shared" si="61"/>
        <v>69665.96999795716</v>
      </c>
      <c r="AR29" s="287">
        <f t="shared" si="62"/>
        <v>98701.755800957719</v>
      </c>
      <c r="AS29" s="287">
        <f t="shared" si="63"/>
        <v>457645.2299860745</v>
      </c>
      <c r="AU29" s="321">
        <f ca="1">StateModDepletions_ThisScenario!AC19</f>
        <v>33623.230188563466</v>
      </c>
      <c r="AV29" s="321">
        <f ca="1">StateModDepletions_ThisScenario!AD19</f>
        <v>17834.505029022694</v>
      </c>
      <c r="AW29" s="321">
        <f ca="1">StateModDepletions_ThisScenario!AE19</f>
        <v>107865.30921272561</v>
      </c>
      <c r="AX29" s="321">
        <f ca="1">StateModDepletions_ThisScenario!AB19</f>
        <v>24765.810481309891</v>
      </c>
      <c r="AY29" s="288">
        <f t="shared" ca="1" si="64"/>
        <v>184088.85491162166</v>
      </c>
      <c r="AZ29" s="321">
        <f ca="1">StateModDepletions_ThisScenario!AG19</f>
        <v>48573.217529936213</v>
      </c>
      <c r="BA29" s="321">
        <f ca="1">StateModDepletions_ThisScenario!AF19</f>
        <v>18025.583599776026</v>
      </c>
      <c r="BB29" s="321">
        <f ca="1">StateModDepletions_ThisScenario!AH19</f>
        <v>16619.841310344636</v>
      </c>
      <c r="BC29" s="321">
        <f ca="1">StateModDepletions_ThisScenario!AI19</f>
        <v>23400.116380909458</v>
      </c>
      <c r="BD29" s="321">
        <f ca="1">StateModDepletions_ThisScenario!N19</f>
        <v>1326.6977829933167</v>
      </c>
      <c r="BE29" s="321">
        <f ca="1">StateModDepletions_ThisScenario!V19</f>
        <v>13305.691897392273</v>
      </c>
      <c r="BF29" s="288">
        <f t="shared" ca="1" si="65"/>
        <v>121251.14850135193</v>
      </c>
      <c r="BG29" s="288">
        <f t="shared" ca="1" si="66"/>
        <v>305340.0034129736</v>
      </c>
      <c r="BI29" s="288">
        <f t="shared" ca="1" si="67"/>
        <v>762985.2333990481</v>
      </c>
      <c r="BK29" s="286">
        <f>AnnualAggregations!$D21</f>
        <v>35893.000000000044</v>
      </c>
      <c r="BL29" s="286">
        <f>AnnualAggregations!$B21</f>
        <v>57167.967414165236</v>
      </c>
      <c r="BM29" s="286">
        <f>AnnualDepletions!$BK21</f>
        <v>162001.0741148254</v>
      </c>
      <c r="BN29" s="286">
        <f>AnnualAggregations!$E21</f>
        <v>5000.0000000019172</v>
      </c>
      <c r="BO29" s="287">
        <f t="shared" si="68"/>
        <v>260062.04152899259</v>
      </c>
      <c r="BP29" s="321">
        <f ca="1">StateModDepletions_ThisScenario!Y19</f>
        <v>212.11356273293495</v>
      </c>
      <c r="BQ29" s="321">
        <f ca="1">StateModDepletions_ThisScenario!AJ19</f>
        <v>137175.18198103801</v>
      </c>
      <c r="BR29" s="321">
        <f ca="1">StateModDepletions_ThisScenario!Z19</f>
        <v>187064.6359872818</v>
      </c>
      <c r="BS29" s="321">
        <f ca="1">StateModDepletions_ThisScenario!AA19</f>
        <v>49677.340443510853</v>
      </c>
      <c r="BT29" s="286">
        <f>AnnualDepletions!$BG21</f>
        <v>12296.800000006155</v>
      </c>
      <c r="BV29" s="287">
        <f t="shared" ca="1" si="69"/>
        <v>1035344.0749280469</v>
      </c>
      <c r="BW29" s="287">
        <f t="shared" ca="1" si="70"/>
        <v>985666.73448453611</v>
      </c>
      <c r="BX29" s="287">
        <f t="shared" ca="1" si="56"/>
        <v>1000541.7344845361</v>
      </c>
      <c r="BY29" s="287">
        <f>SJRIPSummaryRAW!$B$79</f>
        <v>14875</v>
      </c>
      <c r="CC29" s="282">
        <v>1942</v>
      </c>
      <c r="CD29" s="286">
        <f>AnnualAggregations!K21</f>
        <v>258037.79611683503</v>
      </c>
      <c r="CE29" s="442" t="s">
        <v>597</v>
      </c>
      <c r="CF29" s="286">
        <f>AnnualDeplReqs!$AM21</f>
        <v>12100.000000000007</v>
      </c>
      <c r="CG29" s="286">
        <f>AnnualDeplReqs!$AK21</f>
        <v>7970.0000000000036</v>
      </c>
      <c r="CH29" s="286">
        <f>AnnualDeplReqs!$L21</f>
        <v>899.99999999999977</v>
      </c>
      <c r="CI29" s="443">
        <f t="shared" si="71"/>
        <v>281103.33532096521</v>
      </c>
      <c r="CJ29" s="286">
        <f>AnnualDeplReqs!$AO21</f>
        <v>1316.9999999998477</v>
      </c>
      <c r="CK29" s="286">
        <f>AnnualDeplReqs!$AY21</f>
        <v>1641.9999999998108</v>
      </c>
      <c r="CL29" s="286">
        <f>AnnualAggregations!$N21</f>
        <v>33616.192577610331</v>
      </c>
      <c r="CM29" s="286">
        <f>AnnualAggregations!$O21</f>
        <v>12472.999999998568</v>
      </c>
      <c r="CN29" s="286">
        <f>AnnualAggregations!$P21</f>
        <v>12807.999999998527</v>
      </c>
      <c r="CO29" s="286">
        <f>AnnualDeplReqs!$AL21</f>
        <v>10891.999999998739</v>
      </c>
      <c r="CP29" s="286">
        <f>AnnualDeplReqs!$AG21</f>
        <v>10090.999999998841</v>
      </c>
      <c r="CQ29" s="286">
        <f>AnnualDeplReqs!$AN21</f>
        <v>3247.9999999996244</v>
      </c>
      <c r="CR29" s="287">
        <f t="shared" si="72"/>
        <v>84770.192577604423</v>
      </c>
      <c r="CS29" s="287">
        <f t="shared" si="73"/>
        <v>367190.52789856947</v>
      </c>
      <c r="CT29" s="286">
        <f>AnnualDeplReqs!$AP21</f>
        <v>340.98999999997505</v>
      </c>
      <c r="CU29" s="442" t="s">
        <v>597</v>
      </c>
      <c r="CV29" s="286">
        <f>AnnualDeplReqs!$AJ21</f>
        <v>38999.999998983854</v>
      </c>
      <c r="CW29" s="286">
        <f>AnnualDeplReqs!$BC21</f>
        <v>16199.99999897049</v>
      </c>
      <c r="CX29" s="286">
        <f>AnnualDeplReqs!$J21</f>
        <v>2499.9900000012672</v>
      </c>
      <c r="CY29" s="286">
        <f>AnnualAggregations!$Q21</f>
        <v>11624.990000001573</v>
      </c>
      <c r="CZ29" s="287">
        <f t="shared" si="74"/>
        <v>69665.96999795716</v>
      </c>
      <c r="DA29" s="443">
        <f t="shared" si="75"/>
        <v>98701.755800957704</v>
      </c>
      <c r="DB29" s="287">
        <f t="shared" si="76"/>
        <v>465892.28369952715</v>
      </c>
      <c r="DD29" s="440" t="s">
        <v>628</v>
      </c>
      <c r="DE29" s="440" t="s">
        <v>628</v>
      </c>
      <c r="DF29" s="440" t="s">
        <v>628</v>
      </c>
      <c r="DG29" s="440" t="s">
        <v>628</v>
      </c>
      <c r="DH29" s="440" t="s">
        <v>628</v>
      </c>
      <c r="DI29" s="440" t="s">
        <v>628</v>
      </c>
      <c r="DJ29" s="440" t="s">
        <v>628</v>
      </c>
      <c r="DK29" s="440" t="s">
        <v>628</v>
      </c>
      <c r="DL29" s="440" t="s">
        <v>628</v>
      </c>
      <c r="DM29" s="440" t="s">
        <v>628</v>
      </c>
      <c r="DN29" s="440" t="s">
        <v>628</v>
      </c>
      <c r="DO29" s="440" t="s">
        <v>628</v>
      </c>
      <c r="DP29" s="440" t="s">
        <v>628</v>
      </c>
      <c r="DR29" s="440" t="s">
        <v>628</v>
      </c>
      <c r="DT29" s="286">
        <f>AnnualAggregations!$L21</f>
        <v>35893.000000000073</v>
      </c>
      <c r="DU29" s="443">
        <f>AnnualAggregations!$J21</f>
        <v>57167.967414165236</v>
      </c>
      <c r="DV29" s="442" t="s">
        <v>597</v>
      </c>
      <c r="DW29" s="286">
        <f>AnnualAggregations!$M21</f>
        <v>5000.0000000019172</v>
      </c>
      <c r="DX29" s="442" t="s">
        <v>597</v>
      </c>
      <c r="DY29" s="440" t="s">
        <v>628</v>
      </c>
      <c r="DZ29" s="440" t="s">
        <v>628</v>
      </c>
      <c r="EA29" s="440" t="s">
        <v>628</v>
      </c>
      <c r="EB29" s="440" t="s">
        <v>628</v>
      </c>
      <c r="EC29" s="286">
        <f>AnnualDeplReqs!$BG21</f>
        <v>12296.800000006155</v>
      </c>
      <c r="EE29" s="440" t="s">
        <v>628</v>
      </c>
      <c r="EF29" s="440" t="s">
        <v>628</v>
      </c>
      <c r="EG29" s="440" t="s">
        <v>628</v>
      </c>
      <c r="EH29" s="442" t="s">
        <v>597</v>
      </c>
      <c r="EL29" s="282">
        <v>1942</v>
      </c>
      <c r="EM29" s="286">
        <f>AnnualAggregations!S21</f>
        <v>322547.24514604331</v>
      </c>
      <c r="EN29" s="442" t="s">
        <v>597</v>
      </c>
      <c r="EO29" s="286">
        <f>AnnualDiversions!$AM21</f>
        <v>24160.880683190007</v>
      </c>
      <c r="EP29" s="286">
        <f>AnnualDiversions!$AK21</f>
        <v>15864.246446422729</v>
      </c>
      <c r="EQ29" s="286">
        <f>AnnualDiversions!$L21</f>
        <v>1799.9999999999995</v>
      </c>
      <c r="ER29" s="287">
        <f t="shared" si="77"/>
        <v>364372.37227565603</v>
      </c>
      <c r="ES29" s="286">
        <f>AnnualDiversions!$AO21</f>
        <v>2633.9999999996953</v>
      </c>
      <c r="ET29" s="286">
        <f>AnnualDiversions!$AY21</f>
        <v>2971.945701357125</v>
      </c>
      <c r="EU29" s="286">
        <f>AnnualAggregations!$V21</f>
        <v>56427.06077044519</v>
      </c>
      <c r="EV29" s="286">
        <f>AnnualAggregations!$W21</f>
        <v>7644.9425347262841</v>
      </c>
      <c r="EW29" s="286">
        <f>AnnualAggregations!$X21</f>
        <v>19633.182124709976</v>
      </c>
      <c r="EX29" s="286">
        <f>AnnualDiversions!$AL21</f>
        <v>12920.521945431479</v>
      </c>
      <c r="EY29" s="286">
        <f>AnnualDiversions!$AG21</f>
        <v>19124.41959632112</v>
      </c>
      <c r="EZ29" s="286">
        <f>AnnualDiversions!$AN21</f>
        <v>6106.9850521756653</v>
      </c>
      <c r="FA29" s="287">
        <f t="shared" si="78"/>
        <v>124829.05772516683</v>
      </c>
      <c r="FB29" s="287">
        <f t="shared" si="79"/>
        <v>491835.43000082258</v>
      </c>
      <c r="FC29" s="286">
        <f>AnnualDiversions!$AP21</f>
        <v>378.87777777775057</v>
      </c>
      <c r="FD29" s="442" t="s">
        <v>597</v>
      </c>
      <c r="FE29" s="286">
        <f>AnnualDiversions!$AJ21</f>
        <v>38999.999998983854</v>
      </c>
      <c r="FF29" s="286">
        <f>AnnualDiversions!$BC21</f>
        <v>16199.99999897049</v>
      </c>
      <c r="FG29" s="286">
        <f>AnnualDiversions!$J21</f>
        <v>4166.6500000021233</v>
      </c>
      <c r="FH29" s="286">
        <f>AnnualAggregations!$Y21</f>
        <v>19374.983333335964</v>
      </c>
      <c r="FI29" s="287">
        <f t="shared" si="80"/>
        <v>79120.511109070183</v>
      </c>
      <c r="FJ29" s="287">
        <f t="shared" si="81"/>
        <v>79120.511109070183</v>
      </c>
      <c r="FK29" s="287">
        <f t="shared" si="82"/>
        <v>570955.9411098928</v>
      </c>
      <c r="FM29" s="440" t="s">
        <v>628</v>
      </c>
      <c r="FN29" s="440" t="s">
        <v>628</v>
      </c>
      <c r="FO29" s="440" t="s">
        <v>628</v>
      </c>
      <c r="FP29" s="440" t="s">
        <v>628</v>
      </c>
      <c r="FQ29" s="440" t="s">
        <v>628</v>
      </c>
      <c r="FR29" s="440" t="s">
        <v>628</v>
      </c>
      <c r="FS29" s="440" t="s">
        <v>628</v>
      </c>
      <c r="FT29" s="440" t="s">
        <v>628</v>
      </c>
      <c r="FU29" s="440" t="s">
        <v>628</v>
      </c>
      <c r="FV29" s="440" t="s">
        <v>628</v>
      </c>
      <c r="FW29" s="440" t="s">
        <v>628</v>
      </c>
      <c r="FX29" s="440" t="s">
        <v>628</v>
      </c>
      <c r="FY29" s="440" t="s">
        <v>628</v>
      </c>
      <c r="GA29" s="440" t="s">
        <v>628</v>
      </c>
      <c r="GC29" s="286">
        <f>AnnualAggregations!$T21</f>
        <v>37764.238566617598</v>
      </c>
      <c r="GD29" s="286">
        <f>AnnualAggregations!$R21</f>
        <v>109067.13000005133</v>
      </c>
      <c r="GE29" s="443">
        <f t="shared" si="83"/>
        <v>162001.0741148254</v>
      </c>
      <c r="GF29" s="286">
        <f>AnnualAggregations!$U21</f>
        <v>5000.0000000019172</v>
      </c>
      <c r="GG29" s="287">
        <f t="shared" si="84"/>
        <v>313832.44268149626</v>
      </c>
      <c r="GH29" s="440" t="s">
        <v>628</v>
      </c>
      <c r="GI29" s="440" t="s">
        <v>628</v>
      </c>
      <c r="GJ29" s="440" t="s">
        <v>628</v>
      </c>
      <c r="GK29" s="440" t="s">
        <v>628</v>
      </c>
      <c r="GL29" s="286">
        <f>AnnualDiversions!$BG21</f>
        <v>12296.800000006155</v>
      </c>
      <c r="GN29" s="440" t="s">
        <v>628</v>
      </c>
      <c r="GO29" s="440" t="s">
        <v>628</v>
      </c>
      <c r="GP29" s="440" t="s">
        <v>628</v>
      </c>
      <c r="GQ29" s="442" t="s">
        <v>597</v>
      </c>
      <c r="GU29" s="282">
        <v>1942</v>
      </c>
      <c r="GV29" s="286">
        <f>AnnualAggregations!AA21</f>
        <v>322547.24514604331</v>
      </c>
      <c r="GW29" s="442" t="s">
        <v>597</v>
      </c>
      <c r="GX29" s="286">
        <f>AnnualDivReqs!$AM21</f>
        <v>24160.880683190007</v>
      </c>
      <c r="GY29" s="286">
        <f>AnnualDivReqs!$AK21</f>
        <v>15864.246446422729</v>
      </c>
      <c r="GZ29" s="286">
        <f>AnnualDivReqs!$L21</f>
        <v>1799.9999999999995</v>
      </c>
      <c r="HA29" s="287">
        <f t="shared" si="85"/>
        <v>364372.37227565603</v>
      </c>
      <c r="HB29" s="286">
        <f>AnnualDivReqs!$AO21</f>
        <v>2633.9999999996953</v>
      </c>
      <c r="HC29" s="286">
        <f>AnnualDivReqs!$AY21</f>
        <v>2971.945701357125</v>
      </c>
      <c r="HD29" s="286">
        <f>AnnualAggregations!$AD21</f>
        <v>56427.06077044519</v>
      </c>
      <c r="HE29" s="286">
        <f>AnnualAggregations!$AE21</f>
        <v>22340.154860250481</v>
      </c>
      <c r="HF29" s="286">
        <f>AnnualAggregations!$AF21</f>
        <v>19633.182124709976</v>
      </c>
      <c r="HG29" s="286">
        <f>AnnualDivReqs!$AL21</f>
        <v>12920.521945431479</v>
      </c>
      <c r="HH29" s="286">
        <f>AnnualDivReqs!$AG21</f>
        <v>19124.41959632112</v>
      </c>
      <c r="HI29" s="286">
        <f>AnnualDivReqs!$AN21</f>
        <v>6106.9850521756653</v>
      </c>
      <c r="HJ29" s="287">
        <f t="shared" si="86"/>
        <v>139524.27005069103</v>
      </c>
      <c r="HK29" s="287">
        <f t="shared" si="87"/>
        <v>506530.64232634677</v>
      </c>
      <c r="HL29" s="286">
        <f>AnnualDivReqs!$AP21</f>
        <v>378.87777777775057</v>
      </c>
      <c r="HM29" s="442" t="s">
        <v>597</v>
      </c>
      <c r="HN29" s="286">
        <f>AnnualDivReqs!$AJ21</f>
        <v>38999.999998983854</v>
      </c>
      <c r="HO29" s="286">
        <f>AnnualDivReqs!$BC21</f>
        <v>16199.99999897049</v>
      </c>
      <c r="HP29" s="286">
        <f>AnnualDivReqs!$J21</f>
        <v>4166.6500000021233</v>
      </c>
      <c r="HQ29" s="286">
        <f>AnnualAggregations!$AG21</f>
        <v>19374.983333335964</v>
      </c>
      <c r="HR29" s="287">
        <f t="shared" si="88"/>
        <v>79120.511109070183</v>
      </c>
      <c r="HS29" s="287">
        <f t="shared" si="89"/>
        <v>79120.511109070183</v>
      </c>
      <c r="HT29" s="287">
        <f t="shared" si="90"/>
        <v>585651.15343541699</v>
      </c>
      <c r="HV29" s="440" t="s">
        <v>628</v>
      </c>
      <c r="HW29" s="440" t="s">
        <v>628</v>
      </c>
      <c r="HX29" s="440" t="s">
        <v>628</v>
      </c>
      <c r="HY29" s="440" t="s">
        <v>628</v>
      </c>
      <c r="HZ29" s="440" t="s">
        <v>628</v>
      </c>
      <c r="IA29" s="440" t="s">
        <v>628</v>
      </c>
      <c r="IB29" s="440" t="s">
        <v>628</v>
      </c>
      <c r="IC29" s="440" t="s">
        <v>628</v>
      </c>
      <c r="ID29" s="440" t="s">
        <v>628</v>
      </c>
      <c r="IE29" s="440" t="s">
        <v>628</v>
      </c>
      <c r="IF29" s="440" t="s">
        <v>628</v>
      </c>
      <c r="IG29" s="440" t="s">
        <v>628</v>
      </c>
      <c r="IH29" s="440" t="s">
        <v>628</v>
      </c>
      <c r="IJ29" s="440" t="s">
        <v>628</v>
      </c>
      <c r="IL29" s="286">
        <f>AnnualAggregations!$AB21</f>
        <v>37764.238566617634</v>
      </c>
      <c r="IM29" s="286">
        <f>AnnualAggregations!$Z21</f>
        <v>109067.13000005133</v>
      </c>
      <c r="IN29" s="442" t="s">
        <v>597</v>
      </c>
      <c r="IO29" s="286">
        <f>AnnualAggregations!$AC21</f>
        <v>5000.0000000019172</v>
      </c>
      <c r="IP29" s="442" t="s">
        <v>597</v>
      </c>
      <c r="IQ29" s="440" t="s">
        <v>628</v>
      </c>
      <c r="IR29" s="440" t="s">
        <v>628</v>
      </c>
      <c r="IS29" s="440" t="s">
        <v>628</v>
      </c>
      <c r="IT29" s="440" t="s">
        <v>628</v>
      </c>
      <c r="IU29" s="286">
        <f>AnnualDivReqs!$BG21</f>
        <v>12296.800000006155</v>
      </c>
      <c r="IW29" s="440" t="s">
        <v>628</v>
      </c>
      <c r="IX29" s="440" t="s">
        <v>628</v>
      </c>
      <c r="IY29" s="440" t="s">
        <v>628</v>
      </c>
      <c r="IZ29" s="442" t="s">
        <v>597</v>
      </c>
    </row>
    <row r="30" spans="1:260" ht="15.75" thickBot="1" x14ac:dyDescent="0.3">
      <c r="A30" s="480" t="str">
        <f>ADDRESS(ROW(SJRIPSummary!E22),COLUMN(SJRIPSummary!E22),4,1)</f>
        <v>E22</v>
      </c>
      <c r="B30" s="480" t="str">
        <f t="shared" si="57"/>
        <v>22</v>
      </c>
      <c r="C30" t="s">
        <v>592</v>
      </c>
      <c r="D30" s="404">
        <v>15</v>
      </c>
      <c r="E30" s="404">
        <v>76</v>
      </c>
      <c r="F30" s="404">
        <v>137</v>
      </c>
      <c r="G30" s="404">
        <v>198</v>
      </c>
      <c r="H30" s="392"/>
      <c r="I30" s="602"/>
      <c r="J30" s="605"/>
      <c r="K30" s="609"/>
      <c r="L30" s="176" t="s">
        <v>88</v>
      </c>
      <c r="M30" s="177">
        <f ca="1">SUM(M23:M29)</f>
        <v>74200</v>
      </c>
      <c r="N30" s="178"/>
      <c r="O30" s="179"/>
      <c r="P30" s="180"/>
      <c r="Q30" s="392"/>
      <c r="R30" s="21"/>
      <c r="S30" s="21"/>
      <c r="T30" s="282">
        <v>1943</v>
      </c>
      <c r="U30" s="286">
        <f>AnnualAggregations!$C22</f>
        <v>246028.2384158654</v>
      </c>
      <c r="V30" s="286">
        <f>AnnualDepletions!$BI22</f>
        <v>-306.37233606374912</v>
      </c>
      <c r="W30" s="286">
        <f>AnnualDepletions!$AM22</f>
        <v>12099.999999999998</v>
      </c>
      <c r="X30" s="286">
        <f>AnnualDepletions!$AK22</f>
        <v>7970.0000000000082</v>
      </c>
      <c r="Y30" s="286">
        <f>AnnualDepletions!$L22</f>
        <v>899.99999999999977</v>
      </c>
      <c r="Z30" s="287">
        <f t="shared" si="58"/>
        <v>266691.86607980169</v>
      </c>
      <c r="AA30" s="286">
        <f>AnnualDepletions!$AO22</f>
        <v>1257.9999999998552</v>
      </c>
      <c r="AB30" s="286">
        <f>AnnualDepletions!$AY22</f>
        <v>1608.9999999998147</v>
      </c>
      <c r="AC30" s="286">
        <f>AnnualAggregations!$F22</f>
        <v>33779.153003376065</v>
      </c>
      <c r="AD30" s="286">
        <f>AnnualAggregations!$G22</f>
        <v>4085.9022052734231</v>
      </c>
      <c r="AE30" s="286">
        <f>AnnualAggregations!$H22</f>
        <v>12744.999999998532</v>
      </c>
      <c r="AF30" s="286">
        <f>AnnualDepletions!$AL22</f>
        <v>10873.999999998743</v>
      </c>
      <c r="AG30" s="286">
        <f>AnnualDepletions!$AG22</f>
        <v>10230.999999998823</v>
      </c>
      <c r="AH30" s="286">
        <f>AnnualDepletions!$AN22</f>
        <v>3271.9999999996244</v>
      </c>
      <c r="AI30" s="287">
        <f t="shared" si="59"/>
        <v>76596.055208645019</v>
      </c>
      <c r="AJ30" s="287">
        <f t="shared" si="60"/>
        <v>344545.92128844658</v>
      </c>
      <c r="AK30" s="286">
        <f>AnnualDepletions!$AP22</f>
        <v>340.98999999997505</v>
      </c>
      <c r="AL30" s="286">
        <f>AnnualDepletions!$BH22</f>
        <v>27680.475459928257</v>
      </c>
      <c r="AM30" s="286">
        <f>AnnualDepletions!$AJ22</f>
        <v>38999.999998983854</v>
      </c>
      <c r="AN30" s="286">
        <f>AnnualDepletions!$BC22</f>
        <v>16199.99999897049</v>
      </c>
      <c r="AO30" s="286">
        <f>AnnualDepletions!$J22</f>
        <v>2499.9900000012672</v>
      </c>
      <c r="AP30" s="286">
        <f>AnnualAggregations!$I22</f>
        <v>11624.990000001573</v>
      </c>
      <c r="AQ30" s="287">
        <f t="shared" si="61"/>
        <v>69665.96999795716</v>
      </c>
      <c r="AR30" s="287">
        <f t="shared" si="62"/>
        <v>97346.445457885435</v>
      </c>
      <c r="AS30" s="287">
        <f t="shared" si="63"/>
        <v>441892.36674633203</v>
      </c>
      <c r="AU30" s="321">
        <f ca="1">StateModDepletions_ThisScenario!AC20</f>
        <v>33858.943315148354</v>
      </c>
      <c r="AV30" s="321">
        <f ca="1">StateModDepletions_ThisScenario!AD20</f>
        <v>17960.156772971153</v>
      </c>
      <c r="AW30" s="321">
        <f ca="1">StateModDepletions_ThisScenario!AE20</f>
        <v>105487.23856590688</v>
      </c>
      <c r="AX30" s="321">
        <f ca="1">StateModDepletions_ThisScenario!AB20</f>
        <v>24765.810481309891</v>
      </c>
      <c r="AY30" s="288">
        <f t="shared" ca="1" si="64"/>
        <v>182072.14913533628</v>
      </c>
      <c r="AZ30" s="321">
        <f ca="1">StateModDepletions_ThisScenario!AG20</f>
        <v>39539.086697265469</v>
      </c>
      <c r="BA30" s="321">
        <f ca="1">StateModDepletions_ThisScenario!AF20</f>
        <v>17479.716470994041</v>
      </c>
      <c r="BB30" s="321">
        <f ca="1">StateModDepletions_ThisScenario!AH20</f>
        <v>16191.21786615625</v>
      </c>
      <c r="BC30" s="321">
        <f ca="1">StateModDepletions_ThisScenario!AI20</f>
        <v>19782.296725878492</v>
      </c>
      <c r="BD30" s="321">
        <f ca="1">StateModDepletions_ThisScenario!N20</f>
        <v>1326.6977829933167</v>
      </c>
      <c r="BE30" s="321">
        <f ca="1">StateModDepletions_ThisScenario!V20</f>
        <v>12683.237570762634</v>
      </c>
      <c r="BF30" s="288">
        <f t="shared" ca="1" si="65"/>
        <v>107002.2531140502</v>
      </c>
      <c r="BG30" s="288">
        <f t="shared" ca="1" si="66"/>
        <v>289074.40224938648</v>
      </c>
      <c r="BI30" s="288">
        <f t="shared" ca="1" si="67"/>
        <v>730966.76899571856</v>
      </c>
      <c r="BK30" s="286">
        <f>AnnualAggregations!$D22</f>
        <v>35893.000000000051</v>
      </c>
      <c r="BL30" s="286">
        <f>AnnualAggregations!$B22</f>
        <v>57172.285958093649</v>
      </c>
      <c r="BM30" s="286">
        <f>AnnualDepletions!$BK22</f>
        <v>98806.882770554264</v>
      </c>
      <c r="BN30" s="286">
        <f>AnnualAggregations!$E22</f>
        <v>5000.0000000019172</v>
      </c>
      <c r="BO30" s="287">
        <f t="shared" si="68"/>
        <v>196872.16872864991</v>
      </c>
      <c r="BP30" s="321">
        <f ca="1">StateModDepletions_ThisScenario!Y20</f>
        <v>212.11356273293495</v>
      </c>
      <c r="BQ30" s="321">
        <f ca="1">StateModDepletions_ThisScenario!AJ20</f>
        <v>138643.50518946693</v>
      </c>
      <c r="BR30" s="321">
        <f ca="1">StateModDepletions_ThisScenario!Z20</f>
        <v>209840.0395219326</v>
      </c>
      <c r="BS30" s="321">
        <f ca="1">StateModDepletions_ThisScenario!AA20</f>
        <v>70984.420769732737</v>
      </c>
      <c r="BT30" s="286">
        <f>AnnualDepletions!$BG22</f>
        <v>12296.800000006155</v>
      </c>
      <c r="BV30" s="287">
        <f t="shared" ca="1" si="69"/>
        <v>940135.73772437463</v>
      </c>
      <c r="BW30" s="287">
        <f t="shared" ca="1" si="70"/>
        <v>869151.31695464184</v>
      </c>
      <c r="BX30" s="287">
        <f t="shared" ca="1" si="56"/>
        <v>884026.31695464184</v>
      </c>
      <c r="BY30" s="287">
        <f>SJRIPSummaryRAW!$B$79</f>
        <v>14875</v>
      </c>
      <c r="CC30" s="282">
        <v>1943</v>
      </c>
      <c r="CD30" s="286">
        <f>AnnualAggregations!K22</f>
        <v>246028.2384158654</v>
      </c>
      <c r="CE30" s="442" t="s">
        <v>597</v>
      </c>
      <c r="CF30" s="286">
        <f>AnnualDeplReqs!$AM22</f>
        <v>12099.999999999998</v>
      </c>
      <c r="CG30" s="286">
        <f>AnnualDeplReqs!$AK22</f>
        <v>7970.0000000000082</v>
      </c>
      <c r="CH30" s="286">
        <f>AnnualDeplReqs!$L22</f>
        <v>899.99999999999977</v>
      </c>
      <c r="CI30" s="443">
        <f t="shared" si="71"/>
        <v>266691.86607980164</v>
      </c>
      <c r="CJ30" s="286">
        <f>AnnualDeplReqs!$AO22</f>
        <v>1257.9999999998552</v>
      </c>
      <c r="CK30" s="286">
        <f>AnnualDeplReqs!$AY22</f>
        <v>1608.9999999998147</v>
      </c>
      <c r="CL30" s="286">
        <f>AnnualAggregations!$N22</f>
        <v>33779.153003376065</v>
      </c>
      <c r="CM30" s="286">
        <f>AnnualAggregations!$O22</f>
        <v>12442.999999998572</v>
      </c>
      <c r="CN30" s="286">
        <f>AnnualAggregations!$P22</f>
        <v>12744.999999998532</v>
      </c>
      <c r="CO30" s="286">
        <f>AnnualDeplReqs!$AL22</f>
        <v>10873.999999998743</v>
      </c>
      <c r="CP30" s="286">
        <f>AnnualDeplReqs!$AG22</f>
        <v>10230.999999998823</v>
      </c>
      <c r="CQ30" s="286">
        <f>AnnualDeplReqs!$AN22</f>
        <v>3271.9999999996244</v>
      </c>
      <c r="CR30" s="287">
        <f t="shared" si="72"/>
        <v>84953.153003370171</v>
      </c>
      <c r="CS30" s="287">
        <f t="shared" si="73"/>
        <v>352903.01908317168</v>
      </c>
      <c r="CT30" s="286">
        <f>AnnualDeplReqs!$AP22</f>
        <v>340.98999999997505</v>
      </c>
      <c r="CU30" s="442" t="s">
        <v>597</v>
      </c>
      <c r="CV30" s="286">
        <f>AnnualDeplReqs!$AJ22</f>
        <v>38999.999998983854</v>
      </c>
      <c r="CW30" s="286">
        <f>AnnualDeplReqs!$BC22</f>
        <v>16199.99999897049</v>
      </c>
      <c r="CX30" s="286">
        <f>AnnualDeplReqs!$J22</f>
        <v>2499.9900000012672</v>
      </c>
      <c r="CY30" s="286">
        <f>AnnualAggregations!$Q22</f>
        <v>11624.990000001573</v>
      </c>
      <c r="CZ30" s="287">
        <f t="shared" si="74"/>
        <v>69665.96999795716</v>
      </c>
      <c r="DA30" s="443">
        <f t="shared" si="75"/>
        <v>97346.44545788542</v>
      </c>
      <c r="DB30" s="287">
        <f t="shared" si="76"/>
        <v>450249.46454105712</v>
      </c>
      <c r="DD30" s="440" t="s">
        <v>628</v>
      </c>
      <c r="DE30" s="440" t="s">
        <v>628</v>
      </c>
      <c r="DF30" s="440" t="s">
        <v>628</v>
      </c>
      <c r="DG30" s="440" t="s">
        <v>628</v>
      </c>
      <c r="DH30" s="440" t="s">
        <v>628</v>
      </c>
      <c r="DI30" s="440" t="s">
        <v>628</v>
      </c>
      <c r="DJ30" s="440" t="s">
        <v>628</v>
      </c>
      <c r="DK30" s="440" t="s">
        <v>628</v>
      </c>
      <c r="DL30" s="440" t="s">
        <v>628</v>
      </c>
      <c r="DM30" s="440" t="s">
        <v>628</v>
      </c>
      <c r="DN30" s="440" t="s">
        <v>628</v>
      </c>
      <c r="DO30" s="440" t="s">
        <v>628</v>
      </c>
      <c r="DP30" s="440" t="s">
        <v>628</v>
      </c>
      <c r="DR30" s="440" t="s">
        <v>628</v>
      </c>
      <c r="DT30" s="286">
        <f>AnnualAggregations!$L22</f>
        <v>35893.000000000073</v>
      </c>
      <c r="DU30" s="443">
        <f>AnnualAggregations!$J22</f>
        <v>57172.285958093649</v>
      </c>
      <c r="DV30" s="442" t="s">
        <v>597</v>
      </c>
      <c r="DW30" s="286">
        <f>AnnualAggregations!$M22</f>
        <v>5000.0000000019172</v>
      </c>
      <c r="DX30" s="442" t="s">
        <v>597</v>
      </c>
      <c r="DY30" s="440" t="s">
        <v>628</v>
      </c>
      <c r="DZ30" s="440" t="s">
        <v>628</v>
      </c>
      <c r="EA30" s="440" t="s">
        <v>628</v>
      </c>
      <c r="EB30" s="440" t="s">
        <v>628</v>
      </c>
      <c r="EC30" s="286">
        <f>AnnualDeplReqs!$BG22</f>
        <v>12296.800000006155</v>
      </c>
      <c r="EE30" s="440" t="s">
        <v>628</v>
      </c>
      <c r="EF30" s="440" t="s">
        <v>628</v>
      </c>
      <c r="EG30" s="440" t="s">
        <v>628</v>
      </c>
      <c r="EH30" s="442" t="s">
        <v>597</v>
      </c>
      <c r="EL30" s="282">
        <v>1943</v>
      </c>
      <c r="EM30" s="286">
        <f>AnnualAggregations!S22</f>
        <v>307535.29801983177</v>
      </c>
      <c r="EN30" s="442" t="s">
        <v>597</v>
      </c>
      <c r="EO30" s="286">
        <f>AnnualDiversions!$AM22</f>
        <v>24160.880683190007</v>
      </c>
      <c r="EP30" s="286">
        <f>AnnualDiversions!$AK22</f>
        <v>15864.246446422732</v>
      </c>
      <c r="EQ30" s="286">
        <f>AnnualDiversions!$L22</f>
        <v>1799.9999999999995</v>
      </c>
      <c r="ER30" s="287">
        <f t="shared" si="77"/>
        <v>349360.42514944449</v>
      </c>
      <c r="ES30" s="286">
        <f>AnnualDiversions!$AO22</f>
        <v>2515.9999999997103</v>
      </c>
      <c r="ET30" s="286">
        <f>AnnualDiversions!$AY22</f>
        <v>2912.2171945698005</v>
      </c>
      <c r="EU30" s="286">
        <f>AnnualAggregations!$V22</f>
        <v>56699.780454505977</v>
      </c>
      <c r="EV30" s="286">
        <f>AnnualAggregations!$W22</f>
        <v>7248.2796609328989</v>
      </c>
      <c r="EW30" s="286">
        <f>AnnualAggregations!$X22</f>
        <v>19537.605343212457</v>
      </c>
      <c r="EX30" s="286">
        <f>AnnualDiversions!$AL22</f>
        <v>12899.169632264235</v>
      </c>
      <c r="EY30" s="286">
        <f>AnnualDiversions!$AG22</f>
        <v>19389.746991374646</v>
      </c>
      <c r="EZ30" s="286">
        <f>AnnualDiversions!$AN22</f>
        <v>6152.1105574873063</v>
      </c>
      <c r="FA30" s="287">
        <f t="shared" si="78"/>
        <v>124838.90983434733</v>
      </c>
      <c r="FB30" s="287">
        <f t="shared" si="79"/>
        <v>476715.33498379152</v>
      </c>
      <c r="FC30" s="286">
        <f>AnnualDiversions!$AP22</f>
        <v>378.87777777775057</v>
      </c>
      <c r="FD30" s="442" t="s">
        <v>597</v>
      </c>
      <c r="FE30" s="286">
        <f>AnnualDiversions!$AJ22</f>
        <v>38999.999998983854</v>
      </c>
      <c r="FF30" s="286">
        <f>AnnualDiversions!$BC22</f>
        <v>16199.99999897049</v>
      </c>
      <c r="FG30" s="286">
        <f>AnnualDiversions!$J22</f>
        <v>4166.6500000021233</v>
      </c>
      <c r="FH30" s="286">
        <f>AnnualAggregations!$Y22</f>
        <v>19374.983333335964</v>
      </c>
      <c r="FI30" s="287">
        <f t="shared" si="80"/>
        <v>79120.511109070183</v>
      </c>
      <c r="FJ30" s="287">
        <f t="shared" si="81"/>
        <v>79120.511109070183</v>
      </c>
      <c r="FK30" s="287">
        <f t="shared" si="82"/>
        <v>555835.84609286173</v>
      </c>
      <c r="FM30" s="440" t="s">
        <v>628</v>
      </c>
      <c r="FN30" s="440" t="s">
        <v>628</v>
      </c>
      <c r="FO30" s="440" t="s">
        <v>628</v>
      </c>
      <c r="FP30" s="440" t="s">
        <v>628</v>
      </c>
      <c r="FQ30" s="440" t="s">
        <v>628</v>
      </c>
      <c r="FR30" s="440" t="s">
        <v>628</v>
      </c>
      <c r="FS30" s="440" t="s">
        <v>628</v>
      </c>
      <c r="FT30" s="440" t="s">
        <v>628</v>
      </c>
      <c r="FU30" s="440" t="s">
        <v>628</v>
      </c>
      <c r="FV30" s="440" t="s">
        <v>628</v>
      </c>
      <c r="FW30" s="440" t="s">
        <v>628</v>
      </c>
      <c r="FX30" s="440" t="s">
        <v>628</v>
      </c>
      <c r="FY30" s="440" t="s">
        <v>628</v>
      </c>
      <c r="GA30" s="440" t="s">
        <v>628</v>
      </c>
      <c r="GC30" s="286">
        <f>AnnualAggregations!$T22</f>
        <v>37764.238566617612</v>
      </c>
      <c r="GD30" s="286">
        <f>AnnualAggregations!$R22</f>
        <v>109067.13000005133</v>
      </c>
      <c r="GE30" s="443">
        <f t="shared" si="83"/>
        <v>98806.882770554264</v>
      </c>
      <c r="GF30" s="286">
        <f>AnnualAggregations!$U22</f>
        <v>5000.0000000019172</v>
      </c>
      <c r="GG30" s="287">
        <f t="shared" si="84"/>
        <v>250638.25133722514</v>
      </c>
      <c r="GH30" s="440" t="s">
        <v>628</v>
      </c>
      <c r="GI30" s="440" t="s">
        <v>628</v>
      </c>
      <c r="GJ30" s="440" t="s">
        <v>628</v>
      </c>
      <c r="GK30" s="440" t="s">
        <v>628</v>
      </c>
      <c r="GL30" s="286">
        <f>AnnualDiversions!$BG22</f>
        <v>12296.800000006155</v>
      </c>
      <c r="GN30" s="440" t="s">
        <v>628</v>
      </c>
      <c r="GO30" s="440" t="s">
        <v>628</v>
      </c>
      <c r="GP30" s="440" t="s">
        <v>628</v>
      </c>
      <c r="GQ30" s="442" t="s">
        <v>597</v>
      </c>
      <c r="GU30" s="282">
        <v>1943</v>
      </c>
      <c r="GV30" s="286">
        <f>AnnualAggregations!AA22</f>
        <v>307535.29801983177</v>
      </c>
      <c r="GW30" s="442" t="s">
        <v>597</v>
      </c>
      <c r="GX30" s="286">
        <f>AnnualDivReqs!$AM22</f>
        <v>24160.880683190007</v>
      </c>
      <c r="GY30" s="286">
        <f>AnnualDivReqs!$AK22</f>
        <v>15864.246446422732</v>
      </c>
      <c r="GZ30" s="286">
        <f>AnnualDivReqs!$L22</f>
        <v>1799.9999999999995</v>
      </c>
      <c r="HA30" s="287">
        <f t="shared" si="85"/>
        <v>349360.42514944449</v>
      </c>
      <c r="HB30" s="286">
        <f>AnnualDivReqs!$AO22</f>
        <v>2515.9999999997103</v>
      </c>
      <c r="HC30" s="286">
        <f>AnnualDivReqs!$AY22</f>
        <v>2912.2171945698005</v>
      </c>
      <c r="HD30" s="286">
        <f>AnnualAggregations!$AD22</f>
        <v>56699.780454505977</v>
      </c>
      <c r="HE30" s="286">
        <f>AnnualAggregations!$AE22</f>
        <v>22285.072540981713</v>
      </c>
      <c r="HF30" s="286">
        <f>AnnualAggregations!$AF22</f>
        <v>19537.605343212457</v>
      </c>
      <c r="HG30" s="286">
        <f>AnnualDivReqs!$AL22</f>
        <v>12899.169632264235</v>
      </c>
      <c r="HH30" s="286">
        <f>AnnualDivReqs!$AG22</f>
        <v>19389.746991374646</v>
      </c>
      <c r="HI30" s="286">
        <f>AnnualDivReqs!$AN22</f>
        <v>6152.1105574873063</v>
      </c>
      <c r="HJ30" s="287">
        <f t="shared" si="86"/>
        <v>139875.70271439612</v>
      </c>
      <c r="HK30" s="287">
        <f t="shared" si="87"/>
        <v>491752.12786384032</v>
      </c>
      <c r="HL30" s="286">
        <f>AnnualDivReqs!$AP22</f>
        <v>378.87777777775057</v>
      </c>
      <c r="HM30" s="442" t="s">
        <v>597</v>
      </c>
      <c r="HN30" s="286">
        <f>AnnualDivReqs!$AJ22</f>
        <v>38999.999998983854</v>
      </c>
      <c r="HO30" s="286">
        <f>AnnualDivReqs!$BC22</f>
        <v>16199.99999897049</v>
      </c>
      <c r="HP30" s="286">
        <f>AnnualDivReqs!$J22</f>
        <v>4166.6500000021233</v>
      </c>
      <c r="HQ30" s="286">
        <f>AnnualAggregations!$AG22</f>
        <v>19374.983333335964</v>
      </c>
      <c r="HR30" s="287">
        <f t="shared" si="88"/>
        <v>79120.511109070183</v>
      </c>
      <c r="HS30" s="287">
        <f t="shared" si="89"/>
        <v>79120.511109070183</v>
      </c>
      <c r="HT30" s="287">
        <f t="shared" si="90"/>
        <v>570872.63897291047</v>
      </c>
      <c r="HV30" s="440" t="s">
        <v>628</v>
      </c>
      <c r="HW30" s="440" t="s">
        <v>628</v>
      </c>
      <c r="HX30" s="440" t="s">
        <v>628</v>
      </c>
      <c r="HY30" s="440" t="s">
        <v>628</v>
      </c>
      <c r="HZ30" s="440" t="s">
        <v>628</v>
      </c>
      <c r="IA30" s="440" t="s">
        <v>628</v>
      </c>
      <c r="IB30" s="440" t="s">
        <v>628</v>
      </c>
      <c r="IC30" s="440" t="s">
        <v>628</v>
      </c>
      <c r="ID30" s="440" t="s">
        <v>628</v>
      </c>
      <c r="IE30" s="440" t="s">
        <v>628</v>
      </c>
      <c r="IF30" s="440" t="s">
        <v>628</v>
      </c>
      <c r="IG30" s="440" t="s">
        <v>628</v>
      </c>
      <c r="IH30" s="440" t="s">
        <v>628</v>
      </c>
      <c r="IJ30" s="440" t="s">
        <v>628</v>
      </c>
      <c r="IL30" s="286">
        <f>AnnualAggregations!$AB22</f>
        <v>37764.238566617634</v>
      </c>
      <c r="IM30" s="286">
        <f>AnnualAggregations!$Z22</f>
        <v>109067.13000005133</v>
      </c>
      <c r="IN30" s="442" t="s">
        <v>597</v>
      </c>
      <c r="IO30" s="286">
        <f>AnnualAggregations!$AC22</f>
        <v>5000.0000000019172</v>
      </c>
      <c r="IP30" s="442" t="s">
        <v>597</v>
      </c>
      <c r="IQ30" s="440" t="s">
        <v>628</v>
      </c>
      <c r="IR30" s="440" t="s">
        <v>628</v>
      </c>
      <c r="IS30" s="440" t="s">
        <v>628</v>
      </c>
      <c r="IT30" s="440" t="s">
        <v>628</v>
      </c>
      <c r="IU30" s="286">
        <f>AnnualDivReqs!$BG22</f>
        <v>12296.800000006155</v>
      </c>
      <c r="IW30" s="440" t="s">
        <v>628</v>
      </c>
      <c r="IX30" s="440" t="s">
        <v>628</v>
      </c>
      <c r="IY30" s="440" t="s">
        <v>628</v>
      </c>
      <c r="IZ30" s="442" t="s">
        <v>597</v>
      </c>
    </row>
    <row r="31" spans="1:260" ht="15.75" thickBot="1" x14ac:dyDescent="0.3">
      <c r="A31" s="480" t="str">
        <f>ADDRESS(ROW(SJRIPSummary!E23),COLUMN(SJRIPSummary!E23),4,1)</f>
        <v>E23</v>
      </c>
      <c r="B31" s="480" t="str">
        <f t="shared" si="57"/>
        <v>23</v>
      </c>
      <c r="C31" t="s">
        <v>609</v>
      </c>
      <c r="D31" s="404">
        <v>16</v>
      </c>
      <c r="E31" s="404">
        <v>77</v>
      </c>
      <c r="F31" s="404">
        <v>138</v>
      </c>
      <c r="G31" s="404">
        <v>199</v>
      </c>
      <c r="H31" s="393"/>
      <c r="I31" s="603"/>
      <c r="J31" s="610" t="s">
        <v>89</v>
      </c>
      <c r="K31" s="611"/>
      <c r="L31" s="612"/>
      <c r="M31" s="182">
        <f ca="1">M21+M30+M22</f>
        <v>343900</v>
      </c>
      <c r="N31" s="183"/>
      <c r="O31" s="184"/>
      <c r="P31" s="185"/>
      <c r="Q31" s="393"/>
      <c r="R31" s="21"/>
      <c r="S31" s="21"/>
      <c r="T31" s="282">
        <v>1944</v>
      </c>
      <c r="U31" s="286">
        <f>AnnualAggregations!$C23</f>
        <v>244837.83796508223</v>
      </c>
      <c r="V31" s="286">
        <f>AnnualDepletions!$BI23</f>
        <v>-680.10179613622643</v>
      </c>
      <c r="W31" s="286">
        <f>AnnualDepletions!$AM23</f>
        <v>12099.999999999998</v>
      </c>
      <c r="X31" s="286">
        <f>AnnualDepletions!$AK23</f>
        <v>7969.9999999999973</v>
      </c>
      <c r="Y31" s="286">
        <f>AnnualDepletions!$L23</f>
        <v>899.99999999999955</v>
      </c>
      <c r="Z31" s="287">
        <f t="shared" si="58"/>
        <v>265127.73616894596</v>
      </c>
      <c r="AA31" s="286">
        <f>AnnualDepletions!$AO23</f>
        <v>1092.999999999874</v>
      </c>
      <c r="AB31" s="286">
        <f>AnnualDepletions!$AY23</f>
        <v>1477.9999999998295</v>
      </c>
      <c r="AC31" s="286">
        <f>AnnualAggregations!$F23</f>
        <v>31067.779286040892</v>
      </c>
      <c r="AD31" s="286">
        <f>AnnualAggregations!$G23</f>
        <v>5821.8525934231166</v>
      </c>
      <c r="AE31" s="286">
        <f>AnnualAggregations!$H23</f>
        <v>12524.99999999855</v>
      </c>
      <c r="AF31" s="286">
        <f>AnnualDepletions!$AL23</f>
        <v>10668.999999998772</v>
      </c>
      <c r="AG31" s="286">
        <f>AnnualDepletions!$AG23</f>
        <v>9339.9999999989268</v>
      </c>
      <c r="AH31" s="286">
        <f>AnnualDepletions!$AN23</f>
        <v>3181.9999999996339</v>
      </c>
      <c r="AI31" s="287">
        <f t="shared" si="59"/>
        <v>74083.631879459717</v>
      </c>
      <c r="AJ31" s="287">
        <f t="shared" si="60"/>
        <v>340304.36804840557</v>
      </c>
      <c r="AK31" s="286">
        <f>AnnualDepletions!$AP23</f>
        <v>340.98999999997511</v>
      </c>
      <c r="AL31" s="286">
        <f>AnnualDepletions!$BH23</f>
        <v>26962.120831400611</v>
      </c>
      <c r="AM31" s="286">
        <f>AnnualDepletions!$AJ23</f>
        <v>38999.999998983862</v>
      </c>
      <c r="AN31" s="286">
        <f>AnnualDepletions!$BC23</f>
        <v>16199.999998970494</v>
      </c>
      <c r="AO31" s="286">
        <f>AnnualDepletions!$J23</f>
        <v>2499.9900000012672</v>
      </c>
      <c r="AP31" s="286">
        <f>AnnualAggregations!$I23</f>
        <v>11624.990000001573</v>
      </c>
      <c r="AQ31" s="287">
        <f t="shared" si="61"/>
        <v>69665.969997957174</v>
      </c>
      <c r="AR31" s="287">
        <f t="shared" si="62"/>
        <v>96628.090829357796</v>
      </c>
      <c r="AS31" s="287">
        <f t="shared" si="63"/>
        <v>436932.45887776336</v>
      </c>
      <c r="AU31" s="321">
        <f ca="1">StateModDepletions_ThisScenario!AC21</f>
        <v>33678.72851433605</v>
      </c>
      <c r="AV31" s="321">
        <f ca="1">StateModDepletions_ThisScenario!AD21</f>
        <v>18146.16983673349</v>
      </c>
      <c r="AW31" s="321">
        <f ca="1">StateModDepletions_ThisScenario!AE21</f>
        <v>108387.79091796279</v>
      </c>
      <c r="AX31" s="321">
        <f ca="1">StateModDepletions_ThisScenario!AB21</f>
        <v>24765.810481309891</v>
      </c>
      <c r="AY31" s="288">
        <f t="shared" ca="1" si="64"/>
        <v>184978.49975034222</v>
      </c>
      <c r="AZ31" s="321">
        <f ca="1">StateModDepletions_ThisScenario!AG21</f>
        <v>48066.970699055571</v>
      </c>
      <c r="BA31" s="321">
        <f ca="1">StateModDepletions_ThisScenario!AF21</f>
        <v>17645.232112430036</v>
      </c>
      <c r="BB31" s="321">
        <f ca="1">StateModDepletions_ThisScenario!AH21</f>
        <v>20207.892908580601</v>
      </c>
      <c r="BC31" s="321">
        <f ca="1">StateModDepletions_ThisScenario!AI21</f>
        <v>25057.185004401879</v>
      </c>
      <c r="BD31" s="321">
        <f ca="1">StateModDepletions_ThisScenario!N21</f>
        <v>1326.6977829933167</v>
      </c>
      <c r="BE31" s="321">
        <f ca="1">StateModDepletions_ThisScenario!V21</f>
        <v>14882.97659778595</v>
      </c>
      <c r="BF31" s="288">
        <f t="shared" ca="1" si="65"/>
        <v>127186.95510524735</v>
      </c>
      <c r="BG31" s="288">
        <f t="shared" ca="1" si="66"/>
        <v>312165.45485558955</v>
      </c>
      <c r="BI31" s="288">
        <f t="shared" ca="1" si="67"/>
        <v>749097.91373335291</v>
      </c>
      <c r="BK31" s="286">
        <f>AnnualAggregations!$D23</f>
        <v>35893.000000000029</v>
      </c>
      <c r="BL31" s="286">
        <f>AnnualAggregations!$B23</f>
        <v>57167.53138494656</v>
      </c>
      <c r="BM31" s="286">
        <f>AnnualDepletions!$BK23</f>
        <v>135631.37731254657</v>
      </c>
      <c r="BN31" s="286">
        <f>AnnualAggregations!$E23</f>
        <v>5000.0000000019463</v>
      </c>
      <c r="BO31" s="287">
        <f t="shared" si="68"/>
        <v>233691.90869749509</v>
      </c>
      <c r="BP31" s="321">
        <f ca="1">StateModDepletions_ThisScenario!Y21</f>
        <v>212.11356273293495</v>
      </c>
      <c r="BQ31" s="321">
        <f ca="1">StateModDepletions_ThisScenario!AJ21</f>
        <v>134596.79850159556</v>
      </c>
      <c r="BR31" s="321">
        <f ca="1">StateModDepletions_ThisScenario!Z21</f>
        <v>210278.97888898849</v>
      </c>
      <c r="BS31" s="321">
        <f ca="1">StateModDepletions_ThisScenario!AA21</f>
        <v>75470.066824660011</v>
      </c>
      <c r="BT31" s="286">
        <f>AnnualDepletions!$BG23</f>
        <v>12296.800000006155</v>
      </c>
      <c r="BV31" s="287">
        <f t="shared" ca="1" si="69"/>
        <v>995086.62243085413</v>
      </c>
      <c r="BW31" s="287">
        <f t="shared" ca="1" si="70"/>
        <v>919616.55560619407</v>
      </c>
      <c r="BX31" s="287">
        <f t="shared" ca="1" si="56"/>
        <v>934491.55560619407</v>
      </c>
      <c r="BY31" s="287">
        <f>SJRIPSummaryRAW!$B$79</f>
        <v>14875</v>
      </c>
      <c r="CC31" s="282">
        <v>1944</v>
      </c>
      <c r="CD31" s="286">
        <f>AnnualAggregations!K23</f>
        <v>244837.83796508223</v>
      </c>
      <c r="CE31" s="442" t="s">
        <v>597</v>
      </c>
      <c r="CF31" s="286">
        <f>AnnualDeplReqs!$AM23</f>
        <v>12099.999999999998</v>
      </c>
      <c r="CG31" s="286">
        <f>AnnualDeplReqs!$AK23</f>
        <v>7969.9999999999973</v>
      </c>
      <c r="CH31" s="286">
        <f>AnnualDeplReqs!$L23</f>
        <v>899.99999999999955</v>
      </c>
      <c r="CI31" s="443">
        <f t="shared" si="71"/>
        <v>265127.73616894596</v>
      </c>
      <c r="CJ31" s="286">
        <f>AnnualDeplReqs!$AO23</f>
        <v>1092.999999999874</v>
      </c>
      <c r="CK31" s="286">
        <f>AnnualDeplReqs!$AY23</f>
        <v>1477.9999999998295</v>
      </c>
      <c r="CL31" s="286">
        <f>AnnualAggregations!$N23</f>
        <v>31067.779286040892</v>
      </c>
      <c r="CM31" s="286">
        <f>AnnualAggregations!$O23</f>
        <v>11327.999999998694</v>
      </c>
      <c r="CN31" s="286">
        <f>AnnualAggregations!$P23</f>
        <v>12524.99999999855</v>
      </c>
      <c r="CO31" s="286">
        <f>AnnualDeplReqs!$AL23</f>
        <v>10668.999999998772</v>
      </c>
      <c r="CP31" s="286">
        <f>AnnualDeplReqs!$AG23</f>
        <v>9339.9999999989268</v>
      </c>
      <c r="CQ31" s="286">
        <f>AnnualDeplReqs!$AN23</f>
        <v>3181.9999999996339</v>
      </c>
      <c r="CR31" s="287">
        <f t="shared" si="72"/>
        <v>79589.779286035293</v>
      </c>
      <c r="CS31" s="287">
        <f t="shared" si="73"/>
        <v>345810.51545498113</v>
      </c>
      <c r="CT31" s="286">
        <f>AnnualDeplReqs!$AP23</f>
        <v>340.98999999997511</v>
      </c>
      <c r="CU31" s="442" t="s">
        <v>597</v>
      </c>
      <c r="CV31" s="286">
        <f>AnnualDeplReqs!$AJ23</f>
        <v>38999.999998983862</v>
      </c>
      <c r="CW31" s="286">
        <f>AnnualDeplReqs!$BC23</f>
        <v>16199.999998970494</v>
      </c>
      <c r="CX31" s="286">
        <f>AnnualDeplReqs!$J23</f>
        <v>2499.9900000012672</v>
      </c>
      <c r="CY31" s="286">
        <f>AnnualAggregations!$Q23</f>
        <v>11624.990000001573</v>
      </c>
      <c r="CZ31" s="287">
        <f t="shared" si="74"/>
        <v>69665.969997957174</v>
      </c>
      <c r="DA31" s="443">
        <f t="shared" si="75"/>
        <v>96628.090829357781</v>
      </c>
      <c r="DB31" s="287">
        <f t="shared" si="76"/>
        <v>442438.60628433892</v>
      </c>
      <c r="DD31" s="440" t="s">
        <v>628</v>
      </c>
      <c r="DE31" s="440" t="s">
        <v>628</v>
      </c>
      <c r="DF31" s="440" t="s">
        <v>628</v>
      </c>
      <c r="DG31" s="440" t="s">
        <v>628</v>
      </c>
      <c r="DH31" s="440" t="s">
        <v>628</v>
      </c>
      <c r="DI31" s="440" t="s">
        <v>628</v>
      </c>
      <c r="DJ31" s="440" t="s">
        <v>628</v>
      </c>
      <c r="DK31" s="440" t="s">
        <v>628</v>
      </c>
      <c r="DL31" s="440" t="s">
        <v>628</v>
      </c>
      <c r="DM31" s="440" t="s">
        <v>628</v>
      </c>
      <c r="DN31" s="440" t="s">
        <v>628</v>
      </c>
      <c r="DO31" s="440" t="s">
        <v>628</v>
      </c>
      <c r="DP31" s="440" t="s">
        <v>628</v>
      </c>
      <c r="DR31" s="440" t="s">
        <v>628</v>
      </c>
      <c r="DT31" s="286">
        <f>AnnualAggregations!$L23</f>
        <v>35893.000000000073</v>
      </c>
      <c r="DU31" s="443">
        <f>AnnualAggregations!$J23</f>
        <v>57167.53138494656</v>
      </c>
      <c r="DV31" s="442" t="s">
        <v>597</v>
      </c>
      <c r="DW31" s="286">
        <f>AnnualAggregations!$M23</f>
        <v>5000.0000000019463</v>
      </c>
      <c r="DX31" s="442" t="s">
        <v>597</v>
      </c>
      <c r="DY31" s="440" t="s">
        <v>628</v>
      </c>
      <c r="DZ31" s="440" t="s">
        <v>628</v>
      </c>
      <c r="EA31" s="440" t="s">
        <v>628</v>
      </c>
      <c r="EB31" s="440" t="s">
        <v>628</v>
      </c>
      <c r="EC31" s="286">
        <f>AnnualDeplReqs!$BG23</f>
        <v>12296.800000006155</v>
      </c>
      <c r="EE31" s="440" t="s">
        <v>628</v>
      </c>
      <c r="EF31" s="440" t="s">
        <v>628</v>
      </c>
      <c r="EG31" s="440" t="s">
        <v>628</v>
      </c>
      <c r="EH31" s="442" t="s">
        <v>597</v>
      </c>
      <c r="EL31" s="282">
        <v>1944</v>
      </c>
      <c r="EM31" s="286">
        <f>AnnualAggregations!S23</f>
        <v>306047.29745635227</v>
      </c>
      <c r="EN31" s="442" t="s">
        <v>597</v>
      </c>
      <c r="EO31" s="286">
        <f>AnnualDiversions!$AM23</f>
        <v>24160.880683190026</v>
      </c>
      <c r="EP31" s="286">
        <f>AnnualDiversions!$AK23</f>
        <v>15864.246446422723</v>
      </c>
      <c r="EQ31" s="286">
        <f>AnnualDiversions!$L23</f>
        <v>1799.9999999999991</v>
      </c>
      <c r="ER31" s="287">
        <f t="shared" si="77"/>
        <v>347872.424585965</v>
      </c>
      <c r="ES31" s="286">
        <f>AnnualDiversions!$AO23</f>
        <v>2185.9999999997481</v>
      </c>
      <c r="ET31" s="286">
        <f>AnnualDiversions!$AY23</f>
        <v>2675.11312217164</v>
      </c>
      <c r="EU31" s="286">
        <f>AnnualAggregations!$V23</f>
        <v>52139.193700465767</v>
      </c>
      <c r="EV31" s="286">
        <f>AnnualAggregations!$W23</f>
        <v>10662.256815994857</v>
      </c>
      <c r="EW31" s="286">
        <f>AnnualAggregations!$X23</f>
        <v>19198.941086308729</v>
      </c>
      <c r="EX31" s="286">
        <f>AnnualDiversions!$AL23</f>
        <v>12655.990510081592</v>
      </c>
      <c r="EY31" s="286">
        <f>AnnualDiversions!$AG23</f>
        <v>17701.127641426941</v>
      </c>
      <c r="EZ31" s="286">
        <f>AnnualDiversions!$AN23</f>
        <v>5982.8899125686439</v>
      </c>
      <c r="FA31" s="287">
        <f t="shared" si="78"/>
        <v>121015.51278901818</v>
      </c>
      <c r="FB31" s="287">
        <f t="shared" si="79"/>
        <v>471073.93737498292</v>
      </c>
      <c r="FC31" s="286">
        <f>AnnualDiversions!$AP23</f>
        <v>378.87777777775057</v>
      </c>
      <c r="FD31" s="442" t="s">
        <v>597</v>
      </c>
      <c r="FE31" s="286">
        <f>AnnualDiversions!$AJ23</f>
        <v>38999.999998983862</v>
      </c>
      <c r="FF31" s="286">
        <f>AnnualDiversions!$BC23</f>
        <v>16199.999998970494</v>
      </c>
      <c r="FG31" s="286">
        <f>AnnualDiversions!$J23</f>
        <v>4166.6500000021233</v>
      </c>
      <c r="FH31" s="286">
        <f>AnnualAggregations!$Y23</f>
        <v>19374.983333335967</v>
      </c>
      <c r="FI31" s="287">
        <f t="shared" si="80"/>
        <v>79120.511109070212</v>
      </c>
      <c r="FJ31" s="287">
        <f t="shared" si="81"/>
        <v>79120.511109070198</v>
      </c>
      <c r="FK31" s="287">
        <f t="shared" si="82"/>
        <v>550194.44848405314</v>
      </c>
      <c r="FM31" s="440" t="s">
        <v>628</v>
      </c>
      <c r="FN31" s="440" t="s">
        <v>628</v>
      </c>
      <c r="FO31" s="440" t="s">
        <v>628</v>
      </c>
      <c r="FP31" s="440" t="s">
        <v>628</v>
      </c>
      <c r="FQ31" s="440" t="s">
        <v>628</v>
      </c>
      <c r="FR31" s="440" t="s">
        <v>628</v>
      </c>
      <c r="FS31" s="440" t="s">
        <v>628</v>
      </c>
      <c r="FT31" s="440" t="s">
        <v>628</v>
      </c>
      <c r="FU31" s="440" t="s">
        <v>628</v>
      </c>
      <c r="FV31" s="440" t="s">
        <v>628</v>
      </c>
      <c r="FW31" s="440" t="s">
        <v>628</v>
      </c>
      <c r="FX31" s="440" t="s">
        <v>628</v>
      </c>
      <c r="FY31" s="440" t="s">
        <v>628</v>
      </c>
      <c r="GA31" s="440" t="s">
        <v>628</v>
      </c>
      <c r="GC31" s="286">
        <f>AnnualAggregations!$T23</f>
        <v>37763.476493275404</v>
      </c>
      <c r="GD31" s="286">
        <f>AnnualAggregations!$R23</f>
        <v>109067.13000005131</v>
      </c>
      <c r="GE31" s="443">
        <f t="shared" si="83"/>
        <v>135631.37731254657</v>
      </c>
      <c r="GF31" s="286">
        <f>AnnualAggregations!$U23</f>
        <v>5000.0000000019463</v>
      </c>
      <c r="GG31" s="287">
        <f t="shared" si="84"/>
        <v>287461.98380587524</v>
      </c>
      <c r="GH31" s="440" t="s">
        <v>628</v>
      </c>
      <c r="GI31" s="440" t="s">
        <v>628</v>
      </c>
      <c r="GJ31" s="440" t="s">
        <v>628</v>
      </c>
      <c r="GK31" s="440" t="s">
        <v>628</v>
      </c>
      <c r="GL31" s="286">
        <f>AnnualDiversions!$BG23</f>
        <v>12296.800000006155</v>
      </c>
      <c r="GN31" s="440" t="s">
        <v>628</v>
      </c>
      <c r="GO31" s="440" t="s">
        <v>628</v>
      </c>
      <c r="GP31" s="440" t="s">
        <v>628</v>
      </c>
      <c r="GQ31" s="442" t="s">
        <v>597</v>
      </c>
      <c r="GU31" s="282">
        <v>1944</v>
      </c>
      <c r="GV31" s="286">
        <f>AnnualAggregations!AA23</f>
        <v>306047.29745635227</v>
      </c>
      <c r="GW31" s="442" t="s">
        <v>597</v>
      </c>
      <c r="GX31" s="286">
        <f>AnnualDivReqs!$AM23</f>
        <v>24160.880683190026</v>
      </c>
      <c r="GY31" s="286">
        <f>AnnualDivReqs!$AK23</f>
        <v>15864.246446422723</v>
      </c>
      <c r="GZ31" s="286">
        <f>AnnualDivReqs!$L23</f>
        <v>1799.9999999999991</v>
      </c>
      <c r="HA31" s="287">
        <f t="shared" si="85"/>
        <v>347872.424585965</v>
      </c>
      <c r="HB31" s="286">
        <f>AnnualDivReqs!$AO23</f>
        <v>2185.9999999997481</v>
      </c>
      <c r="HC31" s="286">
        <f>AnnualDivReqs!$AY23</f>
        <v>2675.11312217164</v>
      </c>
      <c r="HD31" s="286">
        <f>AnnualAggregations!$AD23</f>
        <v>52139.193700465767</v>
      </c>
      <c r="HE31" s="286">
        <f>AnnualAggregations!$AE23</f>
        <v>20289.654692398082</v>
      </c>
      <c r="HF31" s="286">
        <f>AnnualAggregations!$AF23</f>
        <v>19198.941086308729</v>
      </c>
      <c r="HG31" s="286">
        <f>AnnualDivReqs!$AL23</f>
        <v>12655.990510081592</v>
      </c>
      <c r="HH31" s="286">
        <f>AnnualDivReqs!$AG23</f>
        <v>17701.127641426941</v>
      </c>
      <c r="HI31" s="286">
        <f>AnnualDivReqs!$AN23</f>
        <v>5982.8899125686439</v>
      </c>
      <c r="HJ31" s="287">
        <f t="shared" si="86"/>
        <v>130642.9106654214</v>
      </c>
      <c r="HK31" s="287">
        <f t="shared" si="87"/>
        <v>480701.33525138616</v>
      </c>
      <c r="HL31" s="286">
        <f>AnnualDivReqs!$AP23</f>
        <v>378.87777777775057</v>
      </c>
      <c r="HM31" s="442" t="s">
        <v>597</v>
      </c>
      <c r="HN31" s="286">
        <f>AnnualDivReqs!$AJ23</f>
        <v>38999.999998983862</v>
      </c>
      <c r="HO31" s="286">
        <f>AnnualDivReqs!$BC23</f>
        <v>16199.999998970494</v>
      </c>
      <c r="HP31" s="286">
        <f>AnnualDivReqs!$J23</f>
        <v>4166.6500000021233</v>
      </c>
      <c r="HQ31" s="286">
        <f>AnnualAggregations!$AG23</f>
        <v>19374.983333335967</v>
      </c>
      <c r="HR31" s="287">
        <f t="shared" si="88"/>
        <v>79120.511109070212</v>
      </c>
      <c r="HS31" s="287">
        <f t="shared" si="89"/>
        <v>79120.511109070198</v>
      </c>
      <c r="HT31" s="287">
        <f t="shared" si="90"/>
        <v>559821.84636045631</v>
      </c>
      <c r="HV31" s="440" t="s">
        <v>628</v>
      </c>
      <c r="HW31" s="440" t="s">
        <v>628</v>
      </c>
      <c r="HX31" s="440" t="s">
        <v>628</v>
      </c>
      <c r="HY31" s="440" t="s">
        <v>628</v>
      </c>
      <c r="HZ31" s="440" t="s">
        <v>628</v>
      </c>
      <c r="IA31" s="440" t="s">
        <v>628</v>
      </c>
      <c r="IB31" s="440" t="s">
        <v>628</v>
      </c>
      <c r="IC31" s="440" t="s">
        <v>628</v>
      </c>
      <c r="ID31" s="440" t="s">
        <v>628</v>
      </c>
      <c r="IE31" s="440" t="s">
        <v>628</v>
      </c>
      <c r="IF31" s="440" t="s">
        <v>628</v>
      </c>
      <c r="IG31" s="440" t="s">
        <v>628</v>
      </c>
      <c r="IH31" s="440" t="s">
        <v>628</v>
      </c>
      <c r="IJ31" s="440" t="s">
        <v>628</v>
      </c>
      <c r="IL31" s="286">
        <f>AnnualAggregations!$AB23</f>
        <v>37763.476493275448</v>
      </c>
      <c r="IM31" s="286">
        <f>AnnualAggregations!$Z23</f>
        <v>109067.13000005131</v>
      </c>
      <c r="IN31" s="442" t="s">
        <v>597</v>
      </c>
      <c r="IO31" s="286">
        <f>AnnualAggregations!$AC23</f>
        <v>5000.0000000019463</v>
      </c>
      <c r="IP31" s="442" t="s">
        <v>597</v>
      </c>
      <c r="IQ31" s="440" t="s">
        <v>628</v>
      </c>
      <c r="IR31" s="440" t="s">
        <v>628</v>
      </c>
      <c r="IS31" s="440" t="s">
        <v>628</v>
      </c>
      <c r="IT31" s="440" t="s">
        <v>628</v>
      </c>
      <c r="IU31" s="286">
        <f>AnnualDivReqs!$BG23</f>
        <v>12296.800000006155</v>
      </c>
      <c r="IW31" s="440" t="s">
        <v>628</v>
      </c>
      <c r="IX31" s="440" t="s">
        <v>628</v>
      </c>
      <c r="IY31" s="440" t="s">
        <v>628</v>
      </c>
      <c r="IZ31" s="442" t="s">
        <v>597</v>
      </c>
    </row>
    <row r="32" spans="1:260" ht="15.75" thickBot="1" x14ac:dyDescent="0.3">
      <c r="A32" s="480" t="str">
        <f>ADDRESS(ROW(SJRIPSummary!E24),COLUMN(SJRIPSummary!E24),4,1)</f>
        <v>E24</v>
      </c>
      <c r="B32" s="480" t="str">
        <f t="shared" si="57"/>
        <v>24</v>
      </c>
      <c r="C32" t="s">
        <v>90</v>
      </c>
      <c r="D32" s="404">
        <v>17</v>
      </c>
      <c r="E32" s="404">
        <v>78</v>
      </c>
      <c r="F32" s="404">
        <v>139</v>
      </c>
      <c r="G32" s="404">
        <v>200</v>
      </c>
      <c r="H32" s="393"/>
      <c r="I32" s="603"/>
      <c r="J32" s="186"/>
      <c r="K32" s="187"/>
      <c r="L32" s="188" t="s">
        <v>90</v>
      </c>
      <c r="M32" s="189">
        <f ca="1">ROUND(SJRIPSummaryRAW!B32,-1)</f>
        <v>340</v>
      </c>
      <c r="N32" s="151"/>
      <c r="O32" s="231">
        <f ca="1">ROUND(SJRIPSummaryRAW!D32,-1)</f>
        <v>340</v>
      </c>
      <c r="P32" s="232">
        <f ca="1">ROUND(SJRIPSummaryRAW!E32,-1)</f>
        <v>340</v>
      </c>
      <c r="Q32" s="393"/>
      <c r="R32" s="21"/>
      <c r="S32" s="21"/>
      <c r="T32" s="282">
        <v>1945</v>
      </c>
      <c r="U32" s="286">
        <f>AnnualAggregations!$C24</f>
        <v>260899.60133969504</v>
      </c>
      <c r="V32" s="286">
        <f>AnnualDepletions!$BI24</f>
        <v>2667.9002487022517</v>
      </c>
      <c r="W32" s="286">
        <f>AnnualDepletions!$AM24</f>
        <v>12100.000000000009</v>
      </c>
      <c r="X32" s="286">
        <f>AnnualDepletions!$AK24</f>
        <v>7969.9999999999927</v>
      </c>
      <c r="Y32" s="286">
        <f>AnnualDepletions!$L24</f>
        <v>899.99999999999943</v>
      </c>
      <c r="Z32" s="287">
        <f t="shared" si="58"/>
        <v>284537.50158839731</v>
      </c>
      <c r="AA32" s="286">
        <f>AnnualDepletions!$AO24</f>
        <v>1093.9999999998738</v>
      </c>
      <c r="AB32" s="286">
        <f>AnnualDepletions!$AY24</f>
        <v>1509.9999999998265</v>
      </c>
      <c r="AC32" s="286">
        <f>AnnualAggregations!$F24</f>
        <v>31884.81788818647</v>
      </c>
      <c r="AD32" s="286">
        <f>AnnualAggregations!$G24</f>
        <v>3041.2138780614418</v>
      </c>
      <c r="AE32" s="286">
        <f>AnnualAggregations!$H24</f>
        <v>12663.999999998543</v>
      </c>
      <c r="AF32" s="286">
        <f>AnnualDepletions!$AL24</f>
        <v>10750.999999998761</v>
      </c>
      <c r="AG32" s="286">
        <f>AnnualDepletions!$AG24</f>
        <v>9575.999999998905</v>
      </c>
      <c r="AH32" s="286">
        <f>AnnualDepletions!$AN24</f>
        <v>3222.9999999996298</v>
      </c>
      <c r="AI32" s="287">
        <f t="shared" si="59"/>
        <v>72650.031766243585</v>
      </c>
      <c r="AJ32" s="287">
        <f t="shared" si="60"/>
        <v>358281.53335464076</v>
      </c>
      <c r="AK32" s="286">
        <f>AnnualDepletions!$AP24</f>
        <v>340.98999999997505</v>
      </c>
      <c r="AL32" s="286">
        <f>AnnualDepletions!$BH24</f>
        <v>28699.269946216806</v>
      </c>
      <c r="AM32" s="286">
        <f>AnnualDepletions!$AJ24</f>
        <v>38999.999998983854</v>
      </c>
      <c r="AN32" s="286">
        <f>AnnualDepletions!$BC24</f>
        <v>16199.99999897049</v>
      </c>
      <c r="AO32" s="286">
        <f>AnnualDepletions!$J24</f>
        <v>2499.9900000012672</v>
      </c>
      <c r="AP32" s="286">
        <f>AnnualAggregations!$I24</f>
        <v>11624.990000001573</v>
      </c>
      <c r="AQ32" s="287">
        <f t="shared" si="61"/>
        <v>69665.96999795716</v>
      </c>
      <c r="AR32" s="287">
        <f t="shared" si="62"/>
        <v>98365.239944173984</v>
      </c>
      <c r="AS32" s="287">
        <f t="shared" si="63"/>
        <v>456646.77329881478</v>
      </c>
      <c r="AU32" s="321">
        <f ca="1">StateModDepletions_ThisScenario!AC22</f>
        <v>33547.776273287833</v>
      </c>
      <c r="AV32" s="321">
        <f ca="1">StateModDepletions_ThisScenario!AD22</f>
        <v>17785.777048289776</v>
      </c>
      <c r="AW32" s="321">
        <f ca="1">StateModDepletions_ThisScenario!AE22</f>
        <v>109474.40498937666</v>
      </c>
      <c r="AX32" s="321">
        <f ca="1">StateModDepletions_ThisScenario!AB22</f>
        <v>24765.810481309891</v>
      </c>
      <c r="AY32" s="288">
        <f t="shared" ca="1" si="64"/>
        <v>185573.76879226416</v>
      </c>
      <c r="AZ32" s="321">
        <f ca="1">StateModDepletions_ThisScenario!AG22</f>
        <v>40443.149586668012</v>
      </c>
      <c r="BA32" s="321">
        <f ca="1">StateModDepletions_ThisScenario!AF22</f>
        <v>18039.188630133867</v>
      </c>
      <c r="BB32" s="321">
        <f ca="1">StateModDepletions_ThisScenario!AH22</f>
        <v>16459.268890358508</v>
      </c>
      <c r="BC32" s="321">
        <f ca="1">StateModDepletions_ThisScenario!AI22</f>
        <v>19853.285262159836</v>
      </c>
      <c r="BD32" s="321">
        <f ca="1">StateModDepletions_ThisScenario!N22</f>
        <v>1326.6977829933167</v>
      </c>
      <c r="BE32" s="321">
        <f ca="1">StateModDepletions_ThisScenario!V22</f>
        <v>12563.284537315369</v>
      </c>
      <c r="BF32" s="288">
        <f t="shared" ca="1" si="65"/>
        <v>108684.87468962889</v>
      </c>
      <c r="BG32" s="288">
        <f t="shared" ca="1" si="66"/>
        <v>294258.64348189306</v>
      </c>
      <c r="BI32" s="288">
        <f t="shared" ca="1" si="67"/>
        <v>750905.41678070789</v>
      </c>
      <c r="BK32" s="286">
        <f>AnnualAggregations!$D24</f>
        <v>35893.000000000044</v>
      </c>
      <c r="BL32" s="286">
        <f>AnnualAggregations!$B24</f>
        <v>57162.044361908607</v>
      </c>
      <c r="BM32" s="286">
        <f>AnnualDepletions!$BK24</f>
        <v>118535.1288555035</v>
      </c>
      <c r="BN32" s="286">
        <f>AnnualAggregations!$E24</f>
        <v>5000.0000000019172</v>
      </c>
      <c r="BO32" s="287">
        <f t="shared" si="68"/>
        <v>216590.17321741406</v>
      </c>
      <c r="BP32" s="321">
        <f ca="1">StateModDepletions_ThisScenario!Y22</f>
        <v>212.11356273293495</v>
      </c>
      <c r="BQ32" s="321">
        <f ca="1">StateModDepletions_ThisScenario!AJ22</f>
        <v>139579.30314028621</v>
      </c>
      <c r="BR32" s="321">
        <f ca="1">StateModDepletions_ThisScenario!Z22</f>
        <v>214999.11407411098</v>
      </c>
      <c r="BS32" s="321">
        <f ca="1">StateModDepletions_ThisScenario!AA22</f>
        <v>75207.697371091839</v>
      </c>
      <c r="BT32" s="286">
        <f>AnnualDepletions!$BG24</f>
        <v>12296.800000006155</v>
      </c>
      <c r="BV32" s="287">
        <f t="shared" ca="1" si="69"/>
        <v>979792.38999812817</v>
      </c>
      <c r="BW32" s="287">
        <f t="shared" ca="1" si="70"/>
        <v>904584.69262703636</v>
      </c>
      <c r="BX32" s="287">
        <f t="shared" ca="1" si="56"/>
        <v>919459.69262703636</v>
      </c>
      <c r="BY32" s="287">
        <f>SJRIPSummaryRAW!$B$79</f>
        <v>14875</v>
      </c>
      <c r="CC32" s="282">
        <v>1945</v>
      </c>
      <c r="CD32" s="286">
        <f>AnnualAggregations!K24</f>
        <v>260899.60133969504</v>
      </c>
      <c r="CE32" s="442" t="s">
        <v>597</v>
      </c>
      <c r="CF32" s="286">
        <f>AnnualDeplReqs!$AM24</f>
        <v>12100.000000000009</v>
      </c>
      <c r="CG32" s="286">
        <f>AnnualDeplReqs!$AK24</f>
        <v>7969.9999999999927</v>
      </c>
      <c r="CH32" s="286">
        <f>AnnualDeplReqs!$L24</f>
        <v>899.99999999999943</v>
      </c>
      <c r="CI32" s="443">
        <f t="shared" si="71"/>
        <v>284537.50158839731</v>
      </c>
      <c r="CJ32" s="286">
        <f>AnnualDeplReqs!$AO24</f>
        <v>1093.9999999998738</v>
      </c>
      <c r="CK32" s="286">
        <f>AnnualDeplReqs!$AY24</f>
        <v>1509.9999999998265</v>
      </c>
      <c r="CL32" s="286">
        <f>AnnualAggregations!$N24</f>
        <v>31884.81788818647</v>
      </c>
      <c r="CM32" s="286">
        <f>AnnualAggregations!$O24</f>
        <v>11701.999999998656</v>
      </c>
      <c r="CN32" s="286">
        <f>AnnualAggregations!$P24</f>
        <v>12663.999999998543</v>
      </c>
      <c r="CO32" s="286">
        <f>AnnualDeplReqs!$AL24</f>
        <v>10750.999999998761</v>
      </c>
      <c r="CP32" s="286">
        <f>AnnualDeplReqs!$AG24</f>
        <v>9575.999999998905</v>
      </c>
      <c r="CQ32" s="286">
        <f>AnnualDeplReqs!$AN24</f>
        <v>3222.9999999996298</v>
      </c>
      <c r="CR32" s="287">
        <f t="shared" si="72"/>
        <v>81310.817888180798</v>
      </c>
      <c r="CS32" s="287">
        <f t="shared" si="73"/>
        <v>366942.31947657798</v>
      </c>
      <c r="CT32" s="286">
        <f>AnnualDeplReqs!$AP24</f>
        <v>340.98999999997505</v>
      </c>
      <c r="CU32" s="442" t="s">
        <v>597</v>
      </c>
      <c r="CV32" s="286">
        <f>AnnualDeplReqs!$AJ24</f>
        <v>38999.999998983854</v>
      </c>
      <c r="CW32" s="286">
        <f>AnnualDeplReqs!$BC24</f>
        <v>16199.99999897049</v>
      </c>
      <c r="CX32" s="286">
        <f>AnnualDeplReqs!$J24</f>
        <v>2499.9900000012672</v>
      </c>
      <c r="CY32" s="286">
        <f>AnnualAggregations!$Q24</f>
        <v>11624.990000001573</v>
      </c>
      <c r="CZ32" s="287">
        <f t="shared" si="74"/>
        <v>69665.96999795716</v>
      </c>
      <c r="DA32" s="443">
        <f t="shared" si="75"/>
        <v>98365.239944173969</v>
      </c>
      <c r="DB32" s="287">
        <f t="shared" si="76"/>
        <v>465307.55942075193</v>
      </c>
      <c r="DD32" s="440" t="s">
        <v>628</v>
      </c>
      <c r="DE32" s="440" t="s">
        <v>628</v>
      </c>
      <c r="DF32" s="440" t="s">
        <v>628</v>
      </c>
      <c r="DG32" s="440" t="s">
        <v>628</v>
      </c>
      <c r="DH32" s="440" t="s">
        <v>628</v>
      </c>
      <c r="DI32" s="440" t="s">
        <v>628</v>
      </c>
      <c r="DJ32" s="440" t="s">
        <v>628</v>
      </c>
      <c r="DK32" s="440" t="s">
        <v>628</v>
      </c>
      <c r="DL32" s="440" t="s">
        <v>628</v>
      </c>
      <c r="DM32" s="440" t="s">
        <v>628</v>
      </c>
      <c r="DN32" s="440" t="s">
        <v>628</v>
      </c>
      <c r="DO32" s="440" t="s">
        <v>628</v>
      </c>
      <c r="DP32" s="440" t="s">
        <v>628</v>
      </c>
      <c r="DR32" s="440" t="s">
        <v>628</v>
      </c>
      <c r="DT32" s="286">
        <f>AnnualAggregations!$L24</f>
        <v>35893.000000000073</v>
      </c>
      <c r="DU32" s="443">
        <f>AnnualAggregations!$J24</f>
        <v>57224.147889396023</v>
      </c>
      <c r="DV32" s="442" t="s">
        <v>597</v>
      </c>
      <c r="DW32" s="286">
        <f>AnnualAggregations!$M24</f>
        <v>5000.0000000019172</v>
      </c>
      <c r="DX32" s="442" t="s">
        <v>597</v>
      </c>
      <c r="DY32" s="440" t="s">
        <v>628</v>
      </c>
      <c r="DZ32" s="440" t="s">
        <v>628</v>
      </c>
      <c r="EA32" s="440" t="s">
        <v>628</v>
      </c>
      <c r="EB32" s="440" t="s">
        <v>628</v>
      </c>
      <c r="EC32" s="286">
        <f>AnnualDeplReqs!$BG24</f>
        <v>12296.800000006155</v>
      </c>
      <c r="EE32" s="440" t="s">
        <v>628</v>
      </c>
      <c r="EF32" s="440" t="s">
        <v>628</v>
      </c>
      <c r="EG32" s="440" t="s">
        <v>628</v>
      </c>
      <c r="EH32" s="442" t="s">
        <v>597</v>
      </c>
      <c r="EL32" s="282">
        <v>1945</v>
      </c>
      <c r="EM32" s="286">
        <f>AnnualAggregations!S24</f>
        <v>326124.50167461927</v>
      </c>
      <c r="EN32" s="442" t="s">
        <v>597</v>
      </c>
      <c r="EO32" s="286">
        <f>AnnualDiversions!$AM24</f>
        <v>24160.880683190011</v>
      </c>
      <c r="EP32" s="286">
        <f>AnnualDiversions!$AK24</f>
        <v>15864.246446422727</v>
      </c>
      <c r="EQ32" s="286">
        <f>AnnualDiversions!$L24</f>
        <v>1799.9999999999989</v>
      </c>
      <c r="ER32" s="287">
        <f t="shared" si="77"/>
        <v>367949.62880423199</v>
      </c>
      <c r="ES32" s="286">
        <f>AnnualDiversions!$AO24</f>
        <v>2187.9999999997476</v>
      </c>
      <c r="ET32" s="286">
        <f>AnnualDiversions!$AY24</f>
        <v>2733.0316742078326</v>
      </c>
      <c r="EU32" s="286">
        <f>AnnualAggregations!$V24</f>
        <v>53511.555239364541</v>
      </c>
      <c r="EV32" s="286">
        <f>AnnualAggregations!$W24</f>
        <v>5631.4144337554571</v>
      </c>
      <c r="EW32" s="286">
        <f>AnnualAggregations!$X24</f>
        <v>19412.802797005093</v>
      </c>
      <c r="EX32" s="286">
        <f>AnnualDiversions!$AL24</f>
        <v>12753.262158954638</v>
      </c>
      <c r="EY32" s="286">
        <f>AnnualDiversions!$AG24</f>
        <v>18148.393821659996</v>
      </c>
      <c r="EZ32" s="286">
        <f>AnnualDiversions!$AN24</f>
        <v>6059.9793174760362</v>
      </c>
      <c r="FA32" s="287">
        <f t="shared" si="78"/>
        <v>118250.43944242359</v>
      </c>
      <c r="FB32" s="287">
        <f t="shared" si="79"/>
        <v>488388.06824665534</v>
      </c>
      <c r="FC32" s="286">
        <f>AnnualDiversions!$AP24</f>
        <v>378.87777777775057</v>
      </c>
      <c r="FD32" s="442" t="s">
        <v>597</v>
      </c>
      <c r="FE32" s="286">
        <f>AnnualDiversions!$AJ24</f>
        <v>38999.999998983854</v>
      </c>
      <c r="FF32" s="286">
        <f>AnnualDiversions!$BC24</f>
        <v>16199.99999897049</v>
      </c>
      <c r="FG32" s="286">
        <f>AnnualDiversions!$J24</f>
        <v>4166.6500000021233</v>
      </c>
      <c r="FH32" s="286">
        <f>AnnualAggregations!$Y24</f>
        <v>19374.983333335964</v>
      </c>
      <c r="FI32" s="287">
        <f t="shared" si="80"/>
        <v>79120.511109070183</v>
      </c>
      <c r="FJ32" s="287">
        <f t="shared" si="81"/>
        <v>79120.511109070183</v>
      </c>
      <c r="FK32" s="287">
        <f t="shared" si="82"/>
        <v>567508.57935572555</v>
      </c>
      <c r="FM32" s="440" t="s">
        <v>628</v>
      </c>
      <c r="FN32" s="440" t="s">
        <v>628</v>
      </c>
      <c r="FO32" s="440" t="s">
        <v>628</v>
      </c>
      <c r="FP32" s="440" t="s">
        <v>628</v>
      </c>
      <c r="FQ32" s="440" t="s">
        <v>628</v>
      </c>
      <c r="FR32" s="440" t="s">
        <v>628</v>
      </c>
      <c r="FS32" s="440" t="s">
        <v>628</v>
      </c>
      <c r="FT32" s="440" t="s">
        <v>628</v>
      </c>
      <c r="FU32" s="440" t="s">
        <v>628</v>
      </c>
      <c r="FV32" s="440" t="s">
        <v>628</v>
      </c>
      <c r="FW32" s="440" t="s">
        <v>628</v>
      </c>
      <c r="FX32" s="440" t="s">
        <v>628</v>
      </c>
      <c r="FY32" s="440" t="s">
        <v>628</v>
      </c>
      <c r="GA32" s="440" t="s">
        <v>628</v>
      </c>
      <c r="GC32" s="286">
        <f>AnnualAggregations!$T24</f>
        <v>37764.238566617612</v>
      </c>
      <c r="GD32" s="286">
        <f>AnnualAggregations!$R24</f>
        <v>109067.13000005133</v>
      </c>
      <c r="GE32" s="443">
        <f t="shared" si="83"/>
        <v>118535.1288555035</v>
      </c>
      <c r="GF32" s="286">
        <f>AnnualAggregations!$U24</f>
        <v>5000.0000000019172</v>
      </c>
      <c r="GG32" s="287">
        <f t="shared" si="84"/>
        <v>270366.49742217438</v>
      </c>
      <c r="GH32" s="440" t="s">
        <v>628</v>
      </c>
      <c r="GI32" s="440" t="s">
        <v>628</v>
      </c>
      <c r="GJ32" s="440" t="s">
        <v>628</v>
      </c>
      <c r="GK32" s="440" t="s">
        <v>628</v>
      </c>
      <c r="GL32" s="286">
        <f>AnnualDiversions!$BG24</f>
        <v>12296.800000006155</v>
      </c>
      <c r="GN32" s="440" t="s">
        <v>628</v>
      </c>
      <c r="GO32" s="440" t="s">
        <v>628</v>
      </c>
      <c r="GP32" s="440" t="s">
        <v>628</v>
      </c>
      <c r="GQ32" s="442" t="s">
        <v>597</v>
      </c>
      <c r="GU32" s="282">
        <v>1945</v>
      </c>
      <c r="GV32" s="286">
        <f>AnnualAggregations!AA24</f>
        <v>326124.50167461927</v>
      </c>
      <c r="GW32" s="442" t="s">
        <v>597</v>
      </c>
      <c r="GX32" s="286">
        <f>AnnualDivReqs!$AM24</f>
        <v>24160.880683190011</v>
      </c>
      <c r="GY32" s="286">
        <f>AnnualDivReqs!$AK24</f>
        <v>15864.246446422727</v>
      </c>
      <c r="GZ32" s="286">
        <f>AnnualDivReqs!$L24</f>
        <v>1799.9999999999989</v>
      </c>
      <c r="HA32" s="287">
        <f t="shared" si="85"/>
        <v>367949.62880423199</v>
      </c>
      <c r="HB32" s="286">
        <f>AnnualDivReqs!$AO24</f>
        <v>2187.9999999997476</v>
      </c>
      <c r="HC32" s="286">
        <f>AnnualDivReqs!$AY24</f>
        <v>2733.0316742078326</v>
      </c>
      <c r="HD32" s="286">
        <f>AnnualAggregations!$AD24</f>
        <v>53511.555239364541</v>
      </c>
      <c r="HE32" s="286">
        <f>AnnualAggregations!$AE24</f>
        <v>20959.88387551413</v>
      </c>
      <c r="HF32" s="286">
        <f>AnnualAggregations!$AF24</f>
        <v>19412.802797005093</v>
      </c>
      <c r="HG32" s="286">
        <f>AnnualDivReqs!$AL24</f>
        <v>12753.262158954638</v>
      </c>
      <c r="HH32" s="286">
        <f>AnnualDivReqs!$AG24</f>
        <v>18148.393821659996</v>
      </c>
      <c r="HI32" s="286">
        <f>AnnualDivReqs!$AN24</f>
        <v>6059.9793174760362</v>
      </c>
      <c r="HJ32" s="287">
        <f t="shared" si="86"/>
        <v>133578.90888418225</v>
      </c>
      <c r="HK32" s="287">
        <f t="shared" si="87"/>
        <v>503716.53768841398</v>
      </c>
      <c r="HL32" s="286">
        <f>AnnualDivReqs!$AP24</f>
        <v>378.87777777775057</v>
      </c>
      <c r="HM32" s="442" t="s">
        <v>597</v>
      </c>
      <c r="HN32" s="286">
        <f>AnnualDivReqs!$AJ24</f>
        <v>38999.999998983854</v>
      </c>
      <c r="HO32" s="286">
        <f>AnnualDivReqs!$BC24</f>
        <v>16199.99999897049</v>
      </c>
      <c r="HP32" s="286">
        <f>AnnualDivReqs!$J24</f>
        <v>4166.6500000021233</v>
      </c>
      <c r="HQ32" s="286">
        <f>AnnualAggregations!$AG24</f>
        <v>19374.983333335964</v>
      </c>
      <c r="HR32" s="287">
        <f t="shared" si="88"/>
        <v>79120.511109070183</v>
      </c>
      <c r="HS32" s="287">
        <f t="shared" si="89"/>
        <v>79120.511109070183</v>
      </c>
      <c r="HT32" s="287">
        <f t="shared" si="90"/>
        <v>582837.04879748414</v>
      </c>
      <c r="HV32" s="440" t="s">
        <v>628</v>
      </c>
      <c r="HW32" s="440" t="s">
        <v>628</v>
      </c>
      <c r="HX32" s="440" t="s">
        <v>628</v>
      </c>
      <c r="HY32" s="440" t="s">
        <v>628</v>
      </c>
      <c r="HZ32" s="440" t="s">
        <v>628</v>
      </c>
      <c r="IA32" s="440" t="s">
        <v>628</v>
      </c>
      <c r="IB32" s="440" t="s">
        <v>628</v>
      </c>
      <c r="IC32" s="440" t="s">
        <v>628</v>
      </c>
      <c r="ID32" s="440" t="s">
        <v>628</v>
      </c>
      <c r="IE32" s="440" t="s">
        <v>628</v>
      </c>
      <c r="IF32" s="440" t="s">
        <v>628</v>
      </c>
      <c r="IG32" s="440" t="s">
        <v>628</v>
      </c>
      <c r="IH32" s="440" t="s">
        <v>628</v>
      </c>
      <c r="IJ32" s="440" t="s">
        <v>628</v>
      </c>
      <c r="IL32" s="286">
        <f>AnnualAggregations!$AB24</f>
        <v>37764.238566617634</v>
      </c>
      <c r="IM32" s="286">
        <f>AnnualAggregations!$Z24</f>
        <v>109191.33705502616</v>
      </c>
      <c r="IN32" s="442" t="s">
        <v>597</v>
      </c>
      <c r="IO32" s="286">
        <f>AnnualAggregations!$AC24</f>
        <v>5000.0000000019172</v>
      </c>
      <c r="IP32" s="442" t="s">
        <v>597</v>
      </c>
      <c r="IQ32" s="440" t="s">
        <v>628</v>
      </c>
      <c r="IR32" s="440" t="s">
        <v>628</v>
      </c>
      <c r="IS32" s="440" t="s">
        <v>628</v>
      </c>
      <c r="IT32" s="440" t="s">
        <v>628</v>
      </c>
      <c r="IU32" s="286">
        <f>AnnualDivReqs!$BG24</f>
        <v>12296.800000006155</v>
      </c>
      <c r="IW32" s="440" t="s">
        <v>628</v>
      </c>
      <c r="IX32" s="440" t="s">
        <v>628</v>
      </c>
      <c r="IY32" s="440" t="s">
        <v>628</v>
      </c>
      <c r="IZ32" s="442" t="s">
        <v>597</v>
      </c>
    </row>
    <row r="33" spans="1:260" x14ac:dyDescent="0.25">
      <c r="A33" s="480" t="str">
        <f>ADDRESS(ROW(SJRIPSummary!E25),COLUMN(SJRIPSummary!E25),4,1)</f>
        <v>E25</v>
      </c>
      <c r="B33" s="480" t="str">
        <f t="shared" si="57"/>
        <v>25</v>
      </c>
      <c r="C33" t="s">
        <v>92</v>
      </c>
      <c r="D33" s="404">
        <v>18</v>
      </c>
      <c r="E33" s="404">
        <v>79</v>
      </c>
      <c r="F33" s="404">
        <v>140</v>
      </c>
      <c r="G33" s="404">
        <v>201</v>
      </c>
      <c r="H33" s="391"/>
      <c r="I33" s="602"/>
      <c r="J33" s="613" t="s">
        <v>91</v>
      </c>
      <c r="K33" s="614"/>
      <c r="L33" s="175" t="s">
        <v>92</v>
      </c>
      <c r="M33" s="174">
        <f ca="1">ROUND(SJRIPSummaryRAW!B28,-2)</f>
        <v>26800</v>
      </c>
      <c r="N33" s="148"/>
      <c r="O33" s="221">
        <f ca="1">ROUND(SJRIPSummaryRAW!D28,-2)</f>
        <v>30100</v>
      </c>
      <c r="P33" s="222">
        <f ca="1">ROUND(SJRIPSummaryRAW!E28,-2)</f>
        <v>17900</v>
      </c>
      <c r="Q33" s="391"/>
      <c r="R33" s="21"/>
      <c r="S33" s="21"/>
      <c r="T33" s="282">
        <v>1946</v>
      </c>
      <c r="U33" s="286">
        <f>AnnualAggregations!$C25</f>
        <v>267751.56844986009</v>
      </c>
      <c r="V33" s="286">
        <f>AnnualDepletions!$BI25</f>
        <v>4038.2936707353629</v>
      </c>
      <c r="W33" s="286">
        <f>AnnualDepletions!$AM25</f>
        <v>12100.000000000002</v>
      </c>
      <c r="X33" s="286">
        <f>AnnualDepletions!$AK25</f>
        <v>7970</v>
      </c>
      <c r="Y33" s="286">
        <f>AnnualDepletions!$L25</f>
        <v>900.00000000000011</v>
      </c>
      <c r="Z33" s="287">
        <f t="shared" si="58"/>
        <v>292759.86212059547</v>
      </c>
      <c r="AA33" s="286">
        <f>AnnualDepletions!$AO25</f>
        <v>1214.9999999998604</v>
      </c>
      <c r="AB33" s="286">
        <f>AnnualDepletions!$AY25</f>
        <v>1640.9999999998111</v>
      </c>
      <c r="AC33" s="286">
        <f>AnnualAggregations!$F25</f>
        <v>32830.968789353428</v>
      </c>
      <c r="AD33" s="286">
        <f>AnnualAggregations!$G25</f>
        <v>3163.2250649641564</v>
      </c>
      <c r="AE33" s="286">
        <f>AnnualAggregations!$H25</f>
        <v>13431.999999998445</v>
      </c>
      <c r="AF33" s="286">
        <f>AnnualDepletions!$AL25</f>
        <v>11326.99999999869</v>
      </c>
      <c r="AG33" s="286">
        <f>AnnualDepletions!$AG25</f>
        <v>9637.9999999988977</v>
      </c>
      <c r="AH33" s="286">
        <f>AnnualDepletions!$AN25</f>
        <v>3262.9999999996244</v>
      </c>
      <c r="AI33" s="287">
        <f t="shared" si="59"/>
        <v>75295.193854313053</v>
      </c>
      <c r="AJ33" s="287">
        <f t="shared" si="60"/>
        <v>369270.05597490841</v>
      </c>
      <c r="AK33" s="286">
        <f>AnnualDepletions!$AP25</f>
        <v>340.98999999997505</v>
      </c>
      <c r="AL33" s="286">
        <f>AnnualDepletions!$BH25</f>
        <v>26333.56996362561</v>
      </c>
      <c r="AM33" s="286">
        <f>AnnualDepletions!$AJ25</f>
        <v>38999.999998983854</v>
      </c>
      <c r="AN33" s="286">
        <f>AnnualDepletions!$BC25</f>
        <v>16199.99999897049</v>
      </c>
      <c r="AO33" s="286">
        <f>AnnualDepletions!$J25</f>
        <v>2499.9900000012672</v>
      </c>
      <c r="AP33" s="286">
        <f>AnnualAggregations!$I25</f>
        <v>11624.990000001573</v>
      </c>
      <c r="AQ33" s="287">
        <f t="shared" si="61"/>
        <v>69665.96999795716</v>
      </c>
      <c r="AR33" s="287">
        <f t="shared" si="62"/>
        <v>95999.539961582777</v>
      </c>
      <c r="AS33" s="287">
        <f t="shared" si="63"/>
        <v>465269.59593649115</v>
      </c>
      <c r="AU33" s="321">
        <f ca="1">StateModDepletions_ThisScenario!AC23</f>
        <v>32486.10740878433</v>
      </c>
      <c r="AV33" s="321">
        <f ca="1">StateModDepletions_ThisScenario!AD23</f>
        <v>17487.598962232471</v>
      </c>
      <c r="AW33" s="321">
        <f ca="1">StateModDepletions_ThisScenario!AE23</f>
        <v>105490.95578423142</v>
      </c>
      <c r="AX33" s="321">
        <f ca="1">StateModDepletions_ThisScenario!AB23</f>
        <v>24765.810481309891</v>
      </c>
      <c r="AY33" s="288">
        <f t="shared" ca="1" si="64"/>
        <v>180230.47263655812</v>
      </c>
      <c r="AZ33" s="321">
        <f ca="1">StateModDepletions_ThisScenario!AG23</f>
        <v>28988.108469291106</v>
      </c>
      <c r="BA33" s="321">
        <f ca="1">StateModDepletions_ThisScenario!AF23</f>
        <v>17453.011835145036</v>
      </c>
      <c r="BB33" s="321">
        <f ca="1">StateModDepletions_ThisScenario!AH23</f>
        <v>13026.974108964205</v>
      </c>
      <c r="BC33" s="321">
        <f ca="1">StateModDepletions_ThisScenario!AI23</f>
        <v>10998.777384963707</v>
      </c>
      <c r="BD33" s="321">
        <f ca="1">StateModDepletions_ThisScenario!N23</f>
        <v>1326.6977829933167</v>
      </c>
      <c r="BE33" s="321">
        <f ca="1">StateModDepletions_ThisScenario!V23</f>
        <v>10261.149859428406</v>
      </c>
      <c r="BF33" s="288">
        <f t="shared" ca="1" si="65"/>
        <v>82054.719440785775</v>
      </c>
      <c r="BG33" s="288">
        <f t="shared" ca="1" si="66"/>
        <v>262285.19207734388</v>
      </c>
      <c r="BI33" s="288">
        <f t="shared" ca="1" si="67"/>
        <v>727554.78801383497</v>
      </c>
      <c r="BK33" s="286">
        <f>AnnualAggregations!$D25</f>
        <v>35893.000000000036</v>
      </c>
      <c r="BL33" s="286">
        <f>AnnualAggregations!$B25</f>
        <v>57168.532916011522</v>
      </c>
      <c r="BM33" s="286">
        <f>AnnualDepletions!$BK25</f>
        <v>48798.916406874319</v>
      </c>
      <c r="BN33" s="286">
        <f>AnnualAggregations!$E25</f>
        <v>5000.0000000019172</v>
      </c>
      <c r="BO33" s="287">
        <f t="shared" si="68"/>
        <v>146860.44932288778</v>
      </c>
      <c r="BP33" s="321">
        <f ca="1">StateModDepletions_ThisScenario!Y23</f>
        <v>212.11356273293495</v>
      </c>
      <c r="BQ33" s="321">
        <f ca="1">StateModDepletions_ThisScenario!AJ23</f>
        <v>143007.8783343675</v>
      </c>
      <c r="BR33" s="321">
        <f ca="1">StateModDepletions_ThisScenario!Z23</f>
        <v>225840.04540252686</v>
      </c>
      <c r="BS33" s="321">
        <f ca="1">StateModDepletions_ThisScenario!AA23</f>
        <v>82620.053505426404</v>
      </c>
      <c r="BT33" s="286">
        <f>AnnualDepletions!$BG25</f>
        <v>12296.800000006155</v>
      </c>
      <c r="BV33" s="287">
        <f t="shared" ca="1" si="69"/>
        <v>886712.03733672888</v>
      </c>
      <c r="BW33" s="287">
        <f t="shared" ca="1" si="70"/>
        <v>804091.9838313025</v>
      </c>
      <c r="BX33" s="287">
        <f t="shared" ca="1" si="56"/>
        <v>818966.9838313025</v>
      </c>
      <c r="BY33" s="287">
        <f>SJRIPSummaryRAW!$B$79</f>
        <v>14875</v>
      </c>
      <c r="CC33" s="282">
        <v>1946</v>
      </c>
      <c r="CD33" s="286">
        <f>AnnualAggregations!K25</f>
        <v>267751.56844986009</v>
      </c>
      <c r="CE33" s="442" t="s">
        <v>597</v>
      </c>
      <c r="CF33" s="286">
        <f>AnnualDeplReqs!$AM25</f>
        <v>12100.000000000002</v>
      </c>
      <c r="CG33" s="286">
        <f>AnnualDeplReqs!$AK25</f>
        <v>7970</v>
      </c>
      <c r="CH33" s="286">
        <f>AnnualDeplReqs!$L25</f>
        <v>900.00000000000011</v>
      </c>
      <c r="CI33" s="443">
        <f t="shared" si="71"/>
        <v>292759.86212059547</v>
      </c>
      <c r="CJ33" s="286">
        <f>AnnualDeplReqs!$AO25</f>
        <v>1214.9999999998604</v>
      </c>
      <c r="CK33" s="286">
        <f>AnnualDeplReqs!$AY25</f>
        <v>1640.9999999998111</v>
      </c>
      <c r="CL33" s="286">
        <f>AnnualAggregations!$N25</f>
        <v>32830.968789353428</v>
      </c>
      <c r="CM33" s="286">
        <f>AnnualAggregations!$O25</f>
        <v>12177.999999998607</v>
      </c>
      <c r="CN33" s="286">
        <f>AnnualAggregations!$P25</f>
        <v>13431.999999998445</v>
      </c>
      <c r="CO33" s="286">
        <f>AnnualDeplReqs!$AL25</f>
        <v>11326.99999999869</v>
      </c>
      <c r="CP33" s="286">
        <f>AnnualDeplReqs!$AG25</f>
        <v>9637.9999999988977</v>
      </c>
      <c r="CQ33" s="286">
        <f>AnnualDeplReqs!$AN25</f>
        <v>3262.9999999996244</v>
      </c>
      <c r="CR33" s="287">
        <f t="shared" si="72"/>
        <v>84309.968789347491</v>
      </c>
      <c r="CS33" s="287">
        <f t="shared" si="73"/>
        <v>378284.83090994286</v>
      </c>
      <c r="CT33" s="286">
        <f>AnnualDeplReqs!$AP25</f>
        <v>340.98999999997505</v>
      </c>
      <c r="CU33" s="442" t="s">
        <v>597</v>
      </c>
      <c r="CV33" s="286">
        <f>AnnualDeplReqs!$AJ25</f>
        <v>38999.999998983854</v>
      </c>
      <c r="CW33" s="286">
        <f>AnnualDeplReqs!$BC25</f>
        <v>16199.99999897049</v>
      </c>
      <c r="CX33" s="286">
        <f>AnnualDeplReqs!$J25</f>
        <v>2499.9900000012672</v>
      </c>
      <c r="CY33" s="286">
        <f>AnnualAggregations!$Q25</f>
        <v>11624.990000001573</v>
      </c>
      <c r="CZ33" s="287">
        <f t="shared" si="74"/>
        <v>69665.96999795716</v>
      </c>
      <c r="DA33" s="443">
        <f t="shared" si="75"/>
        <v>95999.539961582777</v>
      </c>
      <c r="DB33" s="287">
        <f t="shared" si="76"/>
        <v>474284.37087152561</v>
      </c>
      <c r="DD33" s="440" t="s">
        <v>628</v>
      </c>
      <c r="DE33" s="440" t="s">
        <v>628</v>
      </c>
      <c r="DF33" s="440" t="s">
        <v>628</v>
      </c>
      <c r="DG33" s="440" t="s">
        <v>628</v>
      </c>
      <c r="DH33" s="440" t="s">
        <v>628</v>
      </c>
      <c r="DI33" s="440" t="s">
        <v>628</v>
      </c>
      <c r="DJ33" s="440" t="s">
        <v>628</v>
      </c>
      <c r="DK33" s="440" t="s">
        <v>628</v>
      </c>
      <c r="DL33" s="440" t="s">
        <v>628</v>
      </c>
      <c r="DM33" s="440" t="s">
        <v>628</v>
      </c>
      <c r="DN33" s="440" t="s">
        <v>628</v>
      </c>
      <c r="DO33" s="440" t="s">
        <v>628</v>
      </c>
      <c r="DP33" s="440" t="s">
        <v>628</v>
      </c>
      <c r="DR33" s="440" t="s">
        <v>628</v>
      </c>
      <c r="DT33" s="286">
        <f>AnnualAggregations!$L25</f>
        <v>35893.000000000073</v>
      </c>
      <c r="DU33" s="443">
        <f>AnnualAggregations!$J25</f>
        <v>57168.532916011522</v>
      </c>
      <c r="DV33" s="442" t="s">
        <v>597</v>
      </c>
      <c r="DW33" s="286">
        <f>AnnualAggregations!$M25</f>
        <v>5000.0000000019172</v>
      </c>
      <c r="DX33" s="442" t="s">
        <v>597</v>
      </c>
      <c r="DY33" s="440" t="s">
        <v>628</v>
      </c>
      <c r="DZ33" s="440" t="s">
        <v>628</v>
      </c>
      <c r="EA33" s="440" t="s">
        <v>628</v>
      </c>
      <c r="EB33" s="440" t="s">
        <v>628</v>
      </c>
      <c r="EC33" s="286">
        <f>AnnualDeplReqs!$BG25</f>
        <v>12296.800000006155</v>
      </c>
      <c r="EE33" s="440" t="s">
        <v>628</v>
      </c>
      <c r="EF33" s="440" t="s">
        <v>628</v>
      </c>
      <c r="EG33" s="440" t="s">
        <v>628</v>
      </c>
      <c r="EH33" s="442" t="s">
        <v>597</v>
      </c>
      <c r="EL33" s="282">
        <v>1946</v>
      </c>
      <c r="EM33" s="286">
        <f>AnnualAggregations!S25</f>
        <v>334689.46056232491</v>
      </c>
      <c r="EN33" s="442" t="s">
        <v>597</v>
      </c>
      <c r="EO33" s="286">
        <f>AnnualDiversions!$AM25</f>
        <v>24160.880683190007</v>
      </c>
      <c r="EP33" s="286">
        <f>AnnualDiversions!$AK25</f>
        <v>15864.246446422745</v>
      </c>
      <c r="EQ33" s="286">
        <f>AnnualDiversions!$L25</f>
        <v>1800.0000000000002</v>
      </c>
      <c r="ER33" s="287">
        <f t="shared" si="77"/>
        <v>376514.58769193769</v>
      </c>
      <c r="ES33" s="286">
        <f>AnnualDiversions!$AO25</f>
        <v>2429.9999999997208</v>
      </c>
      <c r="ET33" s="286">
        <f>AnnualDiversions!$AY25</f>
        <v>2970.1357466059926</v>
      </c>
      <c r="EU33" s="286">
        <f>AnnualAggregations!$V25</f>
        <v>55123.262049087745</v>
      </c>
      <c r="EV33" s="286">
        <f>AnnualAggregations!$W25</f>
        <v>5593.8654154398637</v>
      </c>
      <c r="EW33" s="286">
        <f>AnnualAggregations!$X25</f>
        <v>20588.92396355639</v>
      </c>
      <c r="EX33" s="286">
        <f>AnnualDiversions!$AL25</f>
        <v>13436.536180306868</v>
      </c>
      <c r="EY33" s="286">
        <f>AnnualDiversions!$AG25</f>
        <v>18265.895953755124</v>
      </c>
      <c r="EZ33" s="286">
        <f>AnnualDiversions!$AN25</f>
        <v>6135.1884929954431</v>
      </c>
      <c r="FA33" s="287">
        <f t="shared" si="78"/>
        <v>122113.80780174742</v>
      </c>
      <c r="FB33" s="287">
        <f t="shared" si="79"/>
        <v>501058.3954936848</v>
      </c>
      <c r="FC33" s="286">
        <f>AnnualDiversions!$AP25</f>
        <v>378.87777777775057</v>
      </c>
      <c r="FD33" s="442" t="s">
        <v>597</v>
      </c>
      <c r="FE33" s="286">
        <f>AnnualDiversions!$AJ25</f>
        <v>38999.999998983854</v>
      </c>
      <c r="FF33" s="286">
        <f>AnnualDiversions!$BC25</f>
        <v>16199.99999897049</v>
      </c>
      <c r="FG33" s="286">
        <f>AnnualDiversions!$J25</f>
        <v>4166.6500000021233</v>
      </c>
      <c r="FH33" s="286">
        <f>AnnualAggregations!$Y25</f>
        <v>19374.983333335964</v>
      </c>
      <c r="FI33" s="287">
        <f t="shared" si="80"/>
        <v>79120.511109070183</v>
      </c>
      <c r="FJ33" s="287">
        <f t="shared" si="81"/>
        <v>79120.511109070183</v>
      </c>
      <c r="FK33" s="287">
        <f t="shared" si="82"/>
        <v>580178.90660275496</v>
      </c>
      <c r="FM33" s="440" t="s">
        <v>628</v>
      </c>
      <c r="FN33" s="440" t="s">
        <v>628</v>
      </c>
      <c r="FO33" s="440" t="s">
        <v>628</v>
      </c>
      <c r="FP33" s="440" t="s">
        <v>628</v>
      </c>
      <c r="FQ33" s="440" t="s">
        <v>628</v>
      </c>
      <c r="FR33" s="440" t="s">
        <v>628</v>
      </c>
      <c r="FS33" s="440" t="s">
        <v>628</v>
      </c>
      <c r="FT33" s="440" t="s">
        <v>628</v>
      </c>
      <c r="FU33" s="440" t="s">
        <v>628</v>
      </c>
      <c r="FV33" s="440" t="s">
        <v>628</v>
      </c>
      <c r="FW33" s="440" t="s">
        <v>628</v>
      </c>
      <c r="FX33" s="440" t="s">
        <v>628</v>
      </c>
      <c r="FY33" s="440" t="s">
        <v>628</v>
      </c>
      <c r="GA33" s="440" t="s">
        <v>628</v>
      </c>
      <c r="GC33" s="286">
        <f>AnnualAggregations!$T25</f>
        <v>37764.238566617598</v>
      </c>
      <c r="GD33" s="286">
        <f>AnnualAggregations!$R25</f>
        <v>109067.13000005133</v>
      </c>
      <c r="GE33" s="443">
        <f t="shared" si="83"/>
        <v>48798.916406874319</v>
      </c>
      <c r="GF33" s="286">
        <f>AnnualAggregations!$U25</f>
        <v>5000.0000000019172</v>
      </c>
      <c r="GG33" s="287">
        <f t="shared" si="84"/>
        <v>200630.28497354517</v>
      </c>
      <c r="GH33" s="440" t="s">
        <v>628</v>
      </c>
      <c r="GI33" s="440" t="s">
        <v>628</v>
      </c>
      <c r="GJ33" s="440" t="s">
        <v>628</v>
      </c>
      <c r="GK33" s="440" t="s">
        <v>628</v>
      </c>
      <c r="GL33" s="286">
        <f>AnnualDiversions!$BG25</f>
        <v>12296.800000006155</v>
      </c>
      <c r="GN33" s="440" t="s">
        <v>628</v>
      </c>
      <c r="GO33" s="440" t="s">
        <v>628</v>
      </c>
      <c r="GP33" s="440" t="s">
        <v>628</v>
      </c>
      <c r="GQ33" s="442" t="s">
        <v>597</v>
      </c>
      <c r="GU33" s="282">
        <v>1946</v>
      </c>
      <c r="GV33" s="286">
        <f>AnnualAggregations!AA25</f>
        <v>334689.46056232491</v>
      </c>
      <c r="GW33" s="442" t="s">
        <v>597</v>
      </c>
      <c r="GX33" s="286">
        <f>AnnualDivReqs!$AM25</f>
        <v>24160.880683190007</v>
      </c>
      <c r="GY33" s="286">
        <f>AnnualDivReqs!$AK25</f>
        <v>15864.246446422745</v>
      </c>
      <c r="GZ33" s="286">
        <f>AnnualDivReqs!$L25</f>
        <v>1800.0000000000002</v>
      </c>
      <c r="HA33" s="287">
        <f t="shared" si="85"/>
        <v>376514.58769193769</v>
      </c>
      <c r="HB33" s="286">
        <f>AnnualDivReqs!$AO25</f>
        <v>2429.9999999997208</v>
      </c>
      <c r="HC33" s="286">
        <f>AnnualDivReqs!$AY25</f>
        <v>2970.1357466059926</v>
      </c>
      <c r="HD33" s="286">
        <f>AnnualAggregations!$AD25</f>
        <v>55123.262049087745</v>
      </c>
      <c r="HE33" s="286">
        <f>AnnualAggregations!$AE25</f>
        <v>21811.104948536526</v>
      </c>
      <c r="HF33" s="286">
        <f>AnnualAggregations!$AF25</f>
        <v>20588.92396355639</v>
      </c>
      <c r="HG33" s="286">
        <f>AnnualDivReqs!$AL25</f>
        <v>13436.536180306868</v>
      </c>
      <c r="HH33" s="286">
        <f>AnnualDivReqs!$AG25</f>
        <v>18265.895953755124</v>
      </c>
      <c r="HI33" s="286">
        <f>AnnualDivReqs!$AN25</f>
        <v>6135.1884929954431</v>
      </c>
      <c r="HJ33" s="287">
        <f t="shared" si="86"/>
        <v>138331.0473348441</v>
      </c>
      <c r="HK33" s="287">
        <f t="shared" si="87"/>
        <v>517275.63502678147</v>
      </c>
      <c r="HL33" s="286">
        <f>AnnualDivReqs!$AP25</f>
        <v>378.87777777775057</v>
      </c>
      <c r="HM33" s="442" t="s">
        <v>597</v>
      </c>
      <c r="HN33" s="286">
        <f>AnnualDivReqs!$AJ25</f>
        <v>38999.999998983854</v>
      </c>
      <c r="HO33" s="286">
        <f>AnnualDivReqs!$BC25</f>
        <v>16199.99999897049</v>
      </c>
      <c r="HP33" s="286">
        <f>AnnualDivReqs!$J25</f>
        <v>4166.6500000021233</v>
      </c>
      <c r="HQ33" s="286">
        <f>AnnualAggregations!$AG25</f>
        <v>19374.983333335964</v>
      </c>
      <c r="HR33" s="287">
        <f t="shared" si="88"/>
        <v>79120.511109070183</v>
      </c>
      <c r="HS33" s="287">
        <f t="shared" si="89"/>
        <v>79120.511109070183</v>
      </c>
      <c r="HT33" s="287">
        <f t="shared" si="90"/>
        <v>596396.14613585162</v>
      </c>
      <c r="HV33" s="440" t="s">
        <v>628</v>
      </c>
      <c r="HW33" s="440" t="s">
        <v>628</v>
      </c>
      <c r="HX33" s="440" t="s">
        <v>628</v>
      </c>
      <c r="HY33" s="440" t="s">
        <v>628</v>
      </c>
      <c r="HZ33" s="440" t="s">
        <v>628</v>
      </c>
      <c r="IA33" s="440" t="s">
        <v>628</v>
      </c>
      <c r="IB33" s="440" t="s">
        <v>628</v>
      </c>
      <c r="IC33" s="440" t="s">
        <v>628</v>
      </c>
      <c r="ID33" s="440" t="s">
        <v>628</v>
      </c>
      <c r="IE33" s="440" t="s">
        <v>628</v>
      </c>
      <c r="IF33" s="440" t="s">
        <v>628</v>
      </c>
      <c r="IG33" s="440" t="s">
        <v>628</v>
      </c>
      <c r="IH33" s="440" t="s">
        <v>628</v>
      </c>
      <c r="IJ33" s="440" t="s">
        <v>628</v>
      </c>
      <c r="IL33" s="286">
        <f>AnnualAggregations!$AB25</f>
        <v>37764.238566617634</v>
      </c>
      <c r="IM33" s="286">
        <f>AnnualAggregations!$Z25</f>
        <v>109067.13000005133</v>
      </c>
      <c r="IN33" s="442" t="s">
        <v>597</v>
      </c>
      <c r="IO33" s="286">
        <f>AnnualAggregations!$AC25</f>
        <v>5000.0000000019172</v>
      </c>
      <c r="IP33" s="442" t="s">
        <v>597</v>
      </c>
      <c r="IQ33" s="440" t="s">
        <v>628</v>
      </c>
      <c r="IR33" s="440" t="s">
        <v>628</v>
      </c>
      <c r="IS33" s="440" t="s">
        <v>628</v>
      </c>
      <c r="IT33" s="440" t="s">
        <v>628</v>
      </c>
      <c r="IU33" s="286">
        <f>AnnualDivReqs!$BG25</f>
        <v>12296.800000006155</v>
      </c>
      <c r="IW33" s="440" t="s">
        <v>628</v>
      </c>
      <c r="IX33" s="440" t="s">
        <v>628</v>
      </c>
      <c r="IY33" s="440" t="s">
        <v>628</v>
      </c>
      <c r="IZ33" s="442" t="s">
        <v>597</v>
      </c>
    </row>
    <row r="34" spans="1:260" x14ac:dyDescent="0.25">
      <c r="A34" s="480" t="str">
        <f>ADDRESS(ROW(SJRIPSummary!E26),COLUMN(SJRIPSummary!E26),4,1)</f>
        <v>E26</v>
      </c>
      <c r="B34" s="480" t="str">
        <f t="shared" si="57"/>
        <v>26</v>
      </c>
      <c r="C34" t="s">
        <v>93</v>
      </c>
      <c r="D34" s="404">
        <v>19</v>
      </c>
      <c r="E34" s="404">
        <v>80</v>
      </c>
      <c r="F34" s="404">
        <v>141</v>
      </c>
      <c r="G34" s="404">
        <v>202</v>
      </c>
      <c r="H34" s="391"/>
      <c r="I34" s="602"/>
      <c r="J34" s="613"/>
      <c r="K34" s="614"/>
      <c r="L34" s="175" t="s">
        <v>93</v>
      </c>
      <c r="M34" s="174">
        <f ca="1">ROUND(SJRIPSummaryRAW!B29,-2)</f>
        <v>38800</v>
      </c>
      <c r="N34" s="148"/>
      <c r="O34" s="221">
        <f ca="1">ROUND(SJRIPSummaryRAW!D29,-2)</f>
        <v>39000</v>
      </c>
      <c r="P34" s="222">
        <f ca="1">ROUND(SJRIPSummaryRAW!E29,-2)</f>
        <v>23300</v>
      </c>
      <c r="Q34" s="391"/>
      <c r="R34" s="21"/>
      <c r="S34" s="21"/>
      <c r="T34" s="282">
        <v>1947</v>
      </c>
      <c r="U34" s="286">
        <f>AnnualAggregations!$C26</f>
        <v>252476.13757501432</v>
      </c>
      <c r="V34" s="286">
        <f>AnnualDepletions!$BI26</f>
        <v>983.20749576599121</v>
      </c>
      <c r="W34" s="286">
        <f>AnnualDepletions!$AM26</f>
        <v>12100.000000000005</v>
      </c>
      <c r="X34" s="286">
        <f>AnnualDepletions!$AK26</f>
        <v>7969.9999999999991</v>
      </c>
      <c r="Y34" s="286">
        <f>AnnualDepletions!$L26</f>
        <v>899.99999999999955</v>
      </c>
      <c r="Z34" s="287">
        <f t="shared" si="58"/>
        <v>274429.34507078031</v>
      </c>
      <c r="AA34" s="286">
        <f>AnnualDepletions!$AO26</f>
        <v>1202.9999999998615</v>
      </c>
      <c r="AB34" s="286">
        <f>AnnualDepletions!$AY26</f>
        <v>1504.9999999998265</v>
      </c>
      <c r="AC34" s="286">
        <f>AnnualAggregations!$F26</f>
        <v>29160.77530005735</v>
      </c>
      <c r="AD34" s="286">
        <f>AnnualAggregations!$G26</f>
        <v>3190.1479491513419</v>
      </c>
      <c r="AE34" s="286">
        <f>AnnualAggregations!$H26</f>
        <v>12163.999999998598</v>
      </c>
      <c r="AF34" s="286">
        <f>AnnualDepletions!$AL26</f>
        <v>10343.999999998809</v>
      </c>
      <c r="AG34" s="286">
        <f>AnnualDepletions!$AG26</f>
        <v>9195.999999998945</v>
      </c>
      <c r="AH34" s="286">
        <f>AnnualDepletions!$AN26</f>
        <v>3108.9999999996421</v>
      </c>
      <c r="AI34" s="287">
        <f t="shared" si="59"/>
        <v>68668.923249204498</v>
      </c>
      <c r="AJ34" s="287">
        <f t="shared" si="60"/>
        <v>344301.26831998467</v>
      </c>
      <c r="AK34" s="286">
        <f>AnnualDepletions!$AP26</f>
        <v>340.98999999997505</v>
      </c>
      <c r="AL34" s="286">
        <f>AnnualDepletions!$BH26</f>
        <v>25785.557707154083</v>
      </c>
      <c r="AM34" s="286">
        <f>AnnualDepletions!$AJ26</f>
        <v>38999.999998983854</v>
      </c>
      <c r="AN34" s="286">
        <f>AnnualDepletions!$BC26</f>
        <v>16199.99999897049</v>
      </c>
      <c r="AO34" s="286">
        <f>AnnualDepletions!$J26</f>
        <v>2499.9900000012672</v>
      </c>
      <c r="AP34" s="286">
        <f>AnnualAggregations!$I26</f>
        <v>11624.990000001573</v>
      </c>
      <c r="AQ34" s="287">
        <f t="shared" si="61"/>
        <v>69665.96999795716</v>
      </c>
      <c r="AR34" s="287">
        <f t="shared" si="62"/>
        <v>95451.52770511125</v>
      </c>
      <c r="AS34" s="287">
        <f t="shared" si="63"/>
        <v>439752.79602509591</v>
      </c>
      <c r="AU34" s="321">
        <f ca="1">StateModDepletions_ThisScenario!AC24</f>
        <v>31150.215571433306</v>
      </c>
      <c r="AV34" s="321">
        <f ca="1">StateModDepletions_ThisScenario!AD24</f>
        <v>17078.939726939425</v>
      </c>
      <c r="AW34" s="321">
        <f ca="1">StateModDepletions_ThisScenario!AE24</f>
        <v>104133.40964899957</v>
      </c>
      <c r="AX34" s="321">
        <f ca="1">StateModDepletions_ThisScenario!AB24</f>
        <v>24765.810481309891</v>
      </c>
      <c r="AY34" s="288">
        <f t="shared" ca="1" si="64"/>
        <v>177128.37542868219</v>
      </c>
      <c r="AZ34" s="321">
        <f ca="1">StateModDepletions_ThisScenario!AG24</f>
        <v>39872.707013158579</v>
      </c>
      <c r="BA34" s="321">
        <f ca="1">StateModDepletions_ThisScenario!AF24</f>
        <v>17016.060512691722</v>
      </c>
      <c r="BB34" s="321">
        <f ca="1">StateModDepletions_ThisScenario!AH24</f>
        <v>17001.66228928417</v>
      </c>
      <c r="BC34" s="321">
        <f ca="1">StateModDepletions_ThisScenario!AI24</f>
        <v>16111.085397684947</v>
      </c>
      <c r="BD34" s="321">
        <f ca="1">StateModDepletions_ThisScenario!N24</f>
        <v>1326.6977829933167</v>
      </c>
      <c r="BE34" s="321">
        <f ca="1">StateModDepletions_ThisScenario!V24</f>
        <v>13311.805470466614</v>
      </c>
      <c r="BF34" s="288">
        <f t="shared" ca="1" si="65"/>
        <v>104640.01846627935</v>
      </c>
      <c r="BG34" s="288">
        <f t="shared" ca="1" si="66"/>
        <v>281768.39389496157</v>
      </c>
      <c r="BI34" s="288">
        <f t="shared" ca="1" si="67"/>
        <v>721521.18992005754</v>
      </c>
      <c r="BK34" s="286">
        <f>AnnualAggregations!$D26</f>
        <v>35893.000000000073</v>
      </c>
      <c r="BL34" s="286">
        <f>AnnualAggregations!$B26</f>
        <v>57174.024543631749</v>
      </c>
      <c r="BM34" s="286">
        <f>AnnualDepletions!$BK26</f>
        <v>85248.065304780001</v>
      </c>
      <c r="BN34" s="286">
        <f>AnnualAggregations!$E26</f>
        <v>5000.0000000019172</v>
      </c>
      <c r="BO34" s="287">
        <f t="shared" si="68"/>
        <v>183315.08984841374</v>
      </c>
      <c r="BP34" s="321">
        <f ca="1">StateModDepletions_ThisScenario!Y24</f>
        <v>212.11356273293495</v>
      </c>
      <c r="BQ34" s="321">
        <f ca="1">StateModDepletions_ThisScenario!AJ24</f>
        <v>134528.58680039793</v>
      </c>
      <c r="BR34" s="321">
        <f ca="1">StateModDepletions_ThisScenario!Z24</f>
        <v>210774.2971739769</v>
      </c>
      <c r="BS34" s="321">
        <f ca="1">StateModDepletions_ThisScenario!AA24</f>
        <v>76033.596810846037</v>
      </c>
      <c r="BT34" s="286">
        <f>AnnualDepletions!$BG26</f>
        <v>12296.800000006155</v>
      </c>
      <c r="BV34" s="287">
        <f t="shared" ca="1" si="69"/>
        <v>917133.07976847747</v>
      </c>
      <c r="BW34" s="287">
        <f t="shared" ca="1" si="70"/>
        <v>841099.48295763147</v>
      </c>
      <c r="BX34" s="287">
        <f t="shared" ca="1" si="56"/>
        <v>855974.48295763147</v>
      </c>
      <c r="BY34" s="287">
        <f>SJRIPSummaryRAW!$B$79</f>
        <v>14875</v>
      </c>
      <c r="CC34" s="282">
        <v>1947</v>
      </c>
      <c r="CD34" s="286">
        <f>AnnualAggregations!K26</f>
        <v>252476.13757501432</v>
      </c>
      <c r="CE34" s="442" t="s">
        <v>597</v>
      </c>
      <c r="CF34" s="286">
        <f>AnnualDeplReqs!$AM26</f>
        <v>12100.000000000005</v>
      </c>
      <c r="CG34" s="286">
        <f>AnnualDeplReqs!$AK26</f>
        <v>7969.9999999999991</v>
      </c>
      <c r="CH34" s="286">
        <f>AnnualDeplReqs!$L26</f>
        <v>899.99999999999955</v>
      </c>
      <c r="CI34" s="443">
        <f t="shared" si="71"/>
        <v>274429.34507078031</v>
      </c>
      <c r="CJ34" s="286">
        <f>AnnualDeplReqs!$AO26</f>
        <v>1202.9999999998615</v>
      </c>
      <c r="CK34" s="286">
        <f>AnnualDeplReqs!$AY26</f>
        <v>1504.9999999998265</v>
      </c>
      <c r="CL34" s="286">
        <f>AnnualAggregations!$N26</f>
        <v>29160.77530005735</v>
      </c>
      <c r="CM34" s="286">
        <f>AnnualAggregations!$O26</f>
        <v>10738.999999998765</v>
      </c>
      <c r="CN34" s="286">
        <f>AnnualAggregations!$P26</f>
        <v>12163.999999998598</v>
      </c>
      <c r="CO34" s="286">
        <f>AnnualDeplReqs!$AL26</f>
        <v>10343.999999998809</v>
      </c>
      <c r="CP34" s="286">
        <f>AnnualDeplReqs!$AG26</f>
        <v>9195.999999998945</v>
      </c>
      <c r="CQ34" s="286">
        <f>AnnualDeplReqs!$AN26</f>
        <v>3108.9999999996421</v>
      </c>
      <c r="CR34" s="287">
        <f t="shared" si="72"/>
        <v>76217.775300051915</v>
      </c>
      <c r="CS34" s="287">
        <f t="shared" si="73"/>
        <v>351850.1203708321</v>
      </c>
      <c r="CT34" s="286">
        <f>AnnualDeplReqs!$AP26</f>
        <v>340.98999999997505</v>
      </c>
      <c r="CU34" s="442" t="s">
        <v>597</v>
      </c>
      <c r="CV34" s="286">
        <f>AnnualDeplReqs!$AJ26</f>
        <v>38999.999998983854</v>
      </c>
      <c r="CW34" s="286">
        <f>AnnualDeplReqs!$BC26</f>
        <v>16199.99999897049</v>
      </c>
      <c r="CX34" s="286">
        <f>AnnualDeplReqs!$J26</f>
        <v>2499.9900000012672</v>
      </c>
      <c r="CY34" s="286">
        <f>AnnualAggregations!$Q26</f>
        <v>11624.990000001573</v>
      </c>
      <c r="CZ34" s="287">
        <f t="shared" si="74"/>
        <v>69665.96999795716</v>
      </c>
      <c r="DA34" s="443">
        <f t="shared" si="75"/>
        <v>95451.52770511125</v>
      </c>
      <c r="DB34" s="287">
        <f t="shared" si="76"/>
        <v>447301.64807594335</v>
      </c>
      <c r="DD34" s="440" t="s">
        <v>628</v>
      </c>
      <c r="DE34" s="440" t="s">
        <v>628</v>
      </c>
      <c r="DF34" s="440" t="s">
        <v>628</v>
      </c>
      <c r="DG34" s="440" t="s">
        <v>628</v>
      </c>
      <c r="DH34" s="440" t="s">
        <v>628</v>
      </c>
      <c r="DI34" s="440" t="s">
        <v>628</v>
      </c>
      <c r="DJ34" s="440" t="s">
        <v>628</v>
      </c>
      <c r="DK34" s="440" t="s">
        <v>628</v>
      </c>
      <c r="DL34" s="440" t="s">
        <v>628</v>
      </c>
      <c r="DM34" s="440" t="s">
        <v>628</v>
      </c>
      <c r="DN34" s="440" t="s">
        <v>628</v>
      </c>
      <c r="DO34" s="440" t="s">
        <v>628</v>
      </c>
      <c r="DP34" s="440" t="s">
        <v>628</v>
      </c>
      <c r="DR34" s="440" t="s">
        <v>628</v>
      </c>
      <c r="DT34" s="286">
        <f>AnnualAggregations!$L26</f>
        <v>35893.000000000073</v>
      </c>
      <c r="DU34" s="443">
        <f>AnnualAggregations!$J26</f>
        <v>57174.024543631749</v>
      </c>
      <c r="DV34" s="442" t="s">
        <v>597</v>
      </c>
      <c r="DW34" s="286">
        <f>AnnualAggregations!$M26</f>
        <v>5000.0000000019172</v>
      </c>
      <c r="DX34" s="442" t="s">
        <v>597</v>
      </c>
      <c r="DY34" s="440" t="s">
        <v>628</v>
      </c>
      <c r="DZ34" s="440" t="s">
        <v>628</v>
      </c>
      <c r="EA34" s="440" t="s">
        <v>628</v>
      </c>
      <c r="EB34" s="440" t="s">
        <v>628</v>
      </c>
      <c r="EC34" s="286">
        <f>AnnualDeplReqs!$BG26</f>
        <v>12296.800000006155</v>
      </c>
      <c r="EE34" s="440" t="s">
        <v>628</v>
      </c>
      <c r="EF34" s="440" t="s">
        <v>628</v>
      </c>
      <c r="EG34" s="440" t="s">
        <v>628</v>
      </c>
      <c r="EH34" s="442" t="s">
        <v>597</v>
      </c>
      <c r="EL34" s="282">
        <v>1947</v>
      </c>
      <c r="EM34" s="286">
        <f>AnnualAggregations!S26</f>
        <v>315595.17196876765</v>
      </c>
      <c r="EN34" s="442" t="s">
        <v>597</v>
      </c>
      <c r="EO34" s="286">
        <f>AnnualDiversions!$AM26</f>
        <v>24160.88068319</v>
      </c>
      <c r="EP34" s="286">
        <f>AnnualDiversions!$AK26</f>
        <v>15864.246446422714</v>
      </c>
      <c r="EQ34" s="286">
        <f>AnnualDiversions!$L26</f>
        <v>1799.9999999999991</v>
      </c>
      <c r="ER34" s="287">
        <f t="shared" si="77"/>
        <v>357420.29909838038</v>
      </c>
      <c r="ES34" s="286">
        <f>AnnualDiversions!$AO26</f>
        <v>2405.9999999997231</v>
      </c>
      <c r="ET34" s="286">
        <f>AnnualDiversions!$AY26</f>
        <v>2723.9819004521751</v>
      </c>
      <c r="EU34" s="286">
        <f>AnnualAggregations!$V26</f>
        <v>48940.71481499463</v>
      </c>
      <c r="EV34" s="286">
        <f>AnnualAggregations!$W26</f>
        <v>6162.869672949405</v>
      </c>
      <c r="EW34" s="286">
        <f>AnnualAggregations!$X26</f>
        <v>18646.050977995867</v>
      </c>
      <c r="EX34" s="286">
        <f>AnnualDiversions!$AL26</f>
        <v>12270.462633450546</v>
      </c>
      <c r="EY34" s="286">
        <f>AnnualDiversions!$AG26</f>
        <v>17428.219463657621</v>
      </c>
      <c r="EZ34" s="286">
        <f>AnnualDiversions!$AN26</f>
        <v>5845.6331672457309</v>
      </c>
      <c r="FA34" s="287">
        <f t="shared" si="78"/>
        <v>112017.93263074597</v>
      </c>
      <c r="FB34" s="287">
        <f t="shared" si="79"/>
        <v>471844.23172912607</v>
      </c>
      <c r="FC34" s="286">
        <f>AnnualDiversions!$AP26</f>
        <v>378.87777777775057</v>
      </c>
      <c r="FD34" s="442" t="s">
        <v>597</v>
      </c>
      <c r="FE34" s="286">
        <f>AnnualDiversions!$AJ26</f>
        <v>38999.999998983854</v>
      </c>
      <c r="FF34" s="286">
        <f>AnnualDiversions!$BC26</f>
        <v>16199.99999897049</v>
      </c>
      <c r="FG34" s="286">
        <f>AnnualDiversions!$J26</f>
        <v>4166.6500000021233</v>
      </c>
      <c r="FH34" s="286">
        <f>AnnualAggregations!$Y26</f>
        <v>19374.983333335964</v>
      </c>
      <c r="FI34" s="287">
        <f t="shared" si="80"/>
        <v>79120.511109070183</v>
      </c>
      <c r="FJ34" s="287">
        <f t="shared" si="81"/>
        <v>79120.511109070183</v>
      </c>
      <c r="FK34" s="287">
        <f t="shared" si="82"/>
        <v>550964.74283819622</v>
      </c>
      <c r="FM34" s="440" t="s">
        <v>628</v>
      </c>
      <c r="FN34" s="440" t="s">
        <v>628</v>
      </c>
      <c r="FO34" s="440" t="s">
        <v>628</v>
      </c>
      <c r="FP34" s="440" t="s">
        <v>628</v>
      </c>
      <c r="FQ34" s="440" t="s">
        <v>628</v>
      </c>
      <c r="FR34" s="440" t="s">
        <v>628</v>
      </c>
      <c r="FS34" s="440" t="s">
        <v>628</v>
      </c>
      <c r="FT34" s="440" t="s">
        <v>628</v>
      </c>
      <c r="FU34" s="440" t="s">
        <v>628</v>
      </c>
      <c r="FV34" s="440" t="s">
        <v>628</v>
      </c>
      <c r="FW34" s="440" t="s">
        <v>628</v>
      </c>
      <c r="FX34" s="440" t="s">
        <v>628</v>
      </c>
      <c r="FY34" s="440" t="s">
        <v>628</v>
      </c>
      <c r="GA34" s="440" t="s">
        <v>628</v>
      </c>
      <c r="GC34" s="286">
        <f>AnnualAggregations!$T26</f>
        <v>37764.238566617634</v>
      </c>
      <c r="GD34" s="286">
        <f>AnnualAggregations!$R26</f>
        <v>109067.13000005133</v>
      </c>
      <c r="GE34" s="443">
        <f t="shared" si="83"/>
        <v>85248.065304780001</v>
      </c>
      <c r="GF34" s="286">
        <f>AnnualAggregations!$U26</f>
        <v>5000.0000000019172</v>
      </c>
      <c r="GG34" s="287">
        <f t="shared" si="84"/>
        <v>237079.43387145089</v>
      </c>
      <c r="GH34" s="440" t="s">
        <v>628</v>
      </c>
      <c r="GI34" s="440" t="s">
        <v>628</v>
      </c>
      <c r="GJ34" s="440" t="s">
        <v>628</v>
      </c>
      <c r="GK34" s="440" t="s">
        <v>628</v>
      </c>
      <c r="GL34" s="286">
        <f>AnnualDiversions!$BG26</f>
        <v>12296.800000006155</v>
      </c>
      <c r="GN34" s="440" t="s">
        <v>628</v>
      </c>
      <c r="GO34" s="440" t="s">
        <v>628</v>
      </c>
      <c r="GP34" s="440" t="s">
        <v>628</v>
      </c>
      <c r="GQ34" s="442" t="s">
        <v>597</v>
      </c>
      <c r="GU34" s="282">
        <v>1947</v>
      </c>
      <c r="GV34" s="286">
        <f>AnnualAggregations!AA26</f>
        <v>315595.17196876765</v>
      </c>
      <c r="GW34" s="442" t="s">
        <v>597</v>
      </c>
      <c r="GX34" s="286">
        <f>AnnualDivReqs!$AM26</f>
        <v>24160.88068319</v>
      </c>
      <c r="GY34" s="286">
        <f>AnnualDivReqs!$AK26</f>
        <v>15864.246446422714</v>
      </c>
      <c r="GZ34" s="286">
        <f>AnnualDivReqs!$L26</f>
        <v>1799.9999999999991</v>
      </c>
      <c r="HA34" s="287">
        <f t="shared" si="85"/>
        <v>357420.29909838038</v>
      </c>
      <c r="HB34" s="286">
        <f>AnnualDivReqs!$AO26</f>
        <v>2405.9999999997231</v>
      </c>
      <c r="HC34" s="286">
        <f>AnnualDivReqs!$AY26</f>
        <v>2723.9819004521751</v>
      </c>
      <c r="HD34" s="286">
        <f>AnnualAggregations!$AD26</f>
        <v>48940.71481499463</v>
      </c>
      <c r="HE34" s="286">
        <f>AnnualAggregations!$AE26</f>
        <v>19233.881139485104</v>
      </c>
      <c r="HF34" s="286">
        <f>AnnualAggregations!$AF26</f>
        <v>18646.050977995867</v>
      </c>
      <c r="HG34" s="286">
        <f>AnnualDivReqs!$AL26</f>
        <v>12270.462633450546</v>
      </c>
      <c r="HH34" s="286">
        <f>AnnualDivReqs!$AG26</f>
        <v>17428.219463657621</v>
      </c>
      <c r="HI34" s="286">
        <f>AnnualDivReqs!$AN26</f>
        <v>5845.6331672457309</v>
      </c>
      <c r="HJ34" s="287">
        <f t="shared" si="86"/>
        <v>125088.94409728167</v>
      </c>
      <c r="HK34" s="287">
        <f t="shared" si="87"/>
        <v>484915.24319566175</v>
      </c>
      <c r="HL34" s="286">
        <f>AnnualDivReqs!$AP26</f>
        <v>378.87777777775057</v>
      </c>
      <c r="HM34" s="442" t="s">
        <v>597</v>
      </c>
      <c r="HN34" s="286">
        <f>AnnualDivReqs!$AJ26</f>
        <v>38999.999998983854</v>
      </c>
      <c r="HO34" s="286">
        <f>AnnualDivReqs!$BC26</f>
        <v>16199.99999897049</v>
      </c>
      <c r="HP34" s="286">
        <f>AnnualDivReqs!$J26</f>
        <v>4166.6500000021233</v>
      </c>
      <c r="HQ34" s="286">
        <f>AnnualAggregations!$AG26</f>
        <v>19374.983333335964</v>
      </c>
      <c r="HR34" s="287">
        <f t="shared" si="88"/>
        <v>79120.511109070183</v>
      </c>
      <c r="HS34" s="287">
        <f t="shared" si="89"/>
        <v>79120.511109070183</v>
      </c>
      <c r="HT34" s="287">
        <f t="shared" si="90"/>
        <v>564035.75430473196</v>
      </c>
      <c r="HV34" s="440" t="s">
        <v>628</v>
      </c>
      <c r="HW34" s="440" t="s">
        <v>628</v>
      </c>
      <c r="HX34" s="440" t="s">
        <v>628</v>
      </c>
      <c r="HY34" s="440" t="s">
        <v>628</v>
      </c>
      <c r="HZ34" s="440" t="s">
        <v>628</v>
      </c>
      <c r="IA34" s="440" t="s">
        <v>628</v>
      </c>
      <c r="IB34" s="440" t="s">
        <v>628</v>
      </c>
      <c r="IC34" s="440" t="s">
        <v>628</v>
      </c>
      <c r="ID34" s="440" t="s">
        <v>628</v>
      </c>
      <c r="IE34" s="440" t="s">
        <v>628</v>
      </c>
      <c r="IF34" s="440" t="s">
        <v>628</v>
      </c>
      <c r="IG34" s="440" t="s">
        <v>628</v>
      </c>
      <c r="IH34" s="440" t="s">
        <v>628</v>
      </c>
      <c r="IJ34" s="440" t="s">
        <v>628</v>
      </c>
      <c r="IL34" s="286">
        <f>AnnualAggregations!$AB26</f>
        <v>37764.238566617634</v>
      </c>
      <c r="IM34" s="286">
        <f>AnnualAggregations!$Z26</f>
        <v>109067.13000005133</v>
      </c>
      <c r="IN34" s="442" t="s">
        <v>597</v>
      </c>
      <c r="IO34" s="286">
        <f>AnnualAggregations!$AC26</f>
        <v>5000.0000000019172</v>
      </c>
      <c r="IP34" s="442" t="s">
        <v>597</v>
      </c>
      <c r="IQ34" s="440" t="s">
        <v>628</v>
      </c>
      <c r="IR34" s="440" t="s">
        <v>628</v>
      </c>
      <c r="IS34" s="440" t="s">
        <v>628</v>
      </c>
      <c r="IT34" s="440" t="s">
        <v>628</v>
      </c>
      <c r="IU34" s="286">
        <f>AnnualDivReqs!$BG26</f>
        <v>12296.800000006155</v>
      </c>
      <c r="IW34" s="440" t="s">
        <v>628</v>
      </c>
      <c r="IX34" s="440" t="s">
        <v>628</v>
      </c>
      <c r="IY34" s="440" t="s">
        <v>628</v>
      </c>
      <c r="IZ34" s="442" t="s">
        <v>597</v>
      </c>
    </row>
    <row r="35" spans="1:260" x14ac:dyDescent="0.25">
      <c r="A35" s="480" t="str">
        <f>ADDRESS(ROW(SJRIPSummary!E27),COLUMN(SJRIPSummary!E27),4,1)</f>
        <v>E27</v>
      </c>
      <c r="B35" s="480" t="str">
        <f t="shared" si="57"/>
        <v>27</v>
      </c>
      <c r="C35" t="s">
        <v>572</v>
      </c>
      <c r="D35" s="404">
        <v>20</v>
      </c>
      <c r="E35" s="404">
        <v>81</v>
      </c>
      <c r="F35" s="404">
        <v>142</v>
      </c>
      <c r="G35" s="404">
        <v>203</v>
      </c>
      <c r="H35" s="391"/>
      <c r="I35" s="602"/>
      <c r="J35" s="613"/>
      <c r="K35" s="614"/>
      <c r="L35" s="175" t="s">
        <v>572</v>
      </c>
      <c r="M35" s="174">
        <f ca="1">ROUND(SJRIPSummaryRAW!B30,-2)</f>
        <v>16100</v>
      </c>
      <c r="N35" s="148"/>
      <c r="O35" s="221">
        <f ca="1">ROUND(SJRIPSummaryRAW!D30,-2)</f>
        <v>16200</v>
      </c>
      <c r="P35" s="222">
        <f ca="1">ROUND(SJRIPSummaryRAW!E30,-2)</f>
        <v>9700</v>
      </c>
      <c r="Q35" s="391"/>
      <c r="R35" s="21"/>
      <c r="S35" s="21"/>
      <c r="T35" s="282">
        <v>1948</v>
      </c>
      <c r="U35" s="286">
        <f>AnnualAggregations!$C27</f>
        <v>248967.12679676482</v>
      </c>
      <c r="V35" s="286">
        <f>AnnualDepletions!$BI27</f>
        <v>145.75597020046555</v>
      </c>
      <c r="W35" s="286">
        <f>AnnualDepletions!$AM27</f>
        <v>12099.999999999991</v>
      </c>
      <c r="X35" s="286">
        <f>AnnualDepletions!$AK27</f>
        <v>7970.0000000000045</v>
      </c>
      <c r="Y35" s="286">
        <f>AnnualDepletions!$L27</f>
        <v>900</v>
      </c>
      <c r="Z35" s="287">
        <f t="shared" si="58"/>
        <v>270082.88276696531</v>
      </c>
      <c r="AA35" s="286">
        <f>AnnualDepletions!$AO27</f>
        <v>1212.9999999998604</v>
      </c>
      <c r="AB35" s="286">
        <f>AnnualDepletions!$AY27</f>
        <v>1744.9999999997992</v>
      </c>
      <c r="AC35" s="286">
        <f>AnnualAggregations!$F27</f>
        <v>29671.755342243789</v>
      </c>
      <c r="AD35" s="286">
        <f>AnnualAggregations!$G27</f>
        <v>3659.2889345108761</v>
      </c>
      <c r="AE35" s="286">
        <f>AnnualAggregations!$H27</f>
        <v>12703.999999998541</v>
      </c>
      <c r="AF35" s="286">
        <f>AnnualDepletions!$AL27</f>
        <v>10826.999999998756</v>
      </c>
      <c r="AG35" s="286">
        <f>AnnualDepletions!$AG27</f>
        <v>9093.9999999989632</v>
      </c>
      <c r="AH35" s="286">
        <f>AnnualDepletions!$AN27</f>
        <v>2973.9999999996567</v>
      </c>
      <c r="AI35" s="287">
        <f t="shared" si="59"/>
        <v>70675.04427675037</v>
      </c>
      <c r="AJ35" s="287">
        <f t="shared" si="60"/>
        <v>341970.92704371555</v>
      </c>
      <c r="AK35" s="286">
        <f>AnnualDepletions!$AP27</f>
        <v>340.98999999997511</v>
      </c>
      <c r="AL35" s="286">
        <f>AnnualDepletions!$BH27</f>
        <v>27680.279065084022</v>
      </c>
      <c r="AM35" s="286">
        <f>AnnualDepletions!$AJ27</f>
        <v>38999.999998983862</v>
      </c>
      <c r="AN35" s="286">
        <f>AnnualDepletions!$BC27</f>
        <v>16199.999998970494</v>
      </c>
      <c r="AO35" s="286">
        <f>AnnualDepletions!$J27</f>
        <v>2499.9900000012672</v>
      </c>
      <c r="AP35" s="286">
        <f>AnnualAggregations!$I27</f>
        <v>11624.990000001573</v>
      </c>
      <c r="AQ35" s="287">
        <f t="shared" si="61"/>
        <v>69665.969997957174</v>
      </c>
      <c r="AR35" s="287">
        <f t="shared" si="62"/>
        <v>97346.249063041207</v>
      </c>
      <c r="AS35" s="287">
        <f t="shared" si="63"/>
        <v>439317.17610675679</v>
      </c>
      <c r="AU35" s="321">
        <f ca="1">StateModDepletions_ThisScenario!AC25</f>
        <v>33905.898876428604</v>
      </c>
      <c r="AV35" s="321">
        <f ca="1">StateModDepletions_ThisScenario!AD25</f>
        <v>18052.581465952098</v>
      </c>
      <c r="AW35" s="321">
        <f ca="1">StateModDepletions_ThisScenario!AE25</f>
        <v>110596.7630604282</v>
      </c>
      <c r="AX35" s="321">
        <f ca="1">StateModDepletions_ThisScenario!AB25</f>
        <v>24765.810481309891</v>
      </c>
      <c r="AY35" s="288">
        <f t="shared" ca="1" si="64"/>
        <v>187321.0538841188</v>
      </c>
      <c r="AZ35" s="321">
        <f ca="1">StateModDepletions_ThisScenario!AG25</f>
        <v>49010.611441685338</v>
      </c>
      <c r="BA35" s="321">
        <f ca="1">StateModDepletions_ThisScenario!AF25</f>
        <v>17696.184982031587</v>
      </c>
      <c r="BB35" s="321">
        <f ca="1">StateModDepletions_ThisScenario!AH25</f>
        <v>16971.240176379681</v>
      </c>
      <c r="BC35" s="321">
        <f ca="1">StateModDepletions_ThisScenario!AI25</f>
        <v>18726.032466778532</v>
      </c>
      <c r="BD35" s="321">
        <f ca="1">StateModDepletions_ThisScenario!N25</f>
        <v>1326.6977829933167</v>
      </c>
      <c r="BE35" s="321">
        <f ca="1">StateModDepletions_ThisScenario!V25</f>
        <v>11607.478980064392</v>
      </c>
      <c r="BF35" s="288">
        <f t="shared" ca="1" si="65"/>
        <v>115338.24582993284</v>
      </c>
      <c r="BG35" s="288">
        <f t="shared" ca="1" si="66"/>
        <v>302659.29971405165</v>
      </c>
      <c r="BI35" s="288">
        <f t="shared" ca="1" si="67"/>
        <v>741976.47582080844</v>
      </c>
      <c r="BK35" s="286">
        <f>AnnualAggregations!$D27</f>
        <v>35893.000000000058</v>
      </c>
      <c r="BL35" s="286">
        <f>AnnualAggregations!$B27</f>
        <v>57165.883187512904</v>
      </c>
      <c r="BM35" s="286">
        <f>AnnualDepletions!$BK27</f>
        <v>120791.19119202343</v>
      </c>
      <c r="BN35" s="286">
        <f>AnnualAggregations!$E27</f>
        <v>5000.0000000019463</v>
      </c>
      <c r="BO35" s="287">
        <f t="shared" si="68"/>
        <v>218850.07437953833</v>
      </c>
      <c r="BP35" s="321">
        <f ca="1">StateModDepletions_ThisScenario!Y25</f>
        <v>212.11356273293495</v>
      </c>
      <c r="BQ35" s="321">
        <f ca="1">StateModDepletions_ThisScenario!AJ25</f>
        <v>141339.10177146614</v>
      </c>
      <c r="BR35" s="321">
        <f ca="1">StateModDepletions_ThisScenario!Z25</f>
        <v>197658.59954166412</v>
      </c>
      <c r="BS35" s="321">
        <f ca="1">StateModDepletions_ThisScenario!AA25</f>
        <v>56107.384207465046</v>
      </c>
      <c r="BT35" s="286">
        <f>AnnualDepletions!$BG27</f>
        <v>12296.800000006155</v>
      </c>
      <c r="BV35" s="287">
        <f t="shared" ca="1" si="69"/>
        <v>973123.35020035296</v>
      </c>
      <c r="BW35" s="287">
        <f t="shared" ca="1" si="70"/>
        <v>917015.96599288797</v>
      </c>
      <c r="BX35" s="287">
        <f t="shared" ca="1" si="56"/>
        <v>931890.96599288797</v>
      </c>
      <c r="BY35" s="287">
        <f>SJRIPSummaryRAW!$B$79</f>
        <v>14875</v>
      </c>
      <c r="CC35" s="282">
        <v>1948</v>
      </c>
      <c r="CD35" s="286">
        <f>AnnualAggregations!K27</f>
        <v>248967.12679676482</v>
      </c>
      <c r="CE35" s="442" t="s">
        <v>597</v>
      </c>
      <c r="CF35" s="286">
        <f>AnnualDeplReqs!$AM27</f>
        <v>12099.999999999991</v>
      </c>
      <c r="CG35" s="286">
        <f>AnnualDeplReqs!$AK27</f>
        <v>7970.0000000000045</v>
      </c>
      <c r="CH35" s="286">
        <f>AnnualDeplReqs!$L27</f>
        <v>900</v>
      </c>
      <c r="CI35" s="443">
        <f t="shared" si="71"/>
        <v>270082.88276696531</v>
      </c>
      <c r="CJ35" s="286">
        <f>AnnualDeplReqs!$AO27</f>
        <v>1212.9999999998604</v>
      </c>
      <c r="CK35" s="286">
        <f>AnnualDeplReqs!$AY27</f>
        <v>1744.9999999997992</v>
      </c>
      <c r="CL35" s="286">
        <f>AnnualAggregations!$N27</f>
        <v>29671.755342243789</v>
      </c>
      <c r="CM35" s="286">
        <f>AnnualAggregations!$O27</f>
        <v>10947.999999998738</v>
      </c>
      <c r="CN35" s="286">
        <f>AnnualAggregations!$P27</f>
        <v>12703.999999998541</v>
      </c>
      <c r="CO35" s="286">
        <f>AnnualDeplReqs!$AL27</f>
        <v>10826.999999998756</v>
      </c>
      <c r="CP35" s="286">
        <f>AnnualDeplReqs!$AG27</f>
        <v>9093.9999999989632</v>
      </c>
      <c r="CQ35" s="286">
        <f>AnnualDeplReqs!$AN27</f>
        <v>2973.9999999996567</v>
      </c>
      <c r="CR35" s="287">
        <f t="shared" si="72"/>
        <v>77963.755342238248</v>
      </c>
      <c r="CS35" s="287">
        <f t="shared" si="73"/>
        <v>349259.63810920343</v>
      </c>
      <c r="CT35" s="286">
        <f>AnnualDeplReqs!$AP27</f>
        <v>340.98999999997511</v>
      </c>
      <c r="CU35" s="442" t="s">
        <v>597</v>
      </c>
      <c r="CV35" s="286">
        <f>AnnualDeplReqs!$AJ27</f>
        <v>38999.999998983862</v>
      </c>
      <c r="CW35" s="286">
        <f>AnnualDeplReqs!$BC27</f>
        <v>16199.999998970494</v>
      </c>
      <c r="CX35" s="286">
        <f>AnnualDeplReqs!$J27</f>
        <v>2499.9900000012672</v>
      </c>
      <c r="CY35" s="286">
        <f>AnnualAggregations!$Q27</f>
        <v>11624.990000001573</v>
      </c>
      <c r="CZ35" s="287">
        <f t="shared" si="74"/>
        <v>69665.969997957174</v>
      </c>
      <c r="DA35" s="443">
        <f t="shared" si="75"/>
        <v>97346.249063041192</v>
      </c>
      <c r="DB35" s="287">
        <f t="shared" si="76"/>
        <v>446605.88717224461</v>
      </c>
      <c r="DD35" s="440" t="s">
        <v>628</v>
      </c>
      <c r="DE35" s="440" t="s">
        <v>628</v>
      </c>
      <c r="DF35" s="440" t="s">
        <v>628</v>
      </c>
      <c r="DG35" s="440" t="s">
        <v>628</v>
      </c>
      <c r="DH35" s="440" t="s">
        <v>628</v>
      </c>
      <c r="DI35" s="440" t="s">
        <v>628</v>
      </c>
      <c r="DJ35" s="440" t="s">
        <v>628</v>
      </c>
      <c r="DK35" s="440" t="s">
        <v>628</v>
      </c>
      <c r="DL35" s="440" t="s">
        <v>628</v>
      </c>
      <c r="DM35" s="440" t="s">
        <v>628</v>
      </c>
      <c r="DN35" s="440" t="s">
        <v>628</v>
      </c>
      <c r="DO35" s="440" t="s">
        <v>628</v>
      </c>
      <c r="DP35" s="440" t="s">
        <v>628</v>
      </c>
      <c r="DR35" s="440" t="s">
        <v>628</v>
      </c>
      <c r="DT35" s="286">
        <f>AnnualAggregations!$L27</f>
        <v>35893.000000000073</v>
      </c>
      <c r="DU35" s="443">
        <f>AnnualAggregations!$J27</f>
        <v>57168.197043066284</v>
      </c>
      <c r="DV35" s="442" t="s">
        <v>597</v>
      </c>
      <c r="DW35" s="286">
        <f>AnnualAggregations!$M27</f>
        <v>5000.0000000019463</v>
      </c>
      <c r="DX35" s="442" t="s">
        <v>597</v>
      </c>
      <c r="DY35" s="440" t="s">
        <v>628</v>
      </c>
      <c r="DZ35" s="440" t="s">
        <v>628</v>
      </c>
      <c r="EA35" s="440" t="s">
        <v>628</v>
      </c>
      <c r="EB35" s="440" t="s">
        <v>628</v>
      </c>
      <c r="EC35" s="286">
        <f>AnnualDeplReqs!$BG27</f>
        <v>12296.800000006155</v>
      </c>
      <c r="EE35" s="440" t="s">
        <v>628</v>
      </c>
      <c r="EF35" s="440" t="s">
        <v>628</v>
      </c>
      <c r="EG35" s="440" t="s">
        <v>628</v>
      </c>
      <c r="EH35" s="442" t="s">
        <v>597</v>
      </c>
      <c r="EL35" s="282">
        <v>1948</v>
      </c>
      <c r="EM35" s="286">
        <f>AnnualAggregations!S27</f>
        <v>311208.90849595587</v>
      </c>
      <c r="EN35" s="442" t="s">
        <v>597</v>
      </c>
      <c r="EO35" s="286">
        <f>AnnualDiversions!$AM27</f>
        <v>24160.880683189996</v>
      </c>
      <c r="EP35" s="286">
        <f>AnnualDiversions!$AK27</f>
        <v>15864.246446422736</v>
      </c>
      <c r="EQ35" s="286">
        <f>AnnualDiversions!$L27</f>
        <v>1800</v>
      </c>
      <c r="ER35" s="287">
        <f t="shared" si="77"/>
        <v>353034.03562556859</v>
      </c>
      <c r="ES35" s="286">
        <f>AnnualDiversions!$AO27</f>
        <v>2425.9999999997208</v>
      </c>
      <c r="ET35" s="286">
        <f>AnnualDiversions!$AY27</f>
        <v>3158.3710407236204</v>
      </c>
      <c r="EU35" s="286">
        <f>AnnualAggregations!$V27</f>
        <v>49800.44828424861</v>
      </c>
      <c r="EV35" s="286">
        <f>AnnualAggregations!$W27</f>
        <v>6592.1206160814363</v>
      </c>
      <c r="EW35" s="286">
        <f>AnnualAggregations!$X27</f>
        <v>19473.400948909548</v>
      </c>
      <c r="EX35" s="286">
        <f>AnnualDiversions!$AL27</f>
        <v>12843.416370105291</v>
      </c>
      <c r="EY35" s="286">
        <f>AnnualDiversions!$AG27</f>
        <v>17234.909504404353</v>
      </c>
      <c r="EZ35" s="286">
        <f>AnnualDiversions!$AN27</f>
        <v>5591.8021998677359</v>
      </c>
      <c r="FA35" s="287">
        <f t="shared" si="78"/>
        <v>114694.4689643406</v>
      </c>
      <c r="FB35" s="287">
        <f t="shared" si="79"/>
        <v>470154.50458990887</v>
      </c>
      <c r="FC35" s="286">
        <f>AnnualDiversions!$AP27</f>
        <v>378.87777777775057</v>
      </c>
      <c r="FD35" s="442" t="s">
        <v>597</v>
      </c>
      <c r="FE35" s="286">
        <f>AnnualDiversions!$AJ27</f>
        <v>38999.999998983862</v>
      </c>
      <c r="FF35" s="286">
        <f>AnnualDiversions!$BC27</f>
        <v>16199.999998970494</v>
      </c>
      <c r="FG35" s="286">
        <f>AnnualDiversions!$J27</f>
        <v>4166.6500000021233</v>
      </c>
      <c r="FH35" s="286">
        <f>AnnualAggregations!$Y27</f>
        <v>19374.983333335967</v>
      </c>
      <c r="FI35" s="287">
        <f t="shared" si="80"/>
        <v>79120.511109070212</v>
      </c>
      <c r="FJ35" s="287">
        <f t="shared" si="81"/>
        <v>79120.511109070198</v>
      </c>
      <c r="FK35" s="287">
        <f t="shared" si="82"/>
        <v>549275.01569897903</v>
      </c>
      <c r="FM35" s="440" t="s">
        <v>628</v>
      </c>
      <c r="FN35" s="440" t="s">
        <v>628</v>
      </c>
      <c r="FO35" s="440" t="s">
        <v>628</v>
      </c>
      <c r="FP35" s="440" t="s">
        <v>628</v>
      </c>
      <c r="FQ35" s="440" t="s">
        <v>628</v>
      </c>
      <c r="FR35" s="440" t="s">
        <v>628</v>
      </c>
      <c r="FS35" s="440" t="s">
        <v>628</v>
      </c>
      <c r="FT35" s="440" t="s">
        <v>628</v>
      </c>
      <c r="FU35" s="440" t="s">
        <v>628</v>
      </c>
      <c r="FV35" s="440" t="s">
        <v>628</v>
      </c>
      <c r="FW35" s="440" t="s">
        <v>628</v>
      </c>
      <c r="FX35" s="440" t="s">
        <v>628</v>
      </c>
      <c r="FY35" s="440" t="s">
        <v>628</v>
      </c>
      <c r="GA35" s="440" t="s">
        <v>628</v>
      </c>
      <c r="GC35" s="286">
        <f>AnnualAggregations!$T27</f>
        <v>37763.476493275433</v>
      </c>
      <c r="GD35" s="286">
        <f>AnnualAggregations!$R27</f>
        <v>109067.13000005131</v>
      </c>
      <c r="GE35" s="443">
        <f t="shared" si="83"/>
        <v>120791.19119202343</v>
      </c>
      <c r="GF35" s="286">
        <f>AnnualAggregations!$U27</f>
        <v>5000.0000000019463</v>
      </c>
      <c r="GG35" s="287">
        <f t="shared" si="84"/>
        <v>272621.7976853521</v>
      </c>
      <c r="GH35" s="440" t="s">
        <v>628</v>
      </c>
      <c r="GI35" s="440" t="s">
        <v>628</v>
      </c>
      <c r="GJ35" s="440" t="s">
        <v>628</v>
      </c>
      <c r="GK35" s="440" t="s">
        <v>628</v>
      </c>
      <c r="GL35" s="286">
        <f>AnnualDiversions!$BG27</f>
        <v>12296.800000006155</v>
      </c>
      <c r="GN35" s="440" t="s">
        <v>628</v>
      </c>
      <c r="GO35" s="440" t="s">
        <v>628</v>
      </c>
      <c r="GP35" s="440" t="s">
        <v>628</v>
      </c>
      <c r="GQ35" s="442" t="s">
        <v>597</v>
      </c>
      <c r="GU35" s="282">
        <v>1948</v>
      </c>
      <c r="GV35" s="286">
        <f>AnnualAggregations!AA27</f>
        <v>311208.90849595587</v>
      </c>
      <c r="GW35" s="442" t="s">
        <v>597</v>
      </c>
      <c r="GX35" s="286">
        <f>AnnualDivReqs!$AM27</f>
        <v>24160.880683189996</v>
      </c>
      <c r="GY35" s="286">
        <f>AnnualDivReqs!$AK27</f>
        <v>15864.246446422736</v>
      </c>
      <c r="GZ35" s="286">
        <f>AnnualDivReqs!$L27</f>
        <v>1800</v>
      </c>
      <c r="HA35" s="287">
        <f t="shared" si="85"/>
        <v>353034.03562556859</v>
      </c>
      <c r="HB35" s="286">
        <f>AnnualDivReqs!$AO27</f>
        <v>2425.9999999997208</v>
      </c>
      <c r="HC35" s="286">
        <f>AnnualDivReqs!$AY27</f>
        <v>3158.3710407236204</v>
      </c>
      <c r="HD35" s="286">
        <f>AnnualAggregations!$AD27</f>
        <v>49800.44828424861</v>
      </c>
      <c r="HE35" s="286">
        <f>AnnualAggregations!$AE27</f>
        <v>19608.510464712268</v>
      </c>
      <c r="HF35" s="286">
        <f>AnnualAggregations!$AF27</f>
        <v>19473.400948909548</v>
      </c>
      <c r="HG35" s="286">
        <f>AnnualDivReqs!$AL27</f>
        <v>12843.416370105291</v>
      </c>
      <c r="HH35" s="286">
        <f>AnnualDivReqs!$AG27</f>
        <v>17234.909504404353</v>
      </c>
      <c r="HI35" s="286">
        <f>AnnualDivReqs!$AN27</f>
        <v>5591.8021998677359</v>
      </c>
      <c r="HJ35" s="287">
        <f t="shared" si="86"/>
        <v>127710.85881297142</v>
      </c>
      <c r="HK35" s="287">
        <f t="shared" si="87"/>
        <v>483170.89443853975</v>
      </c>
      <c r="HL35" s="286">
        <f>AnnualDivReqs!$AP27</f>
        <v>378.87777777775057</v>
      </c>
      <c r="HM35" s="442" t="s">
        <v>597</v>
      </c>
      <c r="HN35" s="286">
        <f>AnnualDivReqs!$AJ27</f>
        <v>38999.999998983862</v>
      </c>
      <c r="HO35" s="286">
        <f>AnnualDivReqs!$BC27</f>
        <v>16199.999998970494</v>
      </c>
      <c r="HP35" s="286">
        <f>AnnualDivReqs!$J27</f>
        <v>4166.6500000021233</v>
      </c>
      <c r="HQ35" s="286">
        <f>AnnualAggregations!$AG27</f>
        <v>19374.983333335967</v>
      </c>
      <c r="HR35" s="287">
        <f t="shared" si="88"/>
        <v>79120.511109070212</v>
      </c>
      <c r="HS35" s="287">
        <f t="shared" si="89"/>
        <v>79120.511109070198</v>
      </c>
      <c r="HT35" s="287">
        <f t="shared" si="90"/>
        <v>562291.4055476099</v>
      </c>
      <c r="HV35" s="440" t="s">
        <v>628</v>
      </c>
      <c r="HW35" s="440" t="s">
        <v>628</v>
      </c>
      <c r="HX35" s="440" t="s">
        <v>628</v>
      </c>
      <c r="HY35" s="440" t="s">
        <v>628</v>
      </c>
      <c r="HZ35" s="440" t="s">
        <v>628</v>
      </c>
      <c r="IA35" s="440" t="s">
        <v>628</v>
      </c>
      <c r="IB35" s="440" t="s">
        <v>628</v>
      </c>
      <c r="IC35" s="440" t="s">
        <v>628</v>
      </c>
      <c r="ID35" s="440" t="s">
        <v>628</v>
      </c>
      <c r="IE35" s="440" t="s">
        <v>628</v>
      </c>
      <c r="IF35" s="440" t="s">
        <v>628</v>
      </c>
      <c r="IG35" s="440" t="s">
        <v>628</v>
      </c>
      <c r="IH35" s="440" t="s">
        <v>628</v>
      </c>
      <c r="IJ35" s="440" t="s">
        <v>628</v>
      </c>
      <c r="IL35" s="286">
        <f>AnnualAggregations!$AB27</f>
        <v>37763.476493275448</v>
      </c>
      <c r="IM35" s="286">
        <f>AnnualAggregations!$Z27</f>
        <v>109071.75771115808</v>
      </c>
      <c r="IN35" s="442" t="s">
        <v>597</v>
      </c>
      <c r="IO35" s="286">
        <f>AnnualAggregations!$AC27</f>
        <v>5000.0000000019463</v>
      </c>
      <c r="IP35" s="442" t="s">
        <v>597</v>
      </c>
      <c r="IQ35" s="440" t="s">
        <v>628</v>
      </c>
      <c r="IR35" s="440" t="s">
        <v>628</v>
      </c>
      <c r="IS35" s="440" t="s">
        <v>628</v>
      </c>
      <c r="IT35" s="440" t="s">
        <v>628</v>
      </c>
      <c r="IU35" s="286">
        <f>AnnualDivReqs!$BG27</f>
        <v>12296.800000006155</v>
      </c>
      <c r="IW35" s="440" t="s">
        <v>628</v>
      </c>
      <c r="IX35" s="440" t="s">
        <v>628</v>
      </c>
      <c r="IY35" s="440" t="s">
        <v>628</v>
      </c>
      <c r="IZ35" s="442" t="s">
        <v>597</v>
      </c>
    </row>
    <row r="36" spans="1:260" x14ac:dyDescent="0.25">
      <c r="A36" s="480" t="str">
        <f>ADDRESS(ROW(SJRIPSummary!E28),COLUMN(SJRIPSummary!E28),4,1)</f>
        <v>E28</v>
      </c>
      <c r="B36" s="480" t="str">
        <f t="shared" si="57"/>
        <v>28</v>
      </c>
      <c r="C36" t="s">
        <v>95</v>
      </c>
      <c r="D36" s="404">
        <v>21</v>
      </c>
      <c r="E36" s="404">
        <v>82</v>
      </c>
      <c r="F36" s="404">
        <v>143</v>
      </c>
      <c r="G36" s="404">
        <v>204</v>
      </c>
      <c r="H36" s="391"/>
      <c r="I36" s="602"/>
      <c r="J36" s="613"/>
      <c r="K36" s="614"/>
      <c r="L36" s="175" t="s">
        <v>95</v>
      </c>
      <c r="M36" s="174">
        <f ca="1">ROUND(SJRIPSummaryRAW!B31,-2)</f>
        <v>2500</v>
      </c>
      <c r="N36" s="148"/>
      <c r="O36" s="221">
        <f ca="1">ROUND(SJRIPSummaryRAW!D31,-2)</f>
        <v>2500</v>
      </c>
      <c r="P36" s="222">
        <f ca="1">ROUND(SJRIPSummaryRAW!E31,-2)</f>
        <v>2500</v>
      </c>
      <c r="Q36" s="391"/>
      <c r="R36" s="21"/>
      <c r="S36" s="21"/>
      <c r="T36" s="282">
        <v>1949</v>
      </c>
      <c r="U36" s="286">
        <f>AnnualAggregations!$C28</f>
        <v>235306.14819402719</v>
      </c>
      <c r="V36" s="286">
        <f>AnnualDepletions!$BI28</f>
        <v>-2450.79038043132</v>
      </c>
      <c r="W36" s="286">
        <f>AnnualDepletions!$AM28</f>
        <v>12099.999999999998</v>
      </c>
      <c r="X36" s="286">
        <f>AnnualDepletions!$AK28</f>
        <v>7969.9999999999991</v>
      </c>
      <c r="Y36" s="286">
        <f>AnnualDepletions!$L28</f>
        <v>899.99999999999841</v>
      </c>
      <c r="Z36" s="287">
        <f t="shared" si="58"/>
        <v>253825.35781359588</v>
      </c>
      <c r="AA36" s="286">
        <f>AnnualDepletions!$AO28</f>
        <v>797.99999999990837</v>
      </c>
      <c r="AB36" s="286">
        <f>AnnualDepletions!$AY28</f>
        <v>1694.9999999998063</v>
      </c>
      <c r="AC36" s="286">
        <f>AnnualAggregations!$F28</f>
        <v>28240.318305039364</v>
      </c>
      <c r="AD36" s="286">
        <f>AnnualAggregations!$G28</f>
        <v>4916.6838786822418</v>
      </c>
      <c r="AE36" s="286">
        <f>AnnualAggregations!$H28</f>
        <v>12193.999999998596</v>
      </c>
      <c r="AF36" s="286">
        <f>AnnualDepletions!$AL28</f>
        <v>10224.999999998825</v>
      </c>
      <c r="AG36" s="286">
        <f>AnnualDepletions!$AG28</f>
        <v>9244.9999999989323</v>
      </c>
      <c r="AH36" s="286">
        <f>AnnualDepletions!$AN28</f>
        <v>2972.9999999996558</v>
      </c>
      <c r="AI36" s="287">
        <f t="shared" si="59"/>
        <v>69489.002183717428</v>
      </c>
      <c r="AJ36" s="287">
        <f t="shared" si="60"/>
        <v>324112.35999731324</v>
      </c>
      <c r="AK36" s="286">
        <f>AnnualDepletions!$AP28</f>
        <v>340.98999999997505</v>
      </c>
      <c r="AL36" s="286">
        <f>AnnualDepletions!$BH28</f>
        <v>27407.341737396175</v>
      </c>
      <c r="AM36" s="286">
        <f>AnnualDepletions!$AJ28</f>
        <v>38999.999998983854</v>
      </c>
      <c r="AN36" s="286">
        <f>AnnualDepletions!$BC28</f>
        <v>16199.99999897049</v>
      </c>
      <c r="AO36" s="286">
        <f>AnnualDepletions!$J28</f>
        <v>2499.9900000012672</v>
      </c>
      <c r="AP36" s="286">
        <f>AnnualAggregations!$I28</f>
        <v>11624.990000001573</v>
      </c>
      <c r="AQ36" s="287">
        <f t="shared" si="61"/>
        <v>69665.96999795716</v>
      </c>
      <c r="AR36" s="287">
        <f t="shared" si="62"/>
        <v>97073.311735353345</v>
      </c>
      <c r="AS36" s="287">
        <f t="shared" si="63"/>
        <v>421185.67173266655</v>
      </c>
      <c r="AU36" s="321">
        <f ca="1">StateModDepletions_ThisScenario!AC26</f>
        <v>33775.578600034118</v>
      </c>
      <c r="AV36" s="321">
        <f ca="1">StateModDepletions_ThisScenario!AD26</f>
        <v>18068.443101674318</v>
      </c>
      <c r="AW36" s="321">
        <f ca="1">StateModDepletions_ThisScenario!AE26</f>
        <v>108220.44859491289</v>
      </c>
      <c r="AX36" s="321">
        <f ca="1">StateModDepletions_ThisScenario!AB26</f>
        <v>24765.810481309891</v>
      </c>
      <c r="AY36" s="288">
        <f t="shared" ca="1" si="64"/>
        <v>184830.28077793121</v>
      </c>
      <c r="AZ36" s="321">
        <f ca="1">StateModDepletions_ThisScenario!AG26</f>
        <v>48015.100263668675</v>
      </c>
      <c r="BA36" s="321">
        <f ca="1">StateModDepletions_ThisScenario!AF26</f>
        <v>17789.653956717772</v>
      </c>
      <c r="BB36" s="321">
        <f ca="1">StateModDepletions_ThisScenario!AH26</f>
        <v>21969.882396072149</v>
      </c>
      <c r="BC36" s="321">
        <f ca="1">StateModDepletions_ThisScenario!AI26</f>
        <v>25326.970852429822</v>
      </c>
      <c r="BD36" s="321">
        <f ca="1">StateModDepletions_ThisScenario!N26</f>
        <v>1326.6977829933167</v>
      </c>
      <c r="BE36" s="321">
        <f ca="1">StateModDepletions_ThisScenario!V26</f>
        <v>15602.020581245422</v>
      </c>
      <c r="BF36" s="288">
        <f t="shared" ca="1" si="65"/>
        <v>130030.32583312715</v>
      </c>
      <c r="BG36" s="288">
        <f t="shared" ca="1" si="66"/>
        <v>314860.60661105835</v>
      </c>
      <c r="BI36" s="288">
        <f t="shared" ca="1" si="67"/>
        <v>736046.2783437249</v>
      </c>
      <c r="BK36" s="286">
        <f>AnnualAggregations!$D28</f>
        <v>35893.000000000036</v>
      </c>
      <c r="BL36" s="286">
        <f>AnnualAggregations!$B28</f>
        <v>57162.655420615134</v>
      </c>
      <c r="BM36" s="286">
        <f>AnnualDepletions!$BK28</f>
        <v>140437.22564684742</v>
      </c>
      <c r="BN36" s="286">
        <f>AnnualAggregations!$E28</f>
        <v>5000.0000000019172</v>
      </c>
      <c r="BO36" s="287">
        <f t="shared" si="68"/>
        <v>238492.88106746451</v>
      </c>
      <c r="BP36" s="321">
        <f ca="1">StateModDepletions_ThisScenario!Y26</f>
        <v>212.11356273293495</v>
      </c>
      <c r="BQ36" s="321">
        <f ca="1">StateModDepletions_ThisScenario!AJ26</f>
        <v>135671.91622325315</v>
      </c>
      <c r="BR36" s="321">
        <f ca="1">StateModDepletions_ThisScenario!Z26</f>
        <v>221396.19322860241</v>
      </c>
      <c r="BS36" s="321">
        <f ca="1">StateModDepletions_ThisScenario!AA26</f>
        <v>85512.163442616322</v>
      </c>
      <c r="BT36" s="286">
        <f>AnnualDepletions!$BG28</f>
        <v>12296.800000006155</v>
      </c>
      <c r="BV36" s="287">
        <f t="shared" ca="1" si="69"/>
        <v>986835.9594111956</v>
      </c>
      <c r="BW36" s="287">
        <f t="shared" ca="1" si="70"/>
        <v>901323.79596857924</v>
      </c>
      <c r="BX36" s="287">
        <f t="shared" ca="1" si="56"/>
        <v>916198.79596857924</v>
      </c>
      <c r="BY36" s="287">
        <f>SJRIPSummaryRAW!$B$79</f>
        <v>14875</v>
      </c>
      <c r="CC36" s="282">
        <v>1949</v>
      </c>
      <c r="CD36" s="286">
        <f>AnnualAggregations!K28</f>
        <v>235306.14819402719</v>
      </c>
      <c r="CE36" s="442" t="s">
        <v>597</v>
      </c>
      <c r="CF36" s="286">
        <f>AnnualDeplReqs!$AM28</f>
        <v>12099.999999999998</v>
      </c>
      <c r="CG36" s="286">
        <f>AnnualDeplReqs!$AK28</f>
        <v>7969.9999999999991</v>
      </c>
      <c r="CH36" s="286">
        <f>AnnualDeplReqs!$L28</f>
        <v>899.99999999999841</v>
      </c>
      <c r="CI36" s="443">
        <f t="shared" si="71"/>
        <v>253825.35781359588</v>
      </c>
      <c r="CJ36" s="286">
        <f>AnnualDeplReqs!$AO28</f>
        <v>797.99999999990837</v>
      </c>
      <c r="CK36" s="286">
        <f>AnnualDeplReqs!$AY28</f>
        <v>1694.9999999998063</v>
      </c>
      <c r="CL36" s="286">
        <f>AnnualAggregations!$N28</f>
        <v>28240.318305039364</v>
      </c>
      <c r="CM36" s="286">
        <f>AnnualAggregations!$O28</f>
        <v>10193.99999999883</v>
      </c>
      <c r="CN36" s="286">
        <f>AnnualAggregations!$P28</f>
        <v>12193.999999998596</v>
      </c>
      <c r="CO36" s="286">
        <f>AnnualDeplReqs!$AL28</f>
        <v>10224.999999998825</v>
      </c>
      <c r="CP36" s="286">
        <f>AnnualDeplReqs!$AG28</f>
        <v>9244.9999999989323</v>
      </c>
      <c r="CQ36" s="286">
        <f>AnnualDeplReqs!$AN28</f>
        <v>2972.9999999996558</v>
      </c>
      <c r="CR36" s="287">
        <f t="shared" si="72"/>
        <v>74766.318305034016</v>
      </c>
      <c r="CS36" s="287">
        <f t="shared" si="73"/>
        <v>329389.67611862981</v>
      </c>
      <c r="CT36" s="286">
        <f>AnnualDeplReqs!$AP28</f>
        <v>340.98999999997505</v>
      </c>
      <c r="CU36" s="442" t="s">
        <v>597</v>
      </c>
      <c r="CV36" s="286">
        <f>AnnualDeplReqs!$AJ28</f>
        <v>38999.999998983854</v>
      </c>
      <c r="CW36" s="286">
        <f>AnnualDeplReqs!$BC28</f>
        <v>16199.99999897049</v>
      </c>
      <c r="CX36" s="286">
        <f>AnnualDeplReqs!$J28</f>
        <v>2499.9900000012672</v>
      </c>
      <c r="CY36" s="286">
        <f>AnnualAggregations!$Q28</f>
        <v>11624.990000001573</v>
      </c>
      <c r="CZ36" s="287">
        <f t="shared" si="74"/>
        <v>69665.96999795716</v>
      </c>
      <c r="DA36" s="443">
        <f t="shared" si="75"/>
        <v>97073.311735353331</v>
      </c>
      <c r="DB36" s="287">
        <f t="shared" si="76"/>
        <v>426462.98785398313</v>
      </c>
      <c r="DD36" s="440" t="s">
        <v>628</v>
      </c>
      <c r="DE36" s="440" t="s">
        <v>628</v>
      </c>
      <c r="DF36" s="440" t="s">
        <v>628</v>
      </c>
      <c r="DG36" s="440" t="s">
        <v>628</v>
      </c>
      <c r="DH36" s="440" t="s">
        <v>628</v>
      </c>
      <c r="DI36" s="440" t="s">
        <v>628</v>
      </c>
      <c r="DJ36" s="440" t="s">
        <v>628</v>
      </c>
      <c r="DK36" s="440" t="s">
        <v>628</v>
      </c>
      <c r="DL36" s="440" t="s">
        <v>628</v>
      </c>
      <c r="DM36" s="440" t="s">
        <v>628</v>
      </c>
      <c r="DN36" s="440" t="s">
        <v>628</v>
      </c>
      <c r="DO36" s="440" t="s">
        <v>628</v>
      </c>
      <c r="DP36" s="440" t="s">
        <v>628</v>
      </c>
      <c r="DR36" s="440" t="s">
        <v>628</v>
      </c>
      <c r="DT36" s="286">
        <f>AnnualAggregations!$L28</f>
        <v>35893.000000000073</v>
      </c>
      <c r="DU36" s="443">
        <f>AnnualAggregations!$J28</f>
        <v>57163.810043267018</v>
      </c>
      <c r="DV36" s="442" t="s">
        <v>597</v>
      </c>
      <c r="DW36" s="286">
        <f>AnnualAggregations!$M28</f>
        <v>5000.0000000019172</v>
      </c>
      <c r="DX36" s="442" t="s">
        <v>597</v>
      </c>
      <c r="DY36" s="440" t="s">
        <v>628</v>
      </c>
      <c r="DZ36" s="440" t="s">
        <v>628</v>
      </c>
      <c r="EA36" s="440" t="s">
        <v>628</v>
      </c>
      <c r="EB36" s="440" t="s">
        <v>628</v>
      </c>
      <c r="EC36" s="286">
        <f>AnnualDeplReqs!$BG28</f>
        <v>12296.800000006155</v>
      </c>
      <c r="EE36" s="440" t="s">
        <v>628</v>
      </c>
      <c r="EF36" s="440" t="s">
        <v>628</v>
      </c>
      <c r="EG36" s="440" t="s">
        <v>628</v>
      </c>
      <c r="EH36" s="442" t="s">
        <v>597</v>
      </c>
      <c r="EL36" s="282">
        <v>1949</v>
      </c>
      <c r="EM36" s="286">
        <f>AnnualAggregations!S28</f>
        <v>294132.68524253421</v>
      </c>
      <c r="EN36" s="442" t="s">
        <v>597</v>
      </c>
      <c r="EO36" s="286">
        <f>AnnualDiversions!$AM28</f>
        <v>24160.880683189989</v>
      </c>
      <c r="EP36" s="286">
        <f>AnnualDiversions!$AK28</f>
        <v>15864.246446422718</v>
      </c>
      <c r="EQ36" s="286">
        <f>AnnualDiversions!$L28</f>
        <v>1799.9999999999968</v>
      </c>
      <c r="ER36" s="287">
        <f t="shared" si="77"/>
        <v>335957.81237214693</v>
      </c>
      <c r="ES36" s="286">
        <f>AnnualDiversions!$AO28</f>
        <v>1595.9999999998167</v>
      </c>
      <c r="ET36" s="286">
        <f>AnnualDiversions!$AY28</f>
        <v>3067.8733031670681</v>
      </c>
      <c r="EU36" s="286">
        <f>AnnualAggregations!$V28</f>
        <v>47390.393083083349</v>
      </c>
      <c r="EV36" s="286">
        <f>AnnualAggregations!$W28</f>
        <v>9464.7520850397705</v>
      </c>
      <c r="EW36" s="286">
        <f>AnnualAggregations!$X28</f>
        <v>18690.054774743905</v>
      </c>
      <c r="EX36" s="286">
        <f>AnnualDiversions!$AL28</f>
        <v>12129.30011862257</v>
      </c>
      <c r="EY36" s="286">
        <f>AnnualDiversions!$AG28</f>
        <v>17521.08405192634</v>
      </c>
      <c r="EZ36" s="286">
        <f>AnnualDiversions!$AN28</f>
        <v>5589.9219704797561</v>
      </c>
      <c r="FA36" s="287">
        <f t="shared" si="78"/>
        <v>113853.37938706277</v>
      </c>
      <c r="FB36" s="287">
        <f t="shared" si="79"/>
        <v>451407.1917592095</v>
      </c>
      <c r="FC36" s="286">
        <f>AnnualDiversions!$AP28</f>
        <v>378.87777777775057</v>
      </c>
      <c r="FD36" s="442" t="s">
        <v>597</v>
      </c>
      <c r="FE36" s="286">
        <f>AnnualDiversions!$AJ28</f>
        <v>38999.999998983854</v>
      </c>
      <c r="FF36" s="286">
        <f>AnnualDiversions!$BC28</f>
        <v>16199.99999897049</v>
      </c>
      <c r="FG36" s="286">
        <f>AnnualDiversions!$J28</f>
        <v>4166.6500000021233</v>
      </c>
      <c r="FH36" s="286">
        <f>AnnualAggregations!$Y28</f>
        <v>19374.983333335964</v>
      </c>
      <c r="FI36" s="287">
        <f t="shared" si="80"/>
        <v>79120.511109070183</v>
      </c>
      <c r="FJ36" s="287">
        <f t="shared" si="81"/>
        <v>79120.511109070183</v>
      </c>
      <c r="FK36" s="287">
        <f t="shared" si="82"/>
        <v>530527.70286827965</v>
      </c>
      <c r="FM36" s="440" t="s">
        <v>628</v>
      </c>
      <c r="FN36" s="440" t="s">
        <v>628</v>
      </c>
      <c r="FO36" s="440" t="s">
        <v>628</v>
      </c>
      <c r="FP36" s="440" t="s">
        <v>628</v>
      </c>
      <c r="FQ36" s="440" t="s">
        <v>628</v>
      </c>
      <c r="FR36" s="440" t="s">
        <v>628</v>
      </c>
      <c r="FS36" s="440" t="s">
        <v>628</v>
      </c>
      <c r="FT36" s="440" t="s">
        <v>628</v>
      </c>
      <c r="FU36" s="440" t="s">
        <v>628</v>
      </c>
      <c r="FV36" s="440" t="s">
        <v>628</v>
      </c>
      <c r="FW36" s="440" t="s">
        <v>628</v>
      </c>
      <c r="FX36" s="440" t="s">
        <v>628</v>
      </c>
      <c r="FY36" s="440" t="s">
        <v>628</v>
      </c>
      <c r="GA36" s="440" t="s">
        <v>628</v>
      </c>
      <c r="GC36" s="286">
        <f>AnnualAggregations!$T28</f>
        <v>37764.238566617598</v>
      </c>
      <c r="GD36" s="286">
        <f>AnnualAggregations!$R28</f>
        <v>109067.13000005133</v>
      </c>
      <c r="GE36" s="443">
        <f t="shared" si="83"/>
        <v>140437.22564684742</v>
      </c>
      <c r="GF36" s="286">
        <f>AnnualAggregations!$U28</f>
        <v>5000.0000000019172</v>
      </c>
      <c r="GG36" s="287">
        <f t="shared" si="84"/>
        <v>292268.59421351826</v>
      </c>
      <c r="GH36" s="440" t="s">
        <v>628</v>
      </c>
      <c r="GI36" s="440" t="s">
        <v>628</v>
      </c>
      <c r="GJ36" s="440" t="s">
        <v>628</v>
      </c>
      <c r="GK36" s="440" t="s">
        <v>628</v>
      </c>
      <c r="GL36" s="286">
        <f>AnnualDiversions!$BG28</f>
        <v>12296.800000006155</v>
      </c>
      <c r="GN36" s="440" t="s">
        <v>628</v>
      </c>
      <c r="GO36" s="440" t="s">
        <v>628</v>
      </c>
      <c r="GP36" s="440" t="s">
        <v>628</v>
      </c>
      <c r="GQ36" s="442" t="s">
        <v>597</v>
      </c>
      <c r="GU36" s="282">
        <v>1949</v>
      </c>
      <c r="GV36" s="286">
        <f>AnnualAggregations!AA28</f>
        <v>294132.68524253421</v>
      </c>
      <c r="GW36" s="442" t="s">
        <v>597</v>
      </c>
      <c r="GX36" s="286">
        <f>AnnualDivReqs!$AM28</f>
        <v>24160.880683189989</v>
      </c>
      <c r="GY36" s="286">
        <f>AnnualDivReqs!$AK28</f>
        <v>15864.246446422718</v>
      </c>
      <c r="GZ36" s="286">
        <f>AnnualDivReqs!$L28</f>
        <v>1799.9999999999968</v>
      </c>
      <c r="HA36" s="287">
        <f t="shared" si="85"/>
        <v>335957.81237214693</v>
      </c>
      <c r="HB36" s="286">
        <f>AnnualDivReqs!$AO28</f>
        <v>1595.9999999998167</v>
      </c>
      <c r="HC36" s="286">
        <f>AnnualDivReqs!$AY28</f>
        <v>3067.8733031670681</v>
      </c>
      <c r="HD36" s="286">
        <f>AnnualAggregations!$AD28</f>
        <v>47390.393083083349</v>
      </c>
      <c r="HE36" s="286">
        <f>AnnualAggregations!$AE28</f>
        <v>18258.658343170315</v>
      </c>
      <c r="HF36" s="286">
        <f>AnnualAggregations!$AF28</f>
        <v>18690.054774743905</v>
      </c>
      <c r="HG36" s="286">
        <f>AnnualDivReqs!$AL28</f>
        <v>12129.30011862257</v>
      </c>
      <c r="HH36" s="286">
        <f>AnnualDivReqs!$AG28</f>
        <v>17521.08405192634</v>
      </c>
      <c r="HI36" s="286">
        <f>AnnualDivReqs!$AN28</f>
        <v>5589.9219704797561</v>
      </c>
      <c r="HJ36" s="287">
        <f t="shared" si="86"/>
        <v>122647.2856451933</v>
      </c>
      <c r="HK36" s="287">
        <f t="shared" si="87"/>
        <v>460201.09801734006</v>
      </c>
      <c r="HL36" s="286">
        <f>AnnualDivReqs!$AP28</f>
        <v>378.87777777775057</v>
      </c>
      <c r="HM36" s="442" t="s">
        <v>597</v>
      </c>
      <c r="HN36" s="286">
        <f>AnnualDivReqs!$AJ28</f>
        <v>38999.999998983854</v>
      </c>
      <c r="HO36" s="286">
        <f>AnnualDivReqs!$BC28</f>
        <v>16199.99999897049</v>
      </c>
      <c r="HP36" s="286">
        <f>AnnualDivReqs!$J28</f>
        <v>4166.6500000021233</v>
      </c>
      <c r="HQ36" s="286">
        <f>AnnualAggregations!$AG28</f>
        <v>19374.983333335964</v>
      </c>
      <c r="HR36" s="287">
        <f t="shared" si="88"/>
        <v>79120.511109070183</v>
      </c>
      <c r="HS36" s="287">
        <f t="shared" si="89"/>
        <v>79120.511109070183</v>
      </c>
      <c r="HT36" s="287">
        <f t="shared" si="90"/>
        <v>539321.60912641021</v>
      </c>
      <c r="HV36" s="440" t="s">
        <v>628</v>
      </c>
      <c r="HW36" s="440" t="s">
        <v>628</v>
      </c>
      <c r="HX36" s="440" t="s">
        <v>628</v>
      </c>
      <c r="HY36" s="440" t="s">
        <v>628</v>
      </c>
      <c r="HZ36" s="440" t="s">
        <v>628</v>
      </c>
      <c r="IA36" s="440" t="s">
        <v>628</v>
      </c>
      <c r="IB36" s="440" t="s">
        <v>628</v>
      </c>
      <c r="IC36" s="440" t="s">
        <v>628</v>
      </c>
      <c r="ID36" s="440" t="s">
        <v>628</v>
      </c>
      <c r="IE36" s="440" t="s">
        <v>628</v>
      </c>
      <c r="IF36" s="440" t="s">
        <v>628</v>
      </c>
      <c r="IG36" s="440" t="s">
        <v>628</v>
      </c>
      <c r="IH36" s="440" t="s">
        <v>628</v>
      </c>
      <c r="IJ36" s="440" t="s">
        <v>628</v>
      </c>
      <c r="IL36" s="286">
        <f>AnnualAggregations!$AB28</f>
        <v>37764.238566617634</v>
      </c>
      <c r="IM36" s="286">
        <f>AnnualAggregations!$Z28</f>
        <v>109069.4392453551</v>
      </c>
      <c r="IN36" s="442" t="s">
        <v>597</v>
      </c>
      <c r="IO36" s="286">
        <f>AnnualAggregations!$AC28</f>
        <v>5000.0000000019172</v>
      </c>
      <c r="IP36" s="442" t="s">
        <v>597</v>
      </c>
      <c r="IQ36" s="440" t="s">
        <v>628</v>
      </c>
      <c r="IR36" s="440" t="s">
        <v>628</v>
      </c>
      <c r="IS36" s="440" t="s">
        <v>628</v>
      </c>
      <c r="IT36" s="440" t="s">
        <v>628</v>
      </c>
      <c r="IU36" s="286">
        <f>AnnualDivReqs!$BG28</f>
        <v>12296.800000006155</v>
      </c>
      <c r="IW36" s="440" t="s">
        <v>628</v>
      </c>
      <c r="IX36" s="440" t="s">
        <v>628</v>
      </c>
      <c r="IY36" s="440" t="s">
        <v>628</v>
      </c>
      <c r="IZ36" s="442" t="s">
        <v>597</v>
      </c>
    </row>
    <row r="37" spans="1:260" ht="15.75" thickBot="1" x14ac:dyDescent="0.3">
      <c r="A37" s="480" t="str">
        <f>ADDRESS(ROW(SJRIPSummary!E29),COLUMN(SJRIPSummary!E29),4,1)</f>
        <v>E29</v>
      </c>
      <c r="B37" s="480" t="str">
        <f t="shared" si="57"/>
        <v>29</v>
      </c>
      <c r="C37" t="s">
        <v>96</v>
      </c>
      <c r="D37" s="404">
        <v>22</v>
      </c>
      <c r="E37" s="404">
        <v>83</v>
      </c>
      <c r="F37" s="404">
        <v>144</v>
      </c>
      <c r="G37" s="404">
        <v>205</v>
      </c>
      <c r="H37" s="391"/>
      <c r="I37" s="602"/>
      <c r="J37" s="613"/>
      <c r="K37" s="614"/>
      <c r="L37" s="175" t="s">
        <v>96</v>
      </c>
      <c r="M37" s="174">
        <f ca="1">ROUND(SJRIPSummaryRAW!B33,-2)</f>
        <v>11600</v>
      </c>
      <c r="N37" s="152"/>
      <c r="O37" s="223">
        <f ca="1">ROUND(SJRIPSummaryRAW!D33,-2)</f>
        <v>11600</v>
      </c>
      <c r="P37" s="224">
        <f ca="1">ROUND(SJRIPSummaryRAW!E33,-2)</f>
        <v>9600</v>
      </c>
      <c r="Q37" s="391"/>
      <c r="R37" s="21"/>
      <c r="S37" s="21"/>
      <c r="T37" s="282">
        <v>1950</v>
      </c>
      <c r="U37" s="286">
        <f>AnnualAggregations!$C29</f>
        <v>273450.65045200702</v>
      </c>
      <c r="V37" s="286">
        <f>AnnualDepletions!$BI29</f>
        <v>5178.1100711646368</v>
      </c>
      <c r="W37" s="286">
        <f>AnnualDepletions!$AM29</f>
        <v>12099.999999999998</v>
      </c>
      <c r="X37" s="286">
        <f>AnnualDepletions!$AK29</f>
        <v>7970</v>
      </c>
      <c r="Y37" s="286">
        <f>AnnualDepletions!$L29</f>
        <v>900.00000000000091</v>
      </c>
      <c r="Z37" s="287">
        <f t="shared" si="58"/>
        <v>299598.76052317163</v>
      </c>
      <c r="AA37" s="286">
        <f>AnnualDepletions!$AO29</f>
        <v>1237.9999999998563</v>
      </c>
      <c r="AB37" s="286">
        <f>AnnualDepletions!$AY29</f>
        <v>1911.9999999997813</v>
      </c>
      <c r="AC37" s="286">
        <f>AnnualAggregations!$F29</f>
        <v>34083.999999996071</v>
      </c>
      <c r="AD37" s="286">
        <f>AnnualAggregations!$G29</f>
        <v>2692.5175863685236</v>
      </c>
      <c r="AE37" s="286">
        <f>AnnualAggregations!$H29</f>
        <v>14769.999999998296</v>
      </c>
      <c r="AF37" s="286">
        <f>AnnualDepletions!$AL29</f>
        <v>12506.999999998563</v>
      </c>
      <c r="AG37" s="286">
        <f>AnnualDepletions!$AG29</f>
        <v>9975.1793992273069</v>
      </c>
      <c r="AH37" s="286">
        <f>AnnualDepletions!$AN29</f>
        <v>3417.9999999996039</v>
      </c>
      <c r="AI37" s="287">
        <f t="shared" si="59"/>
        <v>79358.696985588147</v>
      </c>
      <c r="AJ37" s="287">
        <f t="shared" si="60"/>
        <v>380195.45750875969</v>
      </c>
      <c r="AK37" s="286">
        <f>AnnualDepletions!$AP29</f>
        <v>340.98999999997505</v>
      </c>
      <c r="AL37" s="286">
        <f>AnnualDepletions!$BH29</f>
        <v>26113.139278555373</v>
      </c>
      <c r="AM37" s="286">
        <f>AnnualDepletions!$AJ29</f>
        <v>38999.999998983854</v>
      </c>
      <c r="AN37" s="286">
        <f>AnnualDepletions!$BC29</f>
        <v>16199.99999897049</v>
      </c>
      <c r="AO37" s="286">
        <f>AnnualDepletions!$J29</f>
        <v>2499.9900000012672</v>
      </c>
      <c r="AP37" s="286">
        <f>AnnualAggregations!$I29</f>
        <v>11624.990000001573</v>
      </c>
      <c r="AQ37" s="287">
        <f t="shared" si="61"/>
        <v>69665.96999795716</v>
      </c>
      <c r="AR37" s="287">
        <f t="shared" si="62"/>
        <v>95779.10927651255</v>
      </c>
      <c r="AS37" s="287">
        <f t="shared" si="63"/>
        <v>475974.56678527221</v>
      </c>
      <c r="AU37" s="321">
        <f ca="1">StateModDepletions_ThisScenario!AC27</f>
        <v>35311.707887992263</v>
      </c>
      <c r="AV37" s="321">
        <f ca="1">StateModDepletions_ThisScenario!AD27</f>
        <v>18253.875298537314</v>
      </c>
      <c r="AW37" s="321">
        <f ca="1">StateModDepletions_ThisScenario!AE27</f>
        <v>114507.26796247065</v>
      </c>
      <c r="AX37" s="321">
        <f ca="1">StateModDepletions_ThisScenario!AB27</f>
        <v>24765.810481309891</v>
      </c>
      <c r="AY37" s="288">
        <f t="shared" ca="1" si="64"/>
        <v>192838.66163031012</v>
      </c>
      <c r="AZ37" s="321">
        <f ca="1">StateModDepletions_ThisScenario!AG27</f>
        <v>32891.727582453263</v>
      </c>
      <c r="BA37" s="321">
        <f ca="1">StateModDepletions_ThisScenario!AF27</f>
        <v>18102.924648731958</v>
      </c>
      <c r="BB37" s="321">
        <f ca="1">StateModDepletions_ThisScenario!AH27</f>
        <v>11979.06066261977</v>
      </c>
      <c r="BC37" s="321">
        <f ca="1">StateModDepletions_ThisScenario!AI27</f>
        <v>12466.937441625521</v>
      </c>
      <c r="BD37" s="321">
        <f ca="1">StateModDepletions_ThisScenario!N27</f>
        <v>1326.6977829933167</v>
      </c>
      <c r="BE37" s="321">
        <f ca="1">StateModDepletions_ThisScenario!V27</f>
        <v>8538.3033170700073</v>
      </c>
      <c r="BF37" s="288">
        <f t="shared" ca="1" si="65"/>
        <v>85305.651435493826</v>
      </c>
      <c r="BG37" s="288">
        <f t="shared" ca="1" si="66"/>
        <v>278144.31306580396</v>
      </c>
      <c r="BI37" s="288">
        <f t="shared" ca="1" si="67"/>
        <v>754118.87985107617</v>
      </c>
      <c r="BK37" s="286">
        <f>AnnualAggregations!$D29</f>
        <v>35893.000000000051</v>
      </c>
      <c r="BL37" s="286">
        <f>AnnualAggregations!$B29</f>
        <v>57119.525463464619</v>
      </c>
      <c r="BM37" s="286">
        <f>AnnualDepletions!$BK29</f>
        <v>62273.390990525411</v>
      </c>
      <c r="BN37" s="286">
        <f>AnnualAggregations!$E29</f>
        <v>5000.0000000019172</v>
      </c>
      <c r="BO37" s="287">
        <f t="shared" si="68"/>
        <v>160285.91645399202</v>
      </c>
      <c r="BP37" s="321">
        <f ca="1">StateModDepletions_ThisScenario!Y27</f>
        <v>212.11356273293495</v>
      </c>
      <c r="BQ37" s="321">
        <f ca="1">StateModDepletions_ThisScenario!AJ27</f>
        <v>147899.23877051898</v>
      </c>
      <c r="BR37" s="321">
        <f ca="1">StateModDepletions_ThisScenario!Z27</f>
        <v>225796.41400623322</v>
      </c>
      <c r="BS37" s="321">
        <f ca="1">StateModDepletions_ThisScenario!AA27</f>
        <v>77685.061672981319</v>
      </c>
      <c r="BT37" s="286">
        <f>AnnualDepletions!$BG29</f>
        <v>12296.800000006155</v>
      </c>
      <c r="BV37" s="287">
        <f t="shared" ca="1" si="69"/>
        <v>926701.5963050744</v>
      </c>
      <c r="BW37" s="287">
        <f t="shared" ca="1" si="70"/>
        <v>849016.53463209304</v>
      </c>
      <c r="BX37" s="287">
        <f t="shared" ca="1" si="56"/>
        <v>863891.53463209304</v>
      </c>
      <c r="BY37" s="287">
        <f>SJRIPSummaryRAW!$B$79</f>
        <v>14875</v>
      </c>
      <c r="CC37" s="282">
        <v>1950</v>
      </c>
      <c r="CD37" s="286">
        <f>AnnualAggregations!K29</f>
        <v>273450.65045200702</v>
      </c>
      <c r="CE37" s="442" t="s">
        <v>597</v>
      </c>
      <c r="CF37" s="286">
        <f>AnnualDeplReqs!$AM29</f>
        <v>12099.999999999998</v>
      </c>
      <c r="CG37" s="286">
        <f>AnnualDeplReqs!$AK29</f>
        <v>7970</v>
      </c>
      <c r="CH37" s="286">
        <f>AnnualDeplReqs!$L29</f>
        <v>900.00000000000091</v>
      </c>
      <c r="CI37" s="443">
        <f t="shared" si="71"/>
        <v>299598.76052317163</v>
      </c>
      <c r="CJ37" s="286">
        <f>AnnualDeplReqs!$AO29</f>
        <v>1237.9999999998563</v>
      </c>
      <c r="CK37" s="286">
        <f>AnnualDeplReqs!$AY29</f>
        <v>1911.9999999997813</v>
      </c>
      <c r="CL37" s="286">
        <f>AnnualAggregations!$N29</f>
        <v>34083.999999996071</v>
      </c>
      <c r="CM37" s="286">
        <f>AnnualAggregations!$O29</f>
        <v>12606.999999998547</v>
      </c>
      <c r="CN37" s="286">
        <f>AnnualAggregations!$P29</f>
        <v>14769.999999998296</v>
      </c>
      <c r="CO37" s="286">
        <f>AnnualDeplReqs!$AL29</f>
        <v>12506.999999998563</v>
      </c>
      <c r="CP37" s="286">
        <f>AnnualDeplReqs!$AG29</f>
        <v>10075.999999998845</v>
      </c>
      <c r="CQ37" s="286">
        <f>AnnualDeplReqs!$AN29</f>
        <v>3417.9999999996039</v>
      </c>
      <c r="CR37" s="287">
        <f t="shared" si="72"/>
        <v>89373.999999989712</v>
      </c>
      <c r="CS37" s="287">
        <f t="shared" si="73"/>
        <v>390210.76052316121</v>
      </c>
      <c r="CT37" s="286">
        <f>AnnualDeplReqs!$AP29</f>
        <v>340.98999999997505</v>
      </c>
      <c r="CU37" s="442" t="s">
        <v>597</v>
      </c>
      <c r="CV37" s="286">
        <f>AnnualDeplReqs!$AJ29</f>
        <v>38999.999998983854</v>
      </c>
      <c r="CW37" s="286">
        <f>AnnualDeplReqs!$BC29</f>
        <v>16199.99999897049</v>
      </c>
      <c r="CX37" s="286">
        <f>AnnualDeplReqs!$J29</f>
        <v>2499.9900000012672</v>
      </c>
      <c r="CY37" s="286">
        <f>AnnualAggregations!$Q29</f>
        <v>11624.990000001573</v>
      </c>
      <c r="CZ37" s="287">
        <f t="shared" si="74"/>
        <v>69665.96999795716</v>
      </c>
      <c r="DA37" s="443">
        <f t="shared" si="75"/>
        <v>95779.109276512536</v>
      </c>
      <c r="DB37" s="287">
        <f t="shared" si="76"/>
        <v>485989.86979967373</v>
      </c>
      <c r="DD37" s="440" t="s">
        <v>628</v>
      </c>
      <c r="DE37" s="440" t="s">
        <v>628</v>
      </c>
      <c r="DF37" s="440" t="s">
        <v>628</v>
      </c>
      <c r="DG37" s="440" t="s">
        <v>628</v>
      </c>
      <c r="DH37" s="440" t="s">
        <v>628</v>
      </c>
      <c r="DI37" s="440" t="s">
        <v>628</v>
      </c>
      <c r="DJ37" s="440" t="s">
        <v>628</v>
      </c>
      <c r="DK37" s="440" t="s">
        <v>628</v>
      </c>
      <c r="DL37" s="440" t="s">
        <v>628</v>
      </c>
      <c r="DM37" s="440" t="s">
        <v>628</v>
      </c>
      <c r="DN37" s="440" t="s">
        <v>628</v>
      </c>
      <c r="DO37" s="440" t="s">
        <v>628</v>
      </c>
      <c r="DP37" s="440" t="s">
        <v>628</v>
      </c>
      <c r="DR37" s="440" t="s">
        <v>628</v>
      </c>
      <c r="DT37" s="286">
        <f>AnnualAggregations!$L29</f>
        <v>35893.000000000073</v>
      </c>
      <c r="DU37" s="443">
        <f>AnnualAggregations!$J29</f>
        <v>57350.794265104727</v>
      </c>
      <c r="DV37" s="442" t="s">
        <v>597</v>
      </c>
      <c r="DW37" s="286">
        <f>AnnualAggregations!$M29</f>
        <v>5000.0000000019172</v>
      </c>
      <c r="DX37" s="442" t="s">
        <v>597</v>
      </c>
      <c r="DY37" s="440" t="s">
        <v>628</v>
      </c>
      <c r="DZ37" s="440" t="s">
        <v>628</v>
      </c>
      <c r="EA37" s="440" t="s">
        <v>628</v>
      </c>
      <c r="EB37" s="440" t="s">
        <v>628</v>
      </c>
      <c r="EC37" s="286">
        <f>AnnualDeplReqs!$BG29</f>
        <v>12296.800000006155</v>
      </c>
      <c r="EE37" s="440" t="s">
        <v>628</v>
      </c>
      <c r="EF37" s="440" t="s">
        <v>628</v>
      </c>
      <c r="EG37" s="440" t="s">
        <v>628</v>
      </c>
      <c r="EH37" s="442" t="s">
        <v>597</v>
      </c>
      <c r="EL37" s="282">
        <v>1950</v>
      </c>
      <c r="EM37" s="286">
        <f>AnnualAggregations!S29</f>
        <v>341813.31306500896</v>
      </c>
      <c r="EN37" s="442" t="s">
        <v>597</v>
      </c>
      <c r="EO37" s="286">
        <f>AnnualDiversions!$AM29</f>
        <v>24160.880683189996</v>
      </c>
      <c r="EP37" s="286">
        <f>AnnualDiversions!$AK29</f>
        <v>15864.246446422729</v>
      </c>
      <c r="EQ37" s="286">
        <f>AnnualDiversions!$L29</f>
        <v>1800.0000000000018</v>
      </c>
      <c r="ER37" s="287">
        <f t="shared" si="77"/>
        <v>383638.44019462168</v>
      </c>
      <c r="ES37" s="286">
        <f>AnnualDiversions!$AO29</f>
        <v>2475.9999999997126</v>
      </c>
      <c r="ET37" s="286">
        <f>AnnualDiversions!$AY29</f>
        <v>3460.6334841624989</v>
      </c>
      <c r="EU37" s="286">
        <f>AnnualAggregations!$V29</f>
        <v>57222.452105850636</v>
      </c>
      <c r="EV37" s="286">
        <f>AnnualAggregations!$W29</f>
        <v>4604.4307499146735</v>
      </c>
      <c r="EW37" s="286">
        <f>AnnualAggregations!$X29</f>
        <v>22640.646032886223</v>
      </c>
      <c r="EX37" s="286">
        <f>AnnualDiversions!$AL29</f>
        <v>14836.298932382628</v>
      </c>
      <c r="EY37" s="286">
        <f>AnnualDiversions!$AG29</f>
        <v>18904.916894205075</v>
      </c>
      <c r="EZ37" s="286">
        <f>AnnualDiversions!$AN29</f>
        <v>6426.6240481331261</v>
      </c>
      <c r="FA37" s="287">
        <f t="shared" si="78"/>
        <v>128096.00224753487</v>
      </c>
      <c r="FB37" s="287">
        <f t="shared" si="79"/>
        <v>514210.44244215626</v>
      </c>
      <c r="FC37" s="286">
        <f>AnnualDiversions!$AP29</f>
        <v>378.87777777775057</v>
      </c>
      <c r="FD37" s="442" t="s">
        <v>597</v>
      </c>
      <c r="FE37" s="286">
        <f>AnnualDiversions!$AJ29</f>
        <v>38999.999998983854</v>
      </c>
      <c r="FF37" s="286">
        <f>AnnualDiversions!$BC29</f>
        <v>16199.99999897049</v>
      </c>
      <c r="FG37" s="286">
        <f>AnnualDiversions!$J29</f>
        <v>4166.6500000021233</v>
      </c>
      <c r="FH37" s="286">
        <f>AnnualAggregations!$Y29</f>
        <v>19374.983333335964</v>
      </c>
      <c r="FI37" s="287">
        <f t="shared" si="80"/>
        <v>79120.511109070183</v>
      </c>
      <c r="FJ37" s="287">
        <f t="shared" si="81"/>
        <v>79120.511109070183</v>
      </c>
      <c r="FK37" s="287">
        <f t="shared" si="82"/>
        <v>593330.95355122641</v>
      </c>
      <c r="FM37" s="440" t="s">
        <v>628</v>
      </c>
      <c r="FN37" s="440" t="s">
        <v>628</v>
      </c>
      <c r="FO37" s="440" t="s">
        <v>628</v>
      </c>
      <c r="FP37" s="440" t="s">
        <v>628</v>
      </c>
      <c r="FQ37" s="440" t="s">
        <v>628</v>
      </c>
      <c r="FR37" s="440" t="s">
        <v>628</v>
      </c>
      <c r="FS37" s="440" t="s">
        <v>628</v>
      </c>
      <c r="FT37" s="440" t="s">
        <v>628</v>
      </c>
      <c r="FU37" s="440" t="s">
        <v>628</v>
      </c>
      <c r="FV37" s="440" t="s">
        <v>628</v>
      </c>
      <c r="FW37" s="440" t="s">
        <v>628</v>
      </c>
      <c r="FX37" s="440" t="s">
        <v>628</v>
      </c>
      <c r="FY37" s="440" t="s">
        <v>628</v>
      </c>
      <c r="GA37" s="440" t="s">
        <v>628</v>
      </c>
      <c r="GC37" s="286">
        <f>AnnualAggregations!$T29</f>
        <v>37764.238566617612</v>
      </c>
      <c r="GD37" s="286">
        <f>AnnualAggregations!$R29</f>
        <v>109067.13000005134</v>
      </c>
      <c r="GE37" s="443">
        <f t="shared" si="83"/>
        <v>62273.390990525411</v>
      </c>
      <c r="GF37" s="286">
        <f>AnnualAggregations!$U29</f>
        <v>5000.0000000019172</v>
      </c>
      <c r="GG37" s="287">
        <f t="shared" si="84"/>
        <v>214104.75955719629</v>
      </c>
      <c r="GH37" s="440" t="s">
        <v>628</v>
      </c>
      <c r="GI37" s="440" t="s">
        <v>628</v>
      </c>
      <c r="GJ37" s="440" t="s">
        <v>628</v>
      </c>
      <c r="GK37" s="440" t="s">
        <v>628</v>
      </c>
      <c r="GL37" s="286">
        <f>AnnualDiversions!$BG29</f>
        <v>12296.800000006155</v>
      </c>
      <c r="GN37" s="440" t="s">
        <v>628</v>
      </c>
      <c r="GO37" s="440" t="s">
        <v>628</v>
      </c>
      <c r="GP37" s="440" t="s">
        <v>628</v>
      </c>
      <c r="GQ37" s="442" t="s">
        <v>597</v>
      </c>
      <c r="GU37" s="282">
        <v>1950</v>
      </c>
      <c r="GV37" s="286">
        <f>AnnualAggregations!AA29</f>
        <v>341813.31306500896</v>
      </c>
      <c r="GW37" s="442" t="s">
        <v>597</v>
      </c>
      <c r="GX37" s="286">
        <f>AnnualDivReqs!$AM29</f>
        <v>24160.880683189996</v>
      </c>
      <c r="GY37" s="286">
        <f>AnnualDivReqs!$AK29</f>
        <v>15864.246446422729</v>
      </c>
      <c r="GZ37" s="286">
        <f>AnnualDivReqs!$L29</f>
        <v>1800.0000000000018</v>
      </c>
      <c r="HA37" s="287">
        <f t="shared" si="85"/>
        <v>383638.44019462168</v>
      </c>
      <c r="HB37" s="286">
        <f>AnnualDivReqs!$AO29</f>
        <v>2475.9999999997126</v>
      </c>
      <c r="HC37" s="286">
        <f>AnnualDivReqs!$AY29</f>
        <v>3460.6334841624989</v>
      </c>
      <c r="HD37" s="286">
        <f>AnnualAggregations!$AD29</f>
        <v>57222.452105850636</v>
      </c>
      <c r="HE37" s="286">
        <f>AnnualAggregations!$AE29</f>
        <v>22579.867417615522</v>
      </c>
      <c r="HF37" s="286">
        <f>AnnualAggregations!$AF29</f>
        <v>22640.646032886223</v>
      </c>
      <c r="HG37" s="286">
        <f>AnnualDivReqs!$AL29</f>
        <v>14836.298932382628</v>
      </c>
      <c r="HH37" s="286">
        <f>AnnualDivReqs!$AG29</f>
        <v>19095.991661136821</v>
      </c>
      <c r="HI37" s="286">
        <f>AnnualDivReqs!$AN29</f>
        <v>6426.6240481331261</v>
      </c>
      <c r="HJ37" s="287">
        <f t="shared" si="86"/>
        <v>146262.51368216745</v>
      </c>
      <c r="HK37" s="287">
        <f t="shared" si="87"/>
        <v>532376.95387678884</v>
      </c>
      <c r="HL37" s="286">
        <f>AnnualDivReqs!$AP29</f>
        <v>378.87777777775057</v>
      </c>
      <c r="HM37" s="442" t="s">
        <v>597</v>
      </c>
      <c r="HN37" s="286">
        <f>AnnualDivReqs!$AJ29</f>
        <v>38999.999998983854</v>
      </c>
      <c r="HO37" s="286">
        <f>AnnualDivReqs!$BC29</f>
        <v>16199.99999897049</v>
      </c>
      <c r="HP37" s="286">
        <f>AnnualDivReqs!$J29</f>
        <v>4166.6500000021233</v>
      </c>
      <c r="HQ37" s="286">
        <f>AnnualAggregations!$AG29</f>
        <v>19374.983333335964</v>
      </c>
      <c r="HR37" s="287">
        <f t="shared" si="88"/>
        <v>79120.511109070183</v>
      </c>
      <c r="HS37" s="287">
        <f t="shared" si="89"/>
        <v>79120.511109070183</v>
      </c>
      <c r="HT37" s="287">
        <f t="shared" si="90"/>
        <v>611497.464985859</v>
      </c>
      <c r="HV37" s="440" t="s">
        <v>628</v>
      </c>
      <c r="HW37" s="440" t="s">
        <v>628</v>
      </c>
      <c r="HX37" s="440" t="s">
        <v>628</v>
      </c>
      <c r="HY37" s="440" t="s">
        <v>628</v>
      </c>
      <c r="HZ37" s="440" t="s">
        <v>628</v>
      </c>
      <c r="IA37" s="440" t="s">
        <v>628</v>
      </c>
      <c r="IB37" s="440" t="s">
        <v>628</v>
      </c>
      <c r="IC37" s="440" t="s">
        <v>628</v>
      </c>
      <c r="ID37" s="440" t="s">
        <v>628</v>
      </c>
      <c r="IE37" s="440" t="s">
        <v>628</v>
      </c>
      <c r="IF37" s="440" t="s">
        <v>628</v>
      </c>
      <c r="IG37" s="440" t="s">
        <v>628</v>
      </c>
      <c r="IH37" s="440" t="s">
        <v>628</v>
      </c>
      <c r="IJ37" s="440" t="s">
        <v>628</v>
      </c>
      <c r="IL37" s="286">
        <f>AnnualAggregations!$AB29</f>
        <v>37764.238566617634</v>
      </c>
      <c r="IM37" s="286">
        <f>AnnualAggregations!$Z29</f>
        <v>109529.66760333156</v>
      </c>
      <c r="IN37" s="442" t="s">
        <v>597</v>
      </c>
      <c r="IO37" s="286">
        <f>AnnualAggregations!$AC29</f>
        <v>5000.0000000019172</v>
      </c>
      <c r="IP37" s="442" t="s">
        <v>597</v>
      </c>
      <c r="IQ37" s="440" t="s">
        <v>628</v>
      </c>
      <c r="IR37" s="440" t="s">
        <v>628</v>
      </c>
      <c r="IS37" s="440" t="s">
        <v>628</v>
      </c>
      <c r="IT37" s="440" t="s">
        <v>628</v>
      </c>
      <c r="IU37" s="286">
        <f>AnnualDivReqs!$BG29</f>
        <v>12296.800000006155</v>
      </c>
      <c r="IW37" s="440" t="s">
        <v>628</v>
      </c>
      <c r="IX37" s="440" t="s">
        <v>628</v>
      </c>
      <c r="IY37" s="440" t="s">
        <v>628</v>
      </c>
      <c r="IZ37" s="442" t="s">
        <v>597</v>
      </c>
    </row>
    <row r="38" spans="1:260" ht="15.75" thickBot="1" x14ac:dyDescent="0.3">
      <c r="A38" s="480" t="str">
        <f>ADDRESS(ROW(SJRIPSummary!E30),COLUMN(SJRIPSummary!E30),4,1)</f>
        <v>E30</v>
      </c>
      <c r="B38" s="480" t="str">
        <f t="shared" si="57"/>
        <v>30</v>
      </c>
      <c r="C38" t="s">
        <v>97</v>
      </c>
      <c r="D38" s="404">
        <v>23</v>
      </c>
      <c r="E38" s="404">
        <v>84</v>
      </c>
      <c r="F38" s="404">
        <v>145</v>
      </c>
      <c r="G38" s="404">
        <v>206</v>
      </c>
      <c r="H38" s="392"/>
      <c r="I38" s="602"/>
      <c r="J38" s="613"/>
      <c r="K38" s="614"/>
      <c r="L38" s="190" t="s">
        <v>97</v>
      </c>
      <c r="M38" s="174">
        <f ca="1">SUM(M34:M37)+M32</f>
        <v>69340</v>
      </c>
      <c r="N38" s="162"/>
      <c r="O38" s="179"/>
      <c r="P38" s="180"/>
      <c r="Q38" s="392"/>
      <c r="R38" s="21"/>
      <c r="S38" s="21"/>
      <c r="T38" s="282">
        <v>1951</v>
      </c>
      <c r="U38" s="286">
        <f>AnnualAggregations!$C30</f>
        <v>269159.31204441667</v>
      </c>
      <c r="V38" s="286">
        <f>AnnualDepletions!$BI30</f>
        <v>4319.8423896464956</v>
      </c>
      <c r="W38" s="286">
        <f>AnnualDepletions!$AM30</f>
        <v>12100.000000000004</v>
      </c>
      <c r="X38" s="286">
        <f>AnnualDepletions!$AK30</f>
        <v>7970.0000000000045</v>
      </c>
      <c r="Y38" s="286">
        <f>AnnualDepletions!$L30</f>
        <v>899.99999999999898</v>
      </c>
      <c r="Z38" s="287">
        <f t="shared" si="58"/>
        <v>294449.15443406318</v>
      </c>
      <c r="AA38" s="286">
        <f>AnnualDepletions!$AO30</f>
        <v>1215.9999999998604</v>
      </c>
      <c r="AB38" s="286">
        <f>AnnualDepletions!$AY30</f>
        <v>1779.9999999997949</v>
      </c>
      <c r="AC38" s="286">
        <f>AnnualAggregations!$F30</f>
        <v>33825.52801118471</v>
      </c>
      <c r="AD38" s="286">
        <f>AnnualAggregations!$G30</f>
        <v>2412.8537176639902</v>
      </c>
      <c r="AE38" s="286">
        <f>AnnualAggregations!$H30</f>
        <v>13345.999999998461</v>
      </c>
      <c r="AF38" s="286">
        <f>AnnualDepletions!$AL30</f>
        <v>11304.999999998692</v>
      </c>
      <c r="AG38" s="286">
        <f>AnnualDepletions!$AG30</f>
        <v>9531.9999999989013</v>
      </c>
      <c r="AH38" s="286">
        <f>AnnualDepletions!$AN30</f>
        <v>3178.9999999996326</v>
      </c>
      <c r="AI38" s="287">
        <f t="shared" si="59"/>
        <v>75380.381728844179</v>
      </c>
      <c r="AJ38" s="287">
        <f t="shared" si="60"/>
        <v>371045.53616290726</v>
      </c>
      <c r="AK38" s="286">
        <f>AnnualDepletions!$AP30</f>
        <v>340.98999999997505</v>
      </c>
      <c r="AL38" s="286">
        <f>AnnualDepletions!$BH30</f>
        <v>21451.80671122891</v>
      </c>
      <c r="AM38" s="286">
        <f>AnnualDepletions!$AJ30</f>
        <v>38999.999998983854</v>
      </c>
      <c r="AN38" s="286">
        <f>AnnualDepletions!$BC30</f>
        <v>16199.99999897049</v>
      </c>
      <c r="AO38" s="286">
        <f>AnnualDepletions!$J30</f>
        <v>2499.9900000012672</v>
      </c>
      <c r="AP38" s="286">
        <f>AnnualAggregations!$I30</f>
        <v>11624.990000001573</v>
      </c>
      <c r="AQ38" s="287">
        <f t="shared" si="61"/>
        <v>69665.96999795716</v>
      </c>
      <c r="AR38" s="287">
        <f t="shared" si="62"/>
        <v>91117.776709186088</v>
      </c>
      <c r="AS38" s="287">
        <f t="shared" si="63"/>
        <v>462163.31287209335</v>
      </c>
      <c r="AU38" s="321">
        <f ca="1">StateModDepletions_ThisScenario!AC28</f>
        <v>32423.320003986359</v>
      </c>
      <c r="AV38" s="321">
        <f ca="1">StateModDepletions_ThisScenario!AD28</f>
        <v>17124.995652861893</v>
      </c>
      <c r="AW38" s="321">
        <f ca="1">StateModDepletions_ThisScenario!AE28</f>
        <v>89706.845173746347</v>
      </c>
      <c r="AX38" s="321">
        <f ca="1">StateModDepletions_ThisScenario!AB28</f>
        <v>24765.810481309891</v>
      </c>
      <c r="AY38" s="288">
        <f t="shared" ca="1" si="64"/>
        <v>164020.97131190449</v>
      </c>
      <c r="AZ38" s="321">
        <f ca="1">StateModDepletions_ThisScenario!AG28</f>
        <v>22827.280520840064</v>
      </c>
      <c r="BA38" s="321">
        <f ca="1">StateModDepletions_ThisScenario!AF28</f>
        <v>18190.647304236885</v>
      </c>
      <c r="BB38" s="321">
        <f ca="1">StateModDepletions_ThisScenario!AH28</f>
        <v>10649.039202339947</v>
      </c>
      <c r="BC38" s="321">
        <f ca="1">StateModDepletions_ThisScenario!AI28</f>
        <v>8142.1575579724376</v>
      </c>
      <c r="BD38" s="321">
        <f ca="1">StateModDepletions_ThisScenario!N28</f>
        <v>1326.6977829933167</v>
      </c>
      <c r="BE38" s="321">
        <f ca="1">StateModDepletions_ThisScenario!V28</f>
        <v>7750.5946841239929</v>
      </c>
      <c r="BF38" s="288">
        <f t="shared" ca="1" si="65"/>
        <v>68886.417052506644</v>
      </c>
      <c r="BG38" s="288">
        <f t="shared" ca="1" si="66"/>
        <v>232907.38836441113</v>
      </c>
      <c r="BI38" s="288">
        <f t="shared" ca="1" si="67"/>
        <v>695070.70123650448</v>
      </c>
      <c r="BK38" s="286">
        <f>AnnualAggregations!$D30</f>
        <v>35893.000000000044</v>
      </c>
      <c r="BL38" s="286">
        <f>AnnualAggregations!$B30</f>
        <v>56950.245110099924</v>
      </c>
      <c r="BM38" s="286">
        <f>AnnualDepletions!$BK30</f>
        <v>46342.347398035512</v>
      </c>
      <c r="BN38" s="286">
        <f>AnnualAggregations!$E30</f>
        <v>5000.0000000019172</v>
      </c>
      <c r="BO38" s="287">
        <f t="shared" si="68"/>
        <v>144185.5925081374</v>
      </c>
      <c r="BP38" s="321">
        <f ca="1">StateModDepletions_ThisScenario!Y28</f>
        <v>212.11356273293495</v>
      </c>
      <c r="BQ38" s="321">
        <f ca="1">StateModDepletions_ThisScenario!AJ28</f>
        <v>134009.78479570139</v>
      </c>
      <c r="BR38" s="321">
        <f ca="1">StateModDepletions_ThisScenario!Z28</f>
        <v>201529.7941827774</v>
      </c>
      <c r="BS38" s="321">
        <f ca="1">StateModDepletions_ThisScenario!AA28</f>
        <v>67307.895824343082</v>
      </c>
      <c r="BT38" s="286">
        <f>AnnualDepletions!$BG30</f>
        <v>12296.800000006155</v>
      </c>
      <c r="BV38" s="287">
        <f t="shared" ca="1" si="69"/>
        <v>851553.09374464804</v>
      </c>
      <c r="BW38" s="287">
        <f t="shared" ca="1" si="70"/>
        <v>784245.19792030496</v>
      </c>
      <c r="BX38" s="287">
        <f t="shared" ca="1" si="56"/>
        <v>799120.19792030496</v>
      </c>
      <c r="BY38" s="287">
        <f>SJRIPSummaryRAW!$B$79</f>
        <v>14875</v>
      </c>
      <c r="CC38" s="282">
        <v>1951</v>
      </c>
      <c r="CD38" s="286">
        <f>AnnualAggregations!K30</f>
        <v>269159.31204441667</v>
      </c>
      <c r="CE38" s="442" t="s">
        <v>597</v>
      </c>
      <c r="CF38" s="286">
        <f>AnnualDeplReqs!$AM30</f>
        <v>12100.000000000004</v>
      </c>
      <c r="CG38" s="286">
        <f>AnnualDeplReqs!$AK30</f>
        <v>7970.0000000000045</v>
      </c>
      <c r="CH38" s="286">
        <f>AnnualDeplReqs!$L30</f>
        <v>899.99999999999898</v>
      </c>
      <c r="CI38" s="443">
        <f t="shared" si="71"/>
        <v>294449.15443406318</v>
      </c>
      <c r="CJ38" s="286">
        <f>AnnualDeplReqs!$AO30</f>
        <v>1215.9999999998604</v>
      </c>
      <c r="CK38" s="286">
        <f>AnnualDeplReqs!$AY30</f>
        <v>1779.9999999997949</v>
      </c>
      <c r="CL38" s="286">
        <f>AnnualAggregations!$N30</f>
        <v>33825.52801118471</v>
      </c>
      <c r="CM38" s="286">
        <f>AnnualAggregations!$O30</f>
        <v>12492.999999998559</v>
      </c>
      <c r="CN38" s="286">
        <f>AnnualAggregations!$P30</f>
        <v>13345.999999998461</v>
      </c>
      <c r="CO38" s="286">
        <f>AnnualDeplReqs!$AL30</f>
        <v>11304.999999998692</v>
      </c>
      <c r="CP38" s="286">
        <f>AnnualDeplReqs!$AG30</f>
        <v>9531.9999999989013</v>
      </c>
      <c r="CQ38" s="286">
        <f>AnnualDeplReqs!$AN30</f>
        <v>3178.9999999996326</v>
      </c>
      <c r="CR38" s="287">
        <f t="shared" si="72"/>
        <v>85460.528011178758</v>
      </c>
      <c r="CS38" s="287">
        <f t="shared" si="73"/>
        <v>381125.68244524184</v>
      </c>
      <c r="CT38" s="286">
        <f>AnnualDeplReqs!$AP30</f>
        <v>340.98999999997505</v>
      </c>
      <c r="CU38" s="442" t="s">
        <v>597</v>
      </c>
      <c r="CV38" s="286">
        <f>AnnualDeplReqs!$AJ30</f>
        <v>38999.999998983854</v>
      </c>
      <c r="CW38" s="286">
        <f>AnnualDeplReqs!$BC30</f>
        <v>16199.99999897049</v>
      </c>
      <c r="CX38" s="286">
        <f>AnnualDeplReqs!$J30</f>
        <v>2499.9900000012672</v>
      </c>
      <c r="CY38" s="286">
        <f>AnnualAggregations!$Q30</f>
        <v>11624.990000001573</v>
      </c>
      <c r="CZ38" s="287">
        <f t="shared" si="74"/>
        <v>69665.96999795716</v>
      </c>
      <c r="DA38" s="443">
        <f t="shared" si="75"/>
        <v>91117.776709186073</v>
      </c>
      <c r="DB38" s="287">
        <f t="shared" si="76"/>
        <v>472243.45915442792</v>
      </c>
      <c r="DD38" s="440" t="s">
        <v>628</v>
      </c>
      <c r="DE38" s="440" t="s">
        <v>628</v>
      </c>
      <c r="DF38" s="440" t="s">
        <v>628</v>
      </c>
      <c r="DG38" s="440" t="s">
        <v>628</v>
      </c>
      <c r="DH38" s="440" t="s">
        <v>628</v>
      </c>
      <c r="DI38" s="440" t="s">
        <v>628</v>
      </c>
      <c r="DJ38" s="440" t="s">
        <v>628</v>
      </c>
      <c r="DK38" s="440" t="s">
        <v>628</v>
      </c>
      <c r="DL38" s="440" t="s">
        <v>628</v>
      </c>
      <c r="DM38" s="440" t="s">
        <v>628</v>
      </c>
      <c r="DN38" s="440" t="s">
        <v>628</v>
      </c>
      <c r="DO38" s="440" t="s">
        <v>628</v>
      </c>
      <c r="DP38" s="440" t="s">
        <v>628</v>
      </c>
      <c r="DR38" s="440" t="s">
        <v>628</v>
      </c>
      <c r="DT38" s="286">
        <f>AnnualAggregations!$L30</f>
        <v>35893.000000000073</v>
      </c>
      <c r="DU38" s="443">
        <f>AnnualAggregations!$J30</f>
        <v>57080.365776766666</v>
      </c>
      <c r="DV38" s="442" t="s">
        <v>597</v>
      </c>
      <c r="DW38" s="286">
        <f>AnnualAggregations!$M30</f>
        <v>5000.0000000019172</v>
      </c>
      <c r="DX38" s="442" t="s">
        <v>597</v>
      </c>
      <c r="DY38" s="440" t="s">
        <v>628</v>
      </c>
      <c r="DZ38" s="440" t="s">
        <v>628</v>
      </c>
      <c r="EA38" s="440" t="s">
        <v>628</v>
      </c>
      <c r="EB38" s="440" t="s">
        <v>628</v>
      </c>
      <c r="EC38" s="286">
        <f>AnnualDeplReqs!$BG30</f>
        <v>12296.800000006155</v>
      </c>
      <c r="EE38" s="440" t="s">
        <v>628</v>
      </c>
      <c r="EF38" s="440" t="s">
        <v>628</v>
      </c>
      <c r="EG38" s="440" t="s">
        <v>628</v>
      </c>
      <c r="EH38" s="442" t="s">
        <v>597</v>
      </c>
      <c r="EL38" s="282">
        <v>1951</v>
      </c>
      <c r="EM38" s="286">
        <f>AnnualAggregations!S30</f>
        <v>336449.14005552127</v>
      </c>
      <c r="EN38" s="442" t="s">
        <v>597</v>
      </c>
      <c r="EO38" s="286">
        <f>AnnualDiversions!$AM30</f>
        <v>24160.880683189978</v>
      </c>
      <c r="EP38" s="286">
        <f>AnnualDiversions!$AK30</f>
        <v>15864.246446422747</v>
      </c>
      <c r="EQ38" s="286">
        <f>AnnualDiversions!$L30</f>
        <v>1799.999999999998</v>
      </c>
      <c r="ER38" s="287">
        <f t="shared" si="77"/>
        <v>378274.267185134</v>
      </c>
      <c r="ES38" s="286">
        <f>AnnualDiversions!$AO30</f>
        <v>2431.9999999997208</v>
      </c>
      <c r="ET38" s="286">
        <f>AnnualDiversions!$AY30</f>
        <v>3221.7194570132037</v>
      </c>
      <c r="EU38" s="286">
        <f>AnnualAggregations!$V30</f>
        <v>56758.561368949719</v>
      </c>
      <c r="EV38" s="286">
        <f>AnnualAggregations!$W30</f>
        <v>4145.7136642317</v>
      </c>
      <c r="EW38" s="286">
        <f>AnnualAggregations!$X30</f>
        <v>20457.450324044723</v>
      </c>
      <c r="EX38" s="286">
        <f>AnnualDiversions!$AL30</f>
        <v>13410.438908658003</v>
      </c>
      <c r="EY38" s="286">
        <f>AnnualDiversions!$AG30</f>
        <v>18065.005211786032</v>
      </c>
      <c r="EZ38" s="286">
        <f>AnnualDiversions!$AN30</f>
        <v>5977.2492244046898</v>
      </c>
      <c r="FA38" s="287">
        <f t="shared" si="78"/>
        <v>122036.13815908806</v>
      </c>
      <c r="FB38" s="287">
        <f t="shared" si="79"/>
        <v>502742.40534422174</v>
      </c>
      <c r="FC38" s="286">
        <f>AnnualDiversions!$AP30</f>
        <v>378.87777777775057</v>
      </c>
      <c r="FD38" s="442" t="s">
        <v>597</v>
      </c>
      <c r="FE38" s="286">
        <f>AnnualDiversions!$AJ30</f>
        <v>38999.999998983854</v>
      </c>
      <c r="FF38" s="286">
        <f>AnnualDiversions!$BC30</f>
        <v>16199.99999897049</v>
      </c>
      <c r="FG38" s="286">
        <f>AnnualDiversions!$J30</f>
        <v>4166.6500000021233</v>
      </c>
      <c r="FH38" s="286">
        <f>AnnualAggregations!$Y30</f>
        <v>19374.983333335964</v>
      </c>
      <c r="FI38" s="287">
        <f t="shared" si="80"/>
        <v>79120.511109070183</v>
      </c>
      <c r="FJ38" s="287">
        <f t="shared" si="81"/>
        <v>79120.511109070183</v>
      </c>
      <c r="FK38" s="287">
        <f t="shared" si="82"/>
        <v>581862.91645329189</v>
      </c>
      <c r="FM38" s="440" t="s">
        <v>628</v>
      </c>
      <c r="FN38" s="440" t="s">
        <v>628</v>
      </c>
      <c r="FO38" s="440" t="s">
        <v>628</v>
      </c>
      <c r="FP38" s="440" t="s">
        <v>628</v>
      </c>
      <c r="FQ38" s="440" t="s">
        <v>628</v>
      </c>
      <c r="FR38" s="440" t="s">
        <v>628</v>
      </c>
      <c r="FS38" s="440" t="s">
        <v>628</v>
      </c>
      <c r="FT38" s="440" t="s">
        <v>628</v>
      </c>
      <c r="FU38" s="440" t="s">
        <v>628</v>
      </c>
      <c r="FV38" s="440" t="s">
        <v>628</v>
      </c>
      <c r="FW38" s="440" t="s">
        <v>628</v>
      </c>
      <c r="FX38" s="440" t="s">
        <v>628</v>
      </c>
      <c r="FY38" s="440" t="s">
        <v>628</v>
      </c>
      <c r="GA38" s="440" t="s">
        <v>628</v>
      </c>
      <c r="GC38" s="286">
        <f>AnnualAggregations!$T30</f>
        <v>37764.238566617598</v>
      </c>
      <c r="GD38" s="286">
        <f>AnnualAggregations!$R30</f>
        <v>109067.13000005133</v>
      </c>
      <c r="GE38" s="443">
        <f t="shared" si="83"/>
        <v>46342.347398035512</v>
      </c>
      <c r="GF38" s="286">
        <f>AnnualAggregations!$U30</f>
        <v>5000.0000000019172</v>
      </c>
      <c r="GG38" s="287">
        <f t="shared" si="84"/>
        <v>198173.71596470638</v>
      </c>
      <c r="GH38" s="440" t="s">
        <v>628</v>
      </c>
      <c r="GI38" s="440" t="s">
        <v>628</v>
      </c>
      <c r="GJ38" s="440" t="s">
        <v>628</v>
      </c>
      <c r="GK38" s="440" t="s">
        <v>628</v>
      </c>
      <c r="GL38" s="286">
        <f>AnnualDiversions!$BG30</f>
        <v>12296.800000006155</v>
      </c>
      <c r="GN38" s="440" t="s">
        <v>628</v>
      </c>
      <c r="GO38" s="440" t="s">
        <v>628</v>
      </c>
      <c r="GP38" s="440" t="s">
        <v>628</v>
      </c>
      <c r="GQ38" s="442" t="s">
        <v>597</v>
      </c>
      <c r="GU38" s="282">
        <v>1951</v>
      </c>
      <c r="GV38" s="286">
        <f>AnnualAggregations!AA30</f>
        <v>336449.14005552127</v>
      </c>
      <c r="GW38" s="442" t="s">
        <v>597</v>
      </c>
      <c r="GX38" s="286">
        <f>AnnualDivReqs!$AM30</f>
        <v>24160.880683189978</v>
      </c>
      <c r="GY38" s="286">
        <f>AnnualDivReqs!$AK30</f>
        <v>15864.246446422747</v>
      </c>
      <c r="GZ38" s="286">
        <f>AnnualDivReqs!$L30</f>
        <v>1799.999999999998</v>
      </c>
      <c r="HA38" s="287">
        <f t="shared" si="85"/>
        <v>378274.267185134</v>
      </c>
      <c r="HB38" s="286">
        <f>AnnualDivReqs!$AO30</f>
        <v>2431.9999999997208</v>
      </c>
      <c r="HC38" s="286">
        <f>AnnualDivReqs!$AY30</f>
        <v>3221.7194570132037</v>
      </c>
      <c r="HD38" s="286">
        <f>AnnualAggregations!$AD30</f>
        <v>56758.561368949719</v>
      </c>
      <c r="HE38" s="286">
        <f>AnnualAggregations!$AE30</f>
        <v>22377.045438569654</v>
      </c>
      <c r="HF38" s="286">
        <f>AnnualAggregations!$AF30</f>
        <v>20457.450324044723</v>
      </c>
      <c r="HG38" s="286">
        <f>AnnualDivReqs!$AL30</f>
        <v>13410.438908658003</v>
      </c>
      <c r="HH38" s="286">
        <f>AnnualDivReqs!$AG30</f>
        <v>18065.005211786032</v>
      </c>
      <c r="HI38" s="286">
        <f>AnnualDivReqs!$AN30</f>
        <v>5977.2492244046898</v>
      </c>
      <c r="HJ38" s="287">
        <f t="shared" si="86"/>
        <v>140267.46993342601</v>
      </c>
      <c r="HK38" s="287">
        <f t="shared" si="87"/>
        <v>520973.73711855971</v>
      </c>
      <c r="HL38" s="286">
        <f>AnnualDivReqs!$AP30</f>
        <v>378.87777777775057</v>
      </c>
      <c r="HM38" s="442" t="s">
        <v>597</v>
      </c>
      <c r="HN38" s="286">
        <f>AnnualDivReqs!$AJ30</f>
        <v>38999.999998983854</v>
      </c>
      <c r="HO38" s="286">
        <f>AnnualDivReqs!$BC30</f>
        <v>16199.99999897049</v>
      </c>
      <c r="HP38" s="286">
        <f>AnnualDivReqs!$J30</f>
        <v>4166.6500000021233</v>
      </c>
      <c r="HQ38" s="286">
        <f>AnnualAggregations!$AG30</f>
        <v>19374.983333335964</v>
      </c>
      <c r="HR38" s="287">
        <f t="shared" si="88"/>
        <v>79120.511109070183</v>
      </c>
      <c r="HS38" s="287">
        <f t="shared" si="89"/>
        <v>79120.511109070183</v>
      </c>
      <c r="HT38" s="287">
        <f t="shared" si="90"/>
        <v>600094.24822762993</v>
      </c>
      <c r="HV38" s="440" t="s">
        <v>628</v>
      </c>
      <c r="HW38" s="440" t="s">
        <v>628</v>
      </c>
      <c r="HX38" s="440" t="s">
        <v>628</v>
      </c>
      <c r="HY38" s="440" t="s">
        <v>628</v>
      </c>
      <c r="HZ38" s="440" t="s">
        <v>628</v>
      </c>
      <c r="IA38" s="440" t="s">
        <v>628</v>
      </c>
      <c r="IB38" s="440" t="s">
        <v>628</v>
      </c>
      <c r="IC38" s="440" t="s">
        <v>628</v>
      </c>
      <c r="ID38" s="440" t="s">
        <v>628</v>
      </c>
      <c r="IE38" s="440" t="s">
        <v>628</v>
      </c>
      <c r="IF38" s="440" t="s">
        <v>628</v>
      </c>
      <c r="IG38" s="440" t="s">
        <v>628</v>
      </c>
      <c r="IH38" s="440" t="s">
        <v>628</v>
      </c>
      <c r="IJ38" s="440" t="s">
        <v>628</v>
      </c>
      <c r="IL38" s="286">
        <f>AnnualAggregations!$AB30</f>
        <v>37764.238566617634</v>
      </c>
      <c r="IM38" s="286">
        <f>AnnualAggregations!$Z30</f>
        <v>109327.37133338481</v>
      </c>
      <c r="IN38" s="442" t="s">
        <v>597</v>
      </c>
      <c r="IO38" s="286">
        <f>AnnualAggregations!$AC30</f>
        <v>5000.0000000019172</v>
      </c>
      <c r="IP38" s="442" t="s">
        <v>597</v>
      </c>
      <c r="IQ38" s="440" t="s">
        <v>628</v>
      </c>
      <c r="IR38" s="440" t="s">
        <v>628</v>
      </c>
      <c r="IS38" s="440" t="s">
        <v>628</v>
      </c>
      <c r="IT38" s="440" t="s">
        <v>628</v>
      </c>
      <c r="IU38" s="286">
        <f>AnnualDivReqs!$BG30</f>
        <v>12296.800000006155</v>
      </c>
      <c r="IW38" s="440" t="s">
        <v>628</v>
      </c>
      <c r="IX38" s="440" t="s">
        <v>628</v>
      </c>
      <c r="IY38" s="440" t="s">
        <v>628</v>
      </c>
      <c r="IZ38" s="442" t="s">
        <v>597</v>
      </c>
    </row>
    <row r="39" spans="1:260" ht="15.75" thickBot="1" x14ac:dyDescent="0.3">
      <c r="A39" s="480" t="str">
        <f>ADDRESS(ROW(SJRIPSummary!E31),COLUMN(SJRIPSummary!E31),4,1)</f>
        <v>E31</v>
      </c>
      <c r="B39" s="480" t="str">
        <f t="shared" si="57"/>
        <v>31</v>
      </c>
      <c r="C39" t="s">
        <v>610</v>
      </c>
      <c r="D39" s="404">
        <v>24</v>
      </c>
      <c r="E39" s="404">
        <v>85</v>
      </c>
      <c r="F39" s="404">
        <v>146</v>
      </c>
      <c r="G39" s="404">
        <v>207</v>
      </c>
      <c r="H39" s="393"/>
      <c r="I39" s="603"/>
      <c r="J39" s="615" t="s">
        <v>98</v>
      </c>
      <c r="K39" s="616"/>
      <c r="L39" s="617"/>
      <c r="M39" s="191">
        <f ca="1">M33+M38</f>
        <v>96140</v>
      </c>
      <c r="N39" s="162"/>
      <c r="O39" s="184"/>
      <c r="P39" s="185"/>
      <c r="Q39" s="393"/>
      <c r="R39" s="21"/>
      <c r="S39" s="21"/>
      <c r="T39" s="282">
        <v>1952</v>
      </c>
      <c r="U39" s="286">
        <f>AnnualAggregations!$C31</f>
        <v>262477.80519662995</v>
      </c>
      <c r="V39" s="286">
        <f>AnnualDepletions!$BI31</f>
        <v>2847.8916501734998</v>
      </c>
      <c r="W39" s="286">
        <f>AnnualDepletions!$AM31</f>
        <v>12100</v>
      </c>
      <c r="X39" s="286">
        <f>AnnualDepletions!$AK31</f>
        <v>7970</v>
      </c>
      <c r="Y39" s="286">
        <f>AnnualDepletions!$L31</f>
        <v>899.99999999999943</v>
      </c>
      <c r="Z39" s="287">
        <f t="shared" si="58"/>
        <v>286295.69684680348</v>
      </c>
      <c r="AA39" s="286">
        <f>AnnualDepletions!$AO31</f>
        <v>1225.9999999998588</v>
      </c>
      <c r="AB39" s="286">
        <f>AnnualDepletions!$AY31</f>
        <v>1853.9999999997867</v>
      </c>
      <c r="AC39" s="286">
        <f>AnnualAggregations!$F31</f>
        <v>34098.6773668182</v>
      </c>
      <c r="AD39" s="286">
        <f>AnnualAggregations!$G31</f>
        <v>5338.8270375421434</v>
      </c>
      <c r="AE39" s="286">
        <f>AnnualAggregations!$H31</f>
        <v>13395.999999998457</v>
      </c>
      <c r="AF39" s="286">
        <f>AnnualDepletions!$AL31</f>
        <v>11440.99999999869</v>
      </c>
      <c r="AG39" s="286">
        <f>AnnualDepletions!$AG31</f>
        <v>10208.999999998819</v>
      </c>
      <c r="AH39" s="286">
        <f>AnnualDepletions!$AN31</f>
        <v>3304.9999999996203</v>
      </c>
      <c r="AI39" s="287">
        <f t="shared" si="59"/>
        <v>79642.504404355728</v>
      </c>
      <c r="AJ39" s="287">
        <f t="shared" si="60"/>
        <v>367164.20125115907</v>
      </c>
      <c r="AK39" s="286">
        <f>AnnualDepletions!$AP31</f>
        <v>340.98999999997511</v>
      </c>
      <c r="AL39" s="286">
        <f>AnnualDepletions!$BH31</f>
        <v>26539.814364575377</v>
      </c>
      <c r="AM39" s="286">
        <f>AnnualDepletions!$AJ31</f>
        <v>38999.999998983862</v>
      </c>
      <c r="AN39" s="286">
        <f>AnnualDepletions!$BC31</f>
        <v>16199.999998970494</v>
      </c>
      <c r="AO39" s="286">
        <f>AnnualDepletions!$J31</f>
        <v>2499.9900000012672</v>
      </c>
      <c r="AP39" s="286">
        <f>AnnualAggregations!$I31</f>
        <v>11624.990000001573</v>
      </c>
      <c r="AQ39" s="287">
        <f t="shared" si="61"/>
        <v>69665.969997957174</v>
      </c>
      <c r="AR39" s="287">
        <f t="shared" si="62"/>
        <v>96205.784362532562</v>
      </c>
      <c r="AS39" s="287">
        <f t="shared" si="63"/>
        <v>463369.98561369162</v>
      </c>
      <c r="AU39" s="321">
        <f ca="1">StateModDepletions_ThisScenario!AC29</f>
        <v>36969.85868858546</v>
      </c>
      <c r="AV39" s="321">
        <f ca="1">StateModDepletions_ThisScenario!AD29</f>
        <v>19504.484992802143</v>
      </c>
      <c r="AW39" s="321">
        <f ca="1">StateModDepletions_ThisScenario!AE29</f>
        <v>109438.86638564244</v>
      </c>
      <c r="AX39" s="321">
        <f ca="1">StateModDepletions_ThisScenario!AB29</f>
        <v>24765.810481309891</v>
      </c>
      <c r="AY39" s="288">
        <f t="shared" ca="1" si="64"/>
        <v>190679.02054833993</v>
      </c>
      <c r="AZ39" s="321">
        <f ca="1">StateModDepletions_ThisScenario!AG29</f>
        <v>47981.012688471455</v>
      </c>
      <c r="BA39" s="321">
        <f ca="1">StateModDepletions_ThisScenario!AF29</f>
        <v>17628.789324983973</v>
      </c>
      <c r="BB39" s="321">
        <f ca="1">StateModDepletions_ThisScenario!AH29</f>
        <v>20160.673120394349</v>
      </c>
      <c r="BC39" s="321">
        <f ca="1">StateModDepletions_ThisScenario!AI29</f>
        <v>23964.984787918555</v>
      </c>
      <c r="BD39" s="321">
        <f ca="1">StateModDepletions_ThisScenario!N29</f>
        <v>1326.6977829933167</v>
      </c>
      <c r="BE39" s="321">
        <f ca="1">StateModDepletions_ThisScenario!V29</f>
        <v>13653.922734260559</v>
      </c>
      <c r="BF39" s="288">
        <f t="shared" ca="1" si="65"/>
        <v>124716.0804390222</v>
      </c>
      <c r="BG39" s="288">
        <f t="shared" ca="1" si="66"/>
        <v>315395.10098736215</v>
      </c>
      <c r="BI39" s="288">
        <f t="shared" ca="1" si="67"/>
        <v>778765.08660105383</v>
      </c>
      <c r="BK39" s="286">
        <f>AnnualAggregations!$D31</f>
        <v>35893.000000000065</v>
      </c>
      <c r="BL39" s="286">
        <f>AnnualAggregations!$B31</f>
        <v>57095.917849234283</v>
      </c>
      <c r="BM39" s="286">
        <f>AnnualDepletions!$BK31</f>
        <v>169662.34134209837</v>
      </c>
      <c r="BN39" s="286">
        <f>AnnualAggregations!$E31</f>
        <v>5000.0000000019463</v>
      </c>
      <c r="BO39" s="287">
        <f t="shared" si="68"/>
        <v>267651.25919133466</v>
      </c>
      <c r="BP39" s="321">
        <f ca="1">StateModDepletions_ThisScenario!Y29</f>
        <v>212.11356273293495</v>
      </c>
      <c r="BQ39" s="321">
        <f ca="1">StateModDepletions_ThisScenario!AJ29</f>
        <v>151106.01234302641</v>
      </c>
      <c r="BR39" s="321">
        <f ca="1">StateModDepletions_ThisScenario!Z29</f>
        <v>248878.65685224533</v>
      </c>
      <c r="BS39" s="321">
        <f ca="1">StateModDepletions_ThisScenario!AA29</f>
        <v>97560.530946485989</v>
      </c>
      <c r="BT39" s="286">
        <f>AnnualDepletions!$BG31</f>
        <v>12296.800000006155</v>
      </c>
      <c r="BV39" s="287">
        <f t="shared" ca="1" si="69"/>
        <v>1058713.1457923946</v>
      </c>
      <c r="BW39" s="287">
        <f t="shared" ca="1" si="70"/>
        <v>961152.61484590871</v>
      </c>
      <c r="BX39" s="287">
        <f t="shared" ca="1" si="56"/>
        <v>976027.61484590871</v>
      </c>
      <c r="BY39" s="287">
        <f>SJRIPSummaryRAW!$B$79</f>
        <v>14875</v>
      </c>
      <c r="CC39" s="282">
        <v>1952</v>
      </c>
      <c r="CD39" s="286">
        <f>AnnualAggregations!K31</f>
        <v>262477.80519662995</v>
      </c>
      <c r="CE39" s="442" t="s">
        <v>597</v>
      </c>
      <c r="CF39" s="286">
        <f>AnnualDeplReqs!$AM31</f>
        <v>12100</v>
      </c>
      <c r="CG39" s="286">
        <f>AnnualDeplReqs!$AK31</f>
        <v>7970</v>
      </c>
      <c r="CH39" s="286">
        <f>AnnualDeplReqs!$L31</f>
        <v>899.99999999999943</v>
      </c>
      <c r="CI39" s="443">
        <f t="shared" si="71"/>
        <v>286295.69684680348</v>
      </c>
      <c r="CJ39" s="286">
        <f>AnnualDeplReqs!$AO31</f>
        <v>1225.9999999998588</v>
      </c>
      <c r="CK39" s="286">
        <f>AnnualDeplReqs!$AY31</f>
        <v>1853.9999999997867</v>
      </c>
      <c r="CL39" s="286">
        <f>AnnualAggregations!$N31</f>
        <v>34098.6773668182</v>
      </c>
      <c r="CM39" s="286">
        <f>AnnualAggregations!$O31</f>
        <v>12501.99999999857</v>
      </c>
      <c r="CN39" s="286">
        <f>AnnualAggregations!$P31</f>
        <v>13395.999999998457</v>
      </c>
      <c r="CO39" s="286">
        <f>AnnualDeplReqs!$AL31</f>
        <v>11440.99999999869</v>
      </c>
      <c r="CP39" s="286">
        <f>AnnualDeplReqs!$AG31</f>
        <v>10208.999999998819</v>
      </c>
      <c r="CQ39" s="286">
        <f>AnnualDeplReqs!$AN31</f>
        <v>3304.9999999996203</v>
      </c>
      <c r="CR39" s="287">
        <f t="shared" si="72"/>
        <v>86805.677366812146</v>
      </c>
      <c r="CS39" s="287">
        <f t="shared" si="73"/>
        <v>374327.37421361549</v>
      </c>
      <c r="CT39" s="286">
        <f>AnnualDeplReqs!$AP31</f>
        <v>340.98999999997511</v>
      </c>
      <c r="CU39" s="442" t="s">
        <v>597</v>
      </c>
      <c r="CV39" s="286">
        <f>AnnualDeplReqs!$AJ31</f>
        <v>38999.999998983862</v>
      </c>
      <c r="CW39" s="286">
        <f>AnnualDeplReqs!$BC31</f>
        <v>16199.999998970494</v>
      </c>
      <c r="CX39" s="286">
        <f>AnnualDeplReqs!$J31</f>
        <v>2499.9900000012672</v>
      </c>
      <c r="CY39" s="286">
        <f>AnnualAggregations!$Q31</f>
        <v>11624.990000001573</v>
      </c>
      <c r="CZ39" s="287">
        <f t="shared" si="74"/>
        <v>69665.969997957174</v>
      </c>
      <c r="DA39" s="443">
        <f t="shared" si="75"/>
        <v>96205.784362532548</v>
      </c>
      <c r="DB39" s="287">
        <f t="shared" si="76"/>
        <v>470533.15857614804</v>
      </c>
      <c r="DD39" s="440" t="s">
        <v>628</v>
      </c>
      <c r="DE39" s="440" t="s">
        <v>628</v>
      </c>
      <c r="DF39" s="440" t="s">
        <v>628</v>
      </c>
      <c r="DG39" s="440" t="s">
        <v>628</v>
      </c>
      <c r="DH39" s="440" t="s">
        <v>628</v>
      </c>
      <c r="DI39" s="440" t="s">
        <v>628</v>
      </c>
      <c r="DJ39" s="440" t="s">
        <v>628</v>
      </c>
      <c r="DK39" s="440" t="s">
        <v>628</v>
      </c>
      <c r="DL39" s="440" t="s">
        <v>628</v>
      </c>
      <c r="DM39" s="440" t="s">
        <v>628</v>
      </c>
      <c r="DN39" s="440" t="s">
        <v>628</v>
      </c>
      <c r="DO39" s="440" t="s">
        <v>628</v>
      </c>
      <c r="DP39" s="440" t="s">
        <v>628</v>
      </c>
      <c r="DR39" s="440" t="s">
        <v>628</v>
      </c>
      <c r="DT39" s="286">
        <f>AnnualAggregations!$L31</f>
        <v>35893.000000000073</v>
      </c>
      <c r="DU39" s="443">
        <f>AnnualAggregations!$J31</f>
        <v>57095.917849234283</v>
      </c>
      <c r="DV39" s="442" t="s">
        <v>597</v>
      </c>
      <c r="DW39" s="286">
        <f>AnnualAggregations!$M31</f>
        <v>5000.0000000019463</v>
      </c>
      <c r="DX39" s="442" t="s">
        <v>597</v>
      </c>
      <c r="DY39" s="440" t="s">
        <v>628</v>
      </c>
      <c r="DZ39" s="440" t="s">
        <v>628</v>
      </c>
      <c r="EA39" s="440" t="s">
        <v>628</v>
      </c>
      <c r="EB39" s="440" t="s">
        <v>628</v>
      </c>
      <c r="EC39" s="286">
        <f>AnnualDeplReqs!$BG31</f>
        <v>12296.800000006155</v>
      </c>
      <c r="EE39" s="440" t="s">
        <v>628</v>
      </c>
      <c r="EF39" s="440" t="s">
        <v>628</v>
      </c>
      <c r="EG39" s="440" t="s">
        <v>628</v>
      </c>
      <c r="EH39" s="442" t="s">
        <v>597</v>
      </c>
      <c r="EL39" s="282">
        <v>1952</v>
      </c>
      <c r="EM39" s="286">
        <f>AnnualAggregations!S31</f>
        <v>328097.25649578829</v>
      </c>
      <c r="EN39" s="442" t="s">
        <v>597</v>
      </c>
      <c r="EO39" s="286">
        <f>AnnualDiversions!$AM31</f>
        <v>24160.880683189993</v>
      </c>
      <c r="EP39" s="286">
        <f>AnnualDiversions!$AK31</f>
        <v>15864.246446422732</v>
      </c>
      <c r="EQ39" s="286">
        <f>AnnualDiversions!$L31</f>
        <v>1799.9999999999989</v>
      </c>
      <c r="ER39" s="287">
        <f t="shared" si="77"/>
        <v>369922.38362540101</v>
      </c>
      <c r="ES39" s="286">
        <f>AnnualDiversions!$AO31</f>
        <v>2451.9999999997176</v>
      </c>
      <c r="ET39" s="286">
        <f>AnnualDiversions!$AY31</f>
        <v>3355.6561085968997</v>
      </c>
      <c r="EU39" s="286">
        <f>AnnualAggregations!$V31</f>
        <v>57240.665903815941</v>
      </c>
      <c r="EV39" s="286">
        <f>AnnualAggregations!$W31</f>
        <v>9724.2311024019891</v>
      </c>
      <c r="EW39" s="286">
        <f>AnnualAggregations!$X31</f>
        <v>20535.330845082961</v>
      </c>
      <c r="EX39" s="286">
        <f>AnnualDiversions!$AL31</f>
        <v>13571.767497032839</v>
      </c>
      <c r="EY39" s="286">
        <f>AnnualDiversions!$AG31</f>
        <v>19348.052686437652</v>
      </c>
      <c r="EZ39" s="286">
        <f>AnnualDiversions!$AN31</f>
        <v>6214.1581272908179</v>
      </c>
      <c r="FA39" s="287">
        <f t="shared" si="78"/>
        <v>129989.86227065911</v>
      </c>
      <c r="FB39" s="287">
        <f t="shared" si="79"/>
        <v>502364.24589605985</v>
      </c>
      <c r="FC39" s="286">
        <f>AnnualDiversions!$AP31</f>
        <v>378.87777777775057</v>
      </c>
      <c r="FD39" s="442" t="s">
        <v>597</v>
      </c>
      <c r="FE39" s="286">
        <f>AnnualDiversions!$AJ31</f>
        <v>38999.999998983862</v>
      </c>
      <c r="FF39" s="286">
        <f>AnnualDiversions!$BC31</f>
        <v>16199.999998970494</v>
      </c>
      <c r="FG39" s="286">
        <f>AnnualDiversions!$J31</f>
        <v>4166.6500000021233</v>
      </c>
      <c r="FH39" s="286">
        <f>AnnualAggregations!$Y31</f>
        <v>19374.983333335967</v>
      </c>
      <c r="FI39" s="287">
        <f t="shared" si="80"/>
        <v>79120.511109070212</v>
      </c>
      <c r="FJ39" s="287">
        <f t="shared" si="81"/>
        <v>79120.511109070198</v>
      </c>
      <c r="FK39" s="287">
        <f t="shared" si="82"/>
        <v>581484.75700513006</v>
      </c>
      <c r="FM39" s="440" t="s">
        <v>628</v>
      </c>
      <c r="FN39" s="440" t="s">
        <v>628</v>
      </c>
      <c r="FO39" s="440" t="s">
        <v>628</v>
      </c>
      <c r="FP39" s="440" t="s">
        <v>628</v>
      </c>
      <c r="FQ39" s="440" t="s">
        <v>628</v>
      </c>
      <c r="FR39" s="440" t="s">
        <v>628</v>
      </c>
      <c r="FS39" s="440" t="s">
        <v>628</v>
      </c>
      <c r="FT39" s="440" t="s">
        <v>628</v>
      </c>
      <c r="FU39" s="440" t="s">
        <v>628</v>
      </c>
      <c r="FV39" s="440" t="s">
        <v>628</v>
      </c>
      <c r="FW39" s="440" t="s">
        <v>628</v>
      </c>
      <c r="FX39" s="440" t="s">
        <v>628</v>
      </c>
      <c r="FY39" s="440" t="s">
        <v>628</v>
      </c>
      <c r="GA39" s="440" t="s">
        <v>628</v>
      </c>
      <c r="GC39" s="286">
        <f>AnnualAggregations!$T31</f>
        <v>37763.476493275441</v>
      </c>
      <c r="GD39" s="286">
        <f>AnnualAggregations!$R31</f>
        <v>109067.13000005131</v>
      </c>
      <c r="GE39" s="443">
        <f t="shared" si="83"/>
        <v>169662.34134209837</v>
      </c>
      <c r="GF39" s="286">
        <f>AnnualAggregations!$U31</f>
        <v>5000.0000000019463</v>
      </c>
      <c r="GG39" s="287">
        <f t="shared" si="84"/>
        <v>321492.94783542707</v>
      </c>
      <c r="GH39" s="440" t="s">
        <v>628</v>
      </c>
      <c r="GI39" s="440" t="s">
        <v>628</v>
      </c>
      <c r="GJ39" s="440" t="s">
        <v>628</v>
      </c>
      <c r="GK39" s="440" t="s">
        <v>628</v>
      </c>
      <c r="GL39" s="286">
        <f>AnnualDiversions!$BG31</f>
        <v>12296.800000006155</v>
      </c>
      <c r="GN39" s="440" t="s">
        <v>628</v>
      </c>
      <c r="GO39" s="440" t="s">
        <v>628</v>
      </c>
      <c r="GP39" s="440" t="s">
        <v>628</v>
      </c>
      <c r="GQ39" s="442" t="s">
        <v>597</v>
      </c>
      <c r="GU39" s="282">
        <v>1952</v>
      </c>
      <c r="GV39" s="286">
        <f>AnnualAggregations!AA31</f>
        <v>328097.25649578829</v>
      </c>
      <c r="GW39" s="442" t="s">
        <v>597</v>
      </c>
      <c r="GX39" s="286">
        <f>AnnualDivReqs!$AM31</f>
        <v>24160.880683189993</v>
      </c>
      <c r="GY39" s="286">
        <f>AnnualDivReqs!$AK31</f>
        <v>15864.246446422732</v>
      </c>
      <c r="GZ39" s="286">
        <f>AnnualDivReqs!$L31</f>
        <v>1799.9999999999989</v>
      </c>
      <c r="HA39" s="287">
        <f t="shared" si="85"/>
        <v>369922.38362540101</v>
      </c>
      <c r="HB39" s="286">
        <f>AnnualDivReqs!$AO31</f>
        <v>2451.9999999997176</v>
      </c>
      <c r="HC39" s="286">
        <f>AnnualDivReqs!$AY31</f>
        <v>3355.6561085968997</v>
      </c>
      <c r="HD39" s="286">
        <f>AnnualAggregations!$AD31</f>
        <v>57240.665903815941</v>
      </c>
      <c r="HE39" s="286">
        <f>AnnualAggregations!$AE31</f>
        <v>22391.896716164425</v>
      </c>
      <c r="HF39" s="286">
        <f>AnnualAggregations!$AF31</f>
        <v>20535.330845082961</v>
      </c>
      <c r="HG39" s="286">
        <f>AnnualDivReqs!$AL31</f>
        <v>13571.767497032839</v>
      </c>
      <c r="HH39" s="286">
        <f>AnnualDivReqs!$AG31</f>
        <v>19348.052686437652</v>
      </c>
      <c r="HI39" s="286">
        <f>AnnualDivReqs!$AN31</f>
        <v>6214.1581272908179</v>
      </c>
      <c r="HJ39" s="287">
        <f t="shared" si="86"/>
        <v>142657.52788442152</v>
      </c>
      <c r="HK39" s="287">
        <f t="shared" si="87"/>
        <v>515031.91150982224</v>
      </c>
      <c r="HL39" s="286">
        <f>AnnualDivReqs!$AP31</f>
        <v>378.87777777775057</v>
      </c>
      <c r="HM39" s="442" t="s">
        <v>597</v>
      </c>
      <c r="HN39" s="286">
        <f>AnnualDivReqs!$AJ31</f>
        <v>38999.999998983862</v>
      </c>
      <c r="HO39" s="286">
        <f>AnnualDivReqs!$BC31</f>
        <v>16199.999998970494</v>
      </c>
      <c r="HP39" s="286">
        <f>AnnualDivReqs!$J31</f>
        <v>4166.6500000021233</v>
      </c>
      <c r="HQ39" s="286">
        <f>AnnualAggregations!$AG31</f>
        <v>19374.983333335967</v>
      </c>
      <c r="HR39" s="287">
        <f t="shared" si="88"/>
        <v>79120.511109070212</v>
      </c>
      <c r="HS39" s="287">
        <f t="shared" si="89"/>
        <v>79120.511109070198</v>
      </c>
      <c r="HT39" s="287">
        <f t="shared" si="90"/>
        <v>594152.42261889239</v>
      </c>
      <c r="HV39" s="440" t="s">
        <v>628</v>
      </c>
      <c r="HW39" s="440" t="s">
        <v>628</v>
      </c>
      <c r="HX39" s="440" t="s">
        <v>628</v>
      </c>
      <c r="HY39" s="440" t="s">
        <v>628</v>
      </c>
      <c r="HZ39" s="440" t="s">
        <v>628</v>
      </c>
      <c r="IA39" s="440" t="s">
        <v>628</v>
      </c>
      <c r="IB39" s="440" t="s">
        <v>628</v>
      </c>
      <c r="IC39" s="440" t="s">
        <v>628</v>
      </c>
      <c r="ID39" s="440" t="s">
        <v>628</v>
      </c>
      <c r="IE39" s="440" t="s">
        <v>628</v>
      </c>
      <c r="IF39" s="440" t="s">
        <v>628</v>
      </c>
      <c r="IG39" s="440" t="s">
        <v>628</v>
      </c>
      <c r="IH39" s="440" t="s">
        <v>628</v>
      </c>
      <c r="IJ39" s="440" t="s">
        <v>628</v>
      </c>
      <c r="IL39" s="286">
        <f>AnnualAggregations!$AB31</f>
        <v>37763.476493275448</v>
      </c>
      <c r="IM39" s="286">
        <f>AnnualAggregations!$Z31</f>
        <v>109067.13000005131</v>
      </c>
      <c r="IN39" s="442" t="s">
        <v>597</v>
      </c>
      <c r="IO39" s="286">
        <f>AnnualAggregations!$AC31</f>
        <v>5000.0000000019463</v>
      </c>
      <c r="IP39" s="442" t="s">
        <v>597</v>
      </c>
      <c r="IQ39" s="440" t="s">
        <v>628</v>
      </c>
      <c r="IR39" s="440" t="s">
        <v>628</v>
      </c>
      <c r="IS39" s="440" t="s">
        <v>628</v>
      </c>
      <c r="IT39" s="440" t="s">
        <v>628</v>
      </c>
      <c r="IU39" s="286">
        <f>AnnualDivReqs!$BG31</f>
        <v>12296.800000006155</v>
      </c>
      <c r="IW39" s="440" t="s">
        <v>628</v>
      </c>
      <c r="IX39" s="440" t="s">
        <v>628</v>
      </c>
      <c r="IY39" s="440" t="s">
        <v>628</v>
      </c>
      <c r="IZ39" s="442" t="s">
        <v>597</v>
      </c>
    </row>
    <row r="40" spans="1:260" ht="15.75" thickBot="1" x14ac:dyDescent="0.3">
      <c r="A40" s="480" t="str">
        <f>ADDRESS(ROW(SJRIPSummary!E32),COLUMN(SJRIPSummary!E32),4,1)</f>
        <v>E32</v>
      </c>
      <c r="B40" s="480" t="str">
        <f t="shared" si="57"/>
        <v>32</v>
      </c>
      <c r="C40" t="s">
        <v>611</v>
      </c>
      <c r="D40" s="404">
        <v>25</v>
      </c>
      <c r="E40" s="404">
        <v>86</v>
      </c>
      <c r="F40" s="404">
        <v>147</v>
      </c>
      <c r="G40" s="404">
        <v>208</v>
      </c>
      <c r="H40" s="393"/>
      <c r="I40" s="556" t="s">
        <v>99</v>
      </c>
      <c r="J40" s="557"/>
      <c r="K40" s="557"/>
      <c r="L40" s="557"/>
      <c r="M40" s="192">
        <f ca="1">M31+M39</f>
        <v>440040</v>
      </c>
      <c r="N40" s="178"/>
      <c r="O40" s="184"/>
      <c r="P40" s="185"/>
      <c r="Q40" s="393"/>
      <c r="R40" s="21"/>
      <c r="S40" s="21"/>
      <c r="T40" s="282">
        <v>1953</v>
      </c>
      <c r="U40" s="286">
        <f>AnnualAggregations!$C32</f>
        <v>269660.17644281004</v>
      </c>
      <c r="V40" s="286">
        <f>AnnualDepletions!$BI32</f>
        <v>4420.0152693252421</v>
      </c>
      <c r="W40" s="286">
        <f>AnnualDepletions!$AM32</f>
        <v>12100</v>
      </c>
      <c r="X40" s="286">
        <f>AnnualDepletions!$AK32</f>
        <v>7970.0000000000064</v>
      </c>
      <c r="Y40" s="286">
        <f>AnnualDepletions!$L32</f>
        <v>900.00000000000068</v>
      </c>
      <c r="Z40" s="287">
        <f t="shared" si="58"/>
        <v>295050.19171213527</v>
      </c>
      <c r="AA40" s="286">
        <f>AnnualDepletions!$AO32</f>
        <v>1311.9999999998493</v>
      </c>
      <c r="AB40" s="286">
        <f>AnnualDepletions!$AY32</f>
        <v>1711.9999999998035</v>
      </c>
      <c r="AC40" s="286">
        <f>AnnualAggregations!$F32</f>
        <v>34525.943603459171</v>
      </c>
      <c r="AD40" s="286">
        <f>AnnualAggregations!$G32</f>
        <v>3030.5309878502417</v>
      </c>
      <c r="AE40" s="286">
        <f>AnnualAggregations!$H32</f>
        <v>13315.999999998463</v>
      </c>
      <c r="AF40" s="286">
        <f>AnnualDepletions!$AL32</f>
        <v>11256.999999998699</v>
      </c>
      <c r="AG40" s="286">
        <f>AnnualDepletions!$AG32</f>
        <v>9693.124849017715</v>
      </c>
      <c r="AH40" s="286">
        <f>AnnualDepletions!$AN32</f>
        <v>3166.9999999996376</v>
      </c>
      <c r="AI40" s="287">
        <f t="shared" si="59"/>
        <v>76701.599440323727</v>
      </c>
      <c r="AJ40" s="287">
        <f t="shared" si="60"/>
        <v>373063.79115245881</v>
      </c>
      <c r="AK40" s="286">
        <f>AnnualDepletions!$AP32</f>
        <v>340.98999999997505</v>
      </c>
      <c r="AL40" s="286">
        <f>AnnualDepletions!$BH32</f>
        <v>27464.163491923202</v>
      </c>
      <c r="AM40" s="286">
        <f>AnnualDepletions!$AJ32</f>
        <v>38999.999998983854</v>
      </c>
      <c r="AN40" s="286">
        <f>AnnualDepletions!$BC32</f>
        <v>16199.99999897049</v>
      </c>
      <c r="AO40" s="286">
        <f>AnnualDepletions!$J32</f>
        <v>2499.9900000012672</v>
      </c>
      <c r="AP40" s="286">
        <f>AnnualAggregations!$I32</f>
        <v>11624.990000001573</v>
      </c>
      <c r="AQ40" s="287">
        <f t="shared" si="61"/>
        <v>69665.96999795716</v>
      </c>
      <c r="AR40" s="287">
        <f t="shared" si="62"/>
        <v>97130.133489880376</v>
      </c>
      <c r="AS40" s="287">
        <f t="shared" si="63"/>
        <v>470193.92464233917</v>
      </c>
      <c r="AU40" s="321">
        <f ca="1">StateModDepletions_ThisScenario!AC30</f>
        <v>33576.888323448598</v>
      </c>
      <c r="AV40" s="321">
        <f ca="1">StateModDepletions_ThisScenario!AD30</f>
        <v>17739.338903605938</v>
      </c>
      <c r="AW40" s="321">
        <f ca="1">StateModDepletions_ThisScenario!AE30</f>
        <v>105951.50851921365</v>
      </c>
      <c r="AX40" s="321">
        <f ca="1">StateModDepletions_ThisScenario!AB30</f>
        <v>24765.810481309891</v>
      </c>
      <c r="AY40" s="288">
        <f t="shared" ca="1" si="64"/>
        <v>182033.54622757807</v>
      </c>
      <c r="AZ40" s="321">
        <f ca="1">StateModDepletions_ThisScenario!AG30</f>
        <v>33263.713131061275</v>
      </c>
      <c r="BA40" s="321">
        <f ca="1">StateModDepletions_ThisScenario!AF30</f>
        <v>17141.297595180571</v>
      </c>
      <c r="BB40" s="321">
        <f ca="1">StateModDepletions_ThisScenario!AH30</f>
        <v>12307.677716553211</v>
      </c>
      <c r="BC40" s="321">
        <f ca="1">StateModDepletions_ThisScenario!AI30</f>
        <v>10682.258976610377</v>
      </c>
      <c r="BD40" s="321">
        <f ca="1">StateModDepletions_ThisScenario!N30</f>
        <v>1326.6977829933167</v>
      </c>
      <c r="BE40" s="321">
        <f ca="1">StateModDepletions_ThisScenario!V30</f>
        <v>8315.2823674678802</v>
      </c>
      <c r="BF40" s="288">
        <f t="shared" ca="1" si="65"/>
        <v>83036.927569866632</v>
      </c>
      <c r="BG40" s="288">
        <f t="shared" ca="1" si="66"/>
        <v>265070.47379744472</v>
      </c>
      <c r="BI40" s="288">
        <f t="shared" ca="1" si="67"/>
        <v>735264.39843978384</v>
      </c>
      <c r="BK40" s="286">
        <f>AnnualAggregations!$D32</f>
        <v>35893.000000000073</v>
      </c>
      <c r="BL40" s="286">
        <f>AnnualAggregations!$B32</f>
        <v>57144.64842770691</v>
      </c>
      <c r="BM40" s="286">
        <f>AnnualDepletions!$BK32</f>
        <v>67126.30509108839</v>
      </c>
      <c r="BN40" s="286">
        <f>AnnualAggregations!$E32</f>
        <v>5000.0000000019172</v>
      </c>
      <c r="BO40" s="287">
        <f t="shared" si="68"/>
        <v>165163.95351879729</v>
      </c>
      <c r="BP40" s="321">
        <f ca="1">StateModDepletions_ThisScenario!Y30</f>
        <v>212.11356273293495</v>
      </c>
      <c r="BQ40" s="321">
        <f ca="1">StateModDepletions_ThisScenario!AJ30</f>
        <v>136624.82708653112</v>
      </c>
      <c r="BR40" s="321">
        <f ca="1">StateModDepletions_ThisScenario!Z30</f>
        <v>225266.81286621094</v>
      </c>
      <c r="BS40" s="321">
        <f ca="1">StateModDepletions_ThisScenario!AA30</f>
        <v>88429.872216946882</v>
      </c>
      <c r="BT40" s="286">
        <f>AnnualDepletions!$BG32</f>
        <v>12296.800000006155</v>
      </c>
      <c r="BV40" s="287">
        <f t="shared" ca="1" si="69"/>
        <v>912725.15195858735</v>
      </c>
      <c r="BW40" s="287">
        <f t="shared" ca="1" si="70"/>
        <v>824295.27974164044</v>
      </c>
      <c r="BX40" s="287">
        <f t="shared" ca="1" si="56"/>
        <v>839170.27974164044</v>
      </c>
      <c r="BY40" s="287">
        <f>SJRIPSummaryRAW!$B$79</f>
        <v>14875</v>
      </c>
      <c r="CC40" s="282">
        <v>1953</v>
      </c>
      <c r="CD40" s="286">
        <f>AnnualAggregations!K32</f>
        <v>269660.17644281004</v>
      </c>
      <c r="CE40" s="442" t="s">
        <v>597</v>
      </c>
      <c r="CF40" s="286">
        <f>AnnualDeplReqs!$AM32</f>
        <v>12100</v>
      </c>
      <c r="CG40" s="286">
        <f>AnnualDeplReqs!$AK32</f>
        <v>7970.0000000000064</v>
      </c>
      <c r="CH40" s="286">
        <f>AnnualDeplReqs!$L32</f>
        <v>900.00000000000068</v>
      </c>
      <c r="CI40" s="443">
        <f t="shared" si="71"/>
        <v>295050.19171213527</v>
      </c>
      <c r="CJ40" s="286">
        <f>AnnualDeplReqs!$AO32</f>
        <v>1311.9999999998493</v>
      </c>
      <c r="CK40" s="286">
        <f>AnnualDeplReqs!$AY32</f>
        <v>1711.9999999998035</v>
      </c>
      <c r="CL40" s="286">
        <f>AnnualAggregations!$N32</f>
        <v>34525.943603459171</v>
      </c>
      <c r="CM40" s="286">
        <f>AnnualAggregations!$O32</f>
        <v>12837.999999998519</v>
      </c>
      <c r="CN40" s="286">
        <f>AnnualAggregations!$P32</f>
        <v>13315.999999998463</v>
      </c>
      <c r="CO40" s="286">
        <f>AnnualDeplReqs!$AL32</f>
        <v>11256.999999998699</v>
      </c>
      <c r="CP40" s="286">
        <f>AnnualDeplReqs!$AG32</f>
        <v>9695.9999999988886</v>
      </c>
      <c r="CQ40" s="286">
        <f>AnnualDeplReqs!$AN32</f>
        <v>3166.9999999996376</v>
      </c>
      <c r="CR40" s="287">
        <f t="shared" si="72"/>
        <v>86511.943603453183</v>
      </c>
      <c r="CS40" s="287">
        <f t="shared" si="73"/>
        <v>382874.13531558827</v>
      </c>
      <c r="CT40" s="286">
        <f>AnnualDeplReqs!$AP32</f>
        <v>340.98999999997505</v>
      </c>
      <c r="CU40" s="442" t="s">
        <v>597</v>
      </c>
      <c r="CV40" s="286">
        <f>AnnualDeplReqs!$AJ32</f>
        <v>38999.999998983854</v>
      </c>
      <c r="CW40" s="286">
        <f>AnnualDeplReqs!$BC32</f>
        <v>16199.99999897049</v>
      </c>
      <c r="CX40" s="286">
        <f>AnnualDeplReqs!$J32</f>
        <v>2499.9900000012672</v>
      </c>
      <c r="CY40" s="286">
        <f>AnnualAggregations!$Q32</f>
        <v>11624.990000001573</v>
      </c>
      <c r="CZ40" s="287">
        <f t="shared" si="74"/>
        <v>69665.96999795716</v>
      </c>
      <c r="DA40" s="443">
        <f t="shared" si="75"/>
        <v>97130.133489880362</v>
      </c>
      <c r="DB40" s="287">
        <f t="shared" si="76"/>
        <v>480004.26880546863</v>
      </c>
      <c r="DD40" s="440" t="s">
        <v>628</v>
      </c>
      <c r="DE40" s="440" t="s">
        <v>628</v>
      </c>
      <c r="DF40" s="440" t="s">
        <v>628</v>
      </c>
      <c r="DG40" s="440" t="s">
        <v>628</v>
      </c>
      <c r="DH40" s="440" t="s">
        <v>628</v>
      </c>
      <c r="DI40" s="440" t="s">
        <v>628</v>
      </c>
      <c r="DJ40" s="440" t="s">
        <v>628</v>
      </c>
      <c r="DK40" s="440" t="s">
        <v>628</v>
      </c>
      <c r="DL40" s="440" t="s">
        <v>628</v>
      </c>
      <c r="DM40" s="440" t="s">
        <v>628</v>
      </c>
      <c r="DN40" s="440" t="s">
        <v>628</v>
      </c>
      <c r="DO40" s="440" t="s">
        <v>628</v>
      </c>
      <c r="DP40" s="440" t="s">
        <v>628</v>
      </c>
      <c r="DR40" s="440" t="s">
        <v>628</v>
      </c>
      <c r="DT40" s="286">
        <f>AnnualAggregations!$L32</f>
        <v>35893.000000000073</v>
      </c>
      <c r="DU40" s="443">
        <f>AnnualAggregations!$J32</f>
        <v>57272.057094373667</v>
      </c>
      <c r="DV40" s="442" t="s">
        <v>597</v>
      </c>
      <c r="DW40" s="286">
        <f>AnnualAggregations!$M32</f>
        <v>5000.0000000019172</v>
      </c>
      <c r="DX40" s="442" t="s">
        <v>597</v>
      </c>
      <c r="DY40" s="440" t="s">
        <v>628</v>
      </c>
      <c r="DZ40" s="440" t="s">
        <v>628</v>
      </c>
      <c r="EA40" s="440" t="s">
        <v>628</v>
      </c>
      <c r="EB40" s="440" t="s">
        <v>628</v>
      </c>
      <c r="EC40" s="286">
        <f>AnnualDeplReqs!$BG32</f>
        <v>12296.800000006155</v>
      </c>
      <c r="EE40" s="440" t="s">
        <v>628</v>
      </c>
      <c r="EF40" s="440" t="s">
        <v>628</v>
      </c>
      <c r="EG40" s="440" t="s">
        <v>628</v>
      </c>
      <c r="EH40" s="442" t="s">
        <v>597</v>
      </c>
      <c r="EL40" s="282">
        <v>1953</v>
      </c>
      <c r="EM40" s="286">
        <f>AnnualAggregations!S32</f>
        <v>337075.22055351286</v>
      </c>
      <c r="EN40" s="442" t="s">
        <v>597</v>
      </c>
      <c r="EO40" s="286">
        <f>AnnualDiversions!$AM32</f>
        <v>24160.88068319</v>
      </c>
      <c r="EP40" s="286">
        <f>AnnualDiversions!$AK32</f>
        <v>15864.246446422741</v>
      </c>
      <c r="EQ40" s="286">
        <f>AnnualDiversions!$L32</f>
        <v>1800.0000000000014</v>
      </c>
      <c r="ER40" s="287">
        <f t="shared" si="77"/>
        <v>378900.34768312564</v>
      </c>
      <c r="ES40" s="286">
        <f>AnnualDiversions!$AO32</f>
        <v>2623.9999999996985</v>
      </c>
      <c r="ET40" s="286">
        <f>AnnualDiversions!$AY32</f>
        <v>3098.6425339362968</v>
      </c>
      <c r="EU40" s="286">
        <f>AnnualAggregations!$V32</f>
        <v>57954.792758464857</v>
      </c>
      <c r="EV40" s="286">
        <f>AnnualAggregations!$W32</f>
        <v>5191.6930637667265</v>
      </c>
      <c r="EW40" s="286">
        <f>AnnualAggregations!$X32</f>
        <v>20411.954077443173</v>
      </c>
      <c r="EX40" s="286">
        <f>AnnualDiversions!$AL32</f>
        <v>13353.499406878653</v>
      </c>
      <c r="EY40" s="286">
        <f>AnnualDiversions!$AG32</f>
        <v>18370.368329418568</v>
      </c>
      <c r="EZ40" s="286">
        <f>AnnualDiversions!$AN32</f>
        <v>5954.6864717488725</v>
      </c>
      <c r="FA40" s="287">
        <f t="shared" si="78"/>
        <v>124335.63664165717</v>
      </c>
      <c r="FB40" s="287">
        <f t="shared" si="79"/>
        <v>505859.9843247825</v>
      </c>
      <c r="FC40" s="286">
        <f>AnnualDiversions!$AP32</f>
        <v>378.87777777775057</v>
      </c>
      <c r="FD40" s="442" t="s">
        <v>597</v>
      </c>
      <c r="FE40" s="286">
        <f>AnnualDiversions!$AJ32</f>
        <v>38999.999998983854</v>
      </c>
      <c r="FF40" s="286">
        <f>AnnualDiversions!$BC32</f>
        <v>16199.99999897049</v>
      </c>
      <c r="FG40" s="286">
        <f>AnnualDiversions!$J32</f>
        <v>4166.6500000021233</v>
      </c>
      <c r="FH40" s="286">
        <f>AnnualAggregations!$Y32</f>
        <v>19374.983333335964</v>
      </c>
      <c r="FI40" s="287">
        <f t="shared" si="80"/>
        <v>79120.511109070183</v>
      </c>
      <c r="FJ40" s="287">
        <f t="shared" si="81"/>
        <v>79120.511109070183</v>
      </c>
      <c r="FK40" s="287">
        <f t="shared" si="82"/>
        <v>584980.49543385266</v>
      </c>
      <c r="FM40" s="440" t="s">
        <v>628</v>
      </c>
      <c r="FN40" s="440" t="s">
        <v>628</v>
      </c>
      <c r="FO40" s="440" t="s">
        <v>628</v>
      </c>
      <c r="FP40" s="440" t="s">
        <v>628</v>
      </c>
      <c r="FQ40" s="440" t="s">
        <v>628</v>
      </c>
      <c r="FR40" s="440" t="s">
        <v>628</v>
      </c>
      <c r="FS40" s="440" t="s">
        <v>628</v>
      </c>
      <c r="FT40" s="440" t="s">
        <v>628</v>
      </c>
      <c r="FU40" s="440" t="s">
        <v>628</v>
      </c>
      <c r="FV40" s="440" t="s">
        <v>628</v>
      </c>
      <c r="FW40" s="440" t="s">
        <v>628</v>
      </c>
      <c r="FX40" s="440" t="s">
        <v>628</v>
      </c>
      <c r="FY40" s="440" t="s">
        <v>628</v>
      </c>
      <c r="GA40" s="440" t="s">
        <v>628</v>
      </c>
      <c r="GC40" s="286">
        <f>AnnualAggregations!$T32</f>
        <v>37764.238566617634</v>
      </c>
      <c r="GD40" s="286">
        <f>AnnualAggregations!$R32</f>
        <v>109067.13000005134</v>
      </c>
      <c r="GE40" s="443">
        <f t="shared" si="83"/>
        <v>67126.30509108839</v>
      </c>
      <c r="GF40" s="286">
        <f>AnnualAggregations!$U32</f>
        <v>5000.0000000019172</v>
      </c>
      <c r="GG40" s="287">
        <f t="shared" si="84"/>
        <v>218957.67365775927</v>
      </c>
      <c r="GH40" s="440" t="s">
        <v>628</v>
      </c>
      <c r="GI40" s="440" t="s">
        <v>628</v>
      </c>
      <c r="GJ40" s="440" t="s">
        <v>628</v>
      </c>
      <c r="GK40" s="440" t="s">
        <v>628</v>
      </c>
      <c r="GL40" s="286">
        <f>AnnualDiversions!$BG32</f>
        <v>12296.800000006155</v>
      </c>
      <c r="GN40" s="440" t="s">
        <v>628</v>
      </c>
      <c r="GO40" s="440" t="s">
        <v>628</v>
      </c>
      <c r="GP40" s="440" t="s">
        <v>628</v>
      </c>
      <c r="GQ40" s="442" t="s">
        <v>597</v>
      </c>
      <c r="GU40" s="282">
        <v>1953</v>
      </c>
      <c r="GV40" s="286">
        <f>AnnualAggregations!AA32</f>
        <v>337075.22055351286</v>
      </c>
      <c r="GW40" s="442" t="s">
        <v>597</v>
      </c>
      <c r="GX40" s="286">
        <f>AnnualDivReqs!$AM32</f>
        <v>24160.88068319</v>
      </c>
      <c r="GY40" s="286">
        <f>AnnualDivReqs!$AK32</f>
        <v>15864.246446422741</v>
      </c>
      <c r="GZ40" s="286">
        <f>AnnualDivReqs!$L32</f>
        <v>1800.0000000000014</v>
      </c>
      <c r="HA40" s="287">
        <f t="shared" si="85"/>
        <v>378900.34768312564</v>
      </c>
      <c r="HB40" s="286">
        <f>AnnualDivReqs!$AO32</f>
        <v>2623.9999999996985</v>
      </c>
      <c r="HC40" s="286">
        <f>AnnualDivReqs!$AY32</f>
        <v>3098.6425339362968</v>
      </c>
      <c r="HD40" s="286">
        <f>AnnualAggregations!$AD32</f>
        <v>57954.792758464857</v>
      </c>
      <c r="HE40" s="286">
        <f>AnnualAggregations!$AE32</f>
        <v>22994.011476511889</v>
      </c>
      <c r="HF40" s="286">
        <f>AnnualAggregations!$AF32</f>
        <v>20411.954077443173</v>
      </c>
      <c r="HG40" s="286">
        <f>AnnualDivReqs!$AL32</f>
        <v>13353.499406878653</v>
      </c>
      <c r="HH40" s="286">
        <f>AnnualDivReqs!$AG32</f>
        <v>18375.81730313443</v>
      </c>
      <c r="HI40" s="286">
        <f>AnnualDivReqs!$AN32</f>
        <v>5954.6864717488725</v>
      </c>
      <c r="HJ40" s="287">
        <f t="shared" si="86"/>
        <v>142143.40402811815</v>
      </c>
      <c r="HK40" s="287">
        <f t="shared" si="87"/>
        <v>523667.75171124353</v>
      </c>
      <c r="HL40" s="286">
        <f>AnnualDivReqs!$AP32</f>
        <v>378.87777777775057</v>
      </c>
      <c r="HM40" s="442" t="s">
        <v>597</v>
      </c>
      <c r="HN40" s="286">
        <f>AnnualDivReqs!$AJ32</f>
        <v>38999.999998983854</v>
      </c>
      <c r="HO40" s="286">
        <f>AnnualDivReqs!$BC32</f>
        <v>16199.99999897049</v>
      </c>
      <c r="HP40" s="286">
        <f>AnnualDivReqs!$J32</f>
        <v>4166.6500000021233</v>
      </c>
      <c r="HQ40" s="286">
        <f>AnnualAggregations!$AG32</f>
        <v>19374.983333335964</v>
      </c>
      <c r="HR40" s="287">
        <f t="shared" si="88"/>
        <v>79120.511109070183</v>
      </c>
      <c r="HS40" s="287">
        <f t="shared" si="89"/>
        <v>79120.511109070183</v>
      </c>
      <c r="HT40" s="287">
        <f t="shared" si="90"/>
        <v>602788.26282031368</v>
      </c>
      <c r="HV40" s="440" t="s">
        <v>628</v>
      </c>
      <c r="HW40" s="440" t="s">
        <v>628</v>
      </c>
      <c r="HX40" s="440" t="s">
        <v>628</v>
      </c>
      <c r="HY40" s="440" t="s">
        <v>628</v>
      </c>
      <c r="HZ40" s="440" t="s">
        <v>628</v>
      </c>
      <c r="IA40" s="440" t="s">
        <v>628</v>
      </c>
      <c r="IB40" s="440" t="s">
        <v>628</v>
      </c>
      <c r="IC40" s="440" t="s">
        <v>628</v>
      </c>
      <c r="ID40" s="440" t="s">
        <v>628</v>
      </c>
      <c r="IE40" s="440" t="s">
        <v>628</v>
      </c>
      <c r="IF40" s="440" t="s">
        <v>628</v>
      </c>
      <c r="IG40" s="440" t="s">
        <v>628</v>
      </c>
      <c r="IH40" s="440" t="s">
        <v>628</v>
      </c>
      <c r="IJ40" s="440" t="s">
        <v>628</v>
      </c>
      <c r="IL40" s="286">
        <f>AnnualAggregations!$AB32</f>
        <v>37764.238566617634</v>
      </c>
      <c r="IM40" s="286">
        <f>AnnualAggregations!$Z32</f>
        <v>109321.94733338486</v>
      </c>
      <c r="IN40" s="442" t="s">
        <v>597</v>
      </c>
      <c r="IO40" s="286">
        <f>AnnualAggregations!$AC32</f>
        <v>5000.0000000019172</v>
      </c>
      <c r="IP40" s="442" t="s">
        <v>597</v>
      </c>
      <c r="IQ40" s="440" t="s">
        <v>628</v>
      </c>
      <c r="IR40" s="440" t="s">
        <v>628</v>
      </c>
      <c r="IS40" s="440" t="s">
        <v>628</v>
      </c>
      <c r="IT40" s="440" t="s">
        <v>628</v>
      </c>
      <c r="IU40" s="286">
        <f>AnnualDivReqs!$BG32</f>
        <v>12296.800000006155</v>
      </c>
      <c r="IW40" s="440" t="s">
        <v>628</v>
      </c>
      <c r="IX40" s="440" t="s">
        <v>628</v>
      </c>
      <c r="IY40" s="440" t="s">
        <v>628</v>
      </c>
      <c r="IZ40" s="442" t="s">
        <v>597</v>
      </c>
    </row>
    <row r="41" spans="1:260" ht="15.75" thickBot="1" x14ac:dyDescent="0.3">
      <c r="A41" s="480" t="str">
        <f>ADDRESS(ROW(SJRIPSummary!E33),COLUMN(SJRIPSummary!E33),4,1)</f>
        <v>E33</v>
      </c>
      <c r="B41" s="480" t="str">
        <f t="shared" si="57"/>
        <v>33</v>
      </c>
      <c r="C41"/>
      <c r="D41" s="404">
        <v>26</v>
      </c>
      <c r="E41" s="404">
        <v>87</v>
      </c>
      <c r="F41" s="404">
        <v>148</v>
      </c>
      <c r="G41" s="404">
        <v>209</v>
      </c>
      <c r="H41" s="394"/>
      <c r="I41" s="193"/>
      <c r="J41" s="194"/>
      <c r="K41" s="194"/>
      <c r="L41" s="194"/>
      <c r="M41" s="203"/>
      <c r="N41" s="167"/>
      <c r="O41" s="260"/>
      <c r="P41" s="261"/>
      <c r="Q41" s="394"/>
      <c r="R41" s="21"/>
      <c r="S41" s="21"/>
      <c r="T41" s="282">
        <v>1954</v>
      </c>
      <c r="U41" s="286">
        <f>AnnualAggregations!$C33</f>
        <v>250257.68997276097</v>
      </c>
      <c r="V41" s="286">
        <f>AnnualDepletions!$BI33</f>
        <v>539.51797531547811</v>
      </c>
      <c r="W41" s="286">
        <f>AnnualDepletions!$AM33</f>
        <v>12100</v>
      </c>
      <c r="X41" s="286">
        <f>AnnualDepletions!$AK33</f>
        <v>7970.0000000000064</v>
      </c>
      <c r="Y41" s="286">
        <f>AnnualDepletions!$L33</f>
        <v>899.99999999999977</v>
      </c>
      <c r="Z41" s="287">
        <f t="shared" si="58"/>
        <v>271767.20794807642</v>
      </c>
      <c r="AA41" s="286">
        <f>AnnualDepletions!$AO33</f>
        <v>1426.9999999998361</v>
      </c>
      <c r="AB41" s="286">
        <f>AnnualDepletions!$AY33</f>
        <v>1881.9999999997817</v>
      </c>
      <c r="AC41" s="286">
        <f>AnnualAggregations!$F33</f>
        <v>34852.999999995976</v>
      </c>
      <c r="AD41" s="286">
        <f>AnnualAggregations!$G33</f>
        <v>2686.9563457831314</v>
      </c>
      <c r="AE41" s="286">
        <f>AnnualAggregations!$H33</f>
        <v>13640.999999998434</v>
      </c>
      <c r="AF41" s="286">
        <f>AnnualDepletions!$AL33</f>
        <v>11567.999999998678</v>
      </c>
      <c r="AG41" s="286">
        <f>AnnualDepletions!$AG33</f>
        <v>9207.9999999989413</v>
      </c>
      <c r="AH41" s="286">
        <f>AnnualDepletions!$AN33</f>
        <v>3159.999999999638</v>
      </c>
      <c r="AI41" s="287">
        <f t="shared" si="59"/>
        <v>76998.956345774583</v>
      </c>
      <c r="AJ41" s="287">
        <f t="shared" si="60"/>
        <v>350193.16429385083</v>
      </c>
      <c r="AK41" s="286">
        <f>AnnualDepletions!$AP33</f>
        <v>340.98999999997505</v>
      </c>
      <c r="AL41" s="286">
        <f>AnnualDepletions!$BH33</f>
        <v>24710.189469004843</v>
      </c>
      <c r="AM41" s="286">
        <f>AnnualDepletions!$AJ33</f>
        <v>38999.999998983854</v>
      </c>
      <c r="AN41" s="286">
        <f>AnnualDepletions!$BC33</f>
        <v>16199.99999897049</v>
      </c>
      <c r="AO41" s="286">
        <f>AnnualDepletions!$J33</f>
        <v>2499.9900000012672</v>
      </c>
      <c r="AP41" s="286">
        <f>AnnualAggregations!$I33</f>
        <v>11624.990000001573</v>
      </c>
      <c r="AQ41" s="287">
        <f t="shared" si="61"/>
        <v>69665.96999795716</v>
      </c>
      <c r="AR41" s="287">
        <f t="shared" si="62"/>
        <v>94376.15946696201</v>
      </c>
      <c r="AS41" s="287">
        <f t="shared" si="63"/>
        <v>444569.32376081287</v>
      </c>
      <c r="AU41" s="321">
        <f ca="1">StateModDepletions_ThisScenario!AC31</f>
        <v>33850.009012296796</v>
      </c>
      <c r="AV41" s="321">
        <f ca="1">StateModDepletions_ThisScenario!AD31</f>
        <v>18603.887831419706</v>
      </c>
      <c r="AW41" s="321">
        <f ca="1">StateModDepletions_ThisScenario!AE31</f>
        <v>103696.55459822714</v>
      </c>
      <c r="AX41" s="321">
        <f ca="1">StateModDepletions_ThisScenario!AB31</f>
        <v>24765.810481309891</v>
      </c>
      <c r="AY41" s="288">
        <f t="shared" ca="1" si="64"/>
        <v>180916.26192325354</v>
      </c>
      <c r="AZ41" s="321">
        <f ca="1">StateModDepletions_ThisScenario!AG31</f>
        <v>32249.66724882878</v>
      </c>
      <c r="BA41" s="321">
        <f ca="1">StateModDepletions_ThisScenario!AF31</f>
        <v>17149.484002463501</v>
      </c>
      <c r="BB41" s="321">
        <f ca="1">StateModDepletions_ThisScenario!AH31</f>
        <v>10259.081240072846</v>
      </c>
      <c r="BC41" s="321">
        <f ca="1">StateModDepletions_ThisScenario!AI31</f>
        <v>11480.264149061417</v>
      </c>
      <c r="BD41" s="321">
        <f ca="1">StateModDepletions_ThisScenario!N31</f>
        <v>1326.6977829933167</v>
      </c>
      <c r="BE41" s="321">
        <f ca="1">StateModDepletions_ThisScenario!V31</f>
        <v>8716.5977029800415</v>
      </c>
      <c r="BF41" s="288">
        <f t="shared" ca="1" si="65"/>
        <v>81181.792126399901</v>
      </c>
      <c r="BG41" s="288">
        <f t="shared" ca="1" si="66"/>
        <v>262098.05404965344</v>
      </c>
      <c r="BI41" s="288">
        <f t="shared" ca="1" si="67"/>
        <v>706667.37781046634</v>
      </c>
      <c r="BK41" s="286">
        <f>AnnualAggregations!$D33</f>
        <v>35893.000000000029</v>
      </c>
      <c r="BL41" s="286">
        <f>AnnualAggregations!$B33</f>
        <v>57140.680103282066</v>
      </c>
      <c r="BM41" s="286">
        <f>AnnualDepletions!$BK33</f>
        <v>57504.081149979109</v>
      </c>
      <c r="BN41" s="286">
        <f>AnnualAggregations!$E33</f>
        <v>5000.0000000019172</v>
      </c>
      <c r="BO41" s="287">
        <f t="shared" si="68"/>
        <v>155537.76125326313</v>
      </c>
      <c r="BP41" s="321">
        <f ca="1">StateModDepletions_ThisScenario!Y31</f>
        <v>212.11356273293495</v>
      </c>
      <c r="BQ41" s="321">
        <f ca="1">StateModDepletions_ThisScenario!AJ31</f>
        <v>140408.29947028653</v>
      </c>
      <c r="BR41" s="321">
        <f ca="1">StateModDepletions_ThisScenario!Z31</f>
        <v>240840.89907646179</v>
      </c>
      <c r="BS41" s="321">
        <f ca="1">StateModDepletions_ThisScenario!AA31</f>
        <v>100220.48604344233</v>
      </c>
      <c r="BT41" s="286">
        <f>AnnualDepletions!$BG33</f>
        <v>12296.800000006155</v>
      </c>
      <c r="BV41" s="287">
        <f t="shared" ca="1" si="69"/>
        <v>874501.93906373566</v>
      </c>
      <c r="BW41" s="287">
        <f t="shared" ca="1" si="70"/>
        <v>774281.45302029327</v>
      </c>
      <c r="BX41" s="287">
        <f t="shared" ca="1" si="56"/>
        <v>789156.45302029327</v>
      </c>
      <c r="BY41" s="287">
        <f>SJRIPSummaryRAW!$B$79</f>
        <v>14875</v>
      </c>
      <c r="CC41" s="282">
        <v>1954</v>
      </c>
      <c r="CD41" s="286">
        <f>AnnualAggregations!K33</f>
        <v>250257.68997276097</v>
      </c>
      <c r="CE41" s="442" t="s">
        <v>597</v>
      </c>
      <c r="CF41" s="286">
        <f>AnnualDeplReqs!$AM33</f>
        <v>12100</v>
      </c>
      <c r="CG41" s="286">
        <f>AnnualDeplReqs!$AK33</f>
        <v>7970.0000000000064</v>
      </c>
      <c r="CH41" s="286">
        <f>AnnualDeplReqs!$L33</f>
        <v>899.99999999999977</v>
      </c>
      <c r="CI41" s="443">
        <f t="shared" si="71"/>
        <v>271767.20794807642</v>
      </c>
      <c r="CJ41" s="286">
        <f>AnnualDeplReqs!$AO33</f>
        <v>1426.9999999998361</v>
      </c>
      <c r="CK41" s="286">
        <f>AnnualDeplReqs!$AY33</f>
        <v>1881.9999999997817</v>
      </c>
      <c r="CL41" s="286">
        <f>AnnualAggregations!$N33</f>
        <v>34852.999999995976</v>
      </c>
      <c r="CM41" s="286">
        <f>AnnualAggregations!$O33</f>
        <v>13034.999999998498</v>
      </c>
      <c r="CN41" s="286">
        <f>AnnualAggregations!$P33</f>
        <v>13640.999999998434</v>
      </c>
      <c r="CO41" s="286">
        <f>AnnualDeplReqs!$AL33</f>
        <v>11567.999999998678</v>
      </c>
      <c r="CP41" s="286">
        <f>AnnualDeplReqs!$AG33</f>
        <v>9207.9999999989413</v>
      </c>
      <c r="CQ41" s="286">
        <f>AnnualDeplReqs!$AN33</f>
        <v>3159.999999999638</v>
      </c>
      <c r="CR41" s="287">
        <f t="shared" si="72"/>
        <v>87346.999999989945</v>
      </c>
      <c r="CS41" s="287">
        <f t="shared" si="73"/>
        <v>360541.20794806618</v>
      </c>
      <c r="CT41" s="286">
        <f>AnnualDeplReqs!$AP33</f>
        <v>340.98999999997505</v>
      </c>
      <c r="CU41" s="442" t="s">
        <v>597</v>
      </c>
      <c r="CV41" s="286">
        <f>AnnualDeplReqs!$AJ33</f>
        <v>38999.999998983854</v>
      </c>
      <c r="CW41" s="286">
        <f>AnnualDeplReqs!$BC33</f>
        <v>16199.99999897049</v>
      </c>
      <c r="CX41" s="286">
        <f>AnnualDeplReqs!$J33</f>
        <v>2499.9900000012672</v>
      </c>
      <c r="CY41" s="286">
        <f>AnnualAggregations!$Q33</f>
        <v>11624.990000001573</v>
      </c>
      <c r="CZ41" s="287">
        <f t="shared" si="74"/>
        <v>69665.96999795716</v>
      </c>
      <c r="DA41" s="443">
        <f t="shared" si="75"/>
        <v>94376.15946696201</v>
      </c>
      <c r="DB41" s="287">
        <f t="shared" si="76"/>
        <v>454917.36741502816</v>
      </c>
      <c r="DD41" s="440" t="s">
        <v>628</v>
      </c>
      <c r="DE41" s="440" t="s">
        <v>628</v>
      </c>
      <c r="DF41" s="440" t="s">
        <v>628</v>
      </c>
      <c r="DG41" s="440" t="s">
        <v>628</v>
      </c>
      <c r="DH41" s="440" t="s">
        <v>628</v>
      </c>
      <c r="DI41" s="440" t="s">
        <v>628</v>
      </c>
      <c r="DJ41" s="440" t="s">
        <v>628</v>
      </c>
      <c r="DK41" s="440" t="s">
        <v>628</v>
      </c>
      <c r="DL41" s="440" t="s">
        <v>628</v>
      </c>
      <c r="DM41" s="440" t="s">
        <v>628</v>
      </c>
      <c r="DN41" s="440" t="s">
        <v>628</v>
      </c>
      <c r="DO41" s="440" t="s">
        <v>628</v>
      </c>
      <c r="DP41" s="440" t="s">
        <v>628</v>
      </c>
      <c r="DR41" s="440" t="s">
        <v>628</v>
      </c>
      <c r="DT41" s="286">
        <f>AnnualAggregations!$L33</f>
        <v>35893.000000000073</v>
      </c>
      <c r="DU41" s="443">
        <f>AnnualAggregations!$J33</f>
        <v>57142.263103282065</v>
      </c>
      <c r="DV41" s="442" t="s">
        <v>597</v>
      </c>
      <c r="DW41" s="286">
        <f>AnnualAggregations!$M33</f>
        <v>5000.0000000019172</v>
      </c>
      <c r="DX41" s="442" t="s">
        <v>597</v>
      </c>
      <c r="DY41" s="440" t="s">
        <v>628</v>
      </c>
      <c r="DZ41" s="440" t="s">
        <v>628</v>
      </c>
      <c r="EA41" s="440" t="s">
        <v>628</v>
      </c>
      <c r="EB41" s="440" t="s">
        <v>628</v>
      </c>
      <c r="EC41" s="286">
        <f>AnnualDeplReqs!$BG33</f>
        <v>12296.800000006155</v>
      </c>
      <c r="EE41" s="440" t="s">
        <v>628</v>
      </c>
      <c r="EF41" s="440" t="s">
        <v>628</v>
      </c>
      <c r="EG41" s="440" t="s">
        <v>628</v>
      </c>
      <c r="EH41" s="442" t="s">
        <v>597</v>
      </c>
      <c r="EL41" s="282">
        <v>1954</v>
      </c>
      <c r="EM41" s="286">
        <f>AnnualAggregations!S33</f>
        <v>312822.11246595217</v>
      </c>
      <c r="EN41" s="442" t="s">
        <v>597</v>
      </c>
      <c r="EO41" s="286">
        <f>AnnualDiversions!$AM33</f>
        <v>24160.880683190015</v>
      </c>
      <c r="EP41" s="286">
        <f>AnnualDiversions!$AK33</f>
        <v>15864.246446422741</v>
      </c>
      <c r="EQ41" s="286">
        <f>AnnualDiversions!$L33</f>
        <v>1799.9999999999995</v>
      </c>
      <c r="ER41" s="287">
        <f t="shared" si="77"/>
        <v>354647.23959556496</v>
      </c>
      <c r="ES41" s="286">
        <f>AnnualDiversions!$AO33</f>
        <v>2853.9999999996721</v>
      </c>
      <c r="ET41" s="286">
        <f>AnnualDiversions!$AY33</f>
        <v>3406.3348416285694</v>
      </c>
      <c r="EU41" s="286">
        <f>AnnualAggregations!$V33</f>
        <v>58534.611656329107</v>
      </c>
      <c r="EV41" s="286">
        <f>AnnualAggregations!$W33</f>
        <v>4616.3774079686918</v>
      </c>
      <c r="EW41" s="286">
        <f>AnnualAggregations!$X33</f>
        <v>20910.065570020692</v>
      </c>
      <c r="EX41" s="286">
        <f>AnnualDiversions!$AL33</f>
        <v>13722.41992882404</v>
      </c>
      <c r="EY41" s="286">
        <f>AnnualDiversions!$AG33</f>
        <v>17450.961811805068</v>
      </c>
      <c r="EZ41" s="286">
        <f>AnnualDiversions!$AN33</f>
        <v>5941.5248660329717</v>
      </c>
      <c r="FA41" s="287">
        <f t="shared" si="78"/>
        <v>124582.29608260914</v>
      </c>
      <c r="FB41" s="287">
        <f t="shared" si="79"/>
        <v>482083.53567817376</v>
      </c>
      <c r="FC41" s="286">
        <f>AnnualDiversions!$AP33</f>
        <v>378.87777777775057</v>
      </c>
      <c r="FD41" s="442" t="s">
        <v>597</v>
      </c>
      <c r="FE41" s="286">
        <f>AnnualDiversions!$AJ33</f>
        <v>38999.999998983854</v>
      </c>
      <c r="FF41" s="286">
        <f>AnnualDiversions!$BC33</f>
        <v>16199.99999897049</v>
      </c>
      <c r="FG41" s="286">
        <f>AnnualDiversions!$J33</f>
        <v>4166.6500000021233</v>
      </c>
      <c r="FH41" s="286">
        <f>AnnualAggregations!$Y33</f>
        <v>19374.983333335964</v>
      </c>
      <c r="FI41" s="287">
        <f t="shared" si="80"/>
        <v>79120.511109070183</v>
      </c>
      <c r="FJ41" s="287">
        <f t="shared" si="81"/>
        <v>79120.511109070183</v>
      </c>
      <c r="FK41" s="287">
        <f t="shared" si="82"/>
        <v>561204.04678724392</v>
      </c>
      <c r="FM41" s="440" t="s">
        <v>628</v>
      </c>
      <c r="FN41" s="440" t="s">
        <v>628</v>
      </c>
      <c r="FO41" s="440" t="s">
        <v>628</v>
      </c>
      <c r="FP41" s="440" t="s">
        <v>628</v>
      </c>
      <c r="FQ41" s="440" t="s">
        <v>628</v>
      </c>
      <c r="FR41" s="440" t="s">
        <v>628</v>
      </c>
      <c r="FS41" s="440" t="s">
        <v>628</v>
      </c>
      <c r="FT41" s="440" t="s">
        <v>628</v>
      </c>
      <c r="FU41" s="440" t="s">
        <v>628</v>
      </c>
      <c r="FV41" s="440" t="s">
        <v>628</v>
      </c>
      <c r="FW41" s="440" t="s">
        <v>628</v>
      </c>
      <c r="FX41" s="440" t="s">
        <v>628</v>
      </c>
      <c r="FY41" s="440" t="s">
        <v>628</v>
      </c>
      <c r="GA41" s="440" t="s">
        <v>628</v>
      </c>
      <c r="GC41" s="286">
        <f>AnnualAggregations!$T33</f>
        <v>37764.238566617583</v>
      </c>
      <c r="GD41" s="286">
        <f>AnnualAggregations!$R33</f>
        <v>109067.13000005133</v>
      </c>
      <c r="GE41" s="443">
        <f t="shared" si="83"/>
        <v>57504.081149979109</v>
      </c>
      <c r="GF41" s="286">
        <f>AnnualAggregations!$U33</f>
        <v>5000.0000000019172</v>
      </c>
      <c r="GG41" s="287">
        <f t="shared" si="84"/>
        <v>209335.44971664995</v>
      </c>
      <c r="GH41" s="440" t="s">
        <v>628</v>
      </c>
      <c r="GI41" s="440" t="s">
        <v>628</v>
      </c>
      <c r="GJ41" s="440" t="s">
        <v>628</v>
      </c>
      <c r="GK41" s="440" t="s">
        <v>628</v>
      </c>
      <c r="GL41" s="286">
        <f>AnnualDiversions!$BG33</f>
        <v>12296.800000006155</v>
      </c>
      <c r="GN41" s="440" t="s">
        <v>628</v>
      </c>
      <c r="GO41" s="440" t="s">
        <v>628</v>
      </c>
      <c r="GP41" s="440" t="s">
        <v>628</v>
      </c>
      <c r="GQ41" s="442" t="s">
        <v>597</v>
      </c>
      <c r="GU41" s="282">
        <v>1954</v>
      </c>
      <c r="GV41" s="286">
        <f>AnnualAggregations!AA33</f>
        <v>312822.11246595217</v>
      </c>
      <c r="GW41" s="442" t="s">
        <v>597</v>
      </c>
      <c r="GX41" s="286">
        <f>AnnualDivReqs!$AM33</f>
        <v>24160.880683190015</v>
      </c>
      <c r="GY41" s="286">
        <f>AnnualDivReqs!$AK33</f>
        <v>15864.246446422741</v>
      </c>
      <c r="GZ41" s="286">
        <f>AnnualDivReqs!$L33</f>
        <v>1799.9999999999995</v>
      </c>
      <c r="HA41" s="287">
        <f t="shared" si="85"/>
        <v>354647.23959556496</v>
      </c>
      <c r="HB41" s="286">
        <f>AnnualDivReqs!$AO33</f>
        <v>2853.9999999996721</v>
      </c>
      <c r="HC41" s="286">
        <f>AnnualDivReqs!$AY33</f>
        <v>3406.3348416285694</v>
      </c>
      <c r="HD41" s="286">
        <f>AnnualAggregations!$AD33</f>
        <v>58534.611656329107</v>
      </c>
      <c r="HE41" s="286">
        <f>AnnualAggregations!$AE33</f>
        <v>23345.796519759631</v>
      </c>
      <c r="HF41" s="286">
        <f>AnnualAggregations!$AF33</f>
        <v>20910.065570020692</v>
      </c>
      <c r="HG41" s="286">
        <f>AnnualDivReqs!$AL33</f>
        <v>13722.41992882404</v>
      </c>
      <c r="HH41" s="286">
        <f>AnnualDivReqs!$AG33</f>
        <v>17450.961811805068</v>
      </c>
      <c r="HI41" s="286">
        <f>AnnualDivReqs!$AN33</f>
        <v>5941.5248660329717</v>
      </c>
      <c r="HJ41" s="287">
        <f t="shared" si="86"/>
        <v>143311.71519440005</v>
      </c>
      <c r="HK41" s="287">
        <f t="shared" si="87"/>
        <v>500812.95478996466</v>
      </c>
      <c r="HL41" s="286">
        <f>AnnualDivReqs!$AP33</f>
        <v>378.87777777775057</v>
      </c>
      <c r="HM41" s="442" t="s">
        <v>597</v>
      </c>
      <c r="HN41" s="286">
        <f>AnnualDivReqs!$AJ33</f>
        <v>38999.999998983854</v>
      </c>
      <c r="HO41" s="286">
        <f>AnnualDivReqs!$BC33</f>
        <v>16199.99999897049</v>
      </c>
      <c r="HP41" s="286">
        <f>AnnualDivReqs!$J33</f>
        <v>4166.6500000021233</v>
      </c>
      <c r="HQ41" s="286">
        <f>AnnualAggregations!$AG33</f>
        <v>19374.983333335964</v>
      </c>
      <c r="HR41" s="287">
        <f t="shared" si="88"/>
        <v>79120.511109070183</v>
      </c>
      <c r="HS41" s="287">
        <f t="shared" si="89"/>
        <v>79120.511109070183</v>
      </c>
      <c r="HT41" s="287">
        <f t="shared" si="90"/>
        <v>579933.46589903487</v>
      </c>
      <c r="HV41" s="440" t="s">
        <v>628</v>
      </c>
      <c r="HW41" s="440" t="s">
        <v>628</v>
      </c>
      <c r="HX41" s="440" t="s">
        <v>628</v>
      </c>
      <c r="HY41" s="440" t="s">
        <v>628</v>
      </c>
      <c r="HZ41" s="440" t="s">
        <v>628</v>
      </c>
      <c r="IA41" s="440" t="s">
        <v>628</v>
      </c>
      <c r="IB41" s="440" t="s">
        <v>628</v>
      </c>
      <c r="IC41" s="440" t="s">
        <v>628</v>
      </c>
      <c r="ID41" s="440" t="s">
        <v>628</v>
      </c>
      <c r="IE41" s="440" t="s">
        <v>628</v>
      </c>
      <c r="IF41" s="440" t="s">
        <v>628</v>
      </c>
      <c r="IG41" s="440" t="s">
        <v>628</v>
      </c>
      <c r="IH41" s="440" t="s">
        <v>628</v>
      </c>
      <c r="IJ41" s="440" t="s">
        <v>628</v>
      </c>
      <c r="IL41" s="286">
        <f>AnnualAggregations!$AB33</f>
        <v>37764.238566617634</v>
      </c>
      <c r="IM41" s="286">
        <f>AnnualAggregations!$Z33</f>
        <v>109070.29600005133</v>
      </c>
      <c r="IN41" s="442" t="s">
        <v>597</v>
      </c>
      <c r="IO41" s="286">
        <f>AnnualAggregations!$AC33</f>
        <v>5000.0000000019172</v>
      </c>
      <c r="IP41" s="442" t="s">
        <v>597</v>
      </c>
      <c r="IQ41" s="440" t="s">
        <v>628</v>
      </c>
      <c r="IR41" s="440" t="s">
        <v>628</v>
      </c>
      <c r="IS41" s="440" t="s">
        <v>628</v>
      </c>
      <c r="IT41" s="440" t="s">
        <v>628</v>
      </c>
      <c r="IU41" s="286">
        <f>AnnualDivReqs!$BG33</f>
        <v>12296.800000006155</v>
      </c>
      <c r="IW41" s="440" t="s">
        <v>628</v>
      </c>
      <c r="IX41" s="440" t="s">
        <v>628</v>
      </c>
      <c r="IY41" s="440" t="s">
        <v>628</v>
      </c>
      <c r="IZ41" s="442" t="s">
        <v>597</v>
      </c>
    </row>
    <row r="42" spans="1:260" x14ac:dyDescent="0.25">
      <c r="A42" s="480" t="str">
        <f>ADDRESS(ROW(SJRIPSummary!E34),COLUMN(SJRIPSummary!E34),4,1)</f>
        <v>E34</v>
      </c>
      <c r="B42" s="480" t="str">
        <f t="shared" si="57"/>
        <v>34</v>
      </c>
      <c r="C42" t="s">
        <v>615</v>
      </c>
      <c r="D42" s="404">
        <v>27</v>
      </c>
      <c r="E42" s="404">
        <v>88</v>
      </c>
      <c r="F42" s="404">
        <v>149</v>
      </c>
      <c r="G42" s="404">
        <v>210</v>
      </c>
      <c r="H42" s="391"/>
      <c r="I42" s="558" t="s">
        <v>100</v>
      </c>
      <c r="J42" s="560" t="s">
        <v>101</v>
      </c>
      <c r="K42" s="561"/>
      <c r="L42" s="257" t="s">
        <v>301</v>
      </c>
      <c r="M42" s="237">
        <f ca="1">ROUND(SJRIPSummaryRAW!B41,-2)</f>
        <v>32700</v>
      </c>
      <c r="N42" s="148"/>
      <c r="O42" s="258">
        <f ca="1">ROUND(SJRIPSummaryRAW!D41,-2)</f>
        <v>38600</v>
      </c>
      <c r="P42" s="259">
        <f ca="1">ROUND(SJRIPSummaryRAW!E41,-2)</f>
        <v>26200</v>
      </c>
      <c r="Q42" s="391"/>
      <c r="R42" s="21"/>
      <c r="S42" s="21"/>
      <c r="T42" s="282">
        <v>1955</v>
      </c>
      <c r="U42" s="286">
        <f>AnnualAggregations!$C34</f>
        <v>243869.93860232364</v>
      </c>
      <c r="V42" s="286">
        <f>AnnualDepletions!$BI34</f>
        <v>-738.03229877211174</v>
      </c>
      <c r="W42" s="286">
        <f>AnnualDepletions!$AM34</f>
        <v>12100.000000000011</v>
      </c>
      <c r="X42" s="286">
        <f>AnnualDepletions!$AK34</f>
        <v>7969.9999999999973</v>
      </c>
      <c r="Y42" s="286">
        <f>AnnualDepletions!$L34</f>
        <v>900.00000000000068</v>
      </c>
      <c r="Z42" s="287">
        <f t="shared" si="58"/>
        <v>264101.90630355151</v>
      </c>
      <c r="AA42" s="286">
        <f>AnnualDepletions!$AO34</f>
        <v>1064.9999999998781</v>
      </c>
      <c r="AB42" s="286">
        <f>AnnualDepletions!$AY34</f>
        <v>1684.9999999998061</v>
      </c>
      <c r="AC42" s="286">
        <f>AnnualAggregations!$F34</f>
        <v>32952.999999996202</v>
      </c>
      <c r="AD42" s="286">
        <f>AnnualAggregations!$G34</f>
        <v>3474.2443040667558</v>
      </c>
      <c r="AE42" s="286">
        <f>AnnualAggregations!$H34</f>
        <v>13191.999999998479</v>
      </c>
      <c r="AF42" s="286">
        <f>AnnualDepletions!$AL34</f>
        <v>11128.999999998714</v>
      </c>
      <c r="AG42" s="286">
        <f>AnnualDepletions!$AG34</f>
        <v>9413.9999999989141</v>
      </c>
      <c r="AH42" s="286">
        <f>AnnualDepletions!$AN34</f>
        <v>3050.9999999996489</v>
      </c>
      <c r="AI42" s="287">
        <f t="shared" si="59"/>
        <v>74898.24430405852</v>
      </c>
      <c r="AJ42" s="287">
        <f t="shared" si="60"/>
        <v>340065.15060760989</v>
      </c>
      <c r="AK42" s="286">
        <f>AnnualDepletions!$AP34</f>
        <v>340.98999999997505</v>
      </c>
      <c r="AL42" s="286">
        <f>AnnualDepletions!$BH34</f>
        <v>23225.904663781974</v>
      </c>
      <c r="AM42" s="286">
        <f>AnnualDepletions!$AJ34</f>
        <v>38999.999998983854</v>
      </c>
      <c r="AN42" s="286">
        <f>AnnualDepletions!$BC34</f>
        <v>16199.99999897049</v>
      </c>
      <c r="AO42" s="286">
        <f>AnnualDepletions!$J34</f>
        <v>2499.9900000012672</v>
      </c>
      <c r="AP42" s="286">
        <f>AnnualAggregations!$I34</f>
        <v>11624.990000001573</v>
      </c>
      <c r="AQ42" s="287">
        <f t="shared" si="61"/>
        <v>69665.96999795716</v>
      </c>
      <c r="AR42" s="287">
        <f t="shared" si="62"/>
        <v>92891.874661739144</v>
      </c>
      <c r="AS42" s="287">
        <f t="shared" si="63"/>
        <v>432957.02526934905</v>
      </c>
      <c r="AU42" s="321">
        <f ca="1">StateModDepletions_ThisScenario!AC32</f>
        <v>33368.37851189822</v>
      </c>
      <c r="AV42" s="321">
        <f ca="1">StateModDepletions_ThisScenario!AD32</f>
        <v>17935.398609187454</v>
      </c>
      <c r="AW42" s="321">
        <f ca="1">StateModDepletions_ThisScenario!AE32</f>
        <v>105071.51970103011</v>
      </c>
      <c r="AX42" s="321">
        <f ca="1">StateModDepletions_ThisScenario!AB32</f>
        <v>24765.810481309891</v>
      </c>
      <c r="AY42" s="288">
        <f t="shared" ca="1" si="64"/>
        <v>181141.10730342567</v>
      </c>
      <c r="AZ42" s="321">
        <f ca="1">StateModDepletions_ThisScenario!AG32</f>
        <v>30319.346865831387</v>
      </c>
      <c r="BA42" s="321">
        <f ca="1">StateModDepletions_ThisScenario!AF32</f>
        <v>17367.430947430435</v>
      </c>
      <c r="BB42" s="321">
        <f ca="1">StateModDepletions_ThisScenario!AH32</f>
        <v>11809.074396446347</v>
      </c>
      <c r="BC42" s="321">
        <f ca="1">StateModDepletions_ThisScenario!AI32</f>
        <v>10885.460051013873</v>
      </c>
      <c r="BD42" s="321">
        <f ca="1">StateModDepletions_ThisScenario!N32</f>
        <v>1326.6977829933167</v>
      </c>
      <c r="BE42" s="321">
        <f ca="1">StateModDepletions_ThisScenario!V32</f>
        <v>10876.080883979797</v>
      </c>
      <c r="BF42" s="288">
        <f t="shared" ca="1" si="65"/>
        <v>82584.090927695157</v>
      </c>
      <c r="BG42" s="288">
        <f t="shared" ca="1" si="66"/>
        <v>263725.19823112083</v>
      </c>
      <c r="BI42" s="288">
        <f t="shared" ca="1" si="67"/>
        <v>696682.22350046993</v>
      </c>
      <c r="BK42" s="286">
        <f>AnnualAggregations!$D34</f>
        <v>35893.000000000058</v>
      </c>
      <c r="BL42" s="286">
        <f>AnnualAggregations!$B34</f>
        <v>57157.553337920661</v>
      </c>
      <c r="BM42" s="286">
        <f>AnnualDepletions!$BK34</f>
        <v>53181.604917705044</v>
      </c>
      <c r="BN42" s="286">
        <f>AnnualAggregations!$E34</f>
        <v>5000.0000000019172</v>
      </c>
      <c r="BO42" s="287">
        <f t="shared" si="68"/>
        <v>151232.15825562767</v>
      </c>
      <c r="BP42" s="321">
        <f ca="1">StateModDepletions_ThisScenario!Y32</f>
        <v>212.11356273293495</v>
      </c>
      <c r="BQ42" s="321">
        <f ca="1">StateModDepletions_ThisScenario!AJ32</f>
        <v>123063.08406724723</v>
      </c>
      <c r="BR42" s="321">
        <f ca="1">StateModDepletions_ThisScenario!Z32</f>
        <v>215498.89399719238</v>
      </c>
      <c r="BS42" s="321">
        <f ca="1">StateModDepletions_ThisScenario!AA32</f>
        <v>92223.696367212222</v>
      </c>
      <c r="BT42" s="286">
        <f>AnnualDepletions!$BG34</f>
        <v>12296.800000006155</v>
      </c>
      <c r="BV42" s="287">
        <f t="shared" ca="1" si="69"/>
        <v>860211.18175610376</v>
      </c>
      <c r="BW42" s="287">
        <f t="shared" ca="1" si="70"/>
        <v>767987.48538889154</v>
      </c>
      <c r="BX42" s="287">
        <f t="shared" ca="1" si="56"/>
        <v>782862.48538889154</v>
      </c>
      <c r="BY42" s="287">
        <f>SJRIPSummaryRAW!$B$79</f>
        <v>14875</v>
      </c>
      <c r="CC42" s="282">
        <v>1955</v>
      </c>
      <c r="CD42" s="286">
        <f>AnnualAggregations!K34</f>
        <v>243869.93860232364</v>
      </c>
      <c r="CE42" s="442" t="s">
        <v>597</v>
      </c>
      <c r="CF42" s="286">
        <f>AnnualDeplReqs!$AM34</f>
        <v>12100.000000000011</v>
      </c>
      <c r="CG42" s="286">
        <f>AnnualDeplReqs!$AK34</f>
        <v>7969.9999999999973</v>
      </c>
      <c r="CH42" s="286">
        <f>AnnualDeplReqs!$L34</f>
        <v>900.00000000000068</v>
      </c>
      <c r="CI42" s="443">
        <f t="shared" si="71"/>
        <v>264101.90630355151</v>
      </c>
      <c r="CJ42" s="286">
        <f>AnnualDeplReqs!$AO34</f>
        <v>1064.9999999998781</v>
      </c>
      <c r="CK42" s="286">
        <f>AnnualDeplReqs!$AY34</f>
        <v>1684.9999999998061</v>
      </c>
      <c r="CL42" s="286">
        <f>AnnualAggregations!$N34</f>
        <v>32952.999999996202</v>
      </c>
      <c r="CM42" s="286">
        <f>AnnualAggregations!$O34</f>
        <v>12356.999999998581</v>
      </c>
      <c r="CN42" s="286">
        <f>AnnualAggregations!$P34</f>
        <v>13191.999999998479</v>
      </c>
      <c r="CO42" s="286">
        <f>AnnualDeplReqs!$AL34</f>
        <v>11128.999999998714</v>
      </c>
      <c r="CP42" s="286">
        <f>AnnualDeplReqs!$AG34</f>
        <v>9413.9999999989141</v>
      </c>
      <c r="CQ42" s="286">
        <f>AnnualDeplReqs!$AN34</f>
        <v>3050.9999999996489</v>
      </c>
      <c r="CR42" s="287">
        <f t="shared" si="72"/>
        <v>83780.999999990338</v>
      </c>
      <c r="CS42" s="287">
        <f t="shared" si="73"/>
        <v>348947.90630354173</v>
      </c>
      <c r="CT42" s="286">
        <f>AnnualDeplReqs!$AP34</f>
        <v>340.98999999997505</v>
      </c>
      <c r="CU42" s="442" t="s">
        <v>597</v>
      </c>
      <c r="CV42" s="286">
        <f>AnnualDeplReqs!$AJ34</f>
        <v>38999.999998983854</v>
      </c>
      <c r="CW42" s="286">
        <f>AnnualDeplReqs!$BC34</f>
        <v>16199.99999897049</v>
      </c>
      <c r="CX42" s="286">
        <f>AnnualDeplReqs!$J34</f>
        <v>2499.9900000012672</v>
      </c>
      <c r="CY42" s="286">
        <f>AnnualAggregations!$Q34</f>
        <v>11624.990000001573</v>
      </c>
      <c r="CZ42" s="287">
        <f t="shared" si="74"/>
        <v>69665.96999795716</v>
      </c>
      <c r="DA42" s="443">
        <f t="shared" si="75"/>
        <v>92891.87466173913</v>
      </c>
      <c r="DB42" s="287">
        <f t="shared" si="76"/>
        <v>441839.78096528084</v>
      </c>
      <c r="DD42" s="440" t="s">
        <v>628</v>
      </c>
      <c r="DE42" s="440" t="s">
        <v>628</v>
      </c>
      <c r="DF42" s="440" t="s">
        <v>628</v>
      </c>
      <c r="DG42" s="440" t="s">
        <v>628</v>
      </c>
      <c r="DH42" s="440" t="s">
        <v>628</v>
      </c>
      <c r="DI42" s="440" t="s">
        <v>628</v>
      </c>
      <c r="DJ42" s="440" t="s">
        <v>628</v>
      </c>
      <c r="DK42" s="440" t="s">
        <v>628</v>
      </c>
      <c r="DL42" s="440" t="s">
        <v>628</v>
      </c>
      <c r="DM42" s="440" t="s">
        <v>628</v>
      </c>
      <c r="DN42" s="440" t="s">
        <v>628</v>
      </c>
      <c r="DO42" s="440" t="s">
        <v>628</v>
      </c>
      <c r="DP42" s="440" t="s">
        <v>628</v>
      </c>
      <c r="DR42" s="440" t="s">
        <v>628</v>
      </c>
      <c r="DT42" s="286">
        <f>AnnualAggregations!$L34</f>
        <v>35893.000000000073</v>
      </c>
      <c r="DU42" s="443">
        <f>AnnualAggregations!$J34</f>
        <v>57222.909209570673</v>
      </c>
      <c r="DV42" s="442" t="s">
        <v>597</v>
      </c>
      <c r="DW42" s="286">
        <f>AnnualAggregations!$M34</f>
        <v>5000.0000000019172</v>
      </c>
      <c r="DX42" s="442" t="s">
        <v>597</v>
      </c>
      <c r="DY42" s="440" t="s">
        <v>628</v>
      </c>
      <c r="DZ42" s="440" t="s">
        <v>628</v>
      </c>
      <c r="EA42" s="440" t="s">
        <v>628</v>
      </c>
      <c r="EB42" s="440" t="s">
        <v>628</v>
      </c>
      <c r="EC42" s="286">
        <f>AnnualDeplReqs!$BG34</f>
        <v>12296.800000006155</v>
      </c>
      <c r="EE42" s="440" t="s">
        <v>628</v>
      </c>
      <c r="EF42" s="440" t="s">
        <v>628</v>
      </c>
      <c r="EG42" s="440" t="s">
        <v>628</v>
      </c>
      <c r="EH42" s="442" t="s">
        <v>597</v>
      </c>
      <c r="EL42" s="282">
        <v>1955</v>
      </c>
      <c r="EM42" s="286">
        <f>AnnualAggregations!S34</f>
        <v>304837.42325290432</v>
      </c>
      <c r="EN42" s="442" t="s">
        <v>597</v>
      </c>
      <c r="EO42" s="286">
        <f>AnnualDiversions!$AM34</f>
        <v>24160.880683189986</v>
      </c>
      <c r="EP42" s="286">
        <f>AnnualDiversions!$AK34</f>
        <v>15864.246446422738</v>
      </c>
      <c r="EQ42" s="286">
        <f>AnnualDiversions!$L34</f>
        <v>1800.0000000000014</v>
      </c>
      <c r="ER42" s="287">
        <f t="shared" si="77"/>
        <v>346662.55038251705</v>
      </c>
      <c r="ES42" s="286">
        <f>AnnualDiversions!$AO34</f>
        <v>2129.9999999997563</v>
      </c>
      <c r="ET42" s="286">
        <f>AnnualDiversions!$AY34</f>
        <v>3049.7737556557581</v>
      </c>
      <c r="EU42" s="286">
        <f>AnnualAggregations!$V34</f>
        <v>55358.436719437588</v>
      </c>
      <c r="EV42" s="286">
        <f>AnnualAggregations!$W34</f>
        <v>6076.9555746990482</v>
      </c>
      <c r="EW42" s="286">
        <f>AnnualAggregations!$X34</f>
        <v>20222.045829184877</v>
      </c>
      <c r="EX42" s="286">
        <f>AnnualDiversions!$AL34</f>
        <v>13201.660735467043</v>
      </c>
      <c r="EY42" s="286">
        <f>AnnualDiversions!$AG34</f>
        <v>17841.372121669508</v>
      </c>
      <c r="EZ42" s="286">
        <f>AnnualDiversions!$AN34</f>
        <v>5736.5798627425966</v>
      </c>
      <c r="FA42" s="287">
        <f t="shared" si="78"/>
        <v>121486.82459885642</v>
      </c>
      <c r="FB42" s="287">
        <f t="shared" si="79"/>
        <v>470279.3749813732</v>
      </c>
      <c r="FC42" s="286">
        <f>AnnualDiversions!$AP34</f>
        <v>378.87777777775057</v>
      </c>
      <c r="FD42" s="442" t="s">
        <v>597</v>
      </c>
      <c r="FE42" s="286">
        <f>AnnualDiversions!$AJ34</f>
        <v>38999.999998983854</v>
      </c>
      <c r="FF42" s="286">
        <f>AnnualDiversions!$BC34</f>
        <v>16199.99999897049</v>
      </c>
      <c r="FG42" s="286">
        <f>AnnualDiversions!$J34</f>
        <v>4166.6500000021233</v>
      </c>
      <c r="FH42" s="286">
        <f>AnnualAggregations!$Y34</f>
        <v>19374.983333335964</v>
      </c>
      <c r="FI42" s="287">
        <f t="shared" si="80"/>
        <v>79120.511109070183</v>
      </c>
      <c r="FJ42" s="287">
        <f t="shared" si="81"/>
        <v>79120.511109070183</v>
      </c>
      <c r="FK42" s="287">
        <f t="shared" si="82"/>
        <v>549399.88609044335</v>
      </c>
      <c r="FM42" s="440" t="s">
        <v>628</v>
      </c>
      <c r="FN42" s="440" t="s">
        <v>628</v>
      </c>
      <c r="FO42" s="440" t="s">
        <v>628</v>
      </c>
      <c r="FP42" s="440" t="s">
        <v>628</v>
      </c>
      <c r="FQ42" s="440" t="s">
        <v>628</v>
      </c>
      <c r="FR42" s="440" t="s">
        <v>628</v>
      </c>
      <c r="FS42" s="440" t="s">
        <v>628</v>
      </c>
      <c r="FT42" s="440" t="s">
        <v>628</v>
      </c>
      <c r="FU42" s="440" t="s">
        <v>628</v>
      </c>
      <c r="FV42" s="440" t="s">
        <v>628</v>
      </c>
      <c r="FW42" s="440" t="s">
        <v>628</v>
      </c>
      <c r="FX42" s="440" t="s">
        <v>628</v>
      </c>
      <c r="FY42" s="440" t="s">
        <v>628</v>
      </c>
      <c r="GA42" s="440" t="s">
        <v>628</v>
      </c>
      <c r="GC42" s="286">
        <f>AnnualAggregations!$T34</f>
        <v>37764.23856661762</v>
      </c>
      <c r="GD42" s="286">
        <f>AnnualAggregations!$R34</f>
        <v>109067.13000005133</v>
      </c>
      <c r="GE42" s="443">
        <f t="shared" si="83"/>
        <v>53181.604917705044</v>
      </c>
      <c r="GF42" s="286">
        <f>AnnualAggregations!$U34</f>
        <v>5000.0000000019172</v>
      </c>
      <c r="GG42" s="287">
        <f t="shared" si="84"/>
        <v>205012.97348437592</v>
      </c>
      <c r="GH42" s="440" t="s">
        <v>628</v>
      </c>
      <c r="GI42" s="440" t="s">
        <v>628</v>
      </c>
      <c r="GJ42" s="440" t="s">
        <v>628</v>
      </c>
      <c r="GK42" s="440" t="s">
        <v>628</v>
      </c>
      <c r="GL42" s="286">
        <f>AnnualDiversions!$BG34</f>
        <v>12296.800000006155</v>
      </c>
      <c r="GN42" s="440" t="s">
        <v>628</v>
      </c>
      <c r="GO42" s="440" t="s">
        <v>628</v>
      </c>
      <c r="GP42" s="440" t="s">
        <v>628</v>
      </c>
      <c r="GQ42" s="442" t="s">
        <v>597</v>
      </c>
      <c r="GU42" s="282">
        <v>1955</v>
      </c>
      <c r="GV42" s="286">
        <f>AnnualAggregations!AA34</f>
        <v>304837.42325290432</v>
      </c>
      <c r="GW42" s="442" t="s">
        <v>597</v>
      </c>
      <c r="GX42" s="286">
        <f>AnnualDivReqs!$AM34</f>
        <v>24160.880683189986</v>
      </c>
      <c r="GY42" s="286">
        <f>AnnualDivReqs!$AK34</f>
        <v>15864.246446422738</v>
      </c>
      <c r="GZ42" s="286">
        <f>AnnualDivReqs!$L34</f>
        <v>1800.0000000000014</v>
      </c>
      <c r="HA42" s="287">
        <f t="shared" si="85"/>
        <v>346662.55038251705</v>
      </c>
      <c r="HB42" s="286">
        <f>AnnualDivReqs!$AO34</f>
        <v>2129.9999999997563</v>
      </c>
      <c r="HC42" s="286">
        <f>AnnualDivReqs!$AY34</f>
        <v>3049.7737556557581</v>
      </c>
      <c r="HD42" s="286">
        <f>AnnualAggregations!$AD34</f>
        <v>55358.436719437588</v>
      </c>
      <c r="HE42" s="286">
        <f>AnnualAggregations!$AE34</f>
        <v>22132.173243754805</v>
      </c>
      <c r="HF42" s="286">
        <f>AnnualAggregations!$AF34</f>
        <v>20222.045829184877</v>
      </c>
      <c r="HG42" s="286">
        <f>AnnualDivReqs!$AL34</f>
        <v>13201.660735467043</v>
      </c>
      <c r="HH42" s="286">
        <f>AnnualDivReqs!$AG34</f>
        <v>17841.372121669508</v>
      </c>
      <c r="HI42" s="286">
        <f>AnnualDivReqs!$AN34</f>
        <v>5736.5798627425966</v>
      </c>
      <c r="HJ42" s="287">
        <f t="shared" si="86"/>
        <v>137542.04226791215</v>
      </c>
      <c r="HK42" s="287">
        <f t="shared" si="87"/>
        <v>486334.592650429</v>
      </c>
      <c r="HL42" s="286">
        <f>AnnualDivReqs!$AP34</f>
        <v>378.87777777775057</v>
      </c>
      <c r="HM42" s="442" t="s">
        <v>597</v>
      </c>
      <c r="HN42" s="286">
        <f>AnnualDivReqs!$AJ34</f>
        <v>38999.999998983854</v>
      </c>
      <c r="HO42" s="286">
        <f>AnnualDivReqs!$BC34</f>
        <v>16199.99999897049</v>
      </c>
      <c r="HP42" s="286">
        <f>AnnualDivReqs!$J34</f>
        <v>4166.6500000021233</v>
      </c>
      <c r="HQ42" s="286">
        <f>AnnualAggregations!$AG34</f>
        <v>19374.983333335964</v>
      </c>
      <c r="HR42" s="287">
        <f t="shared" si="88"/>
        <v>79120.511109070183</v>
      </c>
      <c r="HS42" s="287">
        <f t="shared" si="89"/>
        <v>79120.511109070183</v>
      </c>
      <c r="HT42" s="287">
        <f t="shared" si="90"/>
        <v>565455.10375949915</v>
      </c>
      <c r="HV42" s="440" t="s">
        <v>628</v>
      </c>
      <c r="HW42" s="440" t="s">
        <v>628</v>
      </c>
      <c r="HX42" s="440" t="s">
        <v>628</v>
      </c>
      <c r="HY42" s="440" t="s">
        <v>628</v>
      </c>
      <c r="HZ42" s="440" t="s">
        <v>628</v>
      </c>
      <c r="IA42" s="440" t="s">
        <v>628</v>
      </c>
      <c r="IB42" s="440" t="s">
        <v>628</v>
      </c>
      <c r="IC42" s="440" t="s">
        <v>628</v>
      </c>
      <c r="ID42" s="440" t="s">
        <v>628</v>
      </c>
      <c r="IE42" s="440" t="s">
        <v>628</v>
      </c>
      <c r="IF42" s="440" t="s">
        <v>628</v>
      </c>
      <c r="IG42" s="440" t="s">
        <v>628</v>
      </c>
      <c r="IH42" s="440" t="s">
        <v>628</v>
      </c>
      <c r="IJ42" s="440" t="s">
        <v>628</v>
      </c>
      <c r="IL42" s="286">
        <f>AnnualAggregations!$AB34</f>
        <v>37764.238566617634</v>
      </c>
      <c r="IM42" s="286">
        <f>AnnualAggregations!$Z34</f>
        <v>109197.84174335135</v>
      </c>
      <c r="IN42" s="442" t="s">
        <v>597</v>
      </c>
      <c r="IO42" s="286">
        <f>AnnualAggregations!$AC34</f>
        <v>5000.0000000019172</v>
      </c>
      <c r="IP42" s="442" t="s">
        <v>597</v>
      </c>
      <c r="IQ42" s="440" t="s">
        <v>628</v>
      </c>
      <c r="IR42" s="440" t="s">
        <v>628</v>
      </c>
      <c r="IS42" s="440" t="s">
        <v>628</v>
      </c>
      <c r="IT42" s="440" t="s">
        <v>628</v>
      </c>
      <c r="IU42" s="286">
        <f>AnnualDivReqs!$BG34</f>
        <v>12296.800000006155</v>
      </c>
      <c r="IW42" s="440" t="s">
        <v>628</v>
      </c>
      <c r="IX42" s="440" t="s">
        <v>628</v>
      </c>
      <c r="IY42" s="440" t="s">
        <v>628</v>
      </c>
      <c r="IZ42" s="442" t="s">
        <v>597</v>
      </c>
    </row>
    <row r="43" spans="1:260" x14ac:dyDescent="0.25">
      <c r="A43" s="480" t="str">
        <f>ADDRESS(ROW(SJRIPSummary!E35),COLUMN(SJRIPSummary!E35),4,1)</f>
        <v>E35</v>
      </c>
      <c r="B43" s="480" t="str">
        <f t="shared" si="57"/>
        <v>35</v>
      </c>
      <c r="C43" t="s">
        <v>616</v>
      </c>
      <c r="D43" s="404">
        <v>28</v>
      </c>
      <c r="E43" s="404">
        <v>89</v>
      </c>
      <c r="F43" s="404">
        <v>150</v>
      </c>
      <c r="G43" s="404">
        <v>211</v>
      </c>
      <c r="H43" s="391"/>
      <c r="I43" s="558"/>
      <c r="J43" s="560"/>
      <c r="K43" s="561"/>
      <c r="L43" s="175" t="s">
        <v>103</v>
      </c>
      <c r="M43" s="174">
        <f ca="1">ROUND(SJRIPSummaryRAW!B43,-2)</f>
        <v>17500</v>
      </c>
      <c r="N43" s="148"/>
      <c r="O43" s="221">
        <f ca="1">ROUND(SJRIPSummaryRAW!D43,-2)</f>
        <v>19500</v>
      </c>
      <c r="P43" s="222">
        <f ca="1">ROUND(SJRIPSummaryRAW!E43,-2)</f>
        <v>12000</v>
      </c>
      <c r="Q43" s="391"/>
      <c r="R43" s="21"/>
      <c r="S43" s="21"/>
      <c r="T43" s="282">
        <v>1956</v>
      </c>
      <c r="U43" s="286">
        <f>AnnualAggregations!$C35</f>
        <v>273559.107146575</v>
      </c>
      <c r="V43" s="286">
        <f>AnnualDepletions!$BI35</f>
        <v>5064.1520401625239</v>
      </c>
      <c r="W43" s="286">
        <f>AnnualDepletions!$AM35</f>
        <v>12099.999999999993</v>
      </c>
      <c r="X43" s="286">
        <f>AnnualDepletions!$AK35</f>
        <v>7970.0000000000045</v>
      </c>
      <c r="Y43" s="286">
        <f>AnnualDepletions!$L35</f>
        <v>899.99999999999955</v>
      </c>
      <c r="Z43" s="287">
        <f t="shared" si="58"/>
        <v>299593.25918673753</v>
      </c>
      <c r="AA43" s="286">
        <f>AnnualDepletions!$AO35</f>
        <v>1226.9999999998583</v>
      </c>
      <c r="AB43" s="286">
        <f>AnnualDepletions!$AY35</f>
        <v>1929.999999999779</v>
      </c>
      <c r="AC43" s="286">
        <f>AnnualAggregations!$F35</f>
        <v>36598.783922228649</v>
      </c>
      <c r="AD43" s="286">
        <f>AnnualAggregations!$G35</f>
        <v>1743.9984474460855</v>
      </c>
      <c r="AE43" s="286">
        <f>AnnualAggregations!$H35</f>
        <v>14515.999999998328</v>
      </c>
      <c r="AF43" s="286">
        <f>AnnualDepletions!$AL35</f>
        <v>12267.999999998588</v>
      </c>
      <c r="AG43" s="286">
        <f>AnnualDepletions!$AG35</f>
        <v>9661.9674553653458</v>
      </c>
      <c r="AH43" s="286">
        <f>AnnualDepletions!$AN35</f>
        <v>3384.9999999996103</v>
      </c>
      <c r="AI43" s="287">
        <f t="shared" si="59"/>
        <v>80103.749825036386</v>
      </c>
      <c r="AJ43" s="287">
        <f t="shared" si="60"/>
        <v>380924.0090117738</v>
      </c>
      <c r="AK43" s="286">
        <f>AnnualDepletions!$AP35</f>
        <v>340.98999999997511</v>
      </c>
      <c r="AL43" s="286">
        <f>AnnualDepletions!$BH35</f>
        <v>21545.042699389094</v>
      </c>
      <c r="AM43" s="286">
        <f>AnnualDepletions!$AJ35</f>
        <v>38999.999998983862</v>
      </c>
      <c r="AN43" s="286">
        <f>AnnualDepletions!$BC35</f>
        <v>16199.999998970494</v>
      </c>
      <c r="AO43" s="286">
        <f>AnnualDepletions!$J35</f>
        <v>2499.9900000012672</v>
      </c>
      <c r="AP43" s="286">
        <f>AnnualAggregations!$I35</f>
        <v>11624.990000001573</v>
      </c>
      <c r="AQ43" s="287">
        <f t="shared" si="61"/>
        <v>69665.969997957174</v>
      </c>
      <c r="AR43" s="287">
        <f t="shared" si="62"/>
        <v>91211.012697346276</v>
      </c>
      <c r="AS43" s="287">
        <f t="shared" si="63"/>
        <v>472135.02170912008</v>
      </c>
      <c r="AU43" s="321">
        <f ca="1">StateModDepletions_ThisScenario!AC33</f>
        <v>33431.810179937631</v>
      </c>
      <c r="AV43" s="321">
        <f ca="1">StateModDepletions_ThisScenario!AD33</f>
        <v>17658.441602453589</v>
      </c>
      <c r="AW43" s="321">
        <f ca="1">StateModDepletions_ThisScenario!AE33</f>
        <v>116256.39353512973</v>
      </c>
      <c r="AX43" s="321">
        <f ca="1">StateModDepletions_ThisScenario!AB33</f>
        <v>24765.810481309891</v>
      </c>
      <c r="AY43" s="288">
        <f t="shared" ca="1" si="64"/>
        <v>192112.45579883084</v>
      </c>
      <c r="AZ43" s="321">
        <f ca="1">StateModDepletions_ThisScenario!AG33</f>
        <v>27447.788686378375</v>
      </c>
      <c r="BA43" s="321">
        <f ca="1">StateModDepletions_ThisScenario!AF33</f>
        <v>19603.86384020745</v>
      </c>
      <c r="BB43" s="321">
        <f ca="1">StateModDepletions_ThisScenario!AH33</f>
        <v>11609.779004126787</v>
      </c>
      <c r="BC43" s="321">
        <f ca="1">StateModDepletions_ThisScenario!AI33</f>
        <v>12181.227390223537</v>
      </c>
      <c r="BD43" s="321">
        <f ca="1">StateModDepletions_ThisScenario!N33</f>
        <v>1326.6977829933167</v>
      </c>
      <c r="BE43" s="321">
        <f ca="1">StateModDepletions_ThisScenario!V33</f>
        <v>8135.2251586914063</v>
      </c>
      <c r="BF43" s="288">
        <f t="shared" ca="1" si="65"/>
        <v>80304.581862620864</v>
      </c>
      <c r="BG43" s="288">
        <f t="shared" ca="1" si="66"/>
        <v>272417.03766145173</v>
      </c>
      <c r="BI43" s="288">
        <f t="shared" ca="1" si="67"/>
        <v>744552.05937057175</v>
      </c>
      <c r="BK43" s="286">
        <f>AnnualAggregations!$D35</f>
        <v>35893.000000000073</v>
      </c>
      <c r="BL43" s="286">
        <f>AnnualAggregations!$B35</f>
        <v>57096.642170480234</v>
      </c>
      <c r="BM43" s="286">
        <f>AnnualDepletions!$BK35</f>
        <v>66043.672748111872</v>
      </c>
      <c r="BN43" s="286">
        <f>AnnualAggregations!$E35</f>
        <v>5000.0000000019463</v>
      </c>
      <c r="BO43" s="287">
        <f t="shared" si="68"/>
        <v>164033.31491859411</v>
      </c>
      <c r="BP43" s="321">
        <f ca="1">StateModDepletions_ThisScenario!Y33</f>
        <v>212.11356273293495</v>
      </c>
      <c r="BQ43" s="321">
        <f ca="1">StateModDepletions_ThisScenario!AJ33</f>
        <v>119626.83872412633</v>
      </c>
      <c r="BR43" s="321">
        <f ca="1">StateModDepletions_ThisScenario!Z33</f>
        <v>211346.36829090118</v>
      </c>
      <c r="BS43" s="321">
        <f ca="1">StateModDepletions_ThisScenario!AA33</f>
        <v>91507.416004041923</v>
      </c>
      <c r="BT43" s="286">
        <f>AnnualDepletions!$BG35</f>
        <v>12296.800000006155</v>
      </c>
      <c r="BV43" s="287">
        <f t="shared" ca="1" si="69"/>
        <v>920882.17428917205</v>
      </c>
      <c r="BW43" s="287">
        <f t="shared" ca="1" si="70"/>
        <v>829374.75828513014</v>
      </c>
      <c r="BX43" s="287">
        <f t="shared" ca="1" si="56"/>
        <v>844249.75828513014</v>
      </c>
      <c r="BY43" s="287">
        <f>SJRIPSummaryRAW!$B$79</f>
        <v>14875</v>
      </c>
      <c r="CC43" s="282">
        <v>1956</v>
      </c>
      <c r="CD43" s="286">
        <f>AnnualAggregations!K35</f>
        <v>273559.107146575</v>
      </c>
      <c r="CE43" s="442" t="s">
        <v>597</v>
      </c>
      <c r="CF43" s="286">
        <f>AnnualDeplReqs!$AM35</f>
        <v>12099.999999999993</v>
      </c>
      <c r="CG43" s="286">
        <f>AnnualDeplReqs!$AK35</f>
        <v>7970.0000000000045</v>
      </c>
      <c r="CH43" s="286">
        <f>AnnualDeplReqs!$L35</f>
        <v>899.99999999999955</v>
      </c>
      <c r="CI43" s="443">
        <f t="shared" si="71"/>
        <v>299593.25918673753</v>
      </c>
      <c r="CJ43" s="286">
        <f>AnnualDeplReqs!$AO35</f>
        <v>1226.9999999998583</v>
      </c>
      <c r="CK43" s="286">
        <f>AnnualDeplReqs!$AY35</f>
        <v>1929.999999999779</v>
      </c>
      <c r="CL43" s="286">
        <f>AnnualAggregations!$N35</f>
        <v>36598.783922228649</v>
      </c>
      <c r="CM43" s="286">
        <f>AnnualAggregations!$O35</f>
        <v>13754.999999998416</v>
      </c>
      <c r="CN43" s="286">
        <f>AnnualAggregations!$P35</f>
        <v>14515.999999998328</v>
      </c>
      <c r="CO43" s="286">
        <f>AnnualDeplReqs!$AL35</f>
        <v>12267.999999998588</v>
      </c>
      <c r="CP43" s="286">
        <f>AnnualDeplReqs!$AG35</f>
        <v>10181.999999998829</v>
      </c>
      <c r="CQ43" s="286">
        <f>AnnualDeplReqs!$AN35</f>
        <v>3384.9999999996103</v>
      </c>
      <c r="CR43" s="287">
        <f t="shared" si="72"/>
        <v>92634.783922222196</v>
      </c>
      <c r="CS43" s="287">
        <f t="shared" si="73"/>
        <v>393455.04310895962</v>
      </c>
      <c r="CT43" s="286">
        <f>AnnualDeplReqs!$AP35</f>
        <v>340.98999999997511</v>
      </c>
      <c r="CU43" s="442" t="s">
        <v>597</v>
      </c>
      <c r="CV43" s="286">
        <f>AnnualDeplReqs!$AJ35</f>
        <v>38999.999998983862</v>
      </c>
      <c r="CW43" s="286">
        <f>AnnualDeplReqs!$BC35</f>
        <v>16199.999998970494</v>
      </c>
      <c r="CX43" s="286">
        <f>AnnualDeplReqs!$J35</f>
        <v>2499.9900000012672</v>
      </c>
      <c r="CY43" s="286">
        <f>AnnualAggregations!$Q35</f>
        <v>11624.990000001573</v>
      </c>
      <c r="CZ43" s="287">
        <f t="shared" si="74"/>
        <v>69665.969997957174</v>
      </c>
      <c r="DA43" s="443">
        <f t="shared" si="75"/>
        <v>91211.012697346276</v>
      </c>
      <c r="DB43" s="287">
        <f t="shared" si="76"/>
        <v>484666.0558063059</v>
      </c>
      <c r="DD43" s="440" t="s">
        <v>628</v>
      </c>
      <c r="DE43" s="440" t="s">
        <v>628</v>
      </c>
      <c r="DF43" s="440" t="s">
        <v>628</v>
      </c>
      <c r="DG43" s="440" t="s">
        <v>628</v>
      </c>
      <c r="DH43" s="440" t="s">
        <v>628</v>
      </c>
      <c r="DI43" s="440" t="s">
        <v>628</v>
      </c>
      <c r="DJ43" s="440" t="s">
        <v>628</v>
      </c>
      <c r="DK43" s="440" t="s">
        <v>628</v>
      </c>
      <c r="DL43" s="440" t="s">
        <v>628</v>
      </c>
      <c r="DM43" s="440" t="s">
        <v>628</v>
      </c>
      <c r="DN43" s="440" t="s">
        <v>628</v>
      </c>
      <c r="DO43" s="440" t="s">
        <v>628</v>
      </c>
      <c r="DP43" s="440" t="s">
        <v>628</v>
      </c>
      <c r="DR43" s="440" t="s">
        <v>628</v>
      </c>
      <c r="DT43" s="286">
        <f>AnnualAggregations!$L35</f>
        <v>35893.000000000073</v>
      </c>
      <c r="DU43" s="443">
        <f>AnnualAggregations!$J35</f>
        <v>57377.780557577222</v>
      </c>
      <c r="DV43" s="442" t="s">
        <v>597</v>
      </c>
      <c r="DW43" s="286">
        <f>AnnualAggregations!$M35</f>
        <v>5000.0000000019463</v>
      </c>
      <c r="DX43" s="442" t="s">
        <v>597</v>
      </c>
      <c r="DY43" s="440" t="s">
        <v>628</v>
      </c>
      <c r="DZ43" s="440" t="s">
        <v>628</v>
      </c>
      <c r="EA43" s="440" t="s">
        <v>628</v>
      </c>
      <c r="EB43" s="440" t="s">
        <v>628</v>
      </c>
      <c r="EC43" s="286">
        <f>AnnualDeplReqs!$BG35</f>
        <v>12296.800000006155</v>
      </c>
      <c r="EE43" s="440" t="s">
        <v>628</v>
      </c>
      <c r="EF43" s="440" t="s">
        <v>628</v>
      </c>
      <c r="EG43" s="440" t="s">
        <v>628</v>
      </c>
      <c r="EH43" s="442" t="s">
        <v>597</v>
      </c>
      <c r="EL43" s="282">
        <v>1956</v>
      </c>
      <c r="EM43" s="286">
        <f>AnnualAggregations!S35</f>
        <v>341948.88393321919</v>
      </c>
      <c r="EN43" s="442" t="s">
        <v>597</v>
      </c>
      <c r="EO43" s="286">
        <f>AnnualDiversions!$AM35</f>
        <v>24160.88068319</v>
      </c>
      <c r="EP43" s="286">
        <f>AnnualDiversions!$AK35</f>
        <v>15864.246446422727</v>
      </c>
      <c r="EQ43" s="286">
        <f>AnnualDiversions!$L35</f>
        <v>1799.9999999999991</v>
      </c>
      <c r="ER43" s="287">
        <f t="shared" si="77"/>
        <v>383774.01106283191</v>
      </c>
      <c r="ES43" s="286">
        <f>AnnualDiversions!$AO35</f>
        <v>2453.9999999997167</v>
      </c>
      <c r="ET43" s="286">
        <f>AnnualDiversions!$AY35</f>
        <v>3493.2126696828523</v>
      </c>
      <c r="EU43" s="286">
        <f>AnnualAggregations!$V35</f>
        <v>61472.716528649602</v>
      </c>
      <c r="EV43" s="286">
        <f>AnnualAggregations!$W35</f>
        <v>2878.5228289835827</v>
      </c>
      <c r="EW43" s="286">
        <f>AnnualAggregations!$X35</f>
        <v>22250.972945803416</v>
      </c>
      <c r="EX43" s="286">
        <f>AnnualDiversions!$AL35</f>
        <v>14552.787663106266</v>
      </c>
      <c r="EY43" s="286">
        <f>AnnualDiversions!$AG35</f>
        <v>18311.318971601151</v>
      </c>
      <c r="EZ43" s="286">
        <f>AnnualDiversions!$AN35</f>
        <v>6364.5764783296218</v>
      </c>
      <c r="FA43" s="287">
        <f t="shared" si="78"/>
        <v>129324.10808615648</v>
      </c>
      <c r="FB43" s="287">
        <f t="shared" si="79"/>
        <v>515552.1191489881</v>
      </c>
      <c r="FC43" s="286">
        <f>AnnualDiversions!$AP35</f>
        <v>378.87777777775057</v>
      </c>
      <c r="FD43" s="442" t="s">
        <v>597</v>
      </c>
      <c r="FE43" s="286">
        <f>AnnualDiversions!$AJ35</f>
        <v>38999.999998983862</v>
      </c>
      <c r="FF43" s="286">
        <f>AnnualDiversions!$BC35</f>
        <v>16199.999998970494</v>
      </c>
      <c r="FG43" s="286">
        <f>AnnualDiversions!$J35</f>
        <v>4166.6500000021233</v>
      </c>
      <c r="FH43" s="286">
        <f>AnnualAggregations!$Y35</f>
        <v>19374.983333335967</v>
      </c>
      <c r="FI43" s="287">
        <f t="shared" si="80"/>
        <v>79120.511109070212</v>
      </c>
      <c r="FJ43" s="287">
        <f t="shared" si="81"/>
        <v>79120.511109070198</v>
      </c>
      <c r="FK43" s="287">
        <f t="shared" si="82"/>
        <v>594672.63025805831</v>
      </c>
      <c r="FM43" s="440" t="s">
        <v>628</v>
      </c>
      <c r="FN43" s="440" t="s">
        <v>628</v>
      </c>
      <c r="FO43" s="440" t="s">
        <v>628</v>
      </c>
      <c r="FP43" s="440" t="s">
        <v>628</v>
      </c>
      <c r="FQ43" s="440" t="s">
        <v>628</v>
      </c>
      <c r="FR43" s="440" t="s">
        <v>628</v>
      </c>
      <c r="FS43" s="440" t="s">
        <v>628</v>
      </c>
      <c r="FT43" s="440" t="s">
        <v>628</v>
      </c>
      <c r="FU43" s="440" t="s">
        <v>628</v>
      </c>
      <c r="FV43" s="440" t="s">
        <v>628</v>
      </c>
      <c r="FW43" s="440" t="s">
        <v>628</v>
      </c>
      <c r="FX43" s="440" t="s">
        <v>628</v>
      </c>
      <c r="FY43" s="440" t="s">
        <v>628</v>
      </c>
      <c r="GA43" s="440" t="s">
        <v>628</v>
      </c>
      <c r="GC43" s="286">
        <f>AnnualAggregations!$T35</f>
        <v>37763.476493275448</v>
      </c>
      <c r="GD43" s="286">
        <f>AnnualAggregations!$R35</f>
        <v>109067.13000005134</v>
      </c>
      <c r="GE43" s="443">
        <f t="shared" si="83"/>
        <v>66043.672748111872</v>
      </c>
      <c r="GF43" s="286">
        <f>AnnualAggregations!$U35</f>
        <v>5000.0000000019463</v>
      </c>
      <c r="GG43" s="287">
        <f t="shared" si="84"/>
        <v>217874.27924144061</v>
      </c>
      <c r="GH43" s="440" t="s">
        <v>628</v>
      </c>
      <c r="GI43" s="440" t="s">
        <v>628</v>
      </c>
      <c r="GJ43" s="440" t="s">
        <v>628</v>
      </c>
      <c r="GK43" s="440" t="s">
        <v>628</v>
      </c>
      <c r="GL43" s="286">
        <f>AnnualDiversions!$BG35</f>
        <v>12296.800000006155</v>
      </c>
      <c r="GN43" s="440" t="s">
        <v>628</v>
      </c>
      <c r="GO43" s="440" t="s">
        <v>628</v>
      </c>
      <c r="GP43" s="440" t="s">
        <v>628</v>
      </c>
      <c r="GQ43" s="442" t="s">
        <v>597</v>
      </c>
      <c r="GU43" s="282">
        <v>1956</v>
      </c>
      <c r="GV43" s="286">
        <f>AnnualAggregations!AA35</f>
        <v>341948.88393321919</v>
      </c>
      <c r="GW43" s="442" t="s">
        <v>597</v>
      </c>
      <c r="GX43" s="286">
        <f>AnnualDivReqs!$AM35</f>
        <v>24160.88068319</v>
      </c>
      <c r="GY43" s="286">
        <f>AnnualDivReqs!$AK35</f>
        <v>15864.246446422727</v>
      </c>
      <c r="GZ43" s="286">
        <f>AnnualDivReqs!$L35</f>
        <v>1799.9999999999991</v>
      </c>
      <c r="HA43" s="287">
        <f t="shared" si="85"/>
        <v>383774.01106283191</v>
      </c>
      <c r="HB43" s="286">
        <f>AnnualDivReqs!$AO35</f>
        <v>2453.9999999997167</v>
      </c>
      <c r="HC43" s="286">
        <f>AnnualDivReqs!$AY35</f>
        <v>3493.2126696828523</v>
      </c>
      <c r="HD43" s="286">
        <f>AnnualAggregations!$AD35</f>
        <v>61472.716528649602</v>
      </c>
      <c r="HE43" s="286">
        <f>AnnualAggregations!$AE35</f>
        <v>24636.332204172737</v>
      </c>
      <c r="HF43" s="286">
        <f>AnnualAggregations!$AF35</f>
        <v>22250.972945803416</v>
      </c>
      <c r="HG43" s="286">
        <f>AnnualDivReqs!$AL35</f>
        <v>14552.787663106266</v>
      </c>
      <c r="HH43" s="286">
        <f>AnnualDivReqs!$AG35</f>
        <v>19296.882403105916</v>
      </c>
      <c r="HI43" s="286">
        <f>AnnualDivReqs!$AN35</f>
        <v>6364.5764783296218</v>
      </c>
      <c r="HJ43" s="287">
        <f t="shared" si="86"/>
        <v>152067.48089285041</v>
      </c>
      <c r="HK43" s="287">
        <f t="shared" si="87"/>
        <v>538295.49195568205</v>
      </c>
      <c r="HL43" s="286">
        <f>AnnualDivReqs!$AP35</f>
        <v>378.87777777775057</v>
      </c>
      <c r="HM43" s="442" t="s">
        <v>597</v>
      </c>
      <c r="HN43" s="286">
        <f>AnnualDivReqs!$AJ35</f>
        <v>38999.999998983862</v>
      </c>
      <c r="HO43" s="286">
        <f>AnnualDivReqs!$BC35</f>
        <v>16199.999998970494</v>
      </c>
      <c r="HP43" s="286">
        <f>AnnualDivReqs!$J35</f>
        <v>4166.6500000021233</v>
      </c>
      <c r="HQ43" s="286">
        <f>AnnualAggregations!$AG35</f>
        <v>19374.983333335967</v>
      </c>
      <c r="HR43" s="287">
        <f t="shared" si="88"/>
        <v>79120.511109070212</v>
      </c>
      <c r="HS43" s="287">
        <f t="shared" si="89"/>
        <v>79120.511109070198</v>
      </c>
      <c r="HT43" s="287">
        <f t="shared" si="90"/>
        <v>617416.00306475221</v>
      </c>
      <c r="HV43" s="440" t="s">
        <v>628</v>
      </c>
      <c r="HW43" s="440" t="s">
        <v>628</v>
      </c>
      <c r="HX43" s="440" t="s">
        <v>628</v>
      </c>
      <c r="HY43" s="440" t="s">
        <v>628</v>
      </c>
      <c r="HZ43" s="440" t="s">
        <v>628</v>
      </c>
      <c r="IA43" s="440" t="s">
        <v>628</v>
      </c>
      <c r="IB43" s="440" t="s">
        <v>628</v>
      </c>
      <c r="IC43" s="440" t="s">
        <v>628</v>
      </c>
      <c r="ID43" s="440" t="s">
        <v>628</v>
      </c>
      <c r="IE43" s="440" t="s">
        <v>628</v>
      </c>
      <c r="IF43" s="440" t="s">
        <v>628</v>
      </c>
      <c r="IG43" s="440" t="s">
        <v>628</v>
      </c>
      <c r="IH43" s="440" t="s">
        <v>628</v>
      </c>
      <c r="IJ43" s="440" t="s">
        <v>628</v>
      </c>
      <c r="IL43" s="286">
        <f>AnnualAggregations!$AB35</f>
        <v>37763.476493275448</v>
      </c>
      <c r="IM43" s="286">
        <f>AnnualAggregations!$Z35</f>
        <v>109629.40677424532</v>
      </c>
      <c r="IN43" s="442" t="s">
        <v>597</v>
      </c>
      <c r="IO43" s="286">
        <f>AnnualAggregations!$AC35</f>
        <v>5000.0000000019463</v>
      </c>
      <c r="IP43" s="442" t="s">
        <v>597</v>
      </c>
      <c r="IQ43" s="440" t="s">
        <v>628</v>
      </c>
      <c r="IR43" s="440" t="s">
        <v>628</v>
      </c>
      <c r="IS43" s="440" t="s">
        <v>628</v>
      </c>
      <c r="IT43" s="440" t="s">
        <v>628</v>
      </c>
      <c r="IU43" s="286">
        <f>AnnualDivReqs!$BG35</f>
        <v>12296.800000006155</v>
      </c>
      <c r="IW43" s="440" t="s">
        <v>628</v>
      </c>
      <c r="IX43" s="440" t="s">
        <v>628</v>
      </c>
      <c r="IY43" s="440" t="s">
        <v>628</v>
      </c>
      <c r="IZ43" s="442" t="s">
        <v>597</v>
      </c>
    </row>
    <row r="44" spans="1:260" x14ac:dyDescent="0.25">
      <c r="A44" s="480" t="str">
        <f>ADDRESS(ROW(SJRIPSummary!E36),COLUMN(SJRIPSummary!E36),4,1)</f>
        <v>E36</v>
      </c>
      <c r="B44" s="480" t="str">
        <f t="shared" si="57"/>
        <v>36</v>
      </c>
      <c r="C44" t="s">
        <v>617</v>
      </c>
      <c r="D44" s="404">
        <v>29</v>
      </c>
      <c r="E44" s="404">
        <v>90</v>
      </c>
      <c r="F44" s="404">
        <v>151</v>
      </c>
      <c r="G44" s="404">
        <v>212</v>
      </c>
      <c r="H44" s="391"/>
      <c r="I44" s="558"/>
      <c r="J44" s="560"/>
      <c r="K44" s="561"/>
      <c r="L44" s="175" t="s">
        <v>104</v>
      </c>
      <c r="M44" s="174">
        <f ca="1">ROUND(SJRIPSummaryRAW!B44,-2)</f>
        <v>105000</v>
      </c>
      <c r="N44" s="152"/>
      <c r="O44" s="221">
        <f ca="1">ROUND(SJRIPSummaryRAW!D44,-2)</f>
        <v>117600</v>
      </c>
      <c r="P44" s="222">
        <f ca="1">ROUND(SJRIPSummaryRAW!E44,-2)</f>
        <v>73000</v>
      </c>
      <c r="Q44" s="391"/>
      <c r="R44" s="21"/>
      <c r="S44" s="21"/>
      <c r="T44" s="282">
        <v>1957</v>
      </c>
      <c r="U44" s="286">
        <f>AnnualAggregations!$C36</f>
        <v>223367.66655389874</v>
      </c>
      <c r="V44" s="286">
        <f>AnnualDepletions!$BI36</f>
        <v>-4838.4867084569105</v>
      </c>
      <c r="W44" s="286">
        <f>AnnualDepletions!$AM36</f>
        <v>12100.000000000007</v>
      </c>
      <c r="X44" s="286">
        <f>AnnualDepletions!$AK36</f>
        <v>7912.001213045849</v>
      </c>
      <c r="Y44" s="286">
        <f>AnnualDepletions!$L36</f>
        <v>900</v>
      </c>
      <c r="Z44" s="287">
        <f t="shared" si="58"/>
        <v>239441.18105848768</v>
      </c>
      <c r="AA44" s="286">
        <f>AnnualDepletions!$AO36</f>
        <v>698.99999999991951</v>
      </c>
      <c r="AB44" s="286">
        <f>AnnualDepletions!$AY36</f>
        <v>1394.9999999998392</v>
      </c>
      <c r="AC44" s="286">
        <f>AnnualAggregations!$F36</f>
        <v>27405.999999996828</v>
      </c>
      <c r="AD44" s="286">
        <f>AnnualAggregations!$G36</f>
        <v>7582.8799875329341</v>
      </c>
      <c r="AE44" s="286">
        <f>AnnualAggregations!$H36</f>
        <v>10339.99999999881</v>
      </c>
      <c r="AF44" s="286">
        <f>AnnualDepletions!$AL36</f>
        <v>8802.9999999989868</v>
      </c>
      <c r="AG44" s="286">
        <f>AnnualDepletions!$AG36</f>
        <v>7776.9999999991123</v>
      </c>
      <c r="AH44" s="286">
        <f>AnnualDepletions!$AN36</f>
        <v>2615.999999999698</v>
      </c>
      <c r="AI44" s="287">
        <f t="shared" si="59"/>
        <v>65919.879987526219</v>
      </c>
      <c r="AJ44" s="287">
        <f t="shared" si="60"/>
        <v>306060.06104601384</v>
      </c>
      <c r="AK44" s="286">
        <f>AnnualDepletions!$AP36</f>
        <v>340.98999999997505</v>
      </c>
      <c r="AL44" s="286">
        <f>AnnualDepletions!$BH36</f>
        <v>22583.833842841501</v>
      </c>
      <c r="AM44" s="286">
        <f>AnnualDepletions!$AJ36</f>
        <v>38999.999998983854</v>
      </c>
      <c r="AN44" s="286">
        <f>AnnualDepletions!$BC36</f>
        <v>16199.99999897049</v>
      </c>
      <c r="AO44" s="286">
        <f>AnnualDepletions!$J36</f>
        <v>2499.9900000012672</v>
      </c>
      <c r="AP44" s="286">
        <f>AnnualAggregations!$I36</f>
        <v>11624.990000001573</v>
      </c>
      <c r="AQ44" s="287">
        <f t="shared" si="61"/>
        <v>69665.96999795716</v>
      </c>
      <c r="AR44" s="287">
        <f t="shared" si="62"/>
        <v>92249.803840798675</v>
      </c>
      <c r="AS44" s="287">
        <f t="shared" si="63"/>
        <v>398309.86488681252</v>
      </c>
      <c r="AU44" s="321">
        <f ca="1">StateModDepletions_ThisScenario!AC34</f>
        <v>28383.340720459819</v>
      </c>
      <c r="AV44" s="321">
        <f ca="1">StateModDepletions_ThisScenario!AD34</f>
        <v>15450.513181477785</v>
      </c>
      <c r="AW44" s="321">
        <f ca="1">StateModDepletions_ThisScenario!AE34</f>
        <v>85157.756951540709</v>
      </c>
      <c r="AX44" s="321">
        <f ca="1">StateModDepletions_ThisScenario!AB34</f>
        <v>24765.810481309891</v>
      </c>
      <c r="AY44" s="288">
        <f t="shared" ca="1" si="64"/>
        <v>153757.4213347882</v>
      </c>
      <c r="AZ44" s="321">
        <f ca="1">StateModDepletions_ThisScenario!AG34</f>
        <v>38431.206994293709</v>
      </c>
      <c r="BA44" s="321">
        <f ca="1">StateModDepletions_ThisScenario!AF34</f>
        <v>14232.487855978306</v>
      </c>
      <c r="BB44" s="321">
        <f ca="1">StateModDepletions_ThisScenario!AH34</f>
        <v>19995.303140312433</v>
      </c>
      <c r="BC44" s="321">
        <f ca="1">StateModDepletions_ThisScenario!AI34</f>
        <v>23054.035986484916</v>
      </c>
      <c r="BD44" s="321">
        <f ca="1">StateModDepletions_ThisScenario!N34</f>
        <v>1326.6977829933167</v>
      </c>
      <c r="BE44" s="321">
        <f ca="1">StateModDepletions_ThisScenario!V34</f>
        <v>17425.663586616516</v>
      </c>
      <c r="BF44" s="288">
        <f t="shared" ca="1" si="65"/>
        <v>114465.3953466792</v>
      </c>
      <c r="BG44" s="288">
        <f t="shared" ca="1" si="66"/>
        <v>268222.8166814674</v>
      </c>
      <c r="BI44" s="288">
        <f t="shared" ca="1" si="67"/>
        <v>666532.68156827986</v>
      </c>
      <c r="BK44" s="286">
        <f>AnnualAggregations!$D36</f>
        <v>35893.000000000051</v>
      </c>
      <c r="BL44" s="286">
        <f>AnnualAggregations!$B36</f>
        <v>57040.689551364645</v>
      </c>
      <c r="BM44" s="286">
        <f>AnnualDepletions!$BK36</f>
        <v>179582.02269961478</v>
      </c>
      <c r="BN44" s="286">
        <f>AnnualAggregations!$E36</f>
        <v>5000.0000000019172</v>
      </c>
      <c r="BO44" s="287">
        <f t="shared" si="68"/>
        <v>277515.71225098142</v>
      </c>
      <c r="BP44" s="321">
        <f ca="1">StateModDepletions_ThisScenario!Y34</f>
        <v>212.11356273293495</v>
      </c>
      <c r="BQ44" s="321">
        <f ca="1">StateModDepletions_ThisScenario!AJ34</f>
        <v>103495.38089497729</v>
      </c>
      <c r="BR44" s="321">
        <f ca="1">StateModDepletions_ThisScenario!Z34</f>
        <v>221849.88265037537</v>
      </c>
      <c r="BS44" s="321">
        <f ca="1">StateModDepletions_ThisScenario!AA34</f>
        <v>118142.38819266514</v>
      </c>
      <c r="BT44" s="286">
        <f>AnnualDepletions!$BG36</f>
        <v>12296.800000006155</v>
      </c>
      <c r="BV44" s="287">
        <f t="shared" ca="1" si="69"/>
        <v>956345.19381926744</v>
      </c>
      <c r="BW44" s="287">
        <f t="shared" ca="1" si="70"/>
        <v>838202.80562660226</v>
      </c>
      <c r="BX44" s="287">
        <f t="shared" ca="1" si="56"/>
        <v>853077.80562660226</v>
      </c>
      <c r="BY44" s="287">
        <f>SJRIPSummaryRAW!$B$79</f>
        <v>14875</v>
      </c>
      <c r="CC44" s="282">
        <v>1957</v>
      </c>
      <c r="CD44" s="286">
        <f>AnnualAggregations!K36</f>
        <v>223367.66655389874</v>
      </c>
      <c r="CE44" s="442" t="s">
        <v>597</v>
      </c>
      <c r="CF44" s="286">
        <f>AnnualDeplReqs!$AM36</f>
        <v>12100.000000000007</v>
      </c>
      <c r="CG44" s="286">
        <f>AnnualDeplReqs!$AK36</f>
        <v>7912.001213045849</v>
      </c>
      <c r="CH44" s="286">
        <f>AnnualDeplReqs!$L36</f>
        <v>900</v>
      </c>
      <c r="CI44" s="443">
        <f t="shared" si="71"/>
        <v>239441.18105848768</v>
      </c>
      <c r="CJ44" s="286">
        <f>AnnualDeplReqs!$AO36</f>
        <v>698.99999999991951</v>
      </c>
      <c r="CK44" s="286">
        <f>AnnualDeplReqs!$AY36</f>
        <v>1394.9999999998392</v>
      </c>
      <c r="CL44" s="286">
        <f>AnnualAggregations!$N36</f>
        <v>27405.999999996828</v>
      </c>
      <c r="CM44" s="286">
        <f>AnnualAggregations!$O36</f>
        <v>10087.999999998839</v>
      </c>
      <c r="CN44" s="286">
        <f>AnnualAggregations!$P36</f>
        <v>10339.99999999881</v>
      </c>
      <c r="CO44" s="286">
        <f>AnnualDeplReqs!$AL36</f>
        <v>8802.9999999989868</v>
      </c>
      <c r="CP44" s="286">
        <f>AnnualDeplReqs!$AG36</f>
        <v>7776.9999999991123</v>
      </c>
      <c r="CQ44" s="286">
        <f>AnnualDeplReqs!$AN36</f>
        <v>2615.999999999698</v>
      </c>
      <c r="CR44" s="287">
        <f t="shared" si="72"/>
        <v>68424.999999992098</v>
      </c>
      <c r="CS44" s="287">
        <f t="shared" si="73"/>
        <v>308565.18105847971</v>
      </c>
      <c r="CT44" s="286">
        <f>AnnualDeplReqs!$AP36</f>
        <v>340.98999999997505</v>
      </c>
      <c r="CU44" s="442" t="s">
        <v>597</v>
      </c>
      <c r="CV44" s="286">
        <f>AnnualDeplReqs!$AJ36</f>
        <v>38999.999998983854</v>
      </c>
      <c r="CW44" s="286">
        <f>AnnualDeplReqs!$BC36</f>
        <v>16199.99999897049</v>
      </c>
      <c r="CX44" s="286">
        <f>AnnualDeplReqs!$J36</f>
        <v>2499.9900000012672</v>
      </c>
      <c r="CY44" s="286">
        <f>AnnualAggregations!$Q36</f>
        <v>11624.990000001573</v>
      </c>
      <c r="CZ44" s="287">
        <f t="shared" si="74"/>
        <v>69665.96999795716</v>
      </c>
      <c r="DA44" s="443">
        <f t="shared" si="75"/>
        <v>92249.803840798661</v>
      </c>
      <c r="DB44" s="287">
        <f t="shared" si="76"/>
        <v>400814.98489927838</v>
      </c>
      <c r="DD44" s="440" t="s">
        <v>628</v>
      </c>
      <c r="DE44" s="440" t="s">
        <v>628</v>
      </c>
      <c r="DF44" s="440" t="s">
        <v>628</v>
      </c>
      <c r="DG44" s="440" t="s">
        <v>628</v>
      </c>
      <c r="DH44" s="440" t="s">
        <v>628</v>
      </c>
      <c r="DI44" s="440" t="s">
        <v>628</v>
      </c>
      <c r="DJ44" s="440" t="s">
        <v>628</v>
      </c>
      <c r="DK44" s="440" t="s">
        <v>628</v>
      </c>
      <c r="DL44" s="440" t="s">
        <v>628</v>
      </c>
      <c r="DM44" s="440" t="s">
        <v>628</v>
      </c>
      <c r="DN44" s="440" t="s">
        <v>628</v>
      </c>
      <c r="DO44" s="440" t="s">
        <v>628</v>
      </c>
      <c r="DP44" s="440" t="s">
        <v>628</v>
      </c>
      <c r="DR44" s="440" t="s">
        <v>628</v>
      </c>
      <c r="DT44" s="286">
        <f>AnnualAggregations!$L36</f>
        <v>35893.000000000073</v>
      </c>
      <c r="DU44" s="443">
        <f>AnnualAggregations!$J36</f>
        <v>57040.689551364645</v>
      </c>
      <c r="DV44" s="442" t="s">
        <v>597</v>
      </c>
      <c r="DW44" s="286">
        <f>AnnualAggregations!$M36</f>
        <v>5000.0000000019172</v>
      </c>
      <c r="DX44" s="442" t="s">
        <v>597</v>
      </c>
      <c r="DY44" s="440" t="s">
        <v>628</v>
      </c>
      <c r="DZ44" s="440" t="s">
        <v>628</v>
      </c>
      <c r="EA44" s="440" t="s">
        <v>628</v>
      </c>
      <c r="EB44" s="440" t="s">
        <v>628</v>
      </c>
      <c r="EC44" s="286">
        <f>AnnualDeplReqs!$BG36</f>
        <v>12296.800000006155</v>
      </c>
      <c r="EE44" s="440" t="s">
        <v>628</v>
      </c>
      <c r="EF44" s="440" t="s">
        <v>628</v>
      </c>
      <c r="EG44" s="440" t="s">
        <v>628</v>
      </c>
      <c r="EH44" s="442" t="s">
        <v>597</v>
      </c>
      <c r="EL44" s="282">
        <v>1957</v>
      </c>
      <c r="EM44" s="286">
        <f>AnnualAggregations!S36</f>
        <v>279209.58319237374</v>
      </c>
      <c r="EN44" s="442" t="s">
        <v>597</v>
      </c>
      <c r="EO44" s="286">
        <f>AnnualDiversions!$AM36</f>
        <v>24160.880683189996</v>
      </c>
      <c r="EP44" s="286">
        <f>AnnualDiversions!$AK36</f>
        <v>15748.800141550188</v>
      </c>
      <c r="EQ44" s="286">
        <f>AnnualDiversions!$L36</f>
        <v>1800</v>
      </c>
      <c r="ER44" s="287">
        <f t="shared" si="77"/>
        <v>320919.26401711395</v>
      </c>
      <c r="ES44" s="286">
        <f>AnnualDiversions!$AO36</f>
        <v>1397.999999999839</v>
      </c>
      <c r="ET44" s="286">
        <f>AnnualDiversions!$AY36</f>
        <v>2524.8868778277656</v>
      </c>
      <c r="EU44" s="286">
        <f>AnnualAggregations!$V36</f>
        <v>46001.69706934323</v>
      </c>
      <c r="EV44" s="286">
        <f>AnnualAggregations!$W36</f>
        <v>14435.702897751682</v>
      </c>
      <c r="EW44" s="286">
        <f>AnnualAggregations!$X36</f>
        <v>15850.218566072317</v>
      </c>
      <c r="EX44" s="286">
        <f>AnnualDiversions!$AL36</f>
        <v>10442.467378409228</v>
      </c>
      <c r="EY44" s="286">
        <f>AnnualDiversions!$AG36</f>
        <v>14738.936795222415</v>
      </c>
      <c r="EZ44" s="286">
        <f>AnnualDiversions!$AN36</f>
        <v>4918.6800789690697</v>
      </c>
      <c r="FA44" s="287">
        <f t="shared" si="78"/>
        <v>108912.58966359572</v>
      </c>
      <c r="FB44" s="287">
        <f t="shared" si="79"/>
        <v>431229.85368070949</v>
      </c>
      <c r="FC44" s="286">
        <f>AnnualDiversions!$AP36</f>
        <v>378.87777777775057</v>
      </c>
      <c r="FD44" s="442" t="s">
        <v>597</v>
      </c>
      <c r="FE44" s="286">
        <f>AnnualDiversions!$AJ36</f>
        <v>38999.999998983854</v>
      </c>
      <c r="FF44" s="286">
        <f>AnnualDiversions!$BC36</f>
        <v>16199.99999897049</v>
      </c>
      <c r="FG44" s="286">
        <f>AnnualDiversions!$J36</f>
        <v>4166.6500000021233</v>
      </c>
      <c r="FH44" s="286">
        <f>AnnualAggregations!$Y36</f>
        <v>19374.983333335964</v>
      </c>
      <c r="FI44" s="287">
        <f t="shared" si="80"/>
        <v>79120.511109070183</v>
      </c>
      <c r="FJ44" s="287">
        <f t="shared" si="81"/>
        <v>79120.511109070183</v>
      </c>
      <c r="FK44" s="287">
        <f t="shared" si="82"/>
        <v>510350.36478977965</v>
      </c>
      <c r="FM44" s="440" t="s">
        <v>628</v>
      </c>
      <c r="FN44" s="440" t="s">
        <v>628</v>
      </c>
      <c r="FO44" s="440" t="s">
        <v>628</v>
      </c>
      <c r="FP44" s="440" t="s">
        <v>628</v>
      </c>
      <c r="FQ44" s="440" t="s">
        <v>628</v>
      </c>
      <c r="FR44" s="440" t="s">
        <v>628</v>
      </c>
      <c r="FS44" s="440" t="s">
        <v>628</v>
      </c>
      <c r="FT44" s="440" t="s">
        <v>628</v>
      </c>
      <c r="FU44" s="440" t="s">
        <v>628</v>
      </c>
      <c r="FV44" s="440" t="s">
        <v>628</v>
      </c>
      <c r="FW44" s="440" t="s">
        <v>628</v>
      </c>
      <c r="FX44" s="440" t="s">
        <v>628</v>
      </c>
      <c r="FY44" s="440" t="s">
        <v>628</v>
      </c>
      <c r="GA44" s="440" t="s">
        <v>628</v>
      </c>
      <c r="GC44" s="286">
        <f>AnnualAggregations!$T36</f>
        <v>37764.238566617612</v>
      </c>
      <c r="GD44" s="286">
        <f>AnnualAggregations!$R36</f>
        <v>109067.13000005133</v>
      </c>
      <c r="GE44" s="443">
        <f t="shared" si="83"/>
        <v>179582.02269961478</v>
      </c>
      <c r="GF44" s="286">
        <f>AnnualAggregations!$U36</f>
        <v>5000.0000000019172</v>
      </c>
      <c r="GG44" s="287">
        <f t="shared" si="84"/>
        <v>331413.39126628562</v>
      </c>
      <c r="GH44" s="440" t="s">
        <v>628</v>
      </c>
      <c r="GI44" s="440" t="s">
        <v>628</v>
      </c>
      <c r="GJ44" s="440" t="s">
        <v>628</v>
      </c>
      <c r="GK44" s="440" t="s">
        <v>628</v>
      </c>
      <c r="GL44" s="286">
        <f>AnnualDiversions!$BG36</f>
        <v>12296.800000006155</v>
      </c>
      <c r="GN44" s="440" t="s">
        <v>628</v>
      </c>
      <c r="GO44" s="440" t="s">
        <v>628</v>
      </c>
      <c r="GP44" s="440" t="s">
        <v>628</v>
      </c>
      <c r="GQ44" s="442" t="s">
        <v>597</v>
      </c>
      <c r="GU44" s="282">
        <v>1957</v>
      </c>
      <c r="GV44" s="286">
        <f>AnnualAggregations!AA36</f>
        <v>279209.58319237374</v>
      </c>
      <c r="GW44" s="442" t="s">
        <v>597</v>
      </c>
      <c r="GX44" s="286">
        <f>AnnualDivReqs!$AM36</f>
        <v>24160.880683189996</v>
      </c>
      <c r="GY44" s="286">
        <f>AnnualDivReqs!$AK36</f>
        <v>15748.800141550188</v>
      </c>
      <c r="GZ44" s="286">
        <f>AnnualDivReqs!$L36</f>
        <v>1800</v>
      </c>
      <c r="HA44" s="287">
        <f t="shared" si="85"/>
        <v>320919.26401711395</v>
      </c>
      <c r="HB44" s="286">
        <f>AnnualDivReqs!$AO36</f>
        <v>1397.999999999839</v>
      </c>
      <c r="HC44" s="286">
        <f>AnnualDivReqs!$AY36</f>
        <v>2524.8868778277656</v>
      </c>
      <c r="HD44" s="286">
        <f>AnnualAggregations!$AD36</f>
        <v>46001.69706934323</v>
      </c>
      <c r="HE44" s="286">
        <f>AnnualAggregations!$AE36</f>
        <v>18067.34717836438</v>
      </c>
      <c r="HF44" s="286">
        <f>AnnualAggregations!$AF36</f>
        <v>15850.218566072317</v>
      </c>
      <c r="HG44" s="286">
        <f>AnnualDivReqs!$AL36</f>
        <v>10442.467378409228</v>
      </c>
      <c r="HH44" s="286">
        <f>AnnualDivReqs!$AG36</f>
        <v>14738.936795222415</v>
      </c>
      <c r="HI44" s="286">
        <f>AnnualDivReqs!$AN36</f>
        <v>4918.6800789690697</v>
      </c>
      <c r="HJ44" s="287">
        <f t="shared" si="86"/>
        <v>112544.23394420842</v>
      </c>
      <c r="HK44" s="287">
        <f t="shared" si="87"/>
        <v>434861.49796132219</v>
      </c>
      <c r="HL44" s="286">
        <f>AnnualDivReqs!$AP36</f>
        <v>378.87777777775057</v>
      </c>
      <c r="HM44" s="442" t="s">
        <v>597</v>
      </c>
      <c r="HN44" s="286">
        <f>AnnualDivReqs!$AJ36</f>
        <v>38999.999998983854</v>
      </c>
      <c r="HO44" s="286">
        <f>AnnualDivReqs!$BC36</f>
        <v>16199.99999897049</v>
      </c>
      <c r="HP44" s="286">
        <f>AnnualDivReqs!$J36</f>
        <v>4166.6500000021233</v>
      </c>
      <c r="HQ44" s="286">
        <f>AnnualAggregations!$AG36</f>
        <v>19374.983333335964</v>
      </c>
      <c r="HR44" s="287">
        <f t="shared" si="88"/>
        <v>79120.511109070183</v>
      </c>
      <c r="HS44" s="287">
        <f t="shared" si="89"/>
        <v>79120.511109070183</v>
      </c>
      <c r="HT44" s="287">
        <f t="shared" si="90"/>
        <v>513982.00907039235</v>
      </c>
      <c r="HV44" s="440" t="s">
        <v>628</v>
      </c>
      <c r="HW44" s="440" t="s">
        <v>628</v>
      </c>
      <c r="HX44" s="440" t="s">
        <v>628</v>
      </c>
      <c r="HY44" s="440" t="s">
        <v>628</v>
      </c>
      <c r="HZ44" s="440" t="s">
        <v>628</v>
      </c>
      <c r="IA44" s="440" t="s">
        <v>628</v>
      </c>
      <c r="IB44" s="440" t="s">
        <v>628</v>
      </c>
      <c r="IC44" s="440" t="s">
        <v>628</v>
      </c>
      <c r="ID44" s="440" t="s">
        <v>628</v>
      </c>
      <c r="IE44" s="440" t="s">
        <v>628</v>
      </c>
      <c r="IF44" s="440" t="s">
        <v>628</v>
      </c>
      <c r="IG44" s="440" t="s">
        <v>628</v>
      </c>
      <c r="IH44" s="440" t="s">
        <v>628</v>
      </c>
      <c r="IJ44" s="440" t="s">
        <v>628</v>
      </c>
      <c r="IL44" s="286">
        <f>AnnualAggregations!$AB36</f>
        <v>37764.238566617634</v>
      </c>
      <c r="IM44" s="286">
        <f>AnnualAggregations!$Z36</f>
        <v>109067.13000005133</v>
      </c>
      <c r="IN44" s="442" t="s">
        <v>597</v>
      </c>
      <c r="IO44" s="286">
        <f>AnnualAggregations!$AC36</f>
        <v>5000.0000000019172</v>
      </c>
      <c r="IP44" s="442" t="s">
        <v>597</v>
      </c>
      <c r="IQ44" s="440" t="s">
        <v>628</v>
      </c>
      <c r="IR44" s="440" t="s">
        <v>628</v>
      </c>
      <c r="IS44" s="440" t="s">
        <v>628</v>
      </c>
      <c r="IT44" s="440" t="s">
        <v>628</v>
      </c>
      <c r="IU44" s="286">
        <f>AnnualDivReqs!$BG36</f>
        <v>12296.800000006155</v>
      </c>
      <c r="IW44" s="440" t="s">
        <v>628</v>
      </c>
      <c r="IX44" s="440" t="s">
        <v>628</v>
      </c>
      <c r="IY44" s="440" t="s">
        <v>628</v>
      </c>
      <c r="IZ44" s="442" t="s">
        <v>597</v>
      </c>
    </row>
    <row r="45" spans="1:260" ht="15.75" thickBot="1" x14ac:dyDescent="0.3">
      <c r="A45" s="480" t="str">
        <f>ADDRESS(ROW(SJRIPSummary!E37),COLUMN(SJRIPSummary!E37),4,1)</f>
        <v>E37</v>
      </c>
      <c r="B45" s="480" t="str">
        <f t="shared" si="57"/>
        <v>37</v>
      </c>
      <c r="C45" t="s">
        <v>618</v>
      </c>
      <c r="D45" s="404">
        <v>30</v>
      </c>
      <c r="E45" s="404">
        <v>91</v>
      </c>
      <c r="F45" s="404">
        <v>152</v>
      </c>
      <c r="G45" s="404">
        <v>213</v>
      </c>
      <c r="H45" s="391"/>
      <c r="I45" s="558"/>
      <c r="J45" s="562"/>
      <c r="K45" s="563"/>
      <c r="L45" s="196" t="s">
        <v>105</v>
      </c>
      <c r="M45" s="197">
        <f ca="1">ROUND(SJRIPSummaryRAW!B45,-2)</f>
        <v>24800</v>
      </c>
      <c r="N45" s="152"/>
      <c r="O45" s="229">
        <f ca="1">ROUND(SJRIPSummaryRAW!D45,-2)</f>
        <v>24800</v>
      </c>
      <c r="P45" s="230">
        <f ca="1">ROUND(SJRIPSummaryRAW!E45,-2)</f>
        <v>23600</v>
      </c>
      <c r="Q45" s="391"/>
      <c r="R45" s="21"/>
      <c r="S45" s="21"/>
      <c r="T45" s="282">
        <v>1958</v>
      </c>
      <c r="U45" s="286">
        <f>AnnualAggregations!$C37</f>
        <v>272238.82437448908</v>
      </c>
      <c r="V45" s="286">
        <f>AnnualDepletions!$BI37</f>
        <v>4935.7448556607997</v>
      </c>
      <c r="W45" s="286">
        <f>AnnualDepletions!$AM37</f>
        <v>12100.000000000022</v>
      </c>
      <c r="X45" s="286">
        <f>AnnualDepletions!$AK37</f>
        <v>7969.9999999999945</v>
      </c>
      <c r="Y45" s="286">
        <f>AnnualDepletions!$L37</f>
        <v>899.99999999999955</v>
      </c>
      <c r="Z45" s="287">
        <f t="shared" si="58"/>
        <v>298144.56923014985</v>
      </c>
      <c r="AA45" s="286">
        <f>AnnualDepletions!$AO37</f>
        <v>1132.9999999998695</v>
      </c>
      <c r="AB45" s="286">
        <f>AnnualDepletions!$AY37</f>
        <v>1592.9999999998163</v>
      </c>
      <c r="AC45" s="286">
        <f>AnnualAggregations!$F37</f>
        <v>35045.966292854304</v>
      </c>
      <c r="AD45" s="286">
        <f>AnnualAggregations!$G37</f>
        <v>5238.2587741373654</v>
      </c>
      <c r="AE45" s="286">
        <f>AnnualAggregations!$H37</f>
        <v>13491.999999998448</v>
      </c>
      <c r="AF45" s="286">
        <f>AnnualDepletions!$AL37</f>
        <v>11424.99999999869</v>
      </c>
      <c r="AG45" s="286">
        <f>AnnualDepletions!$AG37</f>
        <v>9647.9999999988868</v>
      </c>
      <c r="AH45" s="286">
        <f>AnnualDepletions!$AN37</f>
        <v>3202.9999999996312</v>
      </c>
      <c r="AI45" s="287">
        <f t="shared" si="59"/>
        <v>79645.225066987143</v>
      </c>
      <c r="AJ45" s="287">
        <f t="shared" si="60"/>
        <v>378922.79429713689</v>
      </c>
      <c r="AK45" s="286">
        <f>AnnualDepletions!$AP37</f>
        <v>340.98999999997505</v>
      </c>
      <c r="AL45" s="286">
        <f>AnnualDepletions!$BH37</f>
        <v>29051.123781599053</v>
      </c>
      <c r="AM45" s="286">
        <f>AnnualDepletions!$AJ37</f>
        <v>38999.999998983854</v>
      </c>
      <c r="AN45" s="286">
        <f>AnnualDepletions!$BC37</f>
        <v>16199.99999897049</v>
      </c>
      <c r="AO45" s="286">
        <f>AnnualDepletions!$J37</f>
        <v>2499.9900000012672</v>
      </c>
      <c r="AP45" s="286">
        <f>AnnualAggregations!$I37</f>
        <v>11624.990000001573</v>
      </c>
      <c r="AQ45" s="287">
        <f t="shared" si="61"/>
        <v>69665.96999795716</v>
      </c>
      <c r="AR45" s="287">
        <f t="shared" si="62"/>
        <v>98717.09377955622</v>
      </c>
      <c r="AS45" s="287">
        <f t="shared" si="63"/>
        <v>477639.88807669311</v>
      </c>
      <c r="AU45" s="321">
        <f ca="1">StateModDepletions_ThisScenario!AC35</f>
        <v>36001.647784128785</v>
      </c>
      <c r="AV45" s="321">
        <f ca="1">StateModDepletions_ThisScenario!AD35</f>
        <v>19248.068325772882</v>
      </c>
      <c r="AW45" s="321">
        <f ca="1">StateModDepletions_ThisScenario!AE35</f>
        <v>115638.09060995281</v>
      </c>
      <c r="AX45" s="321">
        <f ca="1">StateModDepletions_ThisScenario!AB35</f>
        <v>24765.810481309891</v>
      </c>
      <c r="AY45" s="288">
        <f t="shared" ca="1" si="64"/>
        <v>195653.61720116436</v>
      </c>
      <c r="AZ45" s="321">
        <f ca="1">StateModDepletions_ThisScenario!AG35</f>
        <v>51629.3798444555</v>
      </c>
      <c r="BA45" s="321">
        <f ca="1">StateModDepletions_ThisScenario!AF35</f>
        <v>19599.862300746128</v>
      </c>
      <c r="BB45" s="321">
        <f ca="1">StateModDepletions_ThisScenario!AH35</f>
        <v>17481.319000635296</v>
      </c>
      <c r="BC45" s="321">
        <f ca="1">StateModDepletions_ThisScenario!AI35</f>
        <v>23176.292353944642</v>
      </c>
      <c r="BD45" s="321">
        <f ca="1">StateModDepletions_ThisScenario!N35</f>
        <v>1326.6977829933167</v>
      </c>
      <c r="BE45" s="321">
        <f ca="1">StateModDepletions_ThisScenario!V35</f>
        <v>12421.686657905579</v>
      </c>
      <c r="BF45" s="288">
        <f t="shared" ca="1" si="65"/>
        <v>125635.23794068047</v>
      </c>
      <c r="BG45" s="288">
        <f t="shared" ca="1" si="66"/>
        <v>321288.85514184483</v>
      </c>
      <c r="BI45" s="288">
        <f t="shared" ca="1" si="67"/>
        <v>798928.74321853789</v>
      </c>
      <c r="BK45" s="286">
        <f>AnnualAggregations!$D37</f>
        <v>35893.000000000051</v>
      </c>
      <c r="BL45" s="286">
        <f>AnnualAggregations!$B37</f>
        <v>57168.483415119961</v>
      </c>
      <c r="BM45" s="286">
        <f>AnnualDepletions!$BK37</f>
        <v>131643.58888506735</v>
      </c>
      <c r="BN45" s="286">
        <f>AnnualAggregations!$E37</f>
        <v>5000.0000000019172</v>
      </c>
      <c r="BO45" s="287">
        <f t="shared" si="68"/>
        <v>229705.07230018929</v>
      </c>
      <c r="BP45" s="321">
        <f ca="1">StateModDepletions_ThisScenario!Y35</f>
        <v>212.11356273293495</v>
      </c>
      <c r="BQ45" s="321">
        <f ca="1">StateModDepletions_ThisScenario!AJ35</f>
        <v>160195.56888583646</v>
      </c>
      <c r="BR45" s="321">
        <f ca="1">StateModDepletions_ThisScenario!Z35</f>
        <v>221959.72789573669</v>
      </c>
      <c r="BS45" s="321">
        <f ca="1">StateModDepletions_ThisScenario!AA35</f>
        <v>61552.0454471673</v>
      </c>
      <c r="BT45" s="286">
        <f>AnnualDepletions!$BG37</f>
        <v>12296.800000006155</v>
      </c>
      <c r="BV45" s="287">
        <f t="shared" ca="1" si="69"/>
        <v>1040930.6155187334</v>
      </c>
      <c r="BW45" s="287">
        <f t="shared" ca="1" si="70"/>
        <v>979378.57007156615</v>
      </c>
      <c r="BX45" s="287">
        <f t="shared" ca="1" si="56"/>
        <v>994253.57007156615</v>
      </c>
      <c r="BY45" s="287">
        <f>SJRIPSummaryRAW!$B$79</f>
        <v>14875</v>
      </c>
      <c r="CC45" s="282">
        <v>1958</v>
      </c>
      <c r="CD45" s="286">
        <f>AnnualAggregations!K37</f>
        <v>272238.82437448908</v>
      </c>
      <c r="CE45" s="442" t="s">
        <v>597</v>
      </c>
      <c r="CF45" s="286">
        <f>AnnualDeplReqs!$AM37</f>
        <v>12100.000000000022</v>
      </c>
      <c r="CG45" s="286">
        <f>AnnualDeplReqs!$AK37</f>
        <v>7969.9999999999945</v>
      </c>
      <c r="CH45" s="286">
        <f>AnnualDeplReqs!$L37</f>
        <v>899.99999999999955</v>
      </c>
      <c r="CI45" s="443">
        <f t="shared" si="71"/>
        <v>298144.56923014985</v>
      </c>
      <c r="CJ45" s="286">
        <f>AnnualDeplReqs!$AO37</f>
        <v>1132.9999999998695</v>
      </c>
      <c r="CK45" s="286">
        <f>AnnualDeplReqs!$AY37</f>
        <v>1592.9999999998163</v>
      </c>
      <c r="CL45" s="286">
        <f>AnnualAggregations!$N37</f>
        <v>35045.966292854304</v>
      </c>
      <c r="CM45" s="286">
        <f>AnnualAggregations!$O37</f>
        <v>13030.999999998496</v>
      </c>
      <c r="CN45" s="286">
        <f>AnnualAggregations!$P37</f>
        <v>13491.999999998448</v>
      </c>
      <c r="CO45" s="286">
        <f>AnnualDeplReqs!$AL37</f>
        <v>11424.99999999869</v>
      </c>
      <c r="CP45" s="286">
        <f>AnnualDeplReqs!$AG37</f>
        <v>9647.9999999988868</v>
      </c>
      <c r="CQ45" s="286">
        <f>AnnualDeplReqs!$AN37</f>
        <v>3202.9999999996312</v>
      </c>
      <c r="CR45" s="287">
        <f t="shared" si="72"/>
        <v>87437.966292848272</v>
      </c>
      <c r="CS45" s="287">
        <f t="shared" si="73"/>
        <v>386715.53552299802</v>
      </c>
      <c r="CT45" s="286">
        <f>AnnualDeplReqs!$AP37</f>
        <v>340.98999999997505</v>
      </c>
      <c r="CU45" s="442" t="s">
        <v>597</v>
      </c>
      <c r="CV45" s="286">
        <f>AnnualDeplReqs!$AJ37</f>
        <v>38999.999998983854</v>
      </c>
      <c r="CW45" s="286">
        <f>AnnualDeplReqs!$BC37</f>
        <v>16199.99999897049</v>
      </c>
      <c r="CX45" s="286">
        <f>AnnualDeplReqs!$J37</f>
        <v>2499.9900000012672</v>
      </c>
      <c r="CY45" s="286">
        <f>AnnualAggregations!$Q37</f>
        <v>11624.990000001573</v>
      </c>
      <c r="CZ45" s="287">
        <f t="shared" si="74"/>
        <v>69665.96999795716</v>
      </c>
      <c r="DA45" s="443">
        <f t="shared" si="75"/>
        <v>98717.09377955622</v>
      </c>
      <c r="DB45" s="287">
        <f t="shared" si="76"/>
        <v>485432.62930255424</v>
      </c>
      <c r="DD45" s="440" t="s">
        <v>628</v>
      </c>
      <c r="DE45" s="440" t="s">
        <v>628</v>
      </c>
      <c r="DF45" s="440" t="s">
        <v>628</v>
      </c>
      <c r="DG45" s="440" t="s">
        <v>628</v>
      </c>
      <c r="DH45" s="440" t="s">
        <v>628</v>
      </c>
      <c r="DI45" s="440" t="s">
        <v>628</v>
      </c>
      <c r="DJ45" s="440" t="s">
        <v>628</v>
      </c>
      <c r="DK45" s="440" t="s">
        <v>628</v>
      </c>
      <c r="DL45" s="440" t="s">
        <v>628</v>
      </c>
      <c r="DM45" s="440" t="s">
        <v>628</v>
      </c>
      <c r="DN45" s="440" t="s">
        <v>628</v>
      </c>
      <c r="DO45" s="440" t="s">
        <v>628</v>
      </c>
      <c r="DP45" s="440" t="s">
        <v>628</v>
      </c>
      <c r="DR45" s="440" t="s">
        <v>628</v>
      </c>
      <c r="DT45" s="286">
        <f>AnnualAggregations!$L37</f>
        <v>35893.000000000073</v>
      </c>
      <c r="DU45" s="443">
        <f>AnnualAggregations!$J37</f>
        <v>57168.483415119961</v>
      </c>
      <c r="DV45" s="442" t="s">
        <v>597</v>
      </c>
      <c r="DW45" s="286">
        <f>AnnualAggregations!$M37</f>
        <v>5000.0000000019172</v>
      </c>
      <c r="DX45" s="442" t="s">
        <v>597</v>
      </c>
      <c r="DY45" s="440" t="s">
        <v>628</v>
      </c>
      <c r="DZ45" s="440" t="s">
        <v>628</v>
      </c>
      <c r="EA45" s="440" t="s">
        <v>628</v>
      </c>
      <c r="EB45" s="440" t="s">
        <v>628</v>
      </c>
      <c r="EC45" s="286">
        <f>AnnualDeplReqs!$BG37</f>
        <v>12296.800000006155</v>
      </c>
      <c r="EE45" s="440" t="s">
        <v>628</v>
      </c>
      <c r="EF45" s="440" t="s">
        <v>628</v>
      </c>
      <c r="EG45" s="440" t="s">
        <v>628</v>
      </c>
      <c r="EH45" s="442" t="s">
        <v>597</v>
      </c>
      <c r="EL45" s="282">
        <v>1958</v>
      </c>
      <c r="EM45" s="286">
        <f>AnnualAggregations!S37</f>
        <v>340298.53046811133</v>
      </c>
      <c r="EN45" s="442" t="s">
        <v>597</v>
      </c>
      <c r="EO45" s="286">
        <f>AnnualDiversions!$AM37</f>
        <v>24160.880683190015</v>
      </c>
      <c r="EP45" s="286">
        <f>AnnualDiversions!$AK37</f>
        <v>15864.246446422705</v>
      </c>
      <c r="EQ45" s="286">
        <f>AnnualDiversions!$L37</f>
        <v>1799.9999999999991</v>
      </c>
      <c r="ER45" s="287">
        <f t="shared" si="77"/>
        <v>382123.65759772406</v>
      </c>
      <c r="ES45" s="286">
        <f>AnnualDiversions!$AO37</f>
        <v>2265.999999999739</v>
      </c>
      <c r="ET45" s="286">
        <f>AnnualDiversions!$AY37</f>
        <v>2883.2579185517034</v>
      </c>
      <c r="EU45" s="286">
        <f>AnnualAggregations!$V37</f>
        <v>58829.254451450768</v>
      </c>
      <c r="EV45" s="286">
        <f>AnnualAggregations!$W37</f>
        <v>9232.3955198786189</v>
      </c>
      <c r="EW45" s="286">
        <f>AnnualAggregations!$X37</f>
        <v>20681.255430317207</v>
      </c>
      <c r="EX45" s="286">
        <f>AnnualDiversions!$AL37</f>
        <v>13552.787663106394</v>
      </c>
      <c r="EY45" s="286">
        <f>AnnualDiversions!$AG37</f>
        <v>18284.84791054466</v>
      </c>
      <c r="EZ45" s="286">
        <f>AnnualDiversions!$AN37</f>
        <v>6022.3747297163327</v>
      </c>
      <c r="FA45" s="287">
        <f t="shared" si="78"/>
        <v>129486.17362356569</v>
      </c>
      <c r="FB45" s="287">
        <f t="shared" si="79"/>
        <v>513875.83122128953</v>
      </c>
      <c r="FC45" s="286">
        <f>AnnualDiversions!$AP37</f>
        <v>378.87777777775057</v>
      </c>
      <c r="FD45" s="442" t="s">
        <v>597</v>
      </c>
      <c r="FE45" s="286">
        <f>AnnualDiversions!$AJ37</f>
        <v>38999.999998983854</v>
      </c>
      <c r="FF45" s="286">
        <f>AnnualDiversions!$BC37</f>
        <v>16199.99999897049</v>
      </c>
      <c r="FG45" s="286">
        <f>AnnualDiversions!$J37</f>
        <v>4166.6500000021233</v>
      </c>
      <c r="FH45" s="286">
        <f>AnnualAggregations!$Y37</f>
        <v>19374.983333335964</v>
      </c>
      <c r="FI45" s="287">
        <f t="shared" si="80"/>
        <v>79120.511109070183</v>
      </c>
      <c r="FJ45" s="287">
        <f t="shared" si="81"/>
        <v>79120.511109070183</v>
      </c>
      <c r="FK45" s="287">
        <f t="shared" si="82"/>
        <v>592996.34233035974</v>
      </c>
      <c r="FM45" s="440" t="s">
        <v>628</v>
      </c>
      <c r="FN45" s="440" t="s">
        <v>628</v>
      </c>
      <c r="FO45" s="440" t="s">
        <v>628</v>
      </c>
      <c r="FP45" s="440" t="s">
        <v>628</v>
      </c>
      <c r="FQ45" s="440" t="s">
        <v>628</v>
      </c>
      <c r="FR45" s="440" t="s">
        <v>628</v>
      </c>
      <c r="FS45" s="440" t="s">
        <v>628</v>
      </c>
      <c r="FT45" s="440" t="s">
        <v>628</v>
      </c>
      <c r="FU45" s="440" t="s">
        <v>628</v>
      </c>
      <c r="FV45" s="440" t="s">
        <v>628</v>
      </c>
      <c r="FW45" s="440" t="s">
        <v>628</v>
      </c>
      <c r="FX45" s="440" t="s">
        <v>628</v>
      </c>
      <c r="FY45" s="440" t="s">
        <v>628</v>
      </c>
      <c r="GA45" s="440" t="s">
        <v>628</v>
      </c>
      <c r="GC45" s="286">
        <f>AnnualAggregations!$T37</f>
        <v>37764.238566617612</v>
      </c>
      <c r="GD45" s="286">
        <f>AnnualAggregations!$R37</f>
        <v>109067.13000005133</v>
      </c>
      <c r="GE45" s="443">
        <f t="shared" si="83"/>
        <v>131643.58888506735</v>
      </c>
      <c r="GF45" s="286">
        <f>AnnualAggregations!$U37</f>
        <v>5000.0000000019172</v>
      </c>
      <c r="GG45" s="287">
        <f t="shared" si="84"/>
        <v>283474.95745173824</v>
      </c>
      <c r="GH45" s="440" t="s">
        <v>628</v>
      </c>
      <c r="GI45" s="440" t="s">
        <v>628</v>
      </c>
      <c r="GJ45" s="440" t="s">
        <v>628</v>
      </c>
      <c r="GK45" s="440" t="s">
        <v>628</v>
      </c>
      <c r="GL45" s="286">
        <f>AnnualDiversions!$BG37</f>
        <v>12296.800000006155</v>
      </c>
      <c r="GN45" s="440" t="s">
        <v>628</v>
      </c>
      <c r="GO45" s="440" t="s">
        <v>628</v>
      </c>
      <c r="GP45" s="440" t="s">
        <v>628</v>
      </c>
      <c r="GQ45" s="442" t="s">
        <v>597</v>
      </c>
      <c r="GU45" s="282">
        <v>1958</v>
      </c>
      <c r="GV45" s="286">
        <f>AnnualAggregations!AA37</f>
        <v>340298.53046811133</v>
      </c>
      <c r="GW45" s="442" t="s">
        <v>597</v>
      </c>
      <c r="GX45" s="286">
        <f>AnnualDivReqs!$AM37</f>
        <v>24160.880683190015</v>
      </c>
      <c r="GY45" s="286">
        <f>AnnualDivReqs!$AK37</f>
        <v>15864.246446422705</v>
      </c>
      <c r="GZ45" s="286">
        <f>AnnualDivReqs!$L37</f>
        <v>1799.9999999999991</v>
      </c>
      <c r="HA45" s="287">
        <f t="shared" si="85"/>
        <v>382123.65759772406</v>
      </c>
      <c r="HB45" s="286">
        <f>AnnualDivReqs!$AO37</f>
        <v>2265.999999999739</v>
      </c>
      <c r="HC45" s="286">
        <f>AnnualDivReqs!$AY37</f>
        <v>2883.2579185517034</v>
      </c>
      <c r="HD45" s="286">
        <f>AnnualAggregations!$AD37</f>
        <v>58829.254451450768</v>
      </c>
      <c r="HE45" s="286">
        <f>AnnualAggregations!$AE37</f>
        <v>23338.519823379764</v>
      </c>
      <c r="HF45" s="286">
        <f>AnnualAggregations!$AF37</f>
        <v>20681.255430317207</v>
      </c>
      <c r="HG45" s="286">
        <f>AnnualDivReqs!$AL37</f>
        <v>13552.787663106394</v>
      </c>
      <c r="HH45" s="286">
        <f>AnnualDivReqs!$AG37</f>
        <v>18284.84791054466</v>
      </c>
      <c r="HI45" s="286">
        <f>AnnualDivReqs!$AN37</f>
        <v>6022.3747297163327</v>
      </c>
      <c r="HJ45" s="287">
        <f t="shared" si="86"/>
        <v>143592.29792706686</v>
      </c>
      <c r="HK45" s="287">
        <f t="shared" si="87"/>
        <v>527981.95552479068</v>
      </c>
      <c r="HL45" s="286">
        <f>AnnualDivReqs!$AP37</f>
        <v>378.87777777775057</v>
      </c>
      <c r="HM45" s="442" t="s">
        <v>597</v>
      </c>
      <c r="HN45" s="286">
        <f>AnnualDivReqs!$AJ37</f>
        <v>38999.999998983854</v>
      </c>
      <c r="HO45" s="286">
        <f>AnnualDivReqs!$BC37</f>
        <v>16199.99999897049</v>
      </c>
      <c r="HP45" s="286">
        <f>AnnualDivReqs!$J37</f>
        <v>4166.6500000021233</v>
      </c>
      <c r="HQ45" s="286">
        <f>AnnualAggregations!$AG37</f>
        <v>19374.983333335964</v>
      </c>
      <c r="HR45" s="287">
        <f t="shared" si="88"/>
        <v>79120.511109070183</v>
      </c>
      <c r="HS45" s="287">
        <f t="shared" si="89"/>
        <v>79120.511109070183</v>
      </c>
      <c r="HT45" s="287">
        <f t="shared" si="90"/>
        <v>607102.46663386084</v>
      </c>
      <c r="HV45" s="440" t="s">
        <v>628</v>
      </c>
      <c r="HW45" s="440" t="s">
        <v>628</v>
      </c>
      <c r="HX45" s="440" t="s">
        <v>628</v>
      </c>
      <c r="HY45" s="440" t="s">
        <v>628</v>
      </c>
      <c r="HZ45" s="440" t="s">
        <v>628</v>
      </c>
      <c r="IA45" s="440" t="s">
        <v>628</v>
      </c>
      <c r="IB45" s="440" t="s">
        <v>628</v>
      </c>
      <c r="IC45" s="440" t="s">
        <v>628</v>
      </c>
      <c r="ID45" s="440" t="s">
        <v>628</v>
      </c>
      <c r="IE45" s="440" t="s">
        <v>628</v>
      </c>
      <c r="IF45" s="440" t="s">
        <v>628</v>
      </c>
      <c r="IG45" s="440" t="s">
        <v>628</v>
      </c>
      <c r="IH45" s="440" t="s">
        <v>628</v>
      </c>
      <c r="IJ45" s="440" t="s">
        <v>628</v>
      </c>
      <c r="IL45" s="286">
        <f>AnnualAggregations!$AB37</f>
        <v>37764.238566617634</v>
      </c>
      <c r="IM45" s="286">
        <f>AnnualAggregations!$Z37</f>
        <v>109067.13000005133</v>
      </c>
      <c r="IN45" s="442" t="s">
        <v>597</v>
      </c>
      <c r="IO45" s="286">
        <f>AnnualAggregations!$AC37</f>
        <v>5000.0000000019172</v>
      </c>
      <c r="IP45" s="442" t="s">
        <v>597</v>
      </c>
      <c r="IQ45" s="440" t="s">
        <v>628</v>
      </c>
      <c r="IR45" s="440" t="s">
        <v>628</v>
      </c>
      <c r="IS45" s="440" t="s">
        <v>628</v>
      </c>
      <c r="IT45" s="440" t="s">
        <v>628</v>
      </c>
      <c r="IU45" s="286">
        <f>AnnualDivReqs!$BG37</f>
        <v>12296.800000006155</v>
      </c>
      <c r="IW45" s="440" t="s">
        <v>628</v>
      </c>
      <c r="IX45" s="440" t="s">
        <v>628</v>
      </c>
      <c r="IY45" s="440" t="s">
        <v>628</v>
      </c>
      <c r="IZ45" s="442" t="s">
        <v>597</v>
      </c>
    </row>
    <row r="46" spans="1:260" ht="15.75" thickBot="1" x14ac:dyDescent="0.3">
      <c r="A46" s="480" t="str">
        <f>ADDRESS(ROW(SJRIPSummary!E38),COLUMN(SJRIPSummary!E38),4,1)</f>
        <v>E38</v>
      </c>
      <c r="B46" s="480" t="str">
        <f t="shared" si="57"/>
        <v>38</v>
      </c>
      <c r="C46" t="s">
        <v>612</v>
      </c>
      <c r="D46" s="404">
        <v>31</v>
      </c>
      <c r="E46" s="404">
        <v>92</v>
      </c>
      <c r="F46" s="404">
        <v>153</v>
      </c>
      <c r="G46" s="404">
        <v>214</v>
      </c>
      <c r="H46" s="392"/>
      <c r="I46" s="558"/>
      <c r="J46" s="564" t="s">
        <v>106</v>
      </c>
      <c r="K46" s="565"/>
      <c r="L46" s="566"/>
      <c r="M46" s="198">
        <f ca="1">SUM(M42:M45)</f>
        <v>180000</v>
      </c>
      <c r="N46" s="162"/>
      <c r="O46" s="179"/>
      <c r="P46" s="180"/>
      <c r="Q46" s="392"/>
      <c r="R46" s="21"/>
      <c r="S46" s="21"/>
      <c r="T46" s="282">
        <v>1959</v>
      </c>
      <c r="U46" s="286">
        <f>AnnualAggregations!$C38</f>
        <v>254552.60419826664</v>
      </c>
      <c r="V46" s="286">
        <f>AnnualDepletions!$BI38</f>
        <v>1398.5008204166634</v>
      </c>
      <c r="W46" s="286">
        <f>AnnualDepletions!$AM38</f>
        <v>12099.999999999996</v>
      </c>
      <c r="X46" s="286">
        <f>AnnualDepletions!$AK38</f>
        <v>7969.9999999999909</v>
      </c>
      <c r="Y46" s="286">
        <f>AnnualDepletions!$L38</f>
        <v>900</v>
      </c>
      <c r="Z46" s="287">
        <f t="shared" si="58"/>
        <v>276921.1050186833</v>
      </c>
      <c r="AA46" s="286">
        <f>AnnualDepletions!$AO38</f>
        <v>1041.9999999998809</v>
      </c>
      <c r="AB46" s="286">
        <f>AnnualDepletions!$AY38</f>
        <v>1519.9999999998254</v>
      </c>
      <c r="AC46" s="286">
        <f>AnnualAggregations!$F38</f>
        <v>34136.665166946048</v>
      </c>
      <c r="AD46" s="286">
        <f>AnnualAggregations!$G38</f>
        <v>2600.9078899185401</v>
      </c>
      <c r="AE46" s="286">
        <f>AnnualAggregations!$H38</f>
        <v>12794.99999999853</v>
      </c>
      <c r="AF46" s="286">
        <f>AnnualDepletions!$AL38</f>
        <v>10926.999999998758</v>
      </c>
      <c r="AG46" s="286">
        <f>AnnualDepletions!$AG38</f>
        <v>9171.1422640032506</v>
      </c>
      <c r="AH46" s="286">
        <f>AnnualDepletions!$AN38</f>
        <v>3270.9999999996239</v>
      </c>
      <c r="AI46" s="287">
        <f t="shared" si="59"/>
        <v>74421.715320864576</v>
      </c>
      <c r="AJ46" s="287">
        <f t="shared" si="60"/>
        <v>352384.82033954776</v>
      </c>
      <c r="AK46" s="286">
        <f>AnnualDepletions!$AP38</f>
        <v>340.98999999997505</v>
      </c>
      <c r="AL46" s="286">
        <f>AnnualDepletions!$BH38</f>
        <v>24063.476651417506</v>
      </c>
      <c r="AM46" s="286">
        <f>AnnualDepletions!$AJ38</f>
        <v>38999.999998983854</v>
      </c>
      <c r="AN46" s="286">
        <f>AnnualDepletions!$BC38</f>
        <v>16199.99999897049</v>
      </c>
      <c r="AO46" s="286">
        <f>AnnualDepletions!$J38</f>
        <v>2499.9900000012672</v>
      </c>
      <c r="AP46" s="286">
        <f>AnnualAggregations!$I38</f>
        <v>11624.990000001573</v>
      </c>
      <c r="AQ46" s="287">
        <f t="shared" si="61"/>
        <v>69665.96999795716</v>
      </c>
      <c r="AR46" s="287">
        <f t="shared" si="62"/>
        <v>93729.446649374673</v>
      </c>
      <c r="AS46" s="287">
        <f t="shared" si="63"/>
        <v>446114.26698892243</v>
      </c>
      <c r="AU46" s="321">
        <f ca="1">StateModDepletions_ThisScenario!AC36</f>
        <v>30152.369697108865</v>
      </c>
      <c r="AV46" s="321">
        <f ca="1">StateModDepletions_ThisScenario!AD36</f>
        <v>16006.264004021883</v>
      </c>
      <c r="AW46" s="321">
        <f ca="1">StateModDepletions_ThisScenario!AE36</f>
        <v>104308.55338443816</v>
      </c>
      <c r="AX46" s="321">
        <f ca="1">StateModDepletions_ThisScenario!AB36</f>
        <v>24765.810481309891</v>
      </c>
      <c r="AY46" s="288">
        <f t="shared" ca="1" si="64"/>
        <v>175232.9975668788</v>
      </c>
      <c r="AZ46" s="321">
        <f ca="1">StateModDepletions_ThisScenario!AG36</f>
        <v>21794.352587787882</v>
      </c>
      <c r="BA46" s="321">
        <f ca="1">StateModDepletions_ThisScenario!AF36</f>
        <v>16799.762876652181</v>
      </c>
      <c r="BB46" s="321">
        <f ca="1">StateModDepletions_ThisScenario!AH36</f>
        <v>8740.7889473773539</v>
      </c>
      <c r="BC46" s="321">
        <f ca="1">StateModDepletions_ThisScenario!AI36</f>
        <v>6598.253630491793</v>
      </c>
      <c r="BD46" s="321">
        <f ca="1">StateModDepletions_ThisScenario!N36</f>
        <v>1326.6977829933167</v>
      </c>
      <c r="BE46" s="321">
        <f ca="1">StateModDepletions_ThisScenario!V36</f>
        <v>7407.9379396438599</v>
      </c>
      <c r="BF46" s="288">
        <f t="shared" ca="1" si="65"/>
        <v>62667.793764946393</v>
      </c>
      <c r="BG46" s="288">
        <f t="shared" ca="1" si="66"/>
        <v>237900.7913318252</v>
      </c>
      <c r="BI46" s="288">
        <f t="shared" ca="1" si="67"/>
        <v>684015.05832074769</v>
      </c>
      <c r="BK46" s="286">
        <f>AnnualAggregations!$D38</f>
        <v>35893.000000000051</v>
      </c>
      <c r="BL46" s="286">
        <f>AnnualAggregations!$B38</f>
        <v>57127.884706051504</v>
      </c>
      <c r="BM46" s="286">
        <f>AnnualDepletions!$BK38</f>
        <v>47330.085691521832</v>
      </c>
      <c r="BN46" s="286">
        <f>AnnualAggregations!$E38</f>
        <v>5000.0000000019172</v>
      </c>
      <c r="BO46" s="287">
        <f t="shared" si="68"/>
        <v>145350.97039757529</v>
      </c>
      <c r="BP46" s="321">
        <f ca="1">StateModDepletions_ThisScenario!Y36</f>
        <v>212.11356273293495</v>
      </c>
      <c r="BQ46" s="321">
        <f ca="1">StateModDepletions_ThisScenario!AJ36</f>
        <v>134570.27662018285</v>
      </c>
      <c r="BR46" s="321">
        <f ca="1">StateModDepletions_ThisScenario!Z36</f>
        <v>212893.71466958523</v>
      </c>
      <c r="BS46" s="321">
        <f ca="1">StateModDepletions_ThisScenario!AA36</f>
        <v>78111.324486669459</v>
      </c>
      <c r="BT46" s="286">
        <f>AnnualDepletions!$BG38</f>
        <v>12296.800000006155</v>
      </c>
      <c r="BV46" s="287">
        <f t="shared" ca="1" si="69"/>
        <v>841662.82871832908</v>
      </c>
      <c r="BW46" s="287">
        <f t="shared" ca="1" si="70"/>
        <v>763551.50423165958</v>
      </c>
      <c r="BX46" s="287">
        <f t="shared" ca="1" si="56"/>
        <v>778426.50423165958</v>
      </c>
      <c r="BY46" s="287">
        <f>SJRIPSummaryRAW!$B$79</f>
        <v>14875</v>
      </c>
      <c r="CC46" s="282">
        <v>1959</v>
      </c>
      <c r="CD46" s="286">
        <f>AnnualAggregations!K38</f>
        <v>254552.60419826664</v>
      </c>
      <c r="CE46" s="442" t="s">
        <v>597</v>
      </c>
      <c r="CF46" s="286">
        <f>AnnualDeplReqs!$AM38</f>
        <v>12099.999999999996</v>
      </c>
      <c r="CG46" s="286">
        <f>AnnualDeplReqs!$AK38</f>
        <v>7969.9999999999909</v>
      </c>
      <c r="CH46" s="286">
        <f>AnnualDeplReqs!$L38</f>
        <v>900</v>
      </c>
      <c r="CI46" s="443">
        <f t="shared" si="71"/>
        <v>276921.1050186833</v>
      </c>
      <c r="CJ46" s="286">
        <f>AnnualDeplReqs!$AO38</f>
        <v>1041.9999999998809</v>
      </c>
      <c r="CK46" s="286">
        <f>AnnualDeplReqs!$AY38</f>
        <v>1519.9999999998254</v>
      </c>
      <c r="CL46" s="286">
        <f>AnnualAggregations!$N38</f>
        <v>34136.665166946048</v>
      </c>
      <c r="CM46" s="286">
        <f>AnnualAggregations!$O38</f>
        <v>12848.999999998518</v>
      </c>
      <c r="CN46" s="286">
        <f>AnnualAggregations!$P38</f>
        <v>12794.99999999853</v>
      </c>
      <c r="CO46" s="286">
        <f>AnnualDeplReqs!$AL38</f>
        <v>10926.999999998758</v>
      </c>
      <c r="CP46" s="286">
        <f>AnnualDeplReqs!$AG38</f>
        <v>9215.9999999989377</v>
      </c>
      <c r="CQ46" s="286">
        <f>AnnualDeplReqs!$AN38</f>
        <v>3270.9999999996239</v>
      </c>
      <c r="CR46" s="287">
        <f t="shared" si="72"/>
        <v>84714.665166940234</v>
      </c>
      <c r="CS46" s="287">
        <f t="shared" si="73"/>
        <v>362677.77018562343</v>
      </c>
      <c r="CT46" s="286">
        <f>AnnualDeplReqs!$AP38</f>
        <v>340.98999999997505</v>
      </c>
      <c r="CU46" s="442" t="s">
        <v>597</v>
      </c>
      <c r="CV46" s="286">
        <f>AnnualDeplReqs!$AJ38</f>
        <v>38999.999998983854</v>
      </c>
      <c r="CW46" s="286">
        <f>AnnualDeplReqs!$BC38</f>
        <v>16199.99999897049</v>
      </c>
      <c r="CX46" s="286">
        <f>AnnualDeplReqs!$J38</f>
        <v>2499.9900000012672</v>
      </c>
      <c r="CY46" s="286">
        <f>AnnualAggregations!$Q38</f>
        <v>11624.990000001573</v>
      </c>
      <c r="CZ46" s="287">
        <f t="shared" si="74"/>
        <v>69665.96999795716</v>
      </c>
      <c r="DA46" s="443">
        <f t="shared" si="75"/>
        <v>93729.446649374673</v>
      </c>
      <c r="DB46" s="287">
        <f t="shared" si="76"/>
        <v>456407.21683499811</v>
      </c>
      <c r="DD46" s="440" t="s">
        <v>628</v>
      </c>
      <c r="DE46" s="440" t="s">
        <v>628</v>
      </c>
      <c r="DF46" s="440" t="s">
        <v>628</v>
      </c>
      <c r="DG46" s="440" t="s">
        <v>628</v>
      </c>
      <c r="DH46" s="440" t="s">
        <v>628</v>
      </c>
      <c r="DI46" s="440" t="s">
        <v>628</v>
      </c>
      <c r="DJ46" s="440" t="s">
        <v>628</v>
      </c>
      <c r="DK46" s="440" t="s">
        <v>628</v>
      </c>
      <c r="DL46" s="440" t="s">
        <v>628</v>
      </c>
      <c r="DM46" s="440" t="s">
        <v>628</v>
      </c>
      <c r="DN46" s="440" t="s">
        <v>628</v>
      </c>
      <c r="DO46" s="440" t="s">
        <v>628</v>
      </c>
      <c r="DP46" s="440" t="s">
        <v>628</v>
      </c>
      <c r="DR46" s="440" t="s">
        <v>628</v>
      </c>
      <c r="DT46" s="286">
        <f>AnnualAggregations!$L38</f>
        <v>35893.000000000073</v>
      </c>
      <c r="DU46" s="443">
        <f>AnnualAggregations!$J38</f>
        <v>57371.337022783329</v>
      </c>
      <c r="DV46" s="442" t="s">
        <v>597</v>
      </c>
      <c r="DW46" s="286">
        <f>AnnualAggregations!$M38</f>
        <v>5000.0000000019172</v>
      </c>
      <c r="DX46" s="442" t="s">
        <v>597</v>
      </c>
      <c r="DY46" s="440" t="s">
        <v>628</v>
      </c>
      <c r="DZ46" s="440" t="s">
        <v>628</v>
      </c>
      <c r="EA46" s="440" t="s">
        <v>628</v>
      </c>
      <c r="EB46" s="440" t="s">
        <v>628</v>
      </c>
      <c r="EC46" s="286">
        <f>AnnualDeplReqs!$BG38</f>
        <v>12296.800000006155</v>
      </c>
      <c r="EE46" s="440" t="s">
        <v>628</v>
      </c>
      <c r="EF46" s="440" t="s">
        <v>628</v>
      </c>
      <c r="EG46" s="440" t="s">
        <v>628</v>
      </c>
      <c r="EH46" s="442" t="s">
        <v>597</v>
      </c>
      <c r="EL46" s="282">
        <v>1959</v>
      </c>
      <c r="EM46" s="286">
        <f>AnnualAggregations!S38</f>
        <v>318190.75524783437</v>
      </c>
      <c r="EN46" s="442" t="s">
        <v>597</v>
      </c>
      <c r="EO46" s="286">
        <f>AnnualDiversions!$AM38</f>
        <v>24160.880683189978</v>
      </c>
      <c r="EP46" s="286">
        <f>AnnualDiversions!$AK38</f>
        <v>15864.246446422732</v>
      </c>
      <c r="EQ46" s="286">
        <f>AnnualDiversions!$L38</f>
        <v>1800</v>
      </c>
      <c r="ER46" s="287">
        <f t="shared" si="77"/>
        <v>360015.88237744704</v>
      </c>
      <c r="ES46" s="286">
        <f>AnnualDiversions!$AO38</f>
        <v>2083.9999999997617</v>
      </c>
      <c r="ET46" s="286">
        <f>AnnualDiversions!$AY38</f>
        <v>2751.1312217191398</v>
      </c>
      <c r="EU46" s="286">
        <f>AnnualAggregations!$V38</f>
        <v>57310.917356290061</v>
      </c>
      <c r="EV46" s="286">
        <f>AnnualAggregations!$W38</f>
        <v>4434.8066599543008</v>
      </c>
      <c r="EW46" s="286">
        <f>AnnualAggregations!$X38</f>
        <v>19613.649407408488</v>
      </c>
      <c r="EX46" s="286">
        <f>AnnualDiversions!$AL38</f>
        <v>12962.040332145607</v>
      </c>
      <c r="EY46" s="286">
        <f>AnnualDiversions!$AG38</f>
        <v>17381.109189810006</v>
      </c>
      <c r="EZ46" s="286">
        <f>AnnualDiversions!$AN38</f>
        <v>6150.230328099321</v>
      </c>
      <c r="FA46" s="287">
        <f t="shared" si="78"/>
        <v>120603.88449542692</v>
      </c>
      <c r="FB46" s="287">
        <f t="shared" si="79"/>
        <v>482703.7668728737</v>
      </c>
      <c r="FC46" s="286">
        <f>AnnualDiversions!$AP38</f>
        <v>378.87777777775057</v>
      </c>
      <c r="FD46" s="442" t="s">
        <v>597</v>
      </c>
      <c r="FE46" s="286">
        <f>AnnualDiversions!$AJ38</f>
        <v>38999.999998983854</v>
      </c>
      <c r="FF46" s="286">
        <f>AnnualDiversions!$BC38</f>
        <v>16199.99999897049</v>
      </c>
      <c r="FG46" s="286">
        <f>AnnualDiversions!$J38</f>
        <v>4166.6500000021233</v>
      </c>
      <c r="FH46" s="286">
        <f>AnnualAggregations!$Y38</f>
        <v>19374.983333335964</v>
      </c>
      <c r="FI46" s="287">
        <f t="shared" si="80"/>
        <v>79120.511109070183</v>
      </c>
      <c r="FJ46" s="287">
        <f t="shared" si="81"/>
        <v>79120.511109070183</v>
      </c>
      <c r="FK46" s="287">
        <f t="shared" si="82"/>
        <v>561824.27798194392</v>
      </c>
      <c r="FM46" s="440" t="s">
        <v>628</v>
      </c>
      <c r="FN46" s="440" t="s">
        <v>628</v>
      </c>
      <c r="FO46" s="440" t="s">
        <v>628</v>
      </c>
      <c r="FP46" s="440" t="s">
        <v>628</v>
      </c>
      <c r="FQ46" s="440" t="s">
        <v>628</v>
      </c>
      <c r="FR46" s="440" t="s">
        <v>628</v>
      </c>
      <c r="FS46" s="440" t="s">
        <v>628</v>
      </c>
      <c r="FT46" s="440" t="s">
        <v>628</v>
      </c>
      <c r="FU46" s="440" t="s">
        <v>628</v>
      </c>
      <c r="FV46" s="440" t="s">
        <v>628</v>
      </c>
      <c r="FW46" s="440" t="s">
        <v>628</v>
      </c>
      <c r="FX46" s="440" t="s">
        <v>628</v>
      </c>
      <c r="FY46" s="440" t="s">
        <v>628</v>
      </c>
      <c r="GA46" s="440" t="s">
        <v>628</v>
      </c>
      <c r="GC46" s="286">
        <f>AnnualAggregations!$T38</f>
        <v>37764.238566617612</v>
      </c>
      <c r="GD46" s="286">
        <f>AnnualAggregations!$R38</f>
        <v>109067.13000005133</v>
      </c>
      <c r="GE46" s="443">
        <f t="shared" si="83"/>
        <v>47330.085691521832</v>
      </c>
      <c r="GF46" s="286">
        <f>AnnualAggregations!$U38</f>
        <v>5000.0000000019172</v>
      </c>
      <c r="GG46" s="287">
        <f t="shared" si="84"/>
        <v>199161.45425819268</v>
      </c>
      <c r="GH46" s="440" t="s">
        <v>628</v>
      </c>
      <c r="GI46" s="440" t="s">
        <v>628</v>
      </c>
      <c r="GJ46" s="440" t="s">
        <v>628</v>
      </c>
      <c r="GK46" s="440" t="s">
        <v>628</v>
      </c>
      <c r="GL46" s="286">
        <f>AnnualDiversions!$BG38</f>
        <v>12296.800000006155</v>
      </c>
      <c r="GN46" s="440" t="s">
        <v>628</v>
      </c>
      <c r="GO46" s="440" t="s">
        <v>628</v>
      </c>
      <c r="GP46" s="440" t="s">
        <v>628</v>
      </c>
      <c r="GQ46" s="442" t="s">
        <v>597</v>
      </c>
      <c r="GU46" s="282">
        <v>1959</v>
      </c>
      <c r="GV46" s="286">
        <f>AnnualAggregations!AA38</f>
        <v>318190.75524783437</v>
      </c>
      <c r="GW46" s="442" t="s">
        <v>597</v>
      </c>
      <c r="GX46" s="286">
        <f>AnnualDivReqs!$AM38</f>
        <v>24160.880683189978</v>
      </c>
      <c r="GY46" s="286">
        <f>AnnualDivReqs!$AK38</f>
        <v>15864.246446422732</v>
      </c>
      <c r="GZ46" s="286">
        <f>AnnualDivReqs!$L38</f>
        <v>1800</v>
      </c>
      <c r="HA46" s="287">
        <f t="shared" si="85"/>
        <v>360015.88237744704</v>
      </c>
      <c r="HB46" s="286">
        <f>AnnualDivReqs!$AO38</f>
        <v>2083.9999999997617</v>
      </c>
      <c r="HC46" s="286">
        <f>AnnualDivReqs!$AY38</f>
        <v>2751.1312217191398</v>
      </c>
      <c r="HD46" s="286">
        <f>AnnualAggregations!$AD38</f>
        <v>57310.917356290061</v>
      </c>
      <c r="HE46" s="286">
        <f>AnnualAggregations!$AE38</f>
        <v>23011.994005876601</v>
      </c>
      <c r="HF46" s="286">
        <f>AnnualAggregations!$AF38</f>
        <v>19613.649407408488</v>
      </c>
      <c r="HG46" s="286">
        <f>AnnualDivReqs!$AL38</f>
        <v>12962.040332145607</v>
      </c>
      <c r="HH46" s="286">
        <f>AnnualDivReqs!$AG38</f>
        <v>17466.123377236683</v>
      </c>
      <c r="HI46" s="286">
        <f>AnnualDivReqs!$AN38</f>
        <v>6150.230328099321</v>
      </c>
      <c r="HJ46" s="287">
        <f t="shared" si="86"/>
        <v>139266.0860287759</v>
      </c>
      <c r="HK46" s="287">
        <f t="shared" si="87"/>
        <v>501365.9684062227</v>
      </c>
      <c r="HL46" s="286">
        <f>AnnualDivReqs!$AP38</f>
        <v>378.87777777775057</v>
      </c>
      <c r="HM46" s="442" t="s">
        <v>597</v>
      </c>
      <c r="HN46" s="286">
        <f>AnnualDivReqs!$AJ38</f>
        <v>38999.999998983854</v>
      </c>
      <c r="HO46" s="286">
        <f>AnnualDivReqs!$BC38</f>
        <v>16199.99999897049</v>
      </c>
      <c r="HP46" s="286">
        <f>AnnualDivReqs!$J38</f>
        <v>4166.6500000021233</v>
      </c>
      <c r="HQ46" s="286">
        <f>AnnualAggregations!$AG38</f>
        <v>19374.983333335964</v>
      </c>
      <c r="HR46" s="287">
        <f t="shared" si="88"/>
        <v>79120.511109070183</v>
      </c>
      <c r="HS46" s="287">
        <f t="shared" si="89"/>
        <v>79120.511109070183</v>
      </c>
      <c r="HT46" s="287">
        <f t="shared" si="90"/>
        <v>580486.47951529291</v>
      </c>
      <c r="HV46" s="440" t="s">
        <v>628</v>
      </c>
      <c r="HW46" s="440" t="s">
        <v>628</v>
      </c>
      <c r="HX46" s="440" t="s">
        <v>628</v>
      </c>
      <c r="HY46" s="440" t="s">
        <v>628</v>
      </c>
      <c r="HZ46" s="440" t="s">
        <v>628</v>
      </c>
      <c r="IA46" s="440" t="s">
        <v>628</v>
      </c>
      <c r="IB46" s="440" t="s">
        <v>628</v>
      </c>
      <c r="IC46" s="440" t="s">
        <v>628</v>
      </c>
      <c r="ID46" s="440" t="s">
        <v>628</v>
      </c>
      <c r="IE46" s="440" t="s">
        <v>628</v>
      </c>
      <c r="IF46" s="440" t="s">
        <v>628</v>
      </c>
      <c r="IG46" s="440" t="s">
        <v>628</v>
      </c>
      <c r="IH46" s="440" t="s">
        <v>628</v>
      </c>
      <c r="IJ46" s="440" t="s">
        <v>628</v>
      </c>
      <c r="IL46" s="286">
        <f>AnnualAggregations!$AB38</f>
        <v>37764.238566617634</v>
      </c>
      <c r="IM46" s="286">
        <f>AnnualAggregations!$Z38</f>
        <v>109554.03463351498</v>
      </c>
      <c r="IN46" s="442" t="s">
        <v>597</v>
      </c>
      <c r="IO46" s="286">
        <f>AnnualAggregations!$AC38</f>
        <v>5000.0000000019172</v>
      </c>
      <c r="IP46" s="442" t="s">
        <v>597</v>
      </c>
      <c r="IQ46" s="440" t="s">
        <v>628</v>
      </c>
      <c r="IR46" s="440" t="s">
        <v>628</v>
      </c>
      <c r="IS46" s="440" t="s">
        <v>628</v>
      </c>
      <c r="IT46" s="440" t="s">
        <v>628</v>
      </c>
      <c r="IU46" s="286">
        <f>AnnualDivReqs!$BG38</f>
        <v>12296.800000006155</v>
      </c>
      <c r="IW46" s="440" t="s">
        <v>628</v>
      </c>
      <c r="IX46" s="440" t="s">
        <v>628</v>
      </c>
      <c r="IY46" s="440" t="s">
        <v>628</v>
      </c>
      <c r="IZ46" s="442" t="s">
        <v>597</v>
      </c>
    </row>
    <row r="47" spans="1:260" x14ac:dyDescent="0.25">
      <c r="A47" s="480" t="str">
        <f>ADDRESS(ROW(SJRIPSummary!E39),COLUMN(SJRIPSummary!E39),4,1)</f>
        <v>E39</v>
      </c>
      <c r="B47" s="480" t="str">
        <f t="shared" si="57"/>
        <v>39</v>
      </c>
      <c r="C47" t="s">
        <v>619</v>
      </c>
      <c r="D47" s="404">
        <v>32</v>
      </c>
      <c r="E47" s="404">
        <v>93</v>
      </c>
      <c r="F47" s="404">
        <v>154</v>
      </c>
      <c r="G47" s="404">
        <v>215</v>
      </c>
      <c r="H47" s="391"/>
      <c r="I47" s="558"/>
      <c r="J47" s="567" t="s">
        <v>107</v>
      </c>
      <c r="K47" s="568"/>
      <c r="L47" s="173" t="s">
        <v>108</v>
      </c>
      <c r="M47" s="174">
        <f ca="1">ROUND(SJRIPSummaryRAW!B48,-2)</f>
        <v>38400</v>
      </c>
      <c r="N47" s="148"/>
      <c r="O47" s="219">
        <f ca="1">ROUND(SJRIPSummaryRAW!D48,-2)</f>
        <v>52300</v>
      </c>
      <c r="P47" s="220">
        <f ca="1">ROUND(SJRIPSummaryRAW!E48,-2)</f>
        <v>12000</v>
      </c>
      <c r="Q47" s="391"/>
      <c r="R47" s="21"/>
      <c r="S47" s="21"/>
      <c r="T47" s="282">
        <v>1960</v>
      </c>
      <c r="U47" s="286">
        <f>AnnualAggregations!$C39</f>
        <v>280105.72664918215</v>
      </c>
      <c r="V47" s="286">
        <f>AnnualDepletions!$BI39</f>
        <v>6373.4759406839685</v>
      </c>
      <c r="W47" s="286">
        <f>AnnualDepletions!$AM39</f>
        <v>12099.999999999993</v>
      </c>
      <c r="X47" s="286">
        <f>AnnualDepletions!$AK39</f>
        <v>7970.0000000000036</v>
      </c>
      <c r="Y47" s="286">
        <f>AnnualDepletions!$L39</f>
        <v>899.99999999999977</v>
      </c>
      <c r="Z47" s="287">
        <f t="shared" si="58"/>
        <v>307449.20258986612</v>
      </c>
      <c r="AA47" s="286">
        <f>AnnualDepletions!$AO39</f>
        <v>1135.9999999998695</v>
      </c>
      <c r="AB47" s="286">
        <f>AnnualDepletions!$AY39</f>
        <v>1631.9999999998129</v>
      </c>
      <c r="AC47" s="286">
        <f>AnnualAggregations!$F39</f>
        <v>37163.421915837542</v>
      </c>
      <c r="AD47" s="286">
        <f>AnnualAggregations!$G39</f>
        <v>3682.9072614765364</v>
      </c>
      <c r="AE47" s="286">
        <f>AnnualAggregations!$H39</f>
        <v>14593.999999998319</v>
      </c>
      <c r="AF47" s="286">
        <f>AnnualDepletions!$AL39</f>
        <v>12363.999999998578</v>
      </c>
      <c r="AG47" s="286">
        <f>AnnualDepletions!$AG39</f>
        <v>10217.999999998823</v>
      </c>
      <c r="AH47" s="286">
        <f>AnnualDepletions!$AN39</f>
        <v>3440.9999999996053</v>
      </c>
      <c r="AI47" s="287">
        <f t="shared" si="59"/>
        <v>83095.329177309221</v>
      </c>
      <c r="AJ47" s="287">
        <f t="shared" si="60"/>
        <v>391680.53176717524</v>
      </c>
      <c r="AK47" s="286">
        <f>AnnualDepletions!$AP39</f>
        <v>340.98999999997511</v>
      </c>
      <c r="AL47" s="286">
        <f>AnnualDepletions!$BH39</f>
        <v>27436.704051997942</v>
      </c>
      <c r="AM47" s="286">
        <f>AnnualDepletions!$AJ39</f>
        <v>38999.999998983862</v>
      </c>
      <c r="AN47" s="286">
        <f>AnnualDepletions!$BC39</f>
        <v>16199.999998970494</v>
      </c>
      <c r="AO47" s="286">
        <f>AnnualDepletions!$J39</f>
        <v>2499.9900000012672</v>
      </c>
      <c r="AP47" s="286">
        <f>AnnualAggregations!$I39</f>
        <v>11624.990000001573</v>
      </c>
      <c r="AQ47" s="287">
        <f t="shared" si="61"/>
        <v>69665.969997957174</v>
      </c>
      <c r="AR47" s="287">
        <f t="shared" si="62"/>
        <v>97102.674049955123</v>
      </c>
      <c r="AS47" s="287">
        <f t="shared" si="63"/>
        <v>488783.20581713039</v>
      </c>
      <c r="AU47" s="321">
        <f ca="1">StateModDepletions_ThisScenario!AC37</f>
        <v>34784.627916038036</v>
      </c>
      <c r="AV47" s="321">
        <f ca="1">StateModDepletions_ThisScenario!AD37</f>
        <v>18370.804648861289</v>
      </c>
      <c r="AW47" s="321">
        <f ca="1">StateModDepletions_ThisScenario!AE37</f>
        <v>110566.70981123764</v>
      </c>
      <c r="AX47" s="321">
        <f ca="1">StateModDepletions_ThisScenario!AB37</f>
        <v>24765.810481309891</v>
      </c>
      <c r="AY47" s="288">
        <f t="shared" ca="1" si="64"/>
        <v>188487.95285744686</v>
      </c>
      <c r="AZ47" s="321">
        <f ca="1">StateModDepletions_ThisScenario!AG37</f>
        <v>35720.30162796237</v>
      </c>
      <c r="BA47" s="321">
        <f ca="1">StateModDepletions_ThisScenario!AF37</f>
        <v>18552.087331525978</v>
      </c>
      <c r="BB47" s="321">
        <f ca="1">StateModDepletions_ThisScenario!AH37</f>
        <v>15199.523682042956</v>
      </c>
      <c r="BC47" s="321">
        <f ca="1">StateModDepletions_ThisScenario!AI37</f>
        <v>20269.706711902112</v>
      </c>
      <c r="BD47" s="321">
        <f ca="1">StateModDepletions_ThisScenario!N37</f>
        <v>1326.6977829933167</v>
      </c>
      <c r="BE47" s="321">
        <f ca="1">StateModDepletions_ThisScenario!V37</f>
        <v>11104.052372932434</v>
      </c>
      <c r="BF47" s="288">
        <f t="shared" ca="1" si="65"/>
        <v>102172.36950935917</v>
      </c>
      <c r="BG47" s="288">
        <f t="shared" ca="1" si="66"/>
        <v>290660.32236680604</v>
      </c>
      <c r="BI47" s="288">
        <f t="shared" ca="1" si="67"/>
        <v>779443.52818393637</v>
      </c>
      <c r="BK47" s="286">
        <f>AnnualAggregations!$D39</f>
        <v>35893.000000000044</v>
      </c>
      <c r="BL47" s="286">
        <f>AnnualAggregations!$B39</f>
        <v>57140.458658696334</v>
      </c>
      <c r="BM47" s="286">
        <f>AnnualDepletions!$BK39</f>
        <v>113053.68618153682</v>
      </c>
      <c r="BN47" s="286">
        <f>AnnualAggregations!$E39</f>
        <v>5000.0000000019463</v>
      </c>
      <c r="BO47" s="287">
        <f t="shared" si="68"/>
        <v>211087.14484023515</v>
      </c>
      <c r="BP47" s="321">
        <f ca="1">StateModDepletions_ThisScenario!Y37</f>
        <v>212.11356273293495</v>
      </c>
      <c r="BQ47" s="321">
        <f ca="1">StateModDepletions_ThisScenario!AJ37</f>
        <v>153666.45627971011</v>
      </c>
      <c r="BR47" s="321">
        <f ca="1">StateModDepletions_ThisScenario!Z37</f>
        <v>216480.86566162109</v>
      </c>
      <c r="BS47" s="321">
        <f ca="1">StateModDepletions_ThisScenario!AA37</f>
        <v>62602.295819178042</v>
      </c>
      <c r="BT47" s="286">
        <f>AnnualDepletions!$BG39</f>
        <v>12296.800000006155</v>
      </c>
      <c r="BV47" s="287">
        <f t="shared" ca="1" si="69"/>
        <v>1002827.4730241777</v>
      </c>
      <c r="BW47" s="287">
        <f t="shared" ca="1" si="70"/>
        <v>940225.17720499972</v>
      </c>
      <c r="BX47" s="287">
        <f t="shared" ca="1" si="56"/>
        <v>955100.17720499972</v>
      </c>
      <c r="BY47" s="287">
        <f>SJRIPSummaryRAW!$B$79</f>
        <v>14875</v>
      </c>
      <c r="CC47" s="282">
        <v>1960</v>
      </c>
      <c r="CD47" s="286">
        <f>AnnualAggregations!K39</f>
        <v>280105.72664918215</v>
      </c>
      <c r="CE47" s="442" t="s">
        <v>597</v>
      </c>
      <c r="CF47" s="286">
        <f>AnnualDeplReqs!$AM39</f>
        <v>12099.999999999993</v>
      </c>
      <c r="CG47" s="286">
        <f>AnnualDeplReqs!$AK39</f>
        <v>7970.0000000000036</v>
      </c>
      <c r="CH47" s="286">
        <f>AnnualDeplReqs!$L39</f>
        <v>899.99999999999977</v>
      </c>
      <c r="CI47" s="443">
        <f t="shared" si="71"/>
        <v>307449.20258986612</v>
      </c>
      <c r="CJ47" s="286">
        <f>AnnualDeplReqs!$AO39</f>
        <v>1135.9999999998695</v>
      </c>
      <c r="CK47" s="286">
        <f>AnnualDeplReqs!$AY39</f>
        <v>1631.9999999998129</v>
      </c>
      <c r="CL47" s="286">
        <f>AnnualAggregations!$N39</f>
        <v>37163.421915837542</v>
      </c>
      <c r="CM47" s="286">
        <f>AnnualAggregations!$O39</f>
        <v>14111.999999998374</v>
      </c>
      <c r="CN47" s="286">
        <f>AnnualAggregations!$P39</f>
        <v>14593.999999998319</v>
      </c>
      <c r="CO47" s="286">
        <f>AnnualDeplReqs!$AL39</f>
        <v>12363.999999998578</v>
      </c>
      <c r="CP47" s="286">
        <f>AnnualDeplReqs!$AG39</f>
        <v>10217.999999998823</v>
      </c>
      <c r="CQ47" s="286">
        <f>AnnualDeplReqs!$AN39</f>
        <v>3440.9999999996053</v>
      </c>
      <c r="CR47" s="287">
        <f t="shared" si="72"/>
        <v>93524.421915831044</v>
      </c>
      <c r="CS47" s="287">
        <f t="shared" si="73"/>
        <v>402109.62450569705</v>
      </c>
      <c r="CT47" s="286">
        <f>AnnualDeplReqs!$AP39</f>
        <v>340.98999999997511</v>
      </c>
      <c r="CU47" s="442" t="s">
        <v>597</v>
      </c>
      <c r="CV47" s="286">
        <f>AnnualDeplReqs!$AJ39</f>
        <v>38999.999998983862</v>
      </c>
      <c r="CW47" s="286">
        <f>AnnualDeplReqs!$BC39</f>
        <v>16199.999998970494</v>
      </c>
      <c r="CX47" s="286">
        <f>AnnualDeplReqs!$J39</f>
        <v>2499.9900000012672</v>
      </c>
      <c r="CY47" s="286">
        <f>AnnualAggregations!$Q39</f>
        <v>11624.990000001573</v>
      </c>
      <c r="CZ47" s="287">
        <f t="shared" si="74"/>
        <v>69665.969997957174</v>
      </c>
      <c r="DA47" s="443">
        <f t="shared" si="75"/>
        <v>97102.674049955123</v>
      </c>
      <c r="DB47" s="287">
        <f t="shared" si="76"/>
        <v>499212.29855565215</v>
      </c>
      <c r="DD47" s="440" t="s">
        <v>628</v>
      </c>
      <c r="DE47" s="440" t="s">
        <v>628</v>
      </c>
      <c r="DF47" s="440" t="s">
        <v>628</v>
      </c>
      <c r="DG47" s="440" t="s">
        <v>628</v>
      </c>
      <c r="DH47" s="440" t="s">
        <v>628</v>
      </c>
      <c r="DI47" s="440" t="s">
        <v>628</v>
      </c>
      <c r="DJ47" s="440" t="s">
        <v>628</v>
      </c>
      <c r="DK47" s="440" t="s">
        <v>628</v>
      </c>
      <c r="DL47" s="440" t="s">
        <v>628</v>
      </c>
      <c r="DM47" s="440" t="s">
        <v>628</v>
      </c>
      <c r="DN47" s="440" t="s">
        <v>628</v>
      </c>
      <c r="DO47" s="440" t="s">
        <v>628</v>
      </c>
      <c r="DP47" s="440" t="s">
        <v>628</v>
      </c>
      <c r="DR47" s="440" t="s">
        <v>628</v>
      </c>
      <c r="DT47" s="286">
        <f>AnnualAggregations!$L39</f>
        <v>35893.000000000073</v>
      </c>
      <c r="DU47" s="443">
        <f>AnnualAggregations!$J39</f>
        <v>57289.075518911537</v>
      </c>
      <c r="DV47" s="442" t="s">
        <v>597</v>
      </c>
      <c r="DW47" s="286">
        <f>AnnualAggregations!$M39</f>
        <v>5000.0000000019463</v>
      </c>
      <c r="DX47" s="442" t="s">
        <v>597</v>
      </c>
      <c r="DY47" s="440" t="s">
        <v>628</v>
      </c>
      <c r="DZ47" s="440" t="s">
        <v>628</v>
      </c>
      <c r="EA47" s="440" t="s">
        <v>628</v>
      </c>
      <c r="EB47" s="440" t="s">
        <v>628</v>
      </c>
      <c r="EC47" s="286">
        <f>AnnualDeplReqs!$BG39</f>
        <v>12296.800000006155</v>
      </c>
      <c r="EE47" s="440" t="s">
        <v>628</v>
      </c>
      <c r="EF47" s="440" t="s">
        <v>628</v>
      </c>
      <c r="EG47" s="440" t="s">
        <v>628</v>
      </c>
      <c r="EH47" s="442" t="s">
        <v>597</v>
      </c>
      <c r="EL47" s="282">
        <v>1960</v>
      </c>
      <c r="EM47" s="286">
        <f>AnnualAggregations!S39</f>
        <v>350132.15831147681</v>
      </c>
      <c r="EN47" s="442" t="s">
        <v>597</v>
      </c>
      <c r="EO47" s="286">
        <f>AnnualDiversions!$AM39</f>
        <v>24160.880683189993</v>
      </c>
      <c r="EP47" s="286">
        <f>AnnualDiversions!$AK39</f>
        <v>15864.246446422732</v>
      </c>
      <c r="EQ47" s="286">
        <f>AnnualDiversions!$L39</f>
        <v>1799.9999999999995</v>
      </c>
      <c r="ER47" s="287">
        <f t="shared" si="77"/>
        <v>391957.28544108954</v>
      </c>
      <c r="ES47" s="286">
        <f>AnnualDiversions!$AO39</f>
        <v>2271.999999999739</v>
      </c>
      <c r="ET47" s="286">
        <f>AnnualDiversions!$AY39</f>
        <v>2953.8461538458159</v>
      </c>
      <c r="EU47" s="286">
        <f>AnnualAggregations!$V39</f>
        <v>62431.646303774905</v>
      </c>
      <c r="EV47" s="286">
        <f>AnnualAggregations!$W39</f>
        <v>6349.3089100277521</v>
      </c>
      <c r="EW47" s="286">
        <f>AnnualAggregations!$X39</f>
        <v>22370.426451591087</v>
      </c>
      <c r="EX47" s="286">
        <f>AnnualDiversions!$AL39</f>
        <v>14666.666666664962</v>
      </c>
      <c r="EY47" s="286">
        <f>AnnualDiversions!$AG39</f>
        <v>19365.109447548242</v>
      </c>
      <c r="EZ47" s="286">
        <f>AnnualDiversions!$AN39</f>
        <v>6469.8693240567891</v>
      </c>
      <c r="FA47" s="287">
        <f t="shared" si="78"/>
        <v>134606.87325750955</v>
      </c>
      <c r="FB47" s="287">
        <f t="shared" si="79"/>
        <v>528836.15869859885</v>
      </c>
      <c r="FC47" s="286">
        <f>AnnualDiversions!$AP39</f>
        <v>378.87777777775057</v>
      </c>
      <c r="FD47" s="442" t="s">
        <v>597</v>
      </c>
      <c r="FE47" s="286">
        <f>AnnualDiversions!$AJ39</f>
        <v>38999.999998983862</v>
      </c>
      <c r="FF47" s="286">
        <f>AnnualDiversions!$BC39</f>
        <v>16199.999998970494</v>
      </c>
      <c r="FG47" s="286">
        <f>AnnualDiversions!$J39</f>
        <v>4166.6500000021233</v>
      </c>
      <c r="FH47" s="286">
        <f>AnnualAggregations!$Y39</f>
        <v>19374.983333335967</v>
      </c>
      <c r="FI47" s="287">
        <f t="shared" si="80"/>
        <v>79120.511109070212</v>
      </c>
      <c r="FJ47" s="287">
        <f t="shared" si="81"/>
        <v>79120.511109070198</v>
      </c>
      <c r="FK47" s="287">
        <f t="shared" si="82"/>
        <v>607956.66980766901</v>
      </c>
      <c r="FM47" s="440" t="s">
        <v>628</v>
      </c>
      <c r="FN47" s="440" t="s">
        <v>628</v>
      </c>
      <c r="FO47" s="440" t="s">
        <v>628</v>
      </c>
      <c r="FP47" s="440" t="s">
        <v>628</v>
      </c>
      <c r="FQ47" s="440" t="s">
        <v>628</v>
      </c>
      <c r="FR47" s="440" t="s">
        <v>628</v>
      </c>
      <c r="FS47" s="440" t="s">
        <v>628</v>
      </c>
      <c r="FT47" s="440" t="s">
        <v>628</v>
      </c>
      <c r="FU47" s="440" t="s">
        <v>628</v>
      </c>
      <c r="FV47" s="440" t="s">
        <v>628</v>
      </c>
      <c r="FW47" s="440" t="s">
        <v>628</v>
      </c>
      <c r="FX47" s="440" t="s">
        <v>628</v>
      </c>
      <c r="FY47" s="440" t="s">
        <v>628</v>
      </c>
      <c r="GA47" s="440" t="s">
        <v>628</v>
      </c>
      <c r="GC47" s="286">
        <f>AnnualAggregations!$T39</f>
        <v>37763.476493275419</v>
      </c>
      <c r="GD47" s="286">
        <f>AnnualAggregations!$R39</f>
        <v>109067.13000005134</v>
      </c>
      <c r="GE47" s="443">
        <f t="shared" si="83"/>
        <v>113053.68618153682</v>
      </c>
      <c r="GF47" s="286">
        <f>AnnualAggregations!$U39</f>
        <v>5000.0000000019463</v>
      </c>
      <c r="GG47" s="287">
        <f t="shared" si="84"/>
        <v>264884.29267486552</v>
      </c>
      <c r="GH47" s="440" t="s">
        <v>628</v>
      </c>
      <c r="GI47" s="440" t="s">
        <v>628</v>
      </c>
      <c r="GJ47" s="440" t="s">
        <v>628</v>
      </c>
      <c r="GK47" s="440" t="s">
        <v>628</v>
      </c>
      <c r="GL47" s="286">
        <f>AnnualDiversions!$BG39</f>
        <v>12296.800000006155</v>
      </c>
      <c r="GN47" s="440" t="s">
        <v>628</v>
      </c>
      <c r="GO47" s="440" t="s">
        <v>628</v>
      </c>
      <c r="GP47" s="440" t="s">
        <v>628</v>
      </c>
      <c r="GQ47" s="442" t="s">
        <v>597</v>
      </c>
      <c r="GU47" s="282">
        <v>1960</v>
      </c>
      <c r="GV47" s="286">
        <f>AnnualAggregations!AA39</f>
        <v>350132.15831147681</v>
      </c>
      <c r="GW47" s="442" t="s">
        <v>597</v>
      </c>
      <c r="GX47" s="286">
        <f>AnnualDivReqs!$AM39</f>
        <v>24160.880683189993</v>
      </c>
      <c r="GY47" s="286">
        <f>AnnualDivReqs!$AK39</f>
        <v>15864.246446422732</v>
      </c>
      <c r="GZ47" s="286">
        <f>AnnualDivReqs!$L39</f>
        <v>1799.9999999999995</v>
      </c>
      <c r="HA47" s="287">
        <f t="shared" si="85"/>
        <v>391957.28544108954</v>
      </c>
      <c r="HB47" s="286">
        <f>AnnualDivReqs!$AO39</f>
        <v>2271.999999999739</v>
      </c>
      <c r="HC47" s="286">
        <f>AnnualDivReqs!$AY39</f>
        <v>2953.8461538458159</v>
      </c>
      <c r="HD47" s="286">
        <f>AnnualAggregations!$AD39</f>
        <v>62431.646303774905</v>
      </c>
      <c r="HE47" s="286">
        <f>AnnualAggregations!$AE39</f>
        <v>25274.62123483454</v>
      </c>
      <c r="HF47" s="286">
        <f>AnnualAggregations!$AF39</f>
        <v>22370.426451591087</v>
      </c>
      <c r="HG47" s="286">
        <f>AnnualDivReqs!$AL39</f>
        <v>14666.666666664962</v>
      </c>
      <c r="HH47" s="286">
        <f>AnnualDivReqs!$AG39</f>
        <v>19365.109447548242</v>
      </c>
      <c r="HI47" s="286">
        <f>AnnualDivReqs!$AN39</f>
        <v>6469.8693240567891</v>
      </c>
      <c r="HJ47" s="287">
        <f t="shared" si="86"/>
        <v>153532.18558231634</v>
      </c>
      <c r="HK47" s="287">
        <f t="shared" si="87"/>
        <v>547761.47102340567</v>
      </c>
      <c r="HL47" s="286">
        <f>AnnualDivReqs!$AP39</f>
        <v>378.87777777775057</v>
      </c>
      <c r="HM47" s="442" t="s">
        <v>597</v>
      </c>
      <c r="HN47" s="286">
        <f>AnnualDivReqs!$AJ39</f>
        <v>38999.999998983862</v>
      </c>
      <c r="HO47" s="286">
        <f>AnnualDivReqs!$BC39</f>
        <v>16199.999998970494</v>
      </c>
      <c r="HP47" s="286">
        <f>AnnualDivReqs!$J39</f>
        <v>4166.6500000021233</v>
      </c>
      <c r="HQ47" s="286">
        <f>AnnualAggregations!$AG39</f>
        <v>19374.983333335967</v>
      </c>
      <c r="HR47" s="287">
        <f t="shared" si="88"/>
        <v>79120.511109070212</v>
      </c>
      <c r="HS47" s="287">
        <f t="shared" si="89"/>
        <v>79120.511109070198</v>
      </c>
      <c r="HT47" s="287">
        <f t="shared" si="90"/>
        <v>626881.98213247582</v>
      </c>
      <c r="HV47" s="440" t="s">
        <v>628</v>
      </c>
      <c r="HW47" s="440" t="s">
        <v>628</v>
      </c>
      <c r="HX47" s="440" t="s">
        <v>628</v>
      </c>
      <c r="HY47" s="440" t="s">
        <v>628</v>
      </c>
      <c r="HZ47" s="440" t="s">
        <v>628</v>
      </c>
      <c r="IA47" s="440" t="s">
        <v>628</v>
      </c>
      <c r="IB47" s="440" t="s">
        <v>628</v>
      </c>
      <c r="IC47" s="440" t="s">
        <v>628</v>
      </c>
      <c r="ID47" s="440" t="s">
        <v>628</v>
      </c>
      <c r="IE47" s="440" t="s">
        <v>628</v>
      </c>
      <c r="IF47" s="440" t="s">
        <v>628</v>
      </c>
      <c r="IG47" s="440" t="s">
        <v>628</v>
      </c>
      <c r="IH47" s="440" t="s">
        <v>628</v>
      </c>
      <c r="IJ47" s="440" t="s">
        <v>628</v>
      </c>
      <c r="IL47" s="286">
        <f>AnnualAggregations!$AB39</f>
        <v>37763.476493275448</v>
      </c>
      <c r="IM47" s="286">
        <f>AnnualAggregations!$Z39</f>
        <v>109364.36372048175</v>
      </c>
      <c r="IN47" s="442" t="s">
        <v>597</v>
      </c>
      <c r="IO47" s="286">
        <f>AnnualAggregations!$AC39</f>
        <v>5000.0000000019463</v>
      </c>
      <c r="IP47" s="442" t="s">
        <v>597</v>
      </c>
      <c r="IQ47" s="440" t="s">
        <v>628</v>
      </c>
      <c r="IR47" s="440" t="s">
        <v>628</v>
      </c>
      <c r="IS47" s="440" t="s">
        <v>628</v>
      </c>
      <c r="IT47" s="440" t="s">
        <v>628</v>
      </c>
      <c r="IU47" s="286">
        <f>AnnualDivReqs!$BG39</f>
        <v>12296.800000006155</v>
      </c>
      <c r="IW47" s="440" t="s">
        <v>628</v>
      </c>
      <c r="IX47" s="440" t="s">
        <v>628</v>
      </c>
      <c r="IY47" s="440" t="s">
        <v>628</v>
      </c>
      <c r="IZ47" s="442" t="s">
        <v>597</v>
      </c>
    </row>
    <row r="48" spans="1:260" x14ac:dyDescent="0.25">
      <c r="A48" s="480" t="str">
        <f>ADDRESS(ROW(SJRIPSummary!E40),COLUMN(SJRIPSummary!E40),4,1)</f>
        <v>E40</v>
      </c>
      <c r="B48" s="480" t="str">
        <f t="shared" si="57"/>
        <v>40</v>
      </c>
      <c r="C48" t="s">
        <v>620</v>
      </c>
      <c r="D48" s="404">
        <v>33</v>
      </c>
      <c r="E48" s="404">
        <v>94</v>
      </c>
      <c r="F48" s="404">
        <v>155</v>
      </c>
      <c r="G48" s="404">
        <v>216</v>
      </c>
      <c r="H48" s="391"/>
      <c r="I48" s="558"/>
      <c r="J48" s="569"/>
      <c r="K48" s="570"/>
      <c r="L48" s="175" t="s">
        <v>109</v>
      </c>
      <c r="M48" s="174">
        <f ca="1">ROUND(SJRIPSummaryRAW!B49,-2)</f>
        <v>18500</v>
      </c>
      <c r="N48" s="148"/>
      <c r="O48" s="221">
        <f ca="1">ROUND(SJRIPSummaryRAW!D49,-2)</f>
        <v>21900</v>
      </c>
      <c r="P48" s="222">
        <f ca="1">ROUND(SJRIPSummaryRAW!E49,-2)</f>
        <v>14200</v>
      </c>
      <c r="Q48" s="391"/>
      <c r="R48" s="21"/>
      <c r="S48" s="21"/>
      <c r="T48" s="282">
        <v>1961</v>
      </c>
      <c r="U48" s="286">
        <f>AnnualAggregations!$C40</f>
        <v>226878.24566833526</v>
      </c>
      <c r="V48" s="286">
        <f>AnnualDepletions!$BI40</f>
        <v>-4136.3708855697423</v>
      </c>
      <c r="W48" s="286">
        <f>AnnualDepletions!$AM40</f>
        <v>12099.999999999993</v>
      </c>
      <c r="X48" s="286">
        <f>AnnualDepletions!$AK40</f>
        <v>7969.9999999999945</v>
      </c>
      <c r="Y48" s="286">
        <f>AnnualDepletions!$L40</f>
        <v>899.99999999999955</v>
      </c>
      <c r="Z48" s="287">
        <f t="shared" si="58"/>
        <v>243711.87478276552</v>
      </c>
      <c r="AA48" s="286">
        <f>AnnualDepletions!$AO40</f>
        <v>1051.9999999998793</v>
      </c>
      <c r="AB48" s="286">
        <f>AnnualDepletions!$AY40</f>
        <v>1496.9999999998277</v>
      </c>
      <c r="AC48" s="286">
        <f>AnnualAggregations!$F40</f>
        <v>31716.588340269165</v>
      </c>
      <c r="AD48" s="286">
        <f>AnnualAggregations!$G40</f>
        <v>3144.2728606566884</v>
      </c>
      <c r="AE48" s="286">
        <f>AnnualAggregations!$H40</f>
        <v>12341.999999998579</v>
      </c>
      <c r="AF48" s="286">
        <f>AnnualDepletions!$AL40</f>
        <v>10520.999999998789</v>
      </c>
      <c r="AG48" s="286">
        <f>AnnualDepletions!$AG40</f>
        <v>11255.999999998705</v>
      </c>
      <c r="AH48" s="286">
        <f>AnnualDepletions!$AN40</f>
        <v>3451.999999999603</v>
      </c>
      <c r="AI48" s="287">
        <f t="shared" si="59"/>
        <v>73928.861200921368</v>
      </c>
      <c r="AJ48" s="287">
        <f t="shared" si="60"/>
        <v>318692.73598368675</v>
      </c>
      <c r="AK48" s="286">
        <f>AnnualDepletions!$AP40</f>
        <v>340.98999999997505</v>
      </c>
      <c r="AL48" s="286">
        <f>AnnualDepletions!$BH40</f>
        <v>27181.116639783209</v>
      </c>
      <c r="AM48" s="286">
        <f>AnnualDepletions!$AJ40</f>
        <v>38999.999998983854</v>
      </c>
      <c r="AN48" s="286">
        <f>AnnualDepletions!$BC40</f>
        <v>16199.99999897049</v>
      </c>
      <c r="AO48" s="286">
        <f>AnnualDepletions!$J40</f>
        <v>2499.9900000012672</v>
      </c>
      <c r="AP48" s="286">
        <f>AnnualAggregations!$I40</f>
        <v>11624.990000001573</v>
      </c>
      <c r="AQ48" s="287">
        <f t="shared" si="61"/>
        <v>69665.96999795716</v>
      </c>
      <c r="AR48" s="287">
        <f t="shared" si="62"/>
        <v>96847.086637740387</v>
      </c>
      <c r="AS48" s="287">
        <f t="shared" si="63"/>
        <v>415539.82262142713</v>
      </c>
      <c r="AU48" s="321">
        <f ca="1">StateModDepletions_ThisScenario!AC38</f>
        <v>31775.230519108474</v>
      </c>
      <c r="AV48" s="321">
        <f ca="1">StateModDepletions_ThisScenario!AD38</f>
        <v>17165.583679392934</v>
      </c>
      <c r="AW48" s="321">
        <f ca="1">StateModDepletions_ThisScenario!AE38</f>
        <v>104026.81989826262</v>
      </c>
      <c r="AX48" s="321">
        <f ca="1">StateModDepletions_ThisScenario!AB38</f>
        <v>24765.810481309891</v>
      </c>
      <c r="AY48" s="288">
        <f t="shared" ca="1" si="64"/>
        <v>177733.44457807392</v>
      </c>
      <c r="AZ48" s="321">
        <f ca="1">StateModDepletions_ThisScenario!AG38</f>
        <v>32933.35541038074</v>
      </c>
      <c r="BA48" s="321">
        <f ca="1">StateModDepletions_ThisScenario!AF38</f>
        <v>17150.742184154689</v>
      </c>
      <c r="BB48" s="321">
        <f ca="1">StateModDepletions_ThisScenario!AH38</f>
        <v>16243.036974921823</v>
      </c>
      <c r="BC48" s="321">
        <f ca="1">StateModDepletions_ThisScenario!AI38</f>
        <v>14463.260520719812</v>
      </c>
      <c r="BD48" s="321">
        <f ca="1">StateModDepletions_ThisScenario!N38</f>
        <v>1326.6977829933167</v>
      </c>
      <c r="BE48" s="321">
        <f ca="1">StateModDepletions_ThisScenario!V38</f>
        <v>11586.666974067688</v>
      </c>
      <c r="BF48" s="288">
        <f t="shared" ca="1" si="65"/>
        <v>93703.759847238063</v>
      </c>
      <c r="BG48" s="288">
        <f t="shared" ca="1" si="66"/>
        <v>271437.204425312</v>
      </c>
      <c r="BI48" s="288">
        <f t="shared" ca="1" si="67"/>
        <v>686977.02704673912</v>
      </c>
      <c r="BK48" s="286">
        <f>AnnualAggregations!$D40</f>
        <v>35893.000000000065</v>
      </c>
      <c r="BL48" s="286">
        <f>AnnualAggregations!$B40</f>
        <v>57168.032570211122</v>
      </c>
      <c r="BM48" s="286">
        <f>AnnualDepletions!$BK40</f>
        <v>86692.908202789302</v>
      </c>
      <c r="BN48" s="286">
        <f>AnnualAggregations!$E40</f>
        <v>5000.0000000019172</v>
      </c>
      <c r="BO48" s="287">
        <f t="shared" si="68"/>
        <v>184753.9407730024</v>
      </c>
      <c r="BP48" s="321">
        <f ca="1">StateModDepletions_ThisScenario!Y38</f>
        <v>212.11356273293495</v>
      </c>
      <c r="BQ48" s="321">
        <f ca="1">StateModDepletions_ThisScenario!AJ38</f>
        <v>140772.14622222257</v>
      </c>
      <c r="BR48" s="321">
        <f ca="1">StateModDepletions_ThisScenario!Z38</f>
        <v>255672.63536930084</v>
      </c>
      <c r="BS48" s="321">
        <f ca="1">StateModDepletions_ThisScenario!AA38</f>
        <v>114688.37558434534</v>
      </c>
      <c r="BT48" s="286">
        <f>AnnualDepletions!$BG40</f>
        <v>12296.800000006155</v>
      </c>
      <c r="BV48" s="287">
        <f t="shared" ca="1" si="69"/>
        <v>884027.76781974768</v>
      </c>
      <c r="BW48" s="287">
        <f t="shared" ca="1" si="70"/>
        <v>769339.39223540237</v>
      </c>
      <c r="BX48" s="287">
        <f t="shared" ref="BX48:BX79" ca="1" si="91">BW48+BY48</f>
        <v>784214.39223540237</v>
      </c>
      <c r="BY48" s="287">
        <f>SJRIPSummaryRAW!$B$79</f>
        <v>14875</v>
      </c>
      <c r="CC48" s="282">
        <v>1961</v>
      </c>
      <c r="CD48" s="286">
        <f>AnnualAggregations!K40</f>
        <v>226878.24566833526</v>
      </c>
      <c r="CE48" s="442" t="s">
        <v>597</v>
      </c>
      <c r="CF48" s="286">
        <f>AnnualDeplReqs!$AM40</f>
        <v>12099.999999999993</v>
      </c>
      <c r="CG48" s="286">
        <f>AnnualDeplReqs!$AK40</f>
        <v>7969.9999999999945</v>
      </c>
      <c r="CH48" s="286">
        <f>AnnualDeplReqs!$L40</f>
        <v>899.99999999999955</v>
      </c>
      <c r="CI48" s="443">
        <f t="shared" si="71"/>
        <v>243711.87478276552</v>
      </c>
      <c r="CJ48" s="286">
        <f>AnnualDeplReqs!$AO40</f>
        <v>1051.9999999998793</v>
      </c>
      <c r="CK48" s="286">
        <f>AnnualDeplReqs!$AY40</f>
        <v>1496.9999999998277</v>
      </c>
      <c r="CL48" s="286">
        <f>AnnualAggregations!$N40</f>
        <v>31716.588340269165</v>
      </c>
      <c r="CM48" s="286">
        <f>AnnualAggregations!$O40</f>
        <v>12056.999999998625</v>
      </c>
      <c r="CN48" s="286">
        <f>AnnualAggregations!$P40</f>
        <v>12341.999999998579</v>
      </c>
      <c r="CO48" s="286">
        <f>AnnualDeplReqs!$AL40</f>
        <v>10520.999999998789</v>
      </c>
      <c r="CP48" s="286">
        <f>AnnualDeplReqs!$AG40</f>
        <v>11255.999999998705</v>
      </c>
      <c r="CQ48" s="286">
        <f>AnnualDeplReqs!$AN40</f>
        <v>3451.999999999603</v>
      </c>
      <c r="CR48" s="287">
        <f t="shared" si="72"/>
        <v>82841.588340263304</v>
      </c>
      <c r="CS48" s="287">
        <f t="shared" si="73"/>
        <v>327605.46312302869</v>
      </c>
      <c r="CT48" s="286">
        <f>AnnualDeplReqs!$AP40</f>
        <v>340.98999999997505</v>
      </c>
      <c r="CU48" s="442" t="s">
        <v>597</v>
      </c>
      <c r="CV48" s="286">
        <f>AnnualDeplReqs!$AJ40</f>
        <v>38999.999998983854</v>
      </c>
      <c r="CW48" s="286">
        <f>AnnualDeplReqs!$BC40</f>
        <v>16199.99999897049</v>
      </c>
      <c r="CX48" s="286">
        <f>AnnualDeplReqs!$J40</f>
        <v>2499.9900000012672</v>
      </c>
      <c r="CY48" s="286">
        <f>AnnualAggregations!$Q40</f>
        <v>11624.990000001573</v>
      </c>
      <c r="CZ48" s="287">
        <f t="shared" si="74"/>
        <v>69665.96999795716</v>
      </c>
      <c r="DA48" s="443">
        <f t="shared" si="75"/>
        <v>96847.086637740373</v>
      </c>
      <c r="DB48" s="287">
        <f t="shared" si="76"/>
        <v>424452.54976076906</v>
      </c>
      <c r="DD48" s="440" t="s">
        <v>628</v>
      </c>
      <c r="DE48" s="440" t="s">
        <v>628</v>
      </c>
      <c r="DF48" s="440" t="s">
        <v>628</v>
      </c>
      <c r="DG48" s="440" t="s">
        <v>628</v>
      </c>
      <c r="DH48" s="440" t="s">
        <v>628</v>
      </c>
      <c r="DI48" s="440" t="s">
        <v>628</v>
      </c>
      <c r="DJ48" s="440" t="s">
        <v>628</v>
      </c>
      <c r="DK48" s="440" t="s">
        <v>628</v>
      </c>
      <c r="DL48" s="440" t="s">
        <v>628</v>
      </c>
      <c r="DM48" s="440" t="s">
        <v>628</v>
      </c>
      <c r="DN48" s="440" t="s">
        <v>628</v>
      </c>
      <c r="DO48" s="440" t="s">
        <v>628</v>
      </c>
      <c r="DP48" s="440" t="s">
        <v>628</v>
      </c>
      <c r="DR48" s="440" t="s">
        <v>628</v>
      </c>
      <c r="DT48" s="286">
        <f>AnnualAggregations!$L40</f>
        <v>35893.000000000073</v>
      </c>
      <c r="DU48" s="443">
        <f>AnnualAggregations!$J40</f>
        <v>57168.032570211122</v>
      </c>
      <c r="DV48" s="442" t="s">
        <v>597</v>
      </c>
      <c r="DW48" s="286">
        <f>AnnualAggregations!$M40</f>
        <v>5000.0000000019172</v>
      </c>
      <c r="DX48" s="442" t="s">
        <v>597</v>
      </c>
      <c r="DY48" s="440" t="s">
        <v>628</v>
      </c>
      <c r="DZ48" s="440" t="s">
        <v>628</v>
      </c>
      <c r="EA48" s="440" t="s">
        <v>628</v>
      </c>
      <c r="EB48" s="440" t="s">
        <v>628</v>
      </c>
      <c r="EC48" s="286">
        <f>AnnualDeplReqs!$BG40</f>
        <v>12296.800000006155</v>
      </c>
      <c r="EE48" s="440" t="s">
        <v>628</v>
      </c>
      <c r="EF48" s="440" t="s">
        <v>628</v>
      </c>
      <c r="EG48" s="440" t="s">
        <v>628</v>
      </c>
      <c r="EH48" s="442" t="s">
        <v>597</v>
      </c>
      <c r="EL48" s="282">
        <v>1961</v>
      </c>
      <c r="EM48" s="286">
        <f>AnnualAggregations!S40</f>
        <v>283597.80708541931</v>
      </c>
      <c r="EN48" s="442" t="s">
        <v>597</v>
      </c>
      <c r="EO48" s="286">
        <f>AnnualDiversions!$AM40</f>
        <v>24160.880683190004</v>
      </c>
      <c r="EP48" s="286">
        <f>AnnualDiversions!$AK40</f>
        <v>15864.246446422705</v>
      </c>
      <c r="EQ48" s="286">
        <f>AnnualDiversions!$L40</f>
        <v>1799.9999999999991</v>
      </c>
      <c r="ER48" s="287">
        <f t="shared" si="77"/>
        <v>325422.93421503203</v>
      </c>
      <c r="ES48" s="286">
        <f>AnnualDiversions!$AO40</f>
        <v>2103.9999999997585</v>
      </c>
      <c r="ET48" s="286">
        <f>AnnualDiversions!$AY40</f>
        <v>2709.5022624431276</v>
      </c>
      <c r="EU48" s="286">
        <f>AnnualAggregations!$V40</f>
        <v>53280.104387865809</v>
      </c>
      <c r="EV48" s="286">
        <f>AnnualAggregations!$W40</f>
        <v>5658.4080054006154</v>
      </c>
      <c r="EW48" s="286">
        <f>AnnualAggregations!$X40</f>
        <v>18920.117082995192</v>
      </c>
      <c r="EX48" s="286">
        <f>AnnualDiversions!$AL40</f>
        <v>12480.427046261908</v>
      </c>
      <c r="EY48" s="286">
        <f>AnnualDiversions!$AG40</f>
        <v>21332.322562302106</v>
      </c>
      <c r="EZ48" s="286">
        <f>AnnualDiversions!$AN40</f>
        <v>6490.5518473246248</v>
      </c>
      <c r="FA48" s="287">
        <f t="shared" si="78"/>
        <v>120871.43319459338</v>
      </c>
      <c r="FB48" s="287">
        <f t="shared" si="79"/>
        <v>448398.36740962521</v>
      </c>
      <c r="FC48" s="286">
        <f>AnnualDiversions!$AP40</f>
        <v>378.87777777775057</v>
      </c>
      <c r="FD48" s="442" t="s">
        <v>597</v>
      </c>
      <c r="FE48" s="286">
        <f>AnnualDiversions!$AJ40</f>
        <v>38999.999998983854</v>
      </c>
      <c r="FF48" s="286">
        <f>AnnualDiversions!$BC40</f>
        <v>16199.99999897049</v>
      </c>
      <c r="FG48" s="286">
        <f>AnnualDiversions!$J40</f>
        <v>4166.6500000021233</v>
      </c>
      <c r="FH48" s="286">
        <f>AnnualAggregations!$Y40</f>
        <v>19374.983333335964</v>
      </c>
      <c r="FI48" s="287">
        <f t="shared" si="80"/>
        <v>79120.511109070183</v>
      </c>
      <c r="FJ48" s="287">
        <f t="shared" si="81"/>
        <v>79120.511109070183</v>
      </c>
      <c r="FK48" s="287">
        <f t="shared" si="82"/>
        <v>527518.87851869536</v>
      </c>
      <c r="FM48" s="440" t="s">
        <v>628</v>
      </c>
      <c r="FN48" s="440" t="s">
        <v>628</v>
      </c>
      <c r="FO48" s="440" t="s">
        <v>628</v>
      </c>
      <c r="FP48" s="440" t="s">
        <v>628</v>
      </c>
      <c r="FQ48" s="440" t="s">
        <v>628</v>
      </c>
      <c r="FR48" s="440" t="s">
        <v>628</v>
      </c>
      <c r="FS48" s="440" t="s">
        <v>628</v>
      </c>
      <c r="FT48" s="440" t="s">
        <v>628</v>
      </c>
      <c r="FU48" s="440" t="s">
        <v>628</v>
      </c>
      <c r="FV48" s="440" t="s">
        <v>628</v>
      </c>
      <c r="FW48" s="440" t="s">
        <v>628</v>
      </c>
      <c r="FX48" s="440" t="s">
        <v>628</v>
      </c>
      <c r="FY48" s="440" t="s">
        <v>628</v>
      </c>
      <c r="GA48" s="440" t="s">
        <v>628</v>
      </c>
      <c r="GC48" s="286">
        <f>AnnualAggregations!$T40</f>
        <v>37764.238566617627</v>
      </c>
      <c r="GD48" s="286">
        <f>AnnualAggregations!$R40</f>
        <v>109067.13000005133</v>
      </c>
      <c r="GE48" s="443">
        <f t="shared" si="83"/>
        <v>86692.908202789302</v>
      </c>
      <c r="GF48" s="286">
        <f>AnnualAggregations!$U40</f>
        <v>5000.0000000019172</v>
      </c>
      <c r="GG48" s="287">
        <f t="shared" si="84"/>
        <v>238524.27676946018</v>
      </c>
      <c r="GH48" s="440" t="s">
        <v>628</v>
      </c>
      <c r="GI48" s="440" t="s">
        <v>628</v>
      </c>
      <c r="GJ48" s="440" t="s">
        <v>628</v>
      </c>
      <c r="GK48" s="440" t="s">
        <v>628</v>
      </c>
      <c r="GL48" s="286">
        <f>AnnualDiversions!$BG40</f>
        <v>12296.800000006155</v>
      </c>
      <c r="GN48" s="440" t="s">
        <v>628</v>
      </c>
      <c r="GO48" s="440" t="s">
        <v>628</v>
      </c>
      <c r="GP48" s="440" t="s">
        <v>628</v>
      </c>
      <c r="GQ48" s="442" t="s">
        <v>597</v>
      </c>
      <c r="GU48" s="282">
        <v>1961</v>
      </c>
      <c r="GV48" s="286">
        <f>AnnualAggregations!AA40</f>
        <v>283597.80708541931</v>
      </c>
      <c r="GW48" s="442" t="s">
        <v>597</v>
      </c>
      <c r="GX48" s="286">
        <f>AnnualDivReqs!$AM40</f>
        <v>24160.880683190004</v>
      </c>
      <c r="GY48" s="286">
        <f>AnnualDivReqs!$AK40</f>
        <v>15864.246446422705</v>
      </c>
      <c r="GZ48" s="286">
        <f>AnnualDivReqs!$L40</f>
        <v>1799.9999999999991</v>
      </c>
      <c r="HA48" s="287">
        <f t="shared" si="85"/>
        <v>325422.93421503203</v>
      </c>
      <c r="HB48" s="286">
        <f>AnnualDivReqs!$AO40</f>
        <v>2103.9999999997585</v>
      </c>
      <c r="HC48" s="286">
        <f>AnnualDivReqs!$AY40</f>
        <v>2709.5022624431276</v>
      </c>
      <c r="HD48" s="286">
        <f>AnnualAggregations!$AD40</f>
        <v>53280.104387865809</v>
      </c>
      <c r="HE48" s="286">
        <f>AnnualAggregations!$AE40</f>
        <v>21595.041654405984</v>
      </c>
      <c r="HF48" s="286">
        <f>AnnualAggregations!$AF40</f>
        <v>18920.117082995192</v>
      </c>
      <c r="HG48" s="286">
        <f>AnnualDivReqs!$AL40</f>
        <v>12480.427046261908</v>
      </c>
      <c r="HH48" s="286">
        <f>AnnualDivReqs!$AG40</f>
        <v>21332.322562302106</v>
      </c>
      <c r="HI48" s="286">
        <f>AnnualDivReqs!$AN40</f>
        <v>6490.5518473246248</v>
      </c>
      <c r="HJ48" s="287">
        <f t="shared" si="86"/>
        <v>136808.06684359873</v>
      </c>
      <c r="HK48" s="287">
        <f t="shared" si="87"/>
        <v>464335.00105863053</v>
      </c>
      <c r="HL48" s="286">
        <f>AnnualDivReqs!$AP40</f>
        <v>378.87777777775057</v>
      </c>
      <c r="HM48" s="442" t="s">
        <v>597</v>
      </c>
      <c r="HN48" s="286">
        <f>AnnualDivReqs!$AJ40</f>
        <v>38999.999998983854</v>
      </c>
      <c r="HO48" s="286">
        <f>AnnualDivReqs!$BC40</f>
        <v>16199.99999897049</v>
      </c>
      <c r="HP48" s="286">
        <f>AnnualDivReqs!$J40</f>
        <v>4166.6500000021233</v>
      </c>
      <c r="HQ48" s="286">
        <f>AnnualAggregations!$AG40</f>
        <v>19374.983333335964</v>
      </c>
      <c r="HR48" s="287">
        <f t="shared" si="88"/>
        <v>79120.511109070183</v>
      </c>
      <c r="HS48" s="287">
        <f t="shared" si="89"/>
        <v>79120.511109070183</v>
      </c>
      <c r="HT48" s="287">
        <f t="shared" si="90"/>
        <v>543455.51216770068</v>
      </c>
      <c r="HV48" s="440" t="s">
        <v>628</v>
      </c>
      <c r="HW48" s="440" t="s">
        <v>628</v>
      </c>
      <c r="HX48" s="440" t="s">
        <v>628</v>
      </c>
      <c r="HY48" s="440" t="s">
        <v>628</v>
      </c>
      <c r="HZ48" s="440" t="s">
        <v>628</v>
      </c>
      <c r="IA48" s="440" t="s">
        <v>628</v>
      </c>
      <c r="IB48" s="440" t="s">
        <v>628</v>
      </c>
      <c r="IC48" s="440" t="s">
        <v>628</v>
      </c>
      <c r="ID48" s="440" t="s">
        <v>628</v>
      </c>
      <c r="IE48" s="440" t="s">
        <v>628</v>
      </c>
      <c r="IF48" s="440" t="s">
        <v>628</v>
      </c>
      <c r="IG48" s="440" t="s">
        <v>628</v>
      </c>
      <c r="IH48" s="440" t="s">
        <v>628</v>
      </c>
      <c r="IJ48" s="440" t="s">
        <v>628</v>
      </c>
      <c r="IL48" s="286">
        <f>AnnualAggregations!$AB40</f>
        <v>37764.238566617634</v>
      </c>
      <c r="IM48" s="286">
        <f>AnnualAggregations!$Z40</f>
        <v>109067.13000005133</v>
      </c>
      <c r="IN48" s="442" t="s">
        <v>597</v>
      </c>
      <c r="IO48" s="286">
        <f>AnnualAggregations!$AC40</f>
        <v>5000.0000000019172</v>
      </c>
      <c r="IP48" s="442" t="s">
        <v>597</v>
      </c>
      <c r="IQ48" s="440" t="s">
        <v>628</v>
      </c>
      <c r="IR48" s="440" t="s">
        <v>628</v>
      </c>
      <c r="IS48" s="440" t="s">
        <v>628</v>
      </c>
      <c r="IT48" s="440" t="s">
        <v>628</v>
      </c>
      <c r="IU48" s="286">
        <f>AnnualDivReqs!$BG40</f>
        <v>12296.800000006155</v>
      </c>
      <c r="IW48" s="440" t="s">
        <v>628</v>
      </c>
      <c r="IX48" s="440" t="s">
        <v>628</v>
      </c>
      <c r="IY48" s="440" t="s">
        <v>628</v>
      </c>
      <c r="IZ48" s="442" t="s">
        <v>597</v>
      </c>
    </row>
    <row r="49" spans="1:260" x14ac:dyDescent="0.25">
      <c r="A49" s="480" t="str">
        <f>ADDRESS(ROW(SJRIPSummary!E41),COLUMN(SJRIPSummary!E41),4,1)</f>
        <v>E41</v>
      </c>
      <c r="B49" s="480" t="str">
        <f t="shared" si="57"/>
        <v>41</v>
      </c>
      <c r="C49" t="s">
        <v>621</v>
      </c>
      <c r="D49" s="404">
        <v>34</v>
      </c>
      <c r="E49" s="404">
        <v>95</v>
      </c>
      <c r="F49" s="404">
        <v>156</v>
      </c>
      <c r="G49" s="404">
        <v>217</v>
      </c>
      <c r="H49" s="391"/>
      <c r="I49" s="558"/>
      <c r="J49" s="569"/>
      <c r="K49" s="570"/>
      <c r="L49" s="175" t="s">
        <v>110</v>
      </c>
      <c r="M49" s="174">
        <f ca="1">ROUND(SJRIPSummaryRAW!B51,-2)</f>
        <v>16200</v>
      </c>
      <c r="N49" s="148"/>
      <c r="O49" s="221">
        <f ca="1">ROUND(SJRIPSummaryRAW!D51,-2)</f>
        <v>23800</v>
      </c>
      <c r="P49" s="222">
        <f ca="1">ROUND(SJRIPSummaryRAW!E51,-2)</f>
        <v>5700</v>
      </c>
      <c r="Q49" s="391"/>
      <c r="R49" s="21"/>
      <c r="S49" s="21"/>
      <c r="T49" s="282">
        <v>1962</v>
      </c>
      <c r="U49" s="286">
        <f>AnnualAggregations!$C41</f>
        <v>272342.61520390079</v>
      </c>
      <c r="V49" s="286">
        <f>AnnualDepletions!$BI41</f>
        <v>4956.5030215433453</v>
      </c>
      <c r="W49" s="286">
        <f>AnnualDepletions!$AM41</f>
        <v>12100.000000000007</v>
      </c>
      <c r="X49" s="286">
        <f>AnnualDepletions!$AK41</f>
        <v>7970</v>
      </c>
      <c r="Y49" s="286">
        <f>AnnualDepletions!$L41</f>
        <v>900.00000000000114</v>
      </c>
      <c r="Z49" s="287">
        <f t="shared" si="58"/>
        <v>298269.11822544411</v>
      </c>
      <c r="AA49" s="286">
        <f>AnnualDepletions!$AO41</f>
        <v>902.99999999989632</v>
      </c>
      <c r="AB49" s="286">
        <f>AnnualDepletions!$AY41</f>
        <v>1608.9999999998154</v>
      </c>
      <c r="AC49" s="286">
        <f>AnnualAggregations!$F41</f>
        <v>34262.146912090044</v>
      </c>
      <c r="AD49" s="286">
        <f>AnnualAggregations!$G41</f>
        <v>2436.7110085229651</v>
      </c>
      <c r="AE49" s="286">
        <f>AnnualAggregations!$H41</f>
        <v>13847.999999998405</v>
      </c>
      <c r="AF49" s="286">
        <f>AnnualDepletions!$AL41</f>
        <v>11786.999999998641</v>
      </c>
      <c r="AG49" s="286">
        <f>AnnualDepletions!$AG41</f>
        <v>10243.999999998818</v>
      </c>
      <c r="AH49" s="286">
        <f>AnnualDepletions!$AN41</f>
        <v>3395.999999999608</v>
      </c>
      <c r="AI49" s="287">
        <f t="shared" si="59"/>
        <v>77582.857920608294</v>
      </c>
      <c r="AJ49" s="287">
        <f t="shared" si="60"/>
        <v>376754.9761460523</v>
      </c>
      <c r="AK49" s="286">
        <f>AnnualDepletions!$AP41</f>
        <v>340.98999999997505</v>
      </c>
      <c r="AL49" s="286">
        <f>AnnualDepletions!$BH41</f>
        <v>27836.269463991423</v>
      </c>
      <c r="AM49" s="286">
        <f>AnnualDepletions!$AJ41</f>
        <v>38999.999998983854</v>
      </c>
      <c r="AN49" s="286">
        <f>AnnualDepletions!$BC41</f>
        <v>16199.99999897049</v>
      </c>
      <c r="AO49" s="286">
        <f>AnnualDepletions!$J41</f>
        <v>2499.9900000012672</v>
      </c>
      <c r="AP49" s="286">
        <f>AnnualAggregations!$I41</f>
        <v>11624.990000001573</v>
      </c>
      <c r="AQ49" s="287">
        <f t="shared" si="61"/>
        <v>69665.96999795716</v>
      </c>
      <c r="AR49" s="287">
        <f t="shared" si="62"/>
        <v>97502.2394619486</v>
      </c>
      <c r="AS49" s="287">
        <f t="shared" si="63"/>
        <v>474257.21560800087</v>
      </c>
      <c r="AU49" s="321">
        <f ca="1">StateModDepletions_ThisScenario!AC39</f>
        <v>34867.752755060792</v>
      </c>
      <c r="AV49" s="321">
        <f ca="1">StateModDepletions_ThisScenario!AD39</f>
        <v>18703.363701820374</v>
      </c>
      <c r="AW49" s="321">
        <f ca="1">StateModDepletions_ThisScenario!AE39</f>
        <v>111353.6329075098</v>
      </c>
      <c r="AX49" s="321">
        <f ca="1">StateModDepletions_ThisScenario!AB39</f>
        <v>24765.810481309891</v>
      </c>
      <c r="AY49" s="288">
        <f t="shared" ca="1" si="64"/>
        <v>189690.55984570086</v>
      </c>
      <c r="AZ49" s="321">
        <f ca="1">StateModDepletions_ThisScenario!AG39</f>
        <v>34449.485188713748</v>
      </c>
      <c r="BA49" s="321">
        <f ca="1">StateModDepletions_ThisScenario!AF39</f>
        <v>18412.268114522099</v>
      </c>
      <c r="BB49" s="321">
        <f ca="1">StateModDepletions_ThisScenario!AH39</f>
        <v>14864.03277913481</v>
      </c>
      <c r="BC49" s="321">
        <f ca="1">StateModDepletions_ThisScenario!AI39</f>
        <v>16111.100536671263</v>
      </c>
      <c r="BD49" s="321">
        <f ca="1">StateModDepletions_ThisScenario!N39</f>
        <v>1326.6977829933167</v>
      </c>
      <c r="BE49" s="321">
        <f ca="1">StateModDepletions_ThisScenario!V39</f>
        <v>10833.813507556915</v>
      </c>
      <c r="BF49" s="288">
        <f t="shared" ca="1" si="65"/>
        <v>95997.397909592153</v>
      </c>
      <c r="BG49" s="288">
        <f t="shared" ca="1" si="66"/>
        <v>285687.957755293</v>
      </c>
      <c r="BI49" s="288">
        <f t="shared" ca="1" si="67"/>
        <v>759945.17336329387</v>
      </c>
      <c r="BK49" s="286">
        <f>AnnualAggregations!$D41</f>
        <v>35893.000000000058</v>
      </c>
      <c r="BL49" s="286">
        <f>AnnualAggregations!$B41</f>
        <v>57152.367434554108</v>
      </c>
      <c r="BM49" s="286">
        <f>AnnualDepletions!$BK41</f>
        <v>106600.03427299004</v>
      </c>
      <c r="BN49" s="286">
        <f>AnnualAggregations!$E41</f>
        <v>5000.0000000019172</v>
      </c>
      <c r="BO49" s="287">
        <f t="shared" si="68"/>
        <v>204645.40170754615</v>
      </c>
      <c r="BP49" s="321">
        <f ca="1">StateModDepletions_ThisScenario!Y39</f>
        <v>212.11356273293495</v>
      </c>
      <c r="BQ49" s="321">
        <f ca="1">StateModDepletions_ThisScenario!AJ39</f>
        <v>143138.66600505606</v>
      </c>
      <c r="BR49" s="321">
        <f ca="1">StateModDepletions_ThisScenario!Z39</f>
        <v>210731.67543363571</v>
      </c>
      <c r="BS49" s="321">
        <f ca="1">StateModDepletions_ThisScenario!AA39</f>
        <v>67380.895865846716</v>
      </c>
      <c r="BT49" s="286">
        <f>AnnualDepletions!$BG41</f>
        <v>12296.800000006155</v>
      </c>
      <c r="BV49" s="287">
        <f t="shared" ca="1" si="69"/>
        <v>976887.37507084617</v>
      </c>
      <c r="BW49" s="287">
        <f t="shared" ca="1" si="70"/>
        <v>909506.47920499952</v>
      </c>
      <c r="BX49" s="287">
        <f t="shared" ca="1" si="91"/>
        <v>924381.47920499952</v>
      </c>
      <c r="BY49" s="287">
        <f>SJRIPSummaryRAW!$B$79</f>
        <v>14875</v>
      </c>
      <c r="CC49" s="282">
        <v>1962</v>
      </c>
      <c r="CD49" s="286">
        <f>AnnualAggregations!K41</f>
        <v>272342.61520390079</v>
      </c>
      <c r="CE49" s="442" t="s">
        <v>597</v>
      </c>
      <c r="CF49" s="286">
        <f>AnnualDeplReqs!$AM41</f>
        <v>12100.000000000007</v>
      </c>
      <c r="CG49" s="286">
        <f>AnnualDeplReqs!$AK41</f>
        <v>7970</v>
      </c>
      <c r="CH49" s="286">
        <f>AnnualDeplReqs!$L41</f>
        <v>900.00000000000114</v>
      </c>
      <c r="CI49" s="443">
        <f t="shared" si="71"/>
        <v>298269.11822544411</v>
      </c>
      <c r="CJ49" s="286">
        <f>AnnualDeplReqs!$AO41</f>
        <v>902.99999999989632</v>
      </c>
      <c r="CK49" s="286">
        <f>AnnualDeplReqs!$AY41</f>
        <v>1608.9999999998154</v>
      </c>
      <c r="CL49" s="286">
        <f>AnnualAggregations!$N41</f>
        <v>34262.146912090044</v>
      </c>
      <c r="CM49" s="286">
        <f>AnnualAggregations!$O41</f>
        <v>12836.999999998527</v>
      </c>
      <c r="CN49" s="286">
        <f>AnnualAggregations!$P41</f>
        <v>13847.999999998405</v>
      </c>
      <c r="CO49" s="286">
        <f>AnnualDeplReqs!$AL41</f>
        <v>11786.999999998641</v>
      </c>
      <c r="CP49" s="286">
        <f>AnnualDeplReqs!$AG41</f>
        <v>10243.999999998818</v>
      </c>
      <c r="CQ49" s="286">
        <f>AnnualDeplReqs!$AN41</f>
        <v>3395.999999999608</v>
      </c>
      <c r="CR49" s="287">
        <f t="shared" si="72"/>
        <v>87983.146912083859</v>
      </c>
      <c r="CS49" s="287">
        <f t="shared" si="73"/>
        <v>387155.26513752784</v>
      </c>
      <c r="CT49" s="286">
        <f>AnnualDeplReqs!$AP41</f>
        <v>340.98999999997505</v>
      </c>
      <c r="CU49" s="442" t="s">
        <v>597</v>
      </c>
      <c r="CV49" s="286">
        <f>AnnualDeplReqs!$AJ41</f>
        <v>38999.999998983854</v>
      </c>
      <c r="CW49" s="286">
        <f>AnnualDeplReqs!$BC41</f>
        <v>16199.99999897049</v>
      </c>
      <c r="CX49" s="286">
        <f>AnnualDeplReqs!$J41</f>
        <v>2499.9900000012672</v>
      </c>
      <c r="CY49" s="286">
        <f>AnnualAggregations!$Q41</f>
        <v>11624.990000001573</v>
      </c>
      <c r="CZ49" s="287">
        <f t="shared" si="74"/>
        <v>69665.96999795716</v>
      </c>
      <c r="DA49" s="443">
        <f t="shared" si="75"/>
        <v>97502.239461948586</v>
      </c>
      <c r="DB49" s="287">
        <f t="shared" si="76"/>
        <v>484657.50459947641</v>
      </c>
      <c r="DD49" s="440" t="s">
        <v>628</v>
      </c>
      <c r="DE49" s="440" t="s">
        <v>628</v>
      </c>
      <c r="DF49" s="440" t="s">
        <v>628</v>
      </c>
      <c r="DG49" s="440" t="s">
        <v>628</v>
      </c>
      <c r="DH49" s="440" t="s">
        <v>628</v>
      </c>
      <c r="DI49" s="440" t="s">
        <v>628</v>
      </c>
      <c r="DJ49" s="440" t="s">
        <v>628</v>
      </c>
      <c r="DK49" s="440" t="s">
        <v>628</v>
      </c>
      <c r="DL49" s="440" t="s">
        <v>628</v>
      </c>
      <c r="DM49" s="440" t="s">
        <v>628</v>
      </c>
      <c r="DN49" s="440" t="s">
        <v>628</v>
      </c>
      <c r="DO49" s="440" t="s">
        <v>628</v>
      </c>
      <c r="DP49" s="440" t="s">
        <v>628</v>
      </c>
      <c r="DR49" s="440" t="s">
        <v>628</v>
      </c>
      <c r="DT49" s="286">
        <f>AnnualAggregations!$L41</f>
        <v>35893.000000000073</v>
      </c>
      <c r="DU49" s="443">
        <f>AnnualAggregations!$J41</f>
        <v>57166.044208747669</v>
      </c>
      <c r="DV49" s="442" t="s">
        <v>597</v>
      </c>
      <c r="DW49" s="286">
        <f>AnnualAggregations!$M41</f>
        <v>5000.0000000019172</v>
      </c>
      <c r="DX49" s="442" t="s">
        <v>597</v>
      </c>
      <c r="DY49" s="440" t="s">
        <v>628</v>
      </c>
      <c r="DZ49" s="440" t="s">
        <v>628</v>
      </c>
      <c r="EA49" s="440" t="s">
        <v>628</v>
      </c>
      <c r="EB49" s="440" t="s">
        <v>628</v>
      </c>
      <c r="EC49" s="286">
        <f>AnnualDeplReqs!$BG41</f>
        <v>12296.800000006155</v>
      </c>
      <c r="EE49" s="440" t="s">
        <v>628</v>
      </c>
      <c r="EF49" s="440" t="s">
        <v>628</v>
      </c>
      <c r="EG49" s="440" t="s">
        <v>628</v>
      </c>
      <c r="EH49" s="442" t="s">
        <v>597</v>
      </c>
      <c r="EL49" s="282">
        <v>1962</v>
      </c>
      <c r="EM49" s="286">
        <f>AnnualAggregations!S41</f>
        <v>340428.26900487678</v>
      </c>
      <c r="EN49" s="442" t="s">
        <v>597</v>
      </c>
      <c r="EO49" s="286">
        <f>AnnualDiversions!$AM41</f>
        <v>24160.880683190011</v>
      </c>
      <c r="EP49" s="286">
        <f>AnnualDiversions!$AK41</f>
        <v>15864.246446422738</v>
      </c>
      <c r="EQ49" s="286">
        <f>AnnualDiversions!$L41</f>
        <v>1800.0000000000023</v>
      </c>
      <c r="ER49" s="287">
        <f t="shared" si="77"/>
        <v>382253.39613448957</v>
      </c>
      <c r="ES49" s="286">
        <f>AnnualDiversions!$AO41</f>
        <v>1805.9999999997926</v>
      </c>
      <c r="ET49" s="286">
        <f>AnnualDiversions!$AY41</f>
        <v>2912.2171945698001</v>
      </c>
      <c r="EU49" s="286">
        <f>AnnualAggregations!$V41</f>
        <v>57520.452213729681</v>
      </c>
      <c r="EV49" s="286">
        <f>AnnualAggregations!$W41</f>
        <v>4114.2453655981944</v>
      </c>
      <c r="EW49" s="286">
        <f>AnnualAggregations!$X41</f>
        <v>21228.278881201863</v>
      </c>
      <c r="EX49" s="286">
        <f>AnnualDiversions!$AL41</f>
        <v>13982.206405692335</v>
      </c>
      <c r="EY49" s="286">
        <f>AnnualDiversions!$AG41</f>
        <v>19414.384535201014</v>
      </c>
      <c r="EZ49" s="286">
        <f>AnnualDiversions!$AN41</f>
        <v>6385.259001597462</v>
      </c>
      <c r="FA49" s="287">
        <f t="shared" si="78"/>
        <v>125557.04359759035</v>
      </c>
      <c r="FB49" s="287">
        <f t="shared" si="79"/>
        <v>509616.43973207969</v>
      </c>
      <c r="FC49" s="286">
        <f>AnnualDiversions!$AP41</f>
        <v>378.87777777775057</v>
      </c>
      <c r="FD49" s="442" t="s">
        <v>597</v>
      </c>
      <c r="FE49" s="286">
        <f>AnnualDiversions!$AJ41</f>
        <v>38999.999998983854</v>
      </c>
      <c r="FF49" s="286">
        <f>AnnualDiversions!$BC41</f>
        <v>16199.99999897049</v>
      </c>
      <c r="FG49" s="286">
        <f>AnnualDiversions!$J41</f>
        <v>4166.6500000021233</v>
      </c>
      <c r="FH49" s="286">
        <f>AnnualAggregations!$Y41</f>
        <v>19374.983333335964</v>
      </c>
      <c r="FI49" s="287">
        <f t="shared" si="80"/>
        <v>79120.511109070183</v>
      </c>
      <c r="FJ49" s="287">
        <f t="shared" si="81"/>
        <v>79120.511109070183</v>
      </c>
      <c r="FK49" s="287">
        <f t="shared" si="82"/>
        <v>588736.9508411499</v>
      </c>
      <c r="FM49" s="440" t="s">
        <v>628</v>
      </c>
      <c r="FN49" s="440" t="s">
        <v>628</v>
      </c>
      <c r="FO49" s="440" t="s">
        <v>628</v>
      </c>
      <c r="FP49" s="440" t="s">
        <v>628</v>
      </c>
      <c r="FQ49" s="440" t="s">
        <v>628</v>
      </c>
      <c r="FR49" s="440" t="s">
        <v>628</v>
      </c>
      <c r="FS49" s="440" t="s">
        <v>628</v>
      </c>
      <c r="FT49" s="440" t="s">
        <v>628</v>
      </c>
      <c r="FU49" s="440" t="s">
        <v>628</v>
      </c>
      <c r="FV49" s="440" t="s">
        <v>628</v>
      </c>
      <c r="FW49" s="440" t="s">
        <v>628</v>
      </c>
      <c r="FX49" s="440" t="s">
        <v>628</v>
      </c>
      <c r="FY49" s="440" t="s">
        <v>628</v>
      </c>
      <c r="GA49" s="440" t="s">
        <v>628</v>
      </c>
      <c r="GC49" s="286">
        <f>AnnualAggregations!$T41</f>
        <v>37764.23856661762</v>
      </c>
      <c r="GD49" s="286">
        <f>AnnualAggregations!$R41</f>
        <v>109067.13000005133</v>
      </c>
      <c r="GE49" s="443">
        <f t="shared" si="83"/>
        <v>106600.03427299004</v>
      </c>
      <c r="GF49" s="286">
        <f>AnnualAggregations!$U41</f>
        <v>5000.0000000019172</v>
      </c>
      <c r="GG49" s="287">
        <f t="shared" si="84"/>
        <v>258431.40283966091</v>
      </c>
      <c r="GH49" s="440" t="s">
        <v>628</v>
      </c>
      <c r="GI49" s="440" t="s">
        <v>628</v>
      </c>
      <c r="GJ49" s="440" t="s">
        <v>628</v>
      </c>
      <c r="GK49" s="440" t="s">
        <v>628</v>
      </c>
      <c r="GL49" s="286">
        <f>AnnualDiversions!$BG41</f>
        <v>12296.800000006155</v>
      </c>
      <c r="GN49" s="440" t="s">
        <v>628</v>
      </c>
      <c r="GO49" s="440" t="s">
        <v>628</v>
      </c>
      <c r="GP49" s="440" t="s">
        <v>628</v>
      </c>
      <c r="GQ49" s="442" t="s">
        <v>597</v>
      </c>
      <c r="GU49" s="282">
        <v>1962</v>
      </c>
      <c r="GV49" s="286">
        <f>AnnualAggregations!AA41</f>
        <v>340428.26900487678</v>
      </c>
      <c r="GW49" s="442" t="s">
        <v>597</v>
      </c>
      <c r="GX49" s="286">
        <f>AnnualDivReqs!$AM41</f>
        <v>24160.880683190011</v>
      </c>
      <c r="GY49" s="286">
        <f>AnnualDivReqs!$AK41</f>
        <v>15864.246446422738</v>
      </c>
      <c r="GZ49" s="286">
        <f>AnnualDivReqs!$L41</f>
        <v>1800.0000000000023</v>
      </c>
      <c r="HA49" s="287">
        <f t="shared" si="85"/>
        <v>382253.39613448957</v>
      </c>
      <c r="HB49" s="286">
        <f>AnnualDivReqs!$AO41</f>
        <v>1805.9999999997926</v>
      </c>
      <c r="HC49" s="286">
        <f>AnnualDivReqs!$AY41</f>
        <v>2912.2171945698001</v>
      </c>
      <c r="HD49" s="286">
        <f>AnnualAggregations!$AD41</f>
        <v>57520.452213729681</v>
      </c>
      <c r="HE49" s="286">
        <f>AnnualAggregations!$AE41</f>
        <v>22991.178109577002</v>
      </c>
      <c r="HF49" s="286">
        <f>AnnualAggregations!$AF41</f>
        <v>21228.278881201863</v>
      </c>
      <c r="HG49" s="286">
        <f>AnnualDivReqs!$AL41</f>
        <v>13982.206405692335</v>
      </c>
      <c r="HH49" s="286">
        <f>AnnualDivReqs!$AG41</f>
        <v>19414.384535201014</v>
      </c>
      <c r="HI49" s="286">
        <f>AnnualDivReqs!$AN41</f>
        <v>6385.259001597462</v>
      </c>
      <c r="HJ49" s="287">
        <f t="shared" si="86"/>
        <v>144433.97634156919</v>
      </c>
      <c r="HK49" s="287">
        <f t="shared" si="87"/>
        <v>528493.37247605855</v>
      </c>
      <c r="HL49" s="286">
        <f>AnnualDivReqs!$AP41</f>
        <v>378.87777777775057</v>
      </c>
      <c r="HM49" s="442" t="s">
        <v>597</v>
      </c>
      <c r="HN49" s="286">
        <f>AnnualDivReqs!$AJ41</f>
        <v>38999.999998983854</v>
      </c>
      <c r="HO49" s="286">
        <f>AnnualDivReqs!$BC41</f>
        <v>16199.99999897049</v>
      </c>
      <c r="HP49" s="286">
        <f>AnnualDivReqs!$J41</f>
        <v>4166.6500000021233</v>
      </c>
      <c r="HQ49" s="286">
        <f>AnnualAggregations!$AG41</f>
        <v>19374.983333335964</v>
      </c>
      <c r="HR49" s="287">
        <f t="shared" si="88"/>
        <v>79120.511109070183</v>
      </c>
      <c r="HS49" s="287">
        <f t="shared" si="89"/>
        <v>79120.511109070183</v>
      </c>
      <c r="HT49" s="287">
        <f t="shared" si="90"/>
        <v>607613.8835851287</v>
      </c>
      <c r="HV49" s="440" t="s">
        <v>628</v>
      </c>
      <c r="HW49" s="440" t="s">
        <v>628</v>
      </c>
      <c r="HX49" s="440" t="s">
        <v>628</v>
      </c>
      <c r="HY49" s="440" t="s">
        <v>628</v>
      </c>
      <c r="HZ49" s="440" t="s">
        <v>628</v>
      </c>
      <c r="IA49" s="440" t="s">
        <v>628</v>
      </c>
      <c r="IB49" s="440" t="s">
        <v>628</v>
      </c>
      <c r="IC49" s="440" t="s">
        <v>628</v>
      </c>
      <c r="ID49" s="440" t="s">
        <v>628</v>
      </c>
      <c r="IE49" s="440" t="s">
        <v>628</v>
      </c>
      <c r="IF49" s="440" t="s">
        <v>628</v>
      </c>
      <c r="IG49" s="440" t="s">
        <v>628</v>
      </c>
      <c r="IH49" s="440" t="s">
        <v>628</v>
      </c>
      <c r="IJ49" s="440" t="s">
        <v>628</v>
      </c>
      <c r="IL49" s="286">
        <f>AnnualAggregations!$AB41</f>
        <v>37764.238566617634</v>
      </c>
      <c r="IM49" s="286">
        <f>AnnualAggregations!$Z41</f>
        <v>109094.48354843845</v>
      </c>
      <c r="IN49" s="442" t="s">
        <v>597</v>
      </c>
      <c r="IO49" s="286">
        <f>AnnualAggregations!$AC41</f>
        <v>5000.0000000019172</v>
      </c>
      <c r="IP49" s="442" t="s">
        <v>597</v>
      </c>
      <c r="IQ49" s="440" t="s">
        <v>628</v>
      </c>
      <c r="IR49" s="440" t="s">
        <v>628</v>
      </c>
      <c r="IS49" s="440" t="s">
        <v>628</v>
      </c>
      <c r="IT49" s="440" t="s">
        <v>628</v>
      </c>
      <c r="IU49" s="286">
        <f>AnnualDivReqs!$BG41</f>
        <v>12296.800000006155</v>
      </c>
      <c r="IW49" s="440" t="s">
        <v>628</v>
      </c>
      <c r="IX49" s="440" t="s">
        <v>628</v>
      </c>
      <c r="IY49" s="440" t="s">
        <v>628</v>
      </c>
      <c r="IZ49" s="442" t="s">
        <v>597</v>
      </c>
    </row>
    <row r="50" spans="1:260" x14ac:dyDescent="0.25">
      <c r="A50" s="480" t="str">
        <f>ADDRESS(ROW(SJRIPSummary!E42),COLUMN(SJRIPSummary!E42),4,1)</f>
        <v>E42</v>
      </c>
      <c r="B50" s="480" t="str">
        <f t="shared" si="57"/>
        <v>42</v>
      </c>
      <c r="C50" t="s">
        <v>622</v>
      </c>
      <c r="D50" s="404">
        <v>35</v>
      </c>
      <c r="E50" s="404">
        <v>96</v>
      </c>
      <c r="F50" s="404">
        <v>157</v>
      </c>
      <c r="G50" s="404">
        <v>218</v>
      </c>
      <c r="H50" s="391"/>
      <c r="I50" s="558"/>
      <c r="J50" s="569"/>
      <c r="K50" s="570"/>
      <c r="L50" s="175" t="s">
        <v>111</v>
      </c>
      <c r="M50" s="174">
        <f ca="1">ROUND(SJRIPSummaryRAW!B53,-2)</f>
        <v>17400</v>
      </c>
      <c r="N50" s="152"/>
      <c r="O50" s="221">
        <f ca="1">ROUND(SJRIPSummaryRAW!D53,-2)</f>
        <v>28200</v>
      </c>
      <c r="P50" s="222">
        <f ca="1">ROUND(SJRIPSummaryRAW!E53,-2)</f>
        <v>5800</v>
      </c>
      <c r="Q50" s="391"/>
      <c r="R50" s="21"/>
      <c r="S50" s="21"/>
      <c r="T50" s="282">
        <v>1963</v>
      </c>
      <c r="U50" s="286">
        <f>AnnualAggregations!$C42</f>
        <v>269895.08471710177</v>
      </c>
      <c r="V50" s="286">
        <f>AnnualDepletions!$BI42</f>
        <v>4466.996924183547</v>
      </c>
      <c r="W50" s="286">
        <f>AnnualDepletions!$AM42</f>
        <v>12100.000000000005</v>
      </c>
      <c r="X50" s="286">
        <f>AnnualDepletions!$AK42</f>
        <v>7969.9999999999955</v>
      </c>
      <c r="Y50" s="286">
        <f>AnnualDepletions!$L42</f>
        <v>899.99999999999977</v>
      </c>
      <c r="Z50" s="287">
        <f t="shared" si="58"/>
        <v>295332.08164128533</v>
      </c>
      <c r="AA50" s="286">
        <f>AnnualDepletions!$AO42</f>
        <v>1105.9999999998727</v>
      </c>
      <c r="AB50" s="286">
        <f>AnnualDepletions!$AY42</f>
        <v>1624.9999999998136</v>
      </c>
      <c r="AC50" s="286">
        <f>AnnualAggregations!$F42</f>
        <v>36414.390645950065</v>
      </c>
      <c r="AD50" s="286">
        <f>AnnualAggregations!$G42</f>
        <v>2554.5248469985618</v>
      </c>
      <c r="AE50" s="286">
        <f>AnnualAggregations!$H42</f>
        <v>14053.999999998381</v>
      </c>
      <c r="AF50" s="286">
        <f>AnnualDepletions!$AL42</f>
        <v>11962.999999998627</v>
      </c>
      <c r="AG50" s="286">
        <f>AnnualDepletions!$AG42</f>
        <v>10598.860862618689</v>
      </c>
      <c r="AH50" s="286">
        <f>AnnualDepletions!$AN42</f>
        <v>3535.9999999995971</v>
      </c>
      <c r="AI50" s="287">
        <f t="shared" si="59"/>
        <v>80745.776355563736</v>
      </c>
      <c r="AJ50" s="287">
        <f t="shared" si="60"/>
        <v>377183.85799684894</v>
      </c>
      <c r="AK50" s="286">
        <f>AnnualDepletions!$AP42</f>
        <v>340.98999999997505</v>
      </c>
      <c r="AL50" s="286">
        <f>AnnualDepletions!$BH42</f>
        <v>25388.869080597535</v>
      </c>
      <c r="AM50" s="286">
        <f>AnnualDepletions!$AJ42</f>
        <v>38999.999998983854</v>
      </c>
      <c r="AN50" s="286">
        <f>AnnualDepletions!$BC42</f>
        <v>16199.99999897049</v>
      </c>
      <c r="AO50" s="286">
        <f>AnnualDepletions!$J42</f>
        <v>2499.9900000012672</v>
      </c>
      <c r="AP50" s="286">
        <f>AnnualAggregations!$I42</f>
        <v>11624.990000001573</v>
      </c>
      <c r="AQ50" s="287">
        <f t="shared" si="61"/>
        <v>69665.96999795716</v>
      </c>
      <c r="AR50" s="287">
        <f t="shared" si="62"/>
        <v>95054.839078554709</v>
      </c>
      <c r="AS50" s="287">
        <f t="shared" si="63"/>
        <v>472238.69707540364</v>
      </c>
      <c r="AU50" s="321">
        <f ca="1">StateModDepletions_ThisScenario!AC40</f>
        <v>32556.190098524094</v>
      </c>
      <c r="AV50" s="321">
        <f ca="1">StateModDepletions_ThisScenario!AD40</f>
        <v>17851.631669968367</v>
      </c>
      <c r="AW50" s="321">
        <f ca="1">StateModDepletions_ThisScenario!AE40</f>
        <v>104001.10736829229</v>
      </c>
      <c r="AX50" s="321">
        <f ca="1">StateModDepletions_ThisScenario!AB40</f>
        <v>24765.810481309891</v>
      </c>
      <c r="AY50" s="288">
        <f t="shared" ca="1" si="64"/>
        <v>179174.73961809464</v>
      </c>
      <c r="AZ50" s="321">
        <f ca="1">StateModDepletions_ThisScenario!AG40</f>
        <v>27646.954385823086</v>
      </c>
      <c r="BA50" s="321">
        <f ca="1">StateModDepletions_ThisScenario!AF40</f>
        <v>17557.003942668442</v>
      </c>
      <c r="BB50" s="321">
        <f ca="1">StateModDepletions_ThisScenario!AH40</f>
        <v>11638.170585006475</v>
      </c>
      <c r="BC50" s="321">
        <f ca="1">StateModDepletions_ThisScenario!AI40</f>
        <v>12447.831607201026</v>
      </c>
      <c r="BD50" s="321">
        <f ca="1">StateModDepletions_ThisScenario!N40</f>
        <v>1326.6977829933167</v>
      </c>
      <c r="BE50" s="321">
        <f ca="1">StateModDepletions_ThisScenario!V40</f>
        <v>8364.9141054153442</v>
      </c>
      <c r="BF50" s="288">
        <f t="shared" ca="1" si="65"/>
        <v>78981.572409107685</v>
      </c>
      <c r="BG50" s="288">
        <f t="shared" ca="1" si="66"/>
        <v>258156.31202720234</v>
      </c>
      <c r="BI50" s="288">
        <f t="shared" ca="1" si="67"/>
        <v>730395.00910260598</v>
      </c>
      <c r="BK50" s="286">
        <f>AnnualAggregations!$D42</f>
        <v>35893.000000000058</v>
      </c>
      <c r="BL50" s="286">
        <f>AnnualAggregations!$B42</f>
        <v>57158.69072698964</v>
      </c>
      <c r="BM50" s="286">
        <f>AnnualDepletions!$BK42</f>
        <v>51458.165626660499</v>
      </c>
      <c r="BN50" s="286">
        <f>AnnualAggregations!$E42</f>
        <v>5000.0000000019172</v>
      </c>
      <c r="BO50" s="287">
        <f t="shared" si="68"/>
        <v>149509.85635365214</v>
      </c>
      <c r="BP50" s="321">
        <f ca="1">StateModDepletions_ThisScenario!Y40</f>
        <v>212.11356273293495</v>
      </c>
      <c r="BQ50" s="321">
        <f ca="1">StateModDepletions_ThisScenario!AJ40</f>
        <v>138564.70749099058</v>
      </c>
      <c r="BR50" s="321">
        <f ca="1">StateModDepletions_ThisScenario!Z40</f>
        <v>206590.76850557327</v>
      </c>
      <c r="BS50" s="321">
        <f ca="1">StateModDepletions_ThisScenario!AA40</f>
        <v>67813.947451849759</v>
      </c>
      <c r="BT50" s="286">
        <f>AnnualDepletions!$BG42</f>
        <v>12296.800000006155</v>
      </c>
      <c r="BV50" s="287">
        <f t="shared" ca="1" si="69"/>
        <v>892201.66545626428</v>
      </c>
      <c r="BW50" s="287">
        <f t="shared" ca="1" si="70"/>
        <v>824387.71800441458</v>
      </c>
      <c r="BX50" s="287">
        <f t="shared" ca="1" si="91"/>
        <v>839262.71800441458</v>
      </c>
      <c r="BY50" s="287">
        <f>SJRIPSummaryRAW!$B$79</f>
        <v>14875</v>
      </c>
      <c r="CC50" s="282">
        <v>1963</v>
      </c>
      <c r="CD50" s="286">
        <f>AnnualAggregations!K42</f>
        <v>269895.08471710177</v>
      </c>
      <c r="CE50" s="442" t="s">
        <v>597</v>
      </c>
      <c r="CF50" s="286">
        <f>AnnualDeplReqs!$AM42</f>
        <v>12100.000000000005</v>
      </c>
      <c r="CG50" s="286">
        <f>AnnualDeplReqs!$AK42</f>
        <v>7969.9999999999955</v>
      </c>
      <c r="CH50" s="286">
        <f>AnnualDeplReqs!$L42</f>
        <v>899.99999999999977</v>
      </c>
      <c r="CI50" s="443">
        <f t="shared" si="71"/>
        <v>295332.08164128533</v>
      </c>
      <c r="CJ50" s="286">
        <f>AnnualDeplReqs!$AO42</f>
        <v>1105.9999999998727</v>
      </c>
      <c r="CK50" s="286">
        <f>AnnualDeplReqs!$AY42</f>
        <v>1624.9999999998136</v>
      </c>
      <c r="CL50" s="286">
        <f>AnnualAggregations!$N42</f>
        <v>36414.390645950065</v>
      </c>
      <c r="CM50" s="286">
        <f>AnnualAggregations!$O42</f>
        <v>13650.999999998434</v>
      </c>
      <c r="CN50" s="286">
        <f>AnnualAggregations!$P42</f>
        <v>14053.999999998381</v>
      </c>
      <c r="CO50" s="286">
        <f>AnnualDeplReqs!$AL42</f>
        <v>11962.999999998627</v>
      </c>
      <c r="CP50" s="286">
        <f>AnnualDeplReqs!$AG42</f>
        <v>10629.999999998778</v>
      </c>
      <c r="CQ50" s="286">
        <f>AnnualDeplReqs!$AN42</f>
        <v>3535.9999999995971</v>
      </c>
      <c r="CR50" s="287">
        <f t="shared" si="72"/>
        <v>91873.390645943698</v>
      </c>
      <c r="CS50" s="287">
        <f t="shared" si="73"/>
        <v>388311.47228722891</v>
      </c>
      <c r="CT50" s="286">
        <f>AnnualDeplReqs!$AP42</f>
        <v>340.98999999997505</v>
      </c>
      <c r="CU50" s="442" t="s">
        <v>597</v>
      </c>
      <c r="CV50" s="286">
        <f>AnnualDeplReqs!$AJ42</f>
        <v>38999.999998983854</v>
      </c>
      <c r="CW50" s="286">
        <f>AnnualDeplReqs!$BC42</f>
        <v>16199.99999897049</v>
      </c>
      <c r="CX50" s="286">
        <f>AnnualDeplReqs!$J42</f>
        <v>2499.9900000012672</v>
      </c>
      <c r="CY50" s="286">
        <f>AnnualAggregations!$Q42</f>
        <v>11624.990000001573</v>
      </c>
      <c r="CZ50" s="287">
        <f t="shared" si="74"/>
        <v>69665.96999795716</v>
      </c>
      <c r="DA50" s="443">
        <f t="shared" si="75"/>
        <v>95054.839078554694</v>
      </c>
      <c r="DB50" s="287">
        <f t="shared" si="76"/>
        <v>483366.31136578362</v>
      </c>
      <c r="DD50" s="440" t="s">
        <v>628</v>
      </c>
      <c r="DE50" s="440" t="s">
        <v>628</v>
      </c>
      <c r="DF50" s="440" t="s">
        <v>628</v>
      </c>
      <c r="DG50" s="440" t="s">
        <v>628</v>
      </c>
      <c r="DH50" s="440" t="s">
        <v>628</v>
      </c>
      <c r="DI50" s="440" t="s">
        <v>628</v>
      </c>
      <c r="DJ50" s="440" t="s">
        <v>628</v>
      </c>
      <c r="DK50" s="440" t="s">
        <v>628</v>
      </c>
      <c r="DL50" s="440" t="s">
        <v>628</v>
      </c>
      <c r="DM50" s="440" t="s">
        <v>628</v>
      </c>
      <c r="DN50" s="440" t="s">
        <v>628</v>
      </c>
      <c r="DO50" s="440" t="s">
        <v>628</v>
      </c>
      <c r="DP50" s="440" t="s">
        <v>628</v>
      </c>
      <c r="DR50" s="440" t="s">
        <v>628</v>
      </c>
      <c r="DT50" s="286">
        <f>AnnualAggregations!$L42</f>
        <v>35893.000000000073</v>
      </c>
      <c r="DU50" s="443">
        <f>AnnualAggregations!$J42</f>
        <v>57227.089759247712</v>
      </c>
      <c r="DV50" s="442" t="s">
        <v>597</v>
      </c>
      <c r="DW50" s="286">
        <f>AnnualAggregations!$M42</f>
        <v>5000.0000000019172</v>
      </c>
      <c r="DX50" s="442" t="s">
        <v>597</v>
      </c>
      <c r="DY50" s="440" t="s">
        <v>628</v>
      </c>
      <c r="DZ50" s="440" t="s">
        <v>628</v>
      </c>
      <c r="EA50" s="440" t="s">
        <v>628</v>
      </c>
      <c r="EB50" s="440" t="s">
        <v>628</v>
      </c>
      <c r="EC50" s="286">
        <f>AnnualDeplReqs!$BG42</f>
        <v>12296.800000006155</v>
      </c>
      <c r="EE50" s="440" t="s">
        <v>628</v>
      </c>
      <c r="EF50" s="440" t="s">
        <v>628</v>
      </c>
      <c r="EG50" s="440" t="s">
        <v>628</v>
      </c>
      <c r="EH50" s="442" t="s">
        <v>597</v>
      </c>
      <c r="EL50" s="282">
        <v>1963</v>
      </c>
      <c r="EM50" s="286">
        <f>AnnualAggregations!S42</f>
        <v>337368.85589637718</v>
      </c>
      <c r="EN50" s="442" t="s">
        <v>597</v>
      </c>
      <c r="EO50" s="286">
        <f>AnnualDiversions!$AM42</f>
        <v>24160.880683189996</v>
      </c>
      <c r="EP50" s="286">
        <f>AnnualDiversions!$AK42</f>
        <v>15864.246446422741</v>
      </c>
      <c r="EQ50" s="286">
        <f>AnnualDiversions!$L42</f>
        <v>1799.9999999999995</v>
      </c>
      <c r="ER50" s="287">
        <f t="shared" si="77"/>
        <v>379193.98302598996</v>
      </c>
      <c r="ES50" s="286">
        <f>AnnualDiversions!$AO42</f>
        <v>2211.9999999997453</v>
      </c>
      <c r="ET50" s="286">
        <f>AnnualDiversions!$AY42</f>
        <v>2941.1764705878954</v>
      </c>
      <c r="EU50" s="286">
        <f>AnnualAggregations!$V42</f>
        <v>61121.95580414484</v>
      </c>
      <c r="EV50" s="286">
        <f>AnnualAggregations!$W42</f>
        <v>4305.2977585374492</v>
      </c>
      <c r="EW50" s="286">
        <f>AnnualAggregations!$X42</f>
        <v>21543.994709098522</v>
      </c>
      <c r="EX50" s="286">
        <f>AnnualDiversions!$AL42</f>
        <v>14190.984578883299</v>
      </c>
      <c r="EY50" s="286">
        <f>AnnualDiversions!$AG42</f>
        <v>20086.915308668038</v>
      </c>
      <c r="EZ50" s="286">
        <f>AnnualDiversions!$AN42</f>
        <v>6648.491115915378</v>
      </c>
      <c r="FA50" s="287">
        <f t="shared" si="78"/>
        <v>130838.81574583543</v>
      </c>
      <c r="FB50" s="287">
        <f t="shared" si="79"/>
        <v>512244.79877182515</v>
      </c>
      <c r="FC50" s="286">
        <f>AnnualDiversions!$AP42</f>
        <v>378.87777777775057</v>
      </c>
      <c r="FD50" s="442" t="s">
        <v>597</v>
      </c>
      <c r="FE50" s="286">
        <f>AnnualDiversions!$AJ42</f>
        <v>38999.999998983854</v>
      </c>
      <c r="FF50" s="286">
        <f>AnnualDiversions!$BC42</f>
        <v>16199.99999897049</v>
      </c>
      <c r="FG50" s="286">
        <f>AnnualDiversions!$J42</f>
        <v>4166.6500000021233</v>
      </c>
      <c r="FH50" s="286">
        <f>AnnualAggregations!$Y42</f>
        <v>19374.983333335964</v>
      </c>
      <c r="FI50" s="287">
        <f t="shared" si="80"/>
        <v>79120.511109070183</v>
      </c>
      <c r="FJ50" s="287">
        <f t="shared" si="81"/>
        <v>79120.511109070183</v>
      </c>
      <c r="FK50" s="287">
        <f t="shared" si="82"/>
        <v>591365.30988089531</v>
      </c>
      <c r="FM50" s="440" t="s">
        <v>628</v>
      </c>
      <c r="FN50" s="440" t="s">
        <v>628</v>
      </c>
      <c r="FO50" s="440" t="s">
        <v>628</v>
      </c>
      <c r="FP50" s="440" t="s">
        <v>628</v>
      </c>
      <c r="FQ50" s="440" t="s">
        <v>628</v>
      </c>
      <c r="FR50" s="440" t="s">
        <v>628</v>
      </c>
      <c r="FS50" s="440" t="s">
        <v>628</v>
      </c>
      <c r="FT50" s="440" t="s">
        <v>628</v>
      </c>
      <c r="FU50" s="440" t="s">
        <v>628</v>
      </c>
      <c r="FV50" s="440" t="s">
        <v>628</v>
      </c>
      <c r="FW50" s="440" t="s">
        <v>628</v>
      </c>
      <c r="FX50" s="440" t="s">
        <v>628</v>
      </c>
      <c r="FY50" s="440" t="s">
        <v>628</v>
      </c>
      <c r="GA50" s="440" t="s">
        <v>628</v>
      </c>
      <c r="GC50" s="286">
        <f>AnnualAggregations!$T42</f>
        <v>37764.23856661762</v>
      </c>
      <c r="GD50" s="286">
        <f>AnnualAggregations!$R42</f>
        <v>109067.13000005133</v>
      </c>
      <c r="GE50" s="443">
        <f t="shared" si="83"/>
        <v>51458.165626660499</v>
      </c>
      <c r="GF50" s="286">
        <f>AnnualAggregations!$U42</f>
        <v>5000.0000000019172</v>
      </c>
      <c r="GG50" s="287">
        <f t="shared" si="84"/>
        <v>203289.53419333138</v>
      </c>
      <c r="GH50" s="440" t="s">
        <v>628</v>
      </c>
      <c r="GI50" s="440" t="s">
        <v>628</v>
      </c>
      <c r="GJ50" s="440" t="s">
        <v>628</v>
      </c>
      <c r="GK50" s="440" t="s">
        <v>628</v>
      </c>
      <c r="GL50" s="286">
        <f>AnnualDiversions!$BG42</f>
        <v>12296.800000006155</v>
      </c>
      <c r="GN50" s="440" t="s">
        <v>628</v>
      </c>
      <c r="GO50" s="440" t="s">
        <v>628</v>
      </c>
      <c r="GP50" s="440" t="s">
        <v>628</v>
      </c>
      <c r="GQ50" s="442" t="s">
        <v>597</v>
      </c>
      <c r="GU50" s="282">
        <v>1963</v>
      </c>
      <c r="GV50" s="286">
        <f>AnnualAggregations!AA42</f>
        <v>337368.85589637718</v>
      </c>
      <c r="GW50" s="442" t="s">
        <v>597</v>
      </c>
      <c r="GX50" s="286">
        <f>AnnualDivReqs!$AM42</f>
        <v>24160.880683189996</v>
      </c>
      <c r="GY50" s="286">
        <f>AnnualDivReqs!$AK42</f>
        <v>15864.246446422741</v>
      </c>
      <c r="GZ50" s="286">
        <f>AnnualDivReqs!$L42</f>
        <v>1799.9999999999995</v>
      </c>
      <c r="HA50" s="287">
        <f t="shared" si="85"/>
        <v>379193.98302598996</v>
      </c>
      <c r="HB50" s="286">
        <f>AnnualDivReqs!$AO42</f>
        <v>2211.9999999997453</v>
      </c>
      <c r="HC50" s="286">
        <f>AnnualDivReqs!$AY42</f>
        <v>2941.1764705878954</v>
      </c>
      <c r="HD50" s="286">
        <f>AnnualAggregations!$AD42</f>
        <v>61121.95580414484</v>
      </c>
      <c r="HE50" s="286">
        <f>AnnualAggregations!$AE42</f>
        <v>24448.659387556712</v>
      </c>
      <c r="HF50" s="286">
        <f>AnnualAggregations!$AF42</f>
        <v>21543.994709098522</v>
      </c>
      <c r="HG50" s="286">
        <f>AnnualDivReqs!$AL42</f>
        <v>14190.984578883299</v>
      </c>
      <c r="HH50" s="286">
        <f>AnnualDivReqs!$AG42</f>
        <v>20145.930067277128</v>
      </c>
      <c r="HI50" s="286">
        <f>AnnualDivReqs!$AN42</f>
        <v>6648.491115915378</v>
      </c>
      <c r="HJ50" s="287">
        <f t="shared" si="86"/>
        <v>151041.19213346377</v>
      </c>
      <c r="HK50" s="287">
        <f t="shared" si="87"/>
        <v>532447.17515945353</v>
      </c>
      <c r="HL50" s="286">
        <f>AnnualDivReqs!$AP42</f>
        <v>378.87777777775057</v>
      </c>
      <c r="HM50" s="442" t="s">
        <v>597</v>
      </c>
      <c r="HN50" s="286">
        <f>AnnualDivReqs!$AJ42</f>
        <v>38999.999998983854</v>
      </c>
      <c r="HO50" s="286">
        <f>AnnualDivReqs!$BC42</f>
        <v>16199.99999897049</v>
      </c>
      <c r="HP50" s="286">
        <f>AnnualDivReqs!$J42</f>
        <v>4166.6500000021233</v>
      </c>
      <c r="HQ50" s="286">
        <f>AnnualAggregations!$AG42</f>
        <v>19374.983333335964</v>
      </c>
      <c r="HR50" s="287">
        <f t="shared" si="88"/>
        <v>79120.511109070183</v>
      </c>
      <c r="HS50" s="287">
        <f t="shared" si="89"/>
        <v>79120.511109070183</v>
      </c>
      <c r="HT50" s="287">
        <f t="shared" si="90"/>
        <v>611567.68626852368</v>
      </c>
      <c r="HV50" s="440" t="s">
        <v>628</v>
      </c>
      <c r="HW50" s="440" t="s">
        <v>628</v>
      </c>
      <c r="HX50" s="440" t="s">
        <v>628</v>
      </c>
      <c r="HY50" s="440" t="s">
        <v>628</v>
      </c>
      <c r="HZ50" s="440" t="s">
        <v>628</v>
      </c>
      <c r="IA50" s="440" t="s">
        <v>628</v>
      </c>
      <c r="IB50" s="440" t="s">
        <v>628</v>
      </c>
      <c r="IC50" s="440" t="s">
        <v>628</v>
      </c>
      <c r="ID50" s="440" t="s">
        <v>628</v>
      </c>
      <c r="IE50" s="440" t="s">
        <v>628</v>
      </c>
      <c r="IF50" s="440" t="s">
        <v>628</v>
      </c>
      <c r="IG50" s="440" t="s">
        <v>628</v>
      </c>
      <c r="IH50" s="440" t="s">
        <v>628</v>
      </c>
      <c r="IJ50" s="440" t="s">
        <v>628</v>
      </c>
      <c r="IL50" s="286">
        <f>AnnualAggregations!$AB42</f>
        <v>37764.238566617634</v>
      </c>
      <c r="IM50" s="286">
        <f>AnnualAggregations!$Z42</f>
        <v>109203.92806456747</v>
      </c>
      <c r="IN50" s="442" t="s">
        <v>597</v>
      </c>
      <c r="IO50" s="286">
        <f>AnnualAggregations!$AC42</f>
        <v>5000.0000000019172</v>
      </c>
      <c r="IP50" s="442" t="s">
        <v>597</v>
      </c>
      <c r="IQ50" s="440" t="s">
        <v>628</v>
      </c>
      <c r="IR50" s="440" t="s">
        <v>628</v>
      </c>
      <c r="IS50" s="440" t="s">
        <v>628</v>
      </c>
      <c r="IT50" s="440" t="s">
        <v>628</v>
      </c>
      <c r="IU50" s="286">
        <f>AnnualDivReqs!$BG42</f>
        <v>12296.800000006155</v>
      </c>
      <c r="IW50" s="440" t="s">
        <v>628</v>
      </c>
      <c r="IX50" s="440" t="s">
        <v>628</v>
      </c>
      <c r="IY50" s="440" t="s">
        <v>628</v>
      </c>
      <c r="IZ50" s="442" t="s">
        <v>597</v>
      </c>
    </row>
    <row r="51" spans="1:260" x14ac:dyDescent="0.25">
      <c r="A51" s="480" t="str">
        <f>ADDRESS(ROW(SJRIPSummary!E43),COLUMN(SJRIPSummary!E43),4,1)</f>
        <v>E43</v>
      </c>
      <c r="B51" s="480" t="str">
        <f t="shared" si="57"/>
        <v>43</v>
      </c>
      <c r="C51" t="s">
        <v>623</v>
      </c>
      <c r="D51" s="404">
        <v>36</v>
      </c>
      <c r="E51" s="404">
        <v>97</v>
      </c>
      <c r="F51" s="404">
        <v>158</v>
      </c>
      <c r="G51" s="404">
        <v>219</v>
      </c>
      <c r="H51" s="391"/>
      <c r="I51" s="558"/>
      <c r="J51" s="569"/>
      <c r="K51" s="570"/>
      <c r="L51" s="163" t="s">
        <v>112</v>
      </c>
      <c r="M51" s="164">
        <f ca="1">ROUND(SJRIPSummaryRAW!B50,-2)</f>
        <v>1300</v>
      </c>
      <c r="N51" s="148"/>
      <c r="O51" s="227">
        <f ca="1">ROUND(SJRIPSummaryRAW!D50,-2)</f>
        <v>1300</v>
      </c>
      <c r="P51" s="228">
        <f ca="1">ROUND(SJRIPSummaryRAW!E50,-2)</f>
        <v>1300</v>
      </c>
      <c r="Q51" s="391"/>
      <c r="R51" s="21"/>
      <c r="S51" s="21"/>
      <c r="T51" s="282">
        <v>1964</v>
      </c>
      <c r="U51" s="286">
        <f>AnnualAggregations!$C43</f>
        <v>245560.76154134652</v>
      </c>
      <c r="V51" s="286">
        <f>AnnualDepletions!$BI43</f>
        <v>-535.5170808831574</v>
      </c>
      <c r="W51" s="286">
        <f>AnnualDepletions!$AM43</f>
        <v>12100.000000000004</v>
      </c>
      <c r="X51" s="286">
        <f>AnnualDepletions!$AK43</f>
        <v>7970.0000000000091</v>
      </c>
      <c r="Y51" s="286">
        <f>AnnualDepletions!$L43</f>
        <v>900.00000000000011</v>
      </c>
      <c r="Z51" s="287">
        <f t="shared" si="58"/>
        <v>265995.24446046341</v>
      </c>
      <c r="AA51" s="286">
        <f>AnnualDepletions!$AO43</f>
        <v>980.99999999988756</v>
      </c>
      <c r="AB51" s="286">
        <f>AnnualDepletions!$AY43</f>
        <v>1513.9999999998258</v>
      </c>
      <c r="AC51" s="286">
        <f>AnnualAggregations!$F43</f>
        <v>33283.434798496302</v>
      </c>
      <c r="AD51" s="286">
        <f>AnnualAggregations!$G43</f>
        <v>3161.6134881903172</v>
      </c>
      <c r="AE51" s="286">
        <f>AnnualAggregations!$H43</f>
        <v>12533.999999998568</v>
      </c>
      <c r="AF51" s="286">
        <f>AnnualDepletions!$AL43</f>
        <v>10688.99999999877</v>
      </c>
      <c r="AG51" s="286">
        <f>AnnualDepletions!$AG43</f>
        <v>9415.8075730283072</v>
      </c>
      <c r="AH51" s="286">
        <f>AnnualDepletions!$AN43</f>
        <v>3174.9999999996326</v>
      </c>
      <c r="AI51" s="287">
        <f t="shared" si="59"/>
        <v>73772.855859711723</v>
      </c>
      <c r="AJ51" s="287">
        <f t="shared" si="60"/>
        <v>340749.100320175</v>
      </c>
      <c r="AK51" s="286">
        <f>AnnualDepletions!$AP43</f>
        <v>340.98999999997511</v>
      </c>
      <c r="AL51" s="286">
        <f>AnnualDepletions!$BH43</f>
        <v>21130.521830784928</v>
      </c>
      <c r="AM51" s="286">
        <f>AnnualDepletions!$AJ43</f>
        <v>38999.999998983862</v>
      </c>
      <c r="AN51" s="286">
        <f>AnnualDepletions!$BC43</f>
        <v>16199.999998970494</v>
      </c>
      <c r="AO51" s="286">
        <f>AnnualDepletions!$J43</f>
        <v>2499.9900000012672</v>
      </c>
      <c r="AP51" s="286">
        <f>AnnualAggregations!$I43</f>
        <v>11624.990000001573</v>
      </c>
      <c r="AQ51" s="287">
        <f t="shared" si="61"/>
        <v>69665.969997957174</v>
      </c>
      <c r="AR51" s="287">
        <f t="shared" si="62"/>
        <v>90796.491828742102</v>
      </c>
      <c r="AS51" s="287">
        <f t="shared" si="63"/>
        <v>431545.59214891709</v>
      </c>
      <c r="AU51" s="321">
        <f ca="1">StateModDepletions_ThisScenario!AC41</f>
        <v>35985.864641197026</v>
      </c>
      <c r="AV51" s="321">
        <f ca="1">StateModDepletions_ThisScenario!AD41</f>
        <v>18016.093753963709</v>
      </c>
      <c r="AW51" s="321">
        <f ca="1">StateModDepletions_ThisScenario!AE41</f>
        <v>103805.23990161717</v>
      </c>
      <c r="AX51" s="321">
        <f ca="1">StateModDepletions_ThisScenario!AB41</f>
        <v>24765.810481309891</v>
      </c>
      <c r="AY51" s="288">
        <f t="shared" ca="1" si="64"/>
        <v>182573.00877808779</v>
      </c>
      <c r="AZ51" s="321">
        <f ca="1">StateModDepletions_ThisScenario!AG41</f>
        <v>24358.453906394694</v>
      </c>
      <c r="BA51" s="321">
        <f ca="1">StateModDepletions_ThisScenario!AF41</f>
        <v>18452.301830925036</v>
      </c>
      <c r="BB51" s="321">
        <f ca="1">StateModDepletions_ThisScenario!AH41</f>
        <v>13946.305909723043</v>
      </c>
      <c r="BC51" s="321">
        <f ca="1">StateModDepletions_ThisScenario!AI41</f>
        <v>12301.952089735196</v>
      </c>
      <c r="BD51" s="321">
        <f ca="1">StateModDepletions_ThisScenario!N41</f>
        <v>1326.6977829933167</v>
      </c>
      <c r="BE51" s="321">
        <f ca="1">StateModDepletions_ThisScenario!V41</f>
        <v>10091.796875953674</v>
      </c>
      <c r="BF51" s="288">
        <f t="shared" ca="1" si="65"/>
        <v>80477.508395724959</v>
      </c>
      <c r="BG51" s="288">
        <f t="shared" ca="1" si="66"/>
        <v>263050.51717381272</v>
      </c>
      <c r="BI51" s="288">
        <f t="shared" ca="1" si="67"/>
        <v>694596.10932272975</v>
      </c>
      <c r="BK51" s="286">
        <f>AnnualAggregations!$D43</f>
        <v>35893.000000000044</v>
      </c>
      <c r="BL51" s="286">
        <f>AnnualAggregations!$B43</f>
        <v>57147.121528975498</v>
      </c>
      <c r="BM51" s="286">
        <f>AnnualDepletions!$BK43</f>
        <v>60937.412703892667</v>
      </c>
      <c r="BN51" s="286">
        <f>AnnualAggregations!$E43</f>
        <v>5000.0000000019463</v>
      </c>
      <c r="BO51" s="287">
        <f t="shared" si="68"/>
        <v>158977.53423287018</v>
      </c>
      <c r="BP51" s="321">
        <f ca="1">StateModDepletions_ThisScenario!Y41</f>
        <v>212.11356273293495</v>
      </c>
      <c r="BQ51" s="321">
        <f ca="1">StateModDepletions_ThisScenario!AJ41</f>
        <v>116341.27058087982</v>
      </c>
      <c r="BR51" s="321">
        <f ca="1">StateModDepletions_ThisScenario!Z41</f>
        <v>206358.84523962438</v>
      </c>
      <c r="BS51" s="321">
        <f ca="1">StateModDepletions_ThisScenario!AA41</f>
        <v>89805.461096011626</v>
      </c>
      <c r="BT51" s="286">
        <f>AnnualDepletions!$BG43</f>
        <v>12296.800000006155</v>
      </c>
      <c r="BV51" s="287">
        <f t="shared" ca="1" si="69"/>
        <v>865870.44355560606</v>
      </c>
      <c r="BW51" s="287">
        <f t="shared" ca="1" si="70"/>
        <v>776064.9824595945</v>
      </c>
      <c r="BX51" s="287">
        <f t="shared" ca="1" si="91"/>
        <v>790939.9824595945</v>
      </c>
      <c r="BY51" s="287">
        <f>SJRIPSummaryRAW!$B$79</f>
        <v>14875</v>
      </c>
      <c r="CC51" s="282">
        <v>1964</v>
      </c>
      <c r="CD51" s="286">
        <f>AnnualAggregations!K43</f>
        <v>245560.76154134652</v>
      </c>
      <c r="CE51" s="442" t="s">
        <v>597</v>
      </c>
      <c r="CF51" s="286">
        <f>AnnualDeplReqs!$AM43</f>
        <v>12100.000000000004</v>
      </c>
      <c r="CG51" s="286">
        <f>AnnualDeplReqs!$AK43</f>
        <v>7970.0000000000091</v>
      </c>
      <c r="CH51" s="286">
        <f>AnnualDeplReqs!$L43</f>
        <v>900.00000000000011</v>
      </c>
      <c r="CI51" s="443">
        <f t="shared" si="71"/>
        <v>265995.24446046341</v>
      </c>
      <c r="CJ51" s="286">
        <f>AnnualDeplReqs!$AO43</f>
        <v>980.99999999988756</v>
      </c>
      <c r="CK51" s="286">
        <f>AnnualDeplReqs!$AY43</f>
        <v>1513.9999999998258</v>
      </c>
      <c r="CL51" s="286">
        <f>AnnualAggregations!$N43</f>
        <v>33283.434798496302</v>
      </c>
      <c r="CM51" s="286">
        <f>AnnualAggregations!$O43</f>
        <v>12530.999999998561</v>
      </c>
      <c r="CN51" s="286">
        <f>AnnualAggregations!$P43</f>
        <v>12533.999999998568</v>
      </c>
      <c r="CO51" s="286">
        <f>AnnualDeplReqs!$AL43</f>
        <v>10688.99999999877</v>
      </c>
      <c r="CP51" s="286">
        <f>AnnualDeplReqs!$AG43</f>
        <v>9463.9999999989104</v>
      </c>
      <c r="CQ51" s="286">
        <f>AnnualDeplReqs!$AN43</f>
        <v>3174.9999999996326</v>
      </c>
      <c r="CR51" s="287">
        <f t="shared" si="72"/>
        <v>83190.434798490576</v>
      </c>
      <c r="CS51" s="287">
        <f t="shared" si="73"/>
        <v>350166.6792589539</v>
      </c>
      <c r="CT51" s="286">
        <f>AnnualDeplReqs!$AP43</f>
        <v>340.98999999997511</v>
      </c>
      <c r="CU51" s="442" t="s">
        <v>597</v>
      </c>
      <c r="CV51" s="286">
        <f>AnnualDeplReqs!$AJ43</f>
        <v>38999.999998983862</v>
      </c>
      <c r="CW51" s="286">
        <f>AnnualDeplReqs!$BC43</f>
        <v>16199.999998970494</v>
      </c>
      <c r="CX51" s="286">
        <f>AnnualDeplReqs!$J43</f>
        <v>2499.9900000012672</v>
      </c>
      <c r="CY51" s="286">
        <f>AnnualAggregations!$Q43</f>
        <v>11624.990000001573</v>
      </c>
      <c r="CZ51" s="287">
        <f t="shared" si="74"/>
        <v>69665.969997957174</v>
      </c>
      <c r="DA51" s="443">
        <f t="shared" si="75"/>
        <v>90796.491828742102</v>
      </c>
      <c r="DB51" s="287">
        <f t="shared" si="76"/>
        <v>440963.17108769598</v>
      </c>
      <c r="DD51" s="440" t="s">
        <v>628</v>
      </c>
      <c r="DE51" s="440" t="s">
        <v>628</v>
      </c>
      <c r="DF51" s="440" t="s">
        <v>628</v>
      </c>
      <c r="DG51" s="440" t="s">
        <v>628</v>
      </c>
      <c r="DH51" s="440" t="s">
        <v>628</v>
      </c>
      <c r="DI51" s="440" t="s">
        <v>628</v>
      </c>
      <c r="DJ51" s="440" t="s">
        <v>628</v>
      </c>
      <c r="DK51" s="440" t="s">
        <v>628</v>
      </c>
      <c r="DL51" s="440" t="s">
        <v>628</v>
      </c>
      <c r="DM51" s="440" t="s">
        <v>628</v>
      </c>
      <c r="DN51" s="440" t="s">
        <v>628</v>
      </c>
      <c r="DO51" s="440" t="s">
        <v>628</v>
      </c>
      <c r="DP51" s="440" t="s">
        <v>628</v>
      </c>
      <c r="DR51" s="440" t="s">
        <v>628</v>
      </c>
      <c r="DT51" s="286">
        <f>AnnualAggregations!$L43</f>
        <v>35893.000000000073</v>
      </c>
      <c r="DU51" s="443">
        <f>AnnualAggregations!$J43</f>
        <v>57250.227491019345</v>
      </c>
      <c r="DV51" s="442" t="s">
        <v>597</v>
      </c>
      <c r="DW51" s="286">
        <f>AnnualAggregations!$M43</f>
        <v>5000.0000000019463</v>
      </c>
      <c r="DX51" s="442" t="s">
        <v>597</v>
      </c>
      <c r="DY51" s="440" t="s">
        <v>628</v>
      </c>
      <c r="DZ51" s="440" t="s">
        <v>628</v>
      </c>
      <c r="EA51" s="440" t="s">
        <v>628</v>
      </c>
      <c r="EB51" s="440" t="s">
        <v>628</v>
      </c>
      <c r="EC51" s="286">
        <f>AnnualDeplReqs!$BG43</f>
        <v>12296.800000006155</v>
      </c>
      <c r="EE51" s="440" t="s">
        <v>628</v>
      </c>
      <c r="EF51" s="440" t="s">
        <v>628</v>
      </c>
      <c r="EG51" s="440" t="s">
        <v>628</v>
      </c>
      <c r="EH51" s="442" t="s">
        <v>597</v>
      </c>
      <c r="EL51" s="282">
        <v>1964</v>
      </c>
      <c r="EM51" s="286">
        <f>AnnualAggregations!S43</f>
        <v>306950.95192668249</v>
      </c>
      <c r="EN51" s="442" t="s">
        <v>597</v>
      </c>
      <c r="EO51" s="286">
        <f>AnnualDiversions!$AM43</f>
        <v>24160.880683190015</v>
      </c>
      <c r="EP51" s="286">
        <f>AnnualDiversions!$AK43</f>
        <v>15864.246446422736</v>
      </c>
      <c r="EQ51" s="286">
        <f>AnnualDiversions!$L43</f>
        <v>1800.0000000000002</v>
      </c>
      <c r="ER51" s="287">
        <f t="shared" si="77"/>
        <v>348776.07905629522</v>
      </c>
      <c r="ES51" s="286">
        <f>AnnualDiversions!$AO43</f>
        <v>1961.9999999997751</v>
      </c>
      <c r="ET51" s="286">
        <f>AnnualDiversions!$AY43</f>
        <v>2740.2714932123554</v>
      </c>
      <c r="EU51" s="286">
        <f>AnnualAggregations!$V43</f>
        <v>55876.52801227117</v>
      </c>
      <c r="EV51" s="286">
        <f>AnnualAggregations!$W43</f>
        <v>5621.0431393120343</v>
      </c>
      <c r="EW51" s="286">
        <f>AnnualAggregations!$X43</f>
        <v>19212.54047489609</v>
      </c>
      <c r="EX51" s="286">
        <f>AnnualDiversions!$AL43</f>
        <v>12679.715302489649</v>
      </c>
      <c r="EY51" s="286">
        <f>AnnualDiversions!$AG43</f>
        <v>17844.797826264199</v>
      </c>
      <c r="EZ51" s="286">
        <f>AnnualDiversions!$AN43</f>
        <v>5969.7283068527449</v>
      </c>
      <c r="FA51" s="287">
        <f t="shared" si="78"/>
        <v>119944.62455529824</v>
      </c>
      <c r="FB51" s="287">
        <f t="shared" si="79"/>
        <v>470682.70361159323</v>
      </c>
      <c r="FC51" s="286">
        <f>AnnualDiversions!$AP43</f>
        <v>378.87777777775057</v>
      </c>
      <c r="FD51" s="442" t="s">
        <v>597</v>
      </c>
      <c r="FE51" s="286">
        <f>AnnualDiversions!$AJ43</f>
        <v>38999.999998983862</v>
      </c>
      <c r="FF51" s="286">
        <f>AnnualDiversions!$BC43</f>
        <v>16199.999998970494</v>
      </c>
      <c r="FG51" s="286">
        <f>AnnualDiversions!$J43</f>
        <v>4166.6500000021233</v>
      </c>
      <c r="FH51" s="286">
        <f>AnnualAggregations!$Y43</f>
        <v>19374.983333335967</v>
      </c>
      <c r="FI51" s="287">
        <f t="shared" si="80"/>
        <v>79120.511109070212</v>
      </c>
      <c r="FJ51" s="287">
        <f t="shared" si="81"/>
        <v>79120.511109070198</v>
      </c>
      <c r="FK51" s="287">
        <f t="shared" si="82"/>
        <v>549803.21472066338</v>
      </c>
      <c r="FM51" s="440" t="s">
        <v>628</v>
      </c>
      <c r="FN51" s="440" t="s">
        <v>628</v>
      </c>
      <c r="FO51" s="440" t="s">
        <v>628</v>
      </c>
      <c r="FP51" s="440" t="s">
        <v>628</v>
      </c>
      <c r="FQ51" s="440" t="s">
        <v>628</v>
      </c>
      <c r="FR51" s="440" t="s">
        <v>628</v>
      </c>
      <c r="FS51" s="440" t="s">
        <v>628</v>
      </c>
      <c r="FT51" s="440" t="s">
        <v>628</v>
      </c>
      <c r="FU51" s="440" t="s">
        <v>628</v>
      </c>
      <c r="FV51" s="440" t="s">
        <v>628</v>
      </c>
      <c r="FW51" s="440" t="s">
        <v>628</v>
      </c>
      <c r="FX51" s="440" t="s">
        <v>628</v>
      </c>
      <c r="FY51" s="440" t="s">
        <v>628</v>
      </c>
      <c r="GA51" s="440" t="s">
        <v>628</v>
      </c>
      <c r="GC51" s="286">
        <f>AnnualAggregations!$T43</f>
        <v>37763.476493275419</v>
      </c>
      <c r="GD51" s="286">
        <f>AnnualAggregations!$R43</f>
        <v>109067.13000005131</v>
      </c>
      <c r="GE51" s="443">
        <f t="shared" si="83"/>
        <v>60937.412703892667</v>
      </c>
      <c r="GF51" s="286">
        <f>AnnualAggregations!$U43</f>
        <v>5000.0000000019463</v>
      </c>
      <c r="GG51" s="287">
        <f t="shared" si="84"/>
        <v>212768.01919722135</v>
      </c>
      <c r="GH51" s="440" t="s">
        <v>628</v>
      </c>
      <c r="GI51" s="440" t="s">
        <v>628</v>
      </c>
      <c r="GJ51" s="440" t="s">
        <v>628</v>
      </c>
      <c r="GK51" s="440" t="s">
        <v>628</v>
      </c>
      <c r="GL51" s="286">
        <f>AnnualDiversions!$BG43</f>
        <v>12296.800000006155</v>
      </c>
      <c r="GN51" s="440" t="s">
        <v>628</v>
      </c>
      <c r="GO51" s="440" t="s">
        <v>628</v>
      </c>
      <c r="GP51" s="440" t="s">
        <v>628</v>
      </c>
      <c r="GQ51" s="442" t="s">
        <v>597</v>
      </c>
      <c r="GU51" s="282">
        <v>1964</v>
      </c>
      <c r="GV51" s="286">
        <f>AnnualAggregations!AA43</f>
        <v>306950.95192668249</v>
      </c>
      <c r="GW51" s="442" t="s">
        <v>597</v>
      </c>
      <c r="GX51" s="286">
        <f>AnnualDivReqs!$AM43</f>
        <v>24160.880683190015</v>
      </c>
      <c r="GY51" s="286">
        <f>AnnualDivReqs!$AK43</f>
        <v>15864.246446422736</v>
      </c>
      <c r="GZ51" s="286">
        <f>AnnualDivReqs!$L43</f>
        <v>1800.0000000000002</v>
      </c>
      <c r="HA51" s="287">
        <f t="shared" si="85"/>
        <v>348776.07905629522</v>
      </c>
      <c r="HB51" s="286">
        <f>AnnualDivReqs!$AO43</f>
        <v>1961.9999999997751</v>
      </c>
      <c r="HC51" s="286">
        <f>AnnualDivReqs!$AY43</f>
        <v>2740.2714932123554</v>
      </c>
      <c r="HD51" s="286">
        <f>AnnualAggregations!$AD43</f>
        <v>55876.52801227117</v>
      </c>
      <c r="HE51" s="286">
        <f>AnnualAggregations!$AE43</f>
        <v>22444.14566849832</v>
      </c>
      <c r="HF51" s="286">
        <f>AnnualAggregations!$AF43</f>
        <v>19212.54047489609</v>
      </c>
      <c r="HG51" s="286">
        <f>AnnualDivReqs!$AL43</f>
        <v>12679.715302489649</v>
      </c>
      <c r="HH51" s="286">
        <f>AnnualDivReqs!$AG43</f>
        <v>17936.131905617185</v>
      </c>
      <c r="HI51" s="286">
        <f>AnnualDivReqs!$AN43</f>
        <v>5969.7283068527449</v>
      </c>
      <c r="HJ51" s="287">
        <f t="shared" si="86"/>
        <v>136859.06116383753</v>
      </c>
      <c r="HK51" s="287">
        <f t="shared" si="87"/>
        <v>487597.14022013254</v>
      </c>
      <c r="HL51" s="286">
        <f>AnnualDivReqs!$AP43</f>
        <v>378.87777777775057</v>
      </c>
      <c r="HM51" s="442" t="s">
        <v>597</v>
      </c>
      <c r="HN51" s="286">
        <f>AnnualDivReqs!$AJ43</f>
        <v>38999.999998983862</v>
      </c>
      <c r="HO51" s="286">
        <f>AnnualDivReqs!$BC43</f>
        <v>16199.999998970494</v>
      </c>
      <c r="HP51" s="286">
        <f>AnnualDivReqs!$J43</f>
        <v>4166.6500000021233</v>
      </c>
      <c r="HQ51" s="286">
        <f>AnnualAggregations!$AG43</f>
        <v>19374.983333335967</v>
      </c>
      <c r="HR51" s="287">
        <f t="shared" si="88"/>
        <v>79120.511109070212</v>
      </c>
      <c r="HS51" s="287">
        <f t="shared" si="89"/>
        <v>79120.511109070198</v>
      </c>
      <c r="HT51" s="287">
        <f t="shared" si="90"/>
        <v>566717.65132920269</v>
      </c>
      <c r="HV51" s="440" t="s">
        <v>628</v>
      </c>
      <c r="HW51" s="440" t="s">
        <v>628</v>
      </c>
      <c r="HX51" s="440" t="s">
        <v>628</v>
      </c>
      <c r="HY51" s="440" t="s">
        <v>628</v>
      </c>
      <c r="HZ51" s="440" t="s">
        <v>628</v>
      </c>
      <c r="IA51" s="440" t="s">
        <v>628</v>
      </c>
      <c r="IB51" s="440" t="s">
        <v>628</v>
      </c>
      <c r="IC51" s="440" t="s">
        <v>628</v>
      </c>
      <c r="ID51" s="440" t="s">
        <v>628</v>
      </c>
      <c r="IE51" s="440" t="s">
        <v>628</v>
      </c>
      <c r="IF51" s="440" t="s">
        <v>628</v>
      </c>
      <c r="IG51" s="440" t="s">
        <v>628</v>
      </c>
      <c r="IH51" s="440" t="s">
        <v>628</v>
      </c>
      <c r="IJ51" s="440" t="s">
        <v>628</v>
      </c>
      <c r="IL51" s="286">
        <f>AnnualAggregations!$AB43</f>
        <v>37763.476493275448</v>
      </c>
      <c r="IM51" s="286">
        <f>AnnualAggregations!$Z43</f>
        <v>109273.34192413904</v>
      </c>
      <c r="IN51" s="442" t="s">
        <v>597</v>
      </c>
      <c r="IO51" s="286">
        <f>AnnualAggregations!$AC43</f>
        <v>5000.0000000019463</v>
      </c>
      <c r="IP51" s="442" t="s">
        <v>597</v>
      </c>
      <c r="IQ51" s="440" t="s">
        <v>628</v>
      </c>
      <c r="IR51" s="440" t="s">
        <v>628</v>
      </c>
      <c r="IS51" s="440" t="s">
        <v>628</v>
      </c>
      <c r="IT51" s="440" t="s">
        <v>628</v>
      </c>
      <c r="IU51" s="286">
        <f>AnnualDivReqs!$BG43</f>
        <v>12296.800000006155</v>
      </c>
      <c r="IW51" s="440" t="s">
        <v>628</v>
      </c>
      <c r="IX51" s="440" t="s">
        <v>628</v>
      </c>
      <c r="IY51" s="440" t="s">
        <v>628</v>
      </c>
      <c r="IZ51" s="442" t="s">
        <v>597</v>
      </c>
    </row>
    <row r="52" spans="1:260" ht="15.75" thickBot="1" x14ac:dyDescent="0.3">
      <c r="A52" s="480" t="str">
        <f>ADDRESS(ROW(SJRIPSummary!E44),COLUMN(SJRIPSummary!E44),4,1)</f>
        <v>E44</v>
      </c>
      <c r="B52" s="480" t="str">
        <f t="shared" si="57"/>
        <v>44</v>
      </c>
      <c r="C52" t="s">
        <v>624</v>
      </c>
      <c r="D52" s="404">
        <v>37</v>
      </c>
      <c r="E52" s="404">
        <v>98</v>
      </c>
      <c r="F52" s="404">
        <v>159</v>
      </c>
      <c r="G52" s="404">
        <v>220</v>
      </c>
      <c r="H52" s="391"/>
      <c r="I52" s="558"/>
      <c r="J52" s="571"/>
      <c r="K52" s="572"/>
      <c r="L52" s="196" t="s">
        <v>113</v>
      </c>
      <c r="M52" s="197">
        <f ca="1">ROUND(SJRIPSummaryRAW!B52,-2)</f>
        <v>11900</v>
      </c>
      <c r="N52" s="148"/>
      <c r="O52" s="229">
        <f ca="1">ROUND(SJRIPSummaryRAW!D52,-2)</f>
        <v>17700</v>
      </c>
      <c r="P52" s="230">
        <f ca="1">ROUND(SJRIPSummaryRAW!E52,-2)</f>
        <v>3100</v>
      </c>
      <c r="Q52" s="391"/>
      <c r="R52" s="21"/>
      <c r="S52" s="21"/>
      <c r="T52" s="282">
        <v>1965</v>
      </c>
      <c r="U52" s="286">
        <f>AnnualAggregations!$C44</f>
        <v>193671.50351790618</v>
      </c>
      <c r="V52" s="286">
        <f>AnnualDepletions!$BI44</f>
        <v>-10777.719315655622</v>
      </c>
      <c r="W52" s="286">
        <f>AnnualDepletions!$AM44</f>
        <v>12100.000000000002</v>
      </c>
      <c r="X52" s="286">
        <f>AnnualDepletions!$AK44</f>
        <v>7969.9999999999882</v>
      </c>
      <c r="Y52" s="286">
        <f>AnnualDepletions!$L44</f>
        <v>900</v>
      </c>
      <c r="Z52" s="287">
        <f t="shared" si="58"/>
        <v>203863.78420225056</v>
      </c>
      <c r="AA52" s="286">
        <f>AnnualDepletions!$AO44</f>
        <v>767.99999999991132</v>
      </c>
      <c r="AB52" s="286">
        <f>AnnualDepletions!$AY44</f>
        <v>1373.9999999998422</v>
      </c>
      <c r="AC52" s="286">
        <f>AnnualAggregations!$F44</f>
        <v>26024.99999999698</v>
      </c>
      <c r="AD52" s="286">
        <f>AnnualAggregations!$G44</f>
        <v>7170.8527658960684</v>
      </c>
      <c r="AE52" s="286">
        <f>AnnualAggregations!$H44</f>
        <v>10458.999999998803</v>
      </c>
      <c r="AF52" s="286">
        <f>AnnualDepletions!$AL44</f>
        <v>8954.9999999989705</v>
      </c>
      <c r="AG52" s="286">
        <f>AnnualDepletions!$AG44</f>
        <v>8950.9999999989632</v>
      </c>
      <c r="AH52" s="286">
        <f>AnnualDepletions!$AN44</f>
        <v>2921.9999999996639</v>
      </c>
      <c r="AI52" s="287">
        <f t="shared" si="59"/>
        <v>65856.8527658893</v>
      </c>
      <c r="AJ52" s="287">
        <f t="shared" si="60"/>
        <v>270488.63696813979</v>
      </c>
      <c r="AK52" s="286">
        <f>AnnualDepletions!$AP44</f>
        <v>340.98999999997505</v>
      </c>
      <c r="AL52" s="286">
        <f>AnnualDepletions!$BH44</f>
        <v>24347.6075171841</v>
      </c>
      <c r="AM52" s="286">
        <f>AnnualDepletions!$AJ44</f>
        <v>38999.999998983854</v>
      </c>
      <c r="AN52" s="286">
        <f>AnnualDepletions!$BC44</f>
        <v>16199.99999897049</v>
      </c>
      <c r="AO52" s="286">
        <f>AnnualDepletions!$J44</f>
        <v>2499.9900000012672</v>
      </c>
      <c r="AP52" s="286">
        <f>AnnualAggregations!$I44</f>
        <v>11624.990000001573</v>
      </c>
      <c r="AQ52" s="287">
        <f t="shared" si="61"/>
        <v>69665.96999795716</v>
      </c>
      <c r="AR52" s="287">
        <f t="shared" si="62"/>
        <v>94013.577515141267</v>
      </c>
      <c r="AS52" s="287">
        <f t="shared" si="63"/>
        <v>364502.21448328107</v>
      </c>
      <c r="AU52" s="321">
        <f ca="1">StateModDepletions_ThisScenario!AC42</f>
        <v>36872.371206820011</v>
      </c>
      <c r="AV52" s="321">
        <f ca="1">StateModDepletions_ThisScenario!AD42</f>
        <v>16988.655346825719</v>
      </c>
      <c r="AW52" s="321">
        <f ca="1">StateModDepletions_ThisScenario!AE42</f>
        <v>105755.04740321636</v>
      </c>
      <c r="AX52" s="321">
        <f ca="1">StateModDepletions_ThisScenario!AB42</f>
        <v>24765.810481309891</v>
      </c>
      <c r="AY52" s="288">
        <f t="shared" ca="1" si="64"/>
        <v>184381.88443817198</v>
      </c>
      <c r="AZ52" s="321">
        <f ca="1">StateModDepletions_ThisScenario!AG42</f>
        <v>41559.169038007887</v>
      </c>
      <c r="BA52" s="321">
        <f ca="1">StateModDepletions_ThisScenario!AF42</f>
        <v>16555.619562424712</v>
      </c>
      <c r="BB52" s="321">
        <f ca="1">StateModDepletions_ThisScenario!AH42</f>
        <v>20650.171806916595</v>
      </c>
      <c r="BC52" s="321">
        <f ca="1">StateModDepletions_ThisScenario!AI42</f>
        <v>23488.580752738904</v>
      </c>
      <c r="BD52" s="321">
        <f ca="1">StateModDepletions_ThisScenario!N42</f>
        <v>1326.6977829933167</v>
      </c>
      <c r="BE52" s="321">
        <f ca="1">StateModDepletions_ThisScenario!V42</f>
        <v>17239.281411170959</v>
      </c>
      <c r="BF52" s="288">
        <f t="shared" ca="1" si="65"/>
        <v>120819.52035425237</v>
      </c>
      <c r="BG52" s="288">
        <f t="shared" ca="1" si="66"/>
        <v>305201.40479242435</v>
      </c>
      <c r="BI52" s="288">
        <f t="shared" ca="1" si="67"/>
        <v>669703.61927570542</v>
      </c>
      <c r="BK52" s="286">
        <f>AnnualAggregations!$D44</f>
        <v>35893.000000000051</v>
      </c>
      <c r="BL52" s="286">
        <f>AnnualAggregations!$B44</f>
        <v>57166.863965641372</v>
      </c>
      <c r="BM52" s="286">
        <f>AnnualDepletions!$BK44</f>
        <v>161739.50843939895</v>
      </c>
      <c r="BN52" s="286">
        <f>AnnualAggregations!$E44</f>
        <v>5000.0000000019172</v>
      </c>
      <c r="BO52" s="287">
        <f t="shared" si="68"/>
        <v>259799.37240504229</v>
      </c>
      <c r="BP52" s="321">
        <f ca="1">StateModDepletions_ThisScenario!Y42</f>
        <v>212.11356273293495</v>
      </c>
      <c r="BQ52" s="321">
        <f ca="1">StateModDepletions_ThisScenario!AJ42</f>
        <v>110745.9056482014</v>
      </c>
      <c r="BR52" s="321">
        <f ca="1">StateModDepletions_ThisScenario!Z42</f>
        <v>240105.43230438232</v>
      </c>
      <c r="BS52" s="321">
        <f ca="1">StateModDepletions_ThisScenario!AA42</f>
        <v>129147.41309344798</v>
      </c>
      <c r="BT52" s="286">
        <f>AnnualDepletions!$BG44</f>
        <v>12296.800000006155</v>
      </c>
      <c r="BV52" s="287">
        <f t="shared" ca="1" si="69"/>
        <v>941799.79168075393</v>
      </c>
      <c r="BW52" s="287">
        <f t="shared" ca="1" si="70"/>
        <v>812652.37858730601</v>
      </c>
      <c r="BX52" s="287">
        <f t="shared" ca="1" si="91"/>
        <v>827527.37858730601</v>
      </c>
      <c r="BY52" s="287">
        <f>SJRIPSummaryRAW!$B$79</f>
        <v>14875</v>
      </c>
      <c r="CC52" s="282">
        <v>1965</v>
      </c>
      <c r="CD52" s="286">
        <f>AnnualAggregations!K44</f>
        <v>193671.50351790618</v>
      </c>
      <c r="CE52" s="442" t="s">
        <v>597</v>
      </c>
      <c r="CF52" s="286">
        <f>AnnualDeplReqs!$AM44</f>
        <v>12100.000000000002</v>
      </c>
      <c r="CG52" s="286">
        <f>AnnualDeplReqs!$AK44</f>
        <v>7969.9999999999882</v>
      </c>
      <c r="CH52" s="286">
        <f>AnnualDeplReqs!$L44</f>
        <v>900</v>
      </c>
      <c r="CI52" s="443">
        <f t="shared" si="71"/>
        <v>203863.78420225056</v>
      </c>
      <c r="CJ52" s="286">
        <f>AnnualDeplReqs!$AO44</f>
        <v>767.99999999991132</v>
      </c>
      <c r="CK52" s="286">
        <f>AnnualDeplReqs!$AY44</f>
        <v>1373.9999999998422</v>
      </c>
      <c r="CL52" s="286">
        <f>AnnualAggregations!$N44</f>
        <v>26024.99999999698</v>
      </c>
      <c r="CM52" s="286">
        <f>AnnualAggregations!$O44</f>
        <v>9714.9999999988777</v>
      </c>
      <c r="CN52" s="286">
        <f>AnnualAggregations!$P44</f>
        <v>10458.999999998803</v>
      </c>
      <c r="CO52" s="286">
        <f>AnnualDeplReqs!$AL44</f>
        <v>8954.9999999989705</v>
      </c>
      <c r="CP52" s="286">
        <f>AnnualDeplReqs!$AG44</f>
        <v>8950.9999999989632</v>
      </c>
      <c r="CQ52" s="286">
        <f>AnnualDeplReqs!$AN44</f>
        <v>2921.9999999996639</v>
      </c>
      <c r="CR52" s="287">
        <f t="shared" si="72"/>
        <v>68400.999999992098</v>
      </c>
      <c r="CS52" s="287">
        <f t="shared" si="73"/>
        <v>273032.78420224256</v>
      </c>
      <c r="CT52" s="286">
        <f>AnnualDeplReqs!$AP44</f>
        <v>340.98999999997505</v>
      </c>
      <c r="CU52" s="442" t="s">
        <v>597</v>
      </c>
      <c r="CV52" s="286">
        <f>AnnualDeplReqs!$AJ44</f>
        <v>38999.999998983854</v>
      </c>
      <c r="CW52" s="286">
        <f>AnnualDeplReqs!$BC44</f>
        <v>16199.99999897049</v>
      </c>
      <c r="CX52" s="286">
        <f>AnnualDeplReqs!$J44</f>
        <v>2499.9900000012672</v>
      </c>
      <c r="CY52" s="286">
        <f>AnnualAggregations!$Q44</f>
        <v>11624.990000001573</v>
      </c>
      <c r="CZ52" s="287">
        <f t="shared" si="74"/>
        <v>69665.96999795716</v>
      </c>
      <c r="DA52" s="443">
        <f t="shared" si="75"/>
        <v>94013.577515141253</v>
      </c>
      <c r="DB52" s="287">
        <f t="shared" si="76"/>
        <v>367046.36171738384</v>
      </c>
      <c r="DD52" s="440" t="s">
        <v>628</v>
      </c>
      <c r="DE52" s="440" t="s">
        <v>628</v>
      </c>
      <c r="DF52" s="440" t="s">
        <v>628</v>
      </c>
      <c r="DG52" s="440" t="s">
        <v>628</v>
      </c>
      <c r="DH52" s="440" t="s">
        <v>628</v>
      </c>
      <c r="DI52" s="440" t="s">
        <v>628</v>
      </c>
      <c r="DJ52" s="440" t="s">
        <v>628</v>
      </c>
      <c r="DK52" s="440" t="s">
        <v>628</v>
      </c>
      <c r="DL52" s="440" t="s">
        <v>628</v>
      </c>
      <c r="DM52" s="440" t="s">
        <v>628</v>
      </c>
      <c r="DN52" s="440" t="s">
        <v>628</v>
      </c>
      <c r="DO52" s="440" t="s">
        <v>628</v>
      </c>
      <c r="DP52" s="440" t="s">
        <v>628</v>
      </c>
      <c r="DR52" s="440" t="s">
        <v>628</v>
      </c>
      <c r="DT52" s="286">
        <f>AnnualAggregations!$L44</f>
        <v>35893.000000000073</v>
      </c>
      <c r="DU52" s="443">
        <f>AnnualAggregations!$J44</f>
        <v>57166.863965641372</v>
      </c>
      <c r="DV52" s="442" t="s">
        <v>597</v>
      </c>
      <c r="DW52" s="286">
        <f>AnnualAggregations!$M44</f>
        <v>5000.0000000019172</v>
      </c>
      <c r="DX52" s="442" t="s">
        <v>597</v>
      </c>
      <c r="DY52" s="440" t="s">
        <v>628</v>
      </c>
      <c r="DZ52" s="440" t="s">
        <v>628</v>
      </c>
      <c r="EA52" s="440" t="s">
        <v>628</v>
      </c>
      <c r="EB52" s="440" t="s">
        <v>628</v>
      </c>
      <c r="EC52" s="286">
        <f>AnnualDeplReqs!$BG44</f>
        <v>12296.800000006155</v>
      </c>
      <c r="EE52" s="440" t="s">
        <v>628</v>
      </c>
      <c r="EF52" s="440" t="s">
        <v>628</v>
      </c>
      <c r="EG52" s="440" t="s">
        <v>628</v>
      </c>
      <c r="EH52" s="442" t="s">
        <v>597</v>
      </c>
      <c r="EL52" s="282">
        <v>1965</v>
      </c>
      <c r="EM52" s="286">
        <f>AnnualAggregations!S44</f>
        <v>242089.3793973822</v>
      </c>
      <c r="EN52" s="442" t="s">
        <v>597</v>
      </c>
      <c r="EO52" s="286">
        <f>AnnualDiversions!$AM44</f>
        <v>24160.880683189986</v>
      </c>
      <c r="EP52" s="286">
        <f>AnnualDiversions!$AK44</f>
        <v>15864.24644642272</v>
      </c>
      <c r="EQ52" s="286">
        <f>AnnualDiversions!$L44</f>
        <v>1800</v>
      </c>
      <c r="ER52" s="287">
        <f t="shared" si="77"/>
        <v>283914.50652699493</v>
      </c>
      <c r="ES52" s="286">
        <f>AnnualDiversions!$AO44</f>
        <v>1535.9999999998226</v>
      </c>
      <c r="ET52" s="286">
        <f>AnnualDiversions!$AY44</f>
        <v>2486.87782805401</v>
      </c>
      <c r="EU52" s="286">
        <f>AnnualAggregations!$V44</f>
        <v>43727.941594720629</v>
      </c>
      <c r="EV52" s="286">
        <f>AnnualAggregations!$W44</f>
        <v>13680.861954283977</v>
      </c>
      <c r="EW52" s="286">
        <f>AnnualAggregations!$X44</f>
        <v>16032.19348561653</v>
      </c>
      <c r="EX52" s="286">
        <f>AnnualDiversions!$AL44</f>
        <v>10622.775800710528</v>
      </c>
      <c r="EY52" s="286">
        <f>AnnualDiversions!$AG44</f>
        <v>16963.896522313993</v>
      </c>
      <c r="EZ52" s="286">
        <f>AnnualDiversions!$AN44</f>
        <v>5494.0302716925107</v>
      </c>
      <c r="FA52" s="287">
        <f t="shared" si="78"/>
        <v>109008.57745739218</v>
      </c>
      <c r="FB52" s="287">
        <f t="shared" si="79"/>
        <v>394459.08398438693</v>
      </c>
      <c r="FC52" s="286">
        <f>AnnualDiversions!$AP44</f>
        <v>378.87777777775057</v>
      </c>
      <c r="FD52" s="442" t="s">
        <v>597</v>
      </c>
      <c r="FE52" s="286">
        <f>AnnualDiversions!$AJ44</f>
        <v>38999.999998983854</v>
      </c>
      <c r="FF52" s="286">
        <f>AnnualDiversions!$BC44</f>
        <v>16199.99999897049</v>
      </c>
      <c r="FG52" s="286">
        <f>AnnualDiversions!$J44</f>
        <v>4166.6500000021233</v>
      </c>
      <c r="FH52" s="286">
        <f>AnnualAggregations!$Y44</f>
        <v>19374.983333335964</v>
      </c>
      <c r="FI52" s="287">
        <f t="shared" si="80"/>
        <v>79120.511109070183</v>
      </c>
      <c r="FJ52" s="287">
        <f t="shared" si="81"/>
        <v>79120.511109070183</v>
      </c>
      <c r="FK52" s="287">
        <f t="shared" si="82"/>
        <v>473579.59509345714</v>
      </c>
      <c r="FM52" s="440" t="s">
        <v>628</v>
      </c>
      <c r="FN52" s="440" t="s">
        <v>628</v>
      </c>
      <c r="FO52" s="440" t="s">
        <v>628</v>
      </c>
      <c r="FP52" s="440" t="s">
        <v>628</v>
      </c>
      <c r="FQ52" s="440" t="s">
        <v>628</v>
      </c>
      <c r="FR52" s="440" t="s">
        <v>628</v>
      </c>
      <c r="FS52" s="440" t="s">
        <v>628</v>
      </c>
      <c r="FT52" s="440" t="s">
        <v>628</v>
      </c>
      <c r="FU52" s="440" t="s">
        <v>628</v>
      </c>
      <c r="FV52" s="440" t="s">
        <v>628</v>
      </c>
      <c r="FW52" s="440" t="s">
        <v>628</v>
      </c>
      <c r="FX52" s="440" t="s">
        <v>628</v>
      </c>
      <c r="FY52" s="440" t="s">
        <v>628</v>
      </c>
      <c r="GA52" s="440" t="s">
        <v>628</v>
      </c>
      <c r="GC52" s="286">
        <f>AnnualAggregations!$T44</f>
        <v>37764.238566617612</v>
      </c>
      <c r="GD52" s="286">
        <f>AnnualAggregations!$R44</f>
        <v>109067.13000005133</v>
      </c>
      <c r="GE52" s="443">
        <f t="shared" si="83"/>
        <v>161739.50843939895</v>
      </c>
      <c r="GF52" s="286">
        <f>AnnualAggregations!$U44</f>
        <v>5000.0000000019172</v>
      </c>
      <c r="GG52" s="287">
        <f t="shared" si="84"/>
        <v>313570.87700606982</v>
      </c>
      <c r="GH52" s="440" t="s">
        <v>628</v>
      </c>
      <c r="GI52" s="440" t="s">
        <v>628</v>
      </c>
      <c r="GJ52" s="440" t="s">
        <v>628</v>
      </c>
      <c r="GK52" s="440" t="s">
        <v>628</v>
      </c>
      <c r="GL52" s="286">
        <f>AnnualDiversions!$BG44</f>
        <v>12296.800000006155</v>
      </c>
      <c r="GN52" s="440" t="s">
        <v>628</v>
      </c>
      <c r="GO52" s="440" t="s">
        <v>628</v>
      </c>
      <c r="GP52" s="440" t="s">
        <v>628</v>
      </c>
      <c r="GQ52" s="442" t="s">
        <v>597</v>
      </c>
      <c r="GU52" s="282">
        <v>1965</v>
      </c>
      <c r="GV52" s="286">
        <f>AnnualAggregations!AA44</f>
        <v>242089.3793973822</v>
      </c>
      <c r="GW52" s="442" t="s">
        <v>597</v>
      </c>
      <c r="GX52" s="286">
        <f>AnnualDivReqs!$AM44</f>
        <v>24160.880683189986</v>
      </c>
      <c r="GY52" s="286">
        <f>AnnualDivReqs!$AK44</f>
        <v>15864.24644642272</v>
      </c>
      <c r="GZ52" s="286">
        <f>AnnualDivReqs!$L44</f>
        <v>1800</v>
      </c>
      <c r="HA52" s="287">
        <f t="shared" si="85"/>
        <v>283914.50652699493</v>
      </c>
      <c r="HB52" s="286">
        <f>AnnualDivReqs!$AO44</f>
        <v>1535.9999999998226</v>
      </c>
      <c r="HC52" s="286">
        <f>AnnualDivReqs!$AY44</f>
        <v>2486.87782805401</v>
      </c>
      <c r="HD52" s="286">
        <f>AnnualAggregations!$AD44</f>
        <v>43727.941594720629</v>
      </c>
      <c r="HE52" s="286">
        <f>AnnualAggregations!$AE44</f>
        <v>17401.472651443131</v>
      </c>
      <c r="HF52" s="286">
        <f>AnnualAggregations!$AF44</f>
        <v>16032.19348561653</v>
      </c>
      <c r="HG52" s="286">
        <f>AnnualDivReqs!$AL44</f>
        <v>10622.775800710528</v>
      </c>
      <c r="HH52" s="286">
        <f>AnnualDivReqs!$AG44</f>
        <v>16963.896522313993</v>
      </c>
      <c r="HI52" s="286">
        <f>AnnualDivReqs!$AN44</f>
        <v>5494.0302716925107</v>
      </c>
      <c r="HJ52" s="287">
        <f t="shared" si="86"/>
        <v>112729.18815455133</v>
      </c>
      <c r="HK52" s="287">
        <f t="shared" si="87"/>
        <v>398179.69468154607</v>
      </c>
      <c r="HL52" s="286">
        <f>AnnualDivReqs!$AP44</f>
        <v>378.87777777775057</v>
      </c>
      <c r="HM52" s="442" t="s">
        <v>597</v>
      </c>
      <c r="HN52" s="286">
        <f>AnnualDivReqs!$AJ44</f>
        <v>38999.999998983854</v>
      </c>
      <c r="HO52" s="286">
        <f>AnnualDivReqs!$BC44</f>
        <v>16199.99999897049</v>
      </c>
      <c r="HP52" s="286">
        <f>AnnualDivReqs!$J44</f>
        <v>4166.6500000021233</v>
      </c>
      <c r="HQ52" s="286">
        <f>AnnualAggregations!$AG44</f>
        <v>19374.983333335964</v>
      </c>
      <c r="HR52" s="287">
        <f t="shared" si="88"/>
        <v>79120.511109070183</v>
      </c>
      <c r="HS52" s="287">
        <f t="shared" si="89"/>
        <v>79120.511109070183</v>
      </c>
      <c r="HT52" s="287">
        <f t="shared" si="90"/>
        <v>477300.20579061622</v>
      </c>
      <c r="HV52" s="440" t="s">
        <v>628</v>
      </c>
      <c r="HW52" s="440" t="s">
        <v>628</v>
      </c>
      <c r="HX52" s="440" t="s">
        <v>628</v>
      </c>
      <c r="HY52" s="440" t="s">
        <v>628</v>
      </c>
      <c r="HZ52" s="440" t="s">
        <v>628</v>
      </c>
      <c r="IA52" s="440" t="s">
        <v>628</v>
      </c>
      <c r="IB52" s="440" t="s">
        <v>628</v>
      </c>
      <c r="IC52" s="440" t="s">
        <v>628</v>
      </c>
      <c r="ID52" s="440" t="s">
        <v>628</v>
      </c>
      <c r="IE52" s="440" t="s">
        <v>628</v>
      </c>
      <c r="IF52" s="440" t="s">
        <v>628</v>
      </c>
      <c r="IG52" s="440" t="s">
        <v>628</v>
      </c>
      <c r="IH52" s="440" t="s">
        <v>628</v>
      </c>
      <c r="IJ52" s="440" t="s">
        <v>628</v>
      </c>
      <c r="IL52" s="286">
        <f>AnnualAggregations!$AB44</f>
        <v>37764.238566617634</v>
      </c>
      <c r="IM52" s="286">
        <f>AnnualAggregations!$Z44</f>
        <v>109067.13000005133</v>
      </c>
      <c r="IN52" s="442" t="s">
        <v>597</v>
      </c>
      <c r="IO52" s="286">
        <f>AnnualAggregations!$AC44</f>
        <v>5000.0000000019172</v>
      </c>
      <c r="IP52" s="442" t="s">
        <v>597</v>
      </c>
      <c r="IQ52" s="440" t="s">
        <v>628</v>
      </c>
      <c r="IR52" s="440" t="s">
        <v>628</v>
      </c>
      <c r="IS52" s="440" t="s">
        <v>628</v>
      </c>
      <c r="IT52" s="440" t="s">
        <v>628</v>
      </c>
      <c r="IU52" s="286">
        <f>AnnualDivReqs!$BG44</f>
        <v>12296.800000006155</v>
      </c>
      <c r="IW52" s="440" t="s">
        <v>628</v>
      </c>
      <c r="IX52" s="440" t="s">
        <v>628</v>
      </c>
      <c r="IY52" s="440" t="s">
        <v>628</v>
      </c>
      <c r="IZ52" s="442" t="s">
        <v>597</v>
      </c>
    </row>
    <row r="53" spans="1:260" ht="15.75" thickBot="1" x14ac:dyDescent="0.3">
      <c r="A53" s="480" t="str">
        <f>ADDRESS(ROW(SJRIPSummary!E45),COLUMN(SJRIPSummary!E45),4,1)</f>
        <v>E45</v>
      </c>
      <c r="B53" s="480" t="str">
        <f t="shared" si="57"/>
        <v>45</v>
      </c>
      <c r="C53" t="s">
        <v>613</v>
      </c>
      <c r="D53" s="404">
        <v>38</v>
      </c>
      <c r="E53" s="404">
        <v>99</v>
      </c>
      <c r="F53" s="404">
        <v>160</v>
      </c>
      <c r="G53" s="404">
        <v>221</v>
      </c>
      <c r="H53" s="395"/>
      <c r="I53" s="559"/>
      <c r="J53" s="573" t="s">
        <v>114</v>
      </c>
      <c r="K53" s="574"/>
      <c r="L53" s="575"/>
      <c r="M53" s="199">
        <f ca="1">SUM(M47:M52)</f>
        <v>103700</v>
      </c>
      <c r="N53" s="162"/>
      <c r="O53" s="200"/>
      <c r="P53" s="201"/>
      <c r="Q53" s="395"/>
      <c r="R53" s="21"/>
      <c r="S53" s="21"/>
      <c r="T53" s="282">
        <v>1966</v>
      </c>
      <c r="U53" s="286">
        <f>AnnualAggregations!$C45</f>
        <v>272933.12286697497</v>
      </c>
      <c r="V53" s="286">
        <f>AnnualDepletions!$BI45</f>
        <v>5074.6045541581334</v>
      </c>
      <c r="W53" s="286">
        <f>AnnualDepletions!$AM45</f>
        <v>12099.999999999998</v>
      </c>
      <c r="X53" s="286">
        <f>AnnualDepletions!$AK45</f>
        <v>7969.9999999999927</v>
      </c>
      <c r="Y53" s="286">
        <f>AnnualDepletions!$L45</f>
        <v>900.00000000000034</v>
      </c>
      <c r="Z53" s="287">
        <f t="shared" si="58"/>
        <v>298977.72742113308</v>
      </c>
      <c r="AA53" s="286">
        <f>AnnualDepletions!$AO45</f>
        <v>1105.9999999998727</v>
      </c>
      <c r="AB53" s="286">
        <f>AnnualDepletions!$AY45</f>
        <v>1802.9999999997924</v>
      </c>
      <c r="AC53" s="286">
        <f>AnnualAggregations!$F45</f>
        <v>37070.849116106343</v>
      </c>
      <c r="AD53" s="286">
        <f>AnnualAggregations!$G45</f>
        <v>3287.3930950664658</v>
      </c>
      <c r="AE53" s="286">
        <f>AnnualAggregations!$H45</f>
        <v>13654.999999998419</v>
      </c>
      <c r="AF53" s="286">
        <f>AnnualDepletions!$AL45</f>
        <v>11432.999999998685</v>
      </c>
      <c r="AG53" s="286">
        <f>AnnualDepletions!$AG45</f>
        <v>11233.999999998718</v>
      </c>
      <c r="AH53" s="286">
        <f>AnnualDepletions!$AN45</f>
        <v>3601.9999999995866</v>
      </c>
      <c r="AI53" s="287">
        <f t="shared" si="59"/>
        <v>82085.242211168021</v>
      </c>
      <c r="AJ53" s="287">
        <f t="shared" si="60"/>
        <v>382168.96963230101</v>
      </c>
      <c r="AK53" s="286">
        <f>AnnualDepletions!$AP45</f>
        <v>340.98999999997505</v>
      </c>
      <c r="AL53" s="286">
        <f>AnnualDepletions!$BH45</f>
        <v>30080.49319905684</v>
      </c>
      <c r="AM53" s="286">
        <f>AnnualDepletions!$AJ45</f>
        <v>38999.999998983854</v>
      </c>
      <c r="AN53" s="286">
        <f>AnnualDepletions!$BC45</f>
        <v>16199.99999897049</v>
      </c>
      <c r="AO53" s="286">
        <f>AnnualDepletions!$J45</f>
        <v>2499.9900000012672</v>
      </c>
      <c r="AP53" s="286">
        <f>AnnualAggregations!$I45</f>
        <v>11624.990000001573</v>
      </c>
      <c r="AQ53" s="287">
        <f t="shared" si="61"/>
        <v>69665.96999795716</v>
      </c>
      <c r="AR53" s="287">
        <f t="shared" si="62"/>
        <v>99746.463197014018</v>
      </c>
      <c r="AS53" s="287">
        <f t="shared" si="63"/>
        <v>481915.43282931502</v>
      </c>
      <c r="AU53" s="321">
        <f ca="1">StateModDepletions_ThisScenario!AC43</f>
        <v>38594.153846025467</v>
      </c>
      <c r="AV53" s="321">
        <f ca="1">StateModDepletions_ThisScenario!AD43</f>
        <v>19399.343778908253</v>
      </c>
      <c r="AW53" s="321">
        <f ca="1">StateModDepletions_ThisScenario!AE43</f>
        <v>116202.62594060972</v>
      </c>
      <c r="AX53" s="321">
        <f ca="1">StateModDepletions_ThisScenario!AB43</f>
        <v>24765.810481309891</v>
      </c>
      <c r="AY53" s="288">
        <f t="shared" ca="1" si="64"/>
        <v>198961.93404685333</v>
      </c>
      <c r="AZ53" s="321">
        <f ca="1">StateModDepletions_ThisScenario!AG43</f>
        <v>42822.33393305682</v>
      </c>
      <c r="BA53" s="321">
        <f ca="1">StateModDepletions_ThisScenario!AF43</f>
        <v>19067.633312553164</v>
      </c>
      <c r="BB53" s="321">
        <f ca="1">StateModDepletions_ThisScenario!AH43</f>
        <v>15321.155214283615</v>
      </c>
      <c r="BC53" s="321">
        <f ca="1">StateModDepletions_ThisScenario!AI43</f>
        <v>17393.914221868741</v>
      </c>
      <c r="BD53" s="321">
        <f ca="1">StateModDepletions_ThisScenario!N43</f>
        <v>1326.6977829933167</v>
      </c>
      <c r="BE53" s="321">
        <f ca="1">StateModDepletions_ThisScenario!V43</f>
        <v>10810.212825775146</v>
      </c>
      <c r="BF53" s="288">
        <f t="shared" ca="1" si="65"/>
        <v>106741.94729053081</v>
      </c>
      <c r="BG53" s="288">
        <f t="shared" ca="1" si="66"/>
        <v>305703.88133738411</v>
      </c>
      <c r="BI53" s="288">
        <f t="shared" ca="1" si="67"/>
        <v>787619.31416669907</v>
      </c>
      <c r="BK53" s="286">
        <f>AnnualAggregations!$D45</f>
        <v>35893.000000000036</v>
      </c>
      <c r="BL53" s="286">
        <f>AnnualAggregations!$B45</f>
        <v>57145.205860185764</v>
      </c>
      <c r="BM53" s="286">
        <f>AnnualDepletions!$BK45</f>
        <v>98716.254166315819</v>
      </c>
      <c r="BN53" s="286">
        <f>AnnualAggregations!$E45</f>
        <v>5000.0000000019172</v>
      </c>
      <c r="BO53" s="287">
        <f t="shared" si="68"/>
        <v>196754.46002650354</v>
      </c>
      <c r="BP53" s="321">
        <f ca="1">StateModDepletions_ThisScenario!Y43</f>
        <v>212.11356273293495</v>
      </c>
      <c r="BQ53" s="321">
        <f ca="1">StateModDepletions_ThisScenario!AJ43</f>
        <v>156102.03179852132</v>
      </c>
      <c r="BR53" s="321">
        <f ca="1">StateModDepletions_ThisScenario!Z43</f>
        <v>192137.37558543682</v>
      </c>
      <c r="BS53" s="321">
        <f ca="1">StateModDepletions_ThisScenario!AA43</f>
        <v>35823.23022418256</v>
      </c>
      <c r="BT53" s="286">
        <f>AnnualDepletions!$BG45</f>
        <v>12296.800000006155</v>
      </c>
      <c r="BV53" s="287">
        <f t="shared" ca="1" si="69"/>
        <v>996670.57419320871</v>
      </c>
      <c r="BW53" s="287">
        <f t="shared" ca="1" si="70"/>
        <v>960847.34396902611</v>
      </c>
      <c r="BX53" s="287">
        <f t="shared" ca="1" si="91"/>
        <v>975722.34396902611</v>
      </c>
      <c r="BY53" s="287">
        <f>SJRIPSummaryRAW!$B$79</f>
        <v>14875</v>
      </c>
      <c r="CC53" s="282">
        <v>1966</v>
      </c>
      <c r="CD53" s="286">
        <f>AnnualAggregations!K45</f>
        <v>272933.12286697497</v>
      </c>
      <c r="CE53" s="442" t="s">
        <v>597</v>
      </c>
      <c r="CF53" s="286">
        <f>AnnualDeplReqs!$AM45</f>
        <v>12099.999999999998</v>
      </c>
      <c r="CG53" s="286">
        <f>AnnualDeplReqs!$AK45</f>
        <v>7969.9999999999927</v>
      </c>
      <c r="CH53" s="286">
        <f>AnnualDeplReqs!$L45</f>
        <v>900.00000000000034</v>
      </c>
      <c r="CI53" s="443">
        <f t="shared" si="71"/>
        <v>298977.72742113308</v>
      </c>
      <c r="CJ53" s="286">
        <f>AnnualDeplReqs!$AO45</f>
        <v>1105.9999999998727</v>
      </c>
      <c r="CK53" s="286">
        <f>AnnualDeplReqs!$AY45</f>
        <v>1802.9999999997924</v>
      </c>
      <c r="CL53" s="286">
        <f>AnnualAggregations!$N45</f>
        <v>37070.849116106343</v>
      </c>
      <c r="CM53" s="286">
        <f>AnnualAggregations!$O45</f>
        <v>13713.999999998425</v>
      </c>
      <c r="CN53" s="286">
        <f>AnnualAggregations!$P45</f>
        <v>13654.999999998419</v>
      </c>
      <c r="CO53" s="286">
        <f>AnnualDeplReqs!$AL45</f>
        <v>11432.999999998685</v>
      </c>
      <c r="CP53" s="286">
        <f>AnnualDeplReqs!$AG45</f>
        <v>11233.999999998718</v>
      </c>
      <c r="CQ53" s="286">
        <f>AnnualDeplReqs!$AN45</f>
        <v>3601.9999999995866</v>
      </c>
      <c r="CR53" s="287">
        <f t="shared" si="72"/>
        <v>92511.849116099969</v>
      </c>
      <c r="CS53" s="287">
        <f t="shared" si="73"/>
        <v>392595.57653723296</v>
      </c>
      <c r="CT53" s="286">
        <f>AnnualDeplReqs!$AP45</f>
        <v>340.98999999997505</v>
      </c>
      <c r="CU53" s="442" t="s">
        <v>597</v>
      </c>
      <c r="CV53" s="286">
        <f>AnnualDeplReqs!$AJ45</f>
        <v>38999.999998983854</v>
      </c>
      <c r="CW53" s="286">
        <f>AnnualDeplReqs!$BC45</f>
        <v>16199.99999897049</v>
      </c>
      <c r="CX53" s="286">
        <f>AnnualDeplReqs!$J45</f>
        <v>2499.9900000012672</v>
      </c>
      <c r="CY53" s="286">
        <f>AnnualAggregations!$Q45</f>
        <v>11624.990000001573</v>
      </c>
      <c r="CZ53" s="287">
        <f t="shared" si="74"/>
        <v>69665.96999795716</v>
      </c>
      <c r="DA53" s="443">
        <f t="shared" si="75"/>
        <v>99746.463197014004</v>
      </c>
      <c r="DB53" s="287">
        <f t="shared" si="76"/>
        <v>492342.03973424697</v>
      </c>
      <c r="DD53" s="440" t="s">
        <v>628</v>
      </c>
      <c r="DE53" s="440" t="s">
        <v>628</v>
      </c>
      <c r="DF53" s="440" t="s">
        <v>628</v>
      </c>
      <c r="DG53" s="440" t="s">
        <v>628</v>
      </c>
      <c r="DH53" s="440" t="s">
        <v>628</v>
      </c>
      <c r="DI53" s="440" t="s">
        <v>628</v>
      </c>
      <c r="DJ53" s="440" t="s">
        <v>628</v>
      </c>
      <c r="DK53" s="440" t="s">
        <v>628</v>
      </c>
      <c r="DL53" s="440" t="s">
        <v>628</v>
      </c>
      <c r="DM53" s="440" t="s">
        <v>628</v>
      </c>
      <c r="DN53" s="440" t="s">
        <v>628</v>
      </c>
      <c r="DO53" s="440" t="s">
        <v>628</v>
      </c>
      <c r="DP53" s="440" t="s">
        <v>628</v>
      </c>
      <c r="DR53" s="440" t="s">
        <v>628</v>
      </c>
      <c r="DT53" s="286">
        <f>AnnualAggregations!$L45</f>
        <v>35893.000000000073</v>
      </c>
      <c r="DU53" s="443">
        <f>AnnualAggregations!$J45</f>
        <v>57185.471493931145</v>
      </c>
      <c r="DV53" s="442" t="s">
        <v>597</v>
      </c>
      <c r="DW53" s="286">
        <f>AnnualAggregations!$M45</f>
        <v>5000.0000000019172</v>
      </c>
      <c r="DX53" s="442" t="s">
        <v>597</v>
      </c>
      <c r="DY53" s="440" t="s">
        <v>628</v>
      </c>
      <c r="DZ53" s="440" t="s">
        <v>628</v>
      </c>
      <c r="EA53" s="440" t="s">
        <v>628</v>
      </c>
      <c r="EB53" s="440" t="s">
        <v>628</v>
      </c>
      <c r="EC53" s="286">
        <f>AnnualDeplReqs!$BG45</f>
        <v>12296.800000006155</v>
      </c>
      <c r="EE53" s="440" t="s">
        <v>628</v>
      </c>
      <c r="EF53" s="440" t="s">
        <v>628</v>
      </c>
      <c r="EG53" s="440" t="s">
        <v>628</v>
      </c>
      <c r="EH53" s="442" t="s">
        <v>597</v>
      </c>
      <c r="EL53" s="282">
        <v>1966</v>
      </c>
      <c r="EM53" s="286">
        <f>AnnualAggregations!S45</f>
        <v>341166.40358371742</v>
      </c>
      <c r="EN53" s="442" t="s">
        <v>597</v>
      </c>
      <c r="EO53" s="286">
        <f>AnnualDiversions!$AM45</f>
        <v>24160.880683190007</v>
      </c>
      <c r="EP53" s="286">
        <f>AnnualDiversions!$AK45</f>
        <v>15864.246446422723</v>
      </c>
      <c r="EQ53" s="286">
        <f>AnnualDiversions!$L45</f>
        <v>1800.0000000000007</v>
      </c>
      <c r="ER53" s="287">
        <f t="shared" si="77"/>
        <v>382991.53071333014</v>
      </c>
      <c r="ES53" s="286">
        <f>AnnualDiversions!$AO45</f>
        <v>2211.9999999997453</v>
      </c>
      <c r="ET53" s="286">
        <f>AnnualDiversions!$AY45</f>
        <v>3263.3484162892187</v>
      </c>
      <c r="EU53" s="286">
        <f>AnnualAggregations!$V45</f>
        <v>62235.325660176604</v>
      </c>
      <c r="EV53" s="286">
        <f>AnnualAggregations!$W45</f>
        <v>5641.8369194182478</v>
      </c>
      <c r="EW53" s="286">
        <f>AnnualAggregations!$X45</f>
        <v>20929.187609047556</v>
      </c>
      <c r="EX53" s="286">
        <f>AnnualDiversions!$AL45</f>
        <v>13562.277580069611</v>
      </c>
      <c r="EY53" s="286">
        <f>AnnualDiversions!$AG45</f>
        <v>21290.628257365119</v>
      </c>
      <c r="EZ53" s="286">
        <f>AnnualDiversions!$AN45</f>
        <v>6772.586255522393</v>
      </c>
      <c r="FA53" s="287">
        <f t="shared" si="78"/>
        <v>133695.19069788876</v>
      </c>
      <c r="FB53" s="287">
        <f t="shared" si="79"/>
        <v>518898.72141121863</v>
      </c>
      <c r="FC53" s="286">
        <f>AnnualDiversions!$AP45</f>
        <v>378.87777777775057</v>
      </c>
      <c r="FD53" s="442" t="s">
        <v>597</v>
      </c>
      <c r="FE53" s="286">
        <f>AnnualDiversions!$AJ45</f>
        <v>38999.999998983854</v>
      </c>
      <c r="FF53" s="286">
        <f>AnnualDiversions!$BC45</f>
        <v>16199.99999897049</v>
      </c>
      <c r="FG53" s="286">
        <f>AnnualDiversions!$J45</f>
        <v>4166.6500000021233</v>
      </c>
      <c r="FH53" s="286">
        <f>AnnualAggregations!$Y45</f>
        <v>19374.983333335964</v>
      </c>
      <c r="FI53" s="287">
        <f t="shared" si="80"/>
        <v>79120.511109070183</v>
      </c>
      <c r="FJ53" s="287">
        <f t="shared" si="81"/>
        <v>79120.511109070183</v>
      </c>
      <c r="FK53" s="287">
        <f t="shared" si="82"/>
        <v>598019.23252028879</v>
      </c>
      <c r="FM53" s="440" t="s">
        <v>628</v>
      </c>
      <c r="FN53" s="440" t="s">
        <v>628</v>
      </c>
      <c r="FO53" s="440" t="s">
        <v>628</v>
      </c>
      <c r="FP53" s="440" t="s">
        <v>628</v>
      </c>
      <c r="FQ53" s="440" t="s">
        <v>628</v>
      </c>
      <c r="FR53" s="440" t="s">
        <v>628</v>
      </c>
      <c r="FS53" s="440" t="s">
        <v>628</v>
      </c>
      <c r="FT53" s="440" t="s">
        <v>628</v>
      </c>
      <c r="FU53" s="440" t="s">
        <v>628</v>
      </c>
      <c r="FV53" s="440" t="s">
        <v>628</v>
      </c>
      <c r="FW53" s="440" t="s">
        <v>628</v>
      </c>
      <c r="FX53" s="440" t="s">
        <v>628</v>
      </c>
      <c r="FY53" s="440" t="s">
        <v>628</v>
      </c>
      <c r="GA53" s="440" t="s">
        <v>628</v>
      </c>
      <c r="GC53" s="286">
        <f>AnnualAggregations!$T45</f>
        <v>37764.238566617598</v>
      </c>
      <c r="GD53" s="286">
        <f>AnnualAggregations!$R45</f>
        <v>109067.13000005134</v>
      </c>
      <c r="GE53" s="443">
        <f t="shared" si="83"/>
        <v>98716.254166315819</v>
      </c>
      <c r="GF53" s="286">
        <f>AnnualAggregations!$U45</f>
        <v>5000.0000000019172</v>
      </c>
      <c r="GG53" s="287">
        <f t="shared" si="84"/>
        <v>250547.6227329867</v>
      </c>
      <c r="GH53" s="440" t="s">
        <v>628</v>
      </c>
      <c r="GI53" s="440" t="s">
        <v>628</v>
      </c>
      <c r="GJ53" s="440" t="s">
        <v>628</v>
      </c>
      <c r="GK53" s="440" t="s">
        <v>628</v>
      </c>
      <c r="GL53" s="286">
        <f>AnnualDiversions!$BG45</f>
        <v>12296.800000006155</v>
      </c>
      <c r="GN53" s="440" t="s">
        <v>628</v>
      </c>
      <c r="GO53" s="440" t="s">
        <v>628</v>
      </c>
      <c r="GP53" s="440" t="s">
        <v>628</v>
      </c>
      <c r="GQ53" s="442" t="s">
        <v>597</v>
      </c>
      <c r="GU53" s="282">
        <v>1966</v>
      </c>
      <c r="GV53" s="286">
        <f>AnnualAggregations!AA45</f>
        <v>341166.40358371742</v>
      </c>
      <c r="GW53" s="442" t="s">
        <v>597</v>
      </c>
      <c r="GX53" s="286">
        <f>AnnualDivReqs!$AM45</f>
        <v>24160.880683190007</v>
      </c>
      <c r="GY53" s="286">
        <f>AnnualDivReqs!$AK45</f>
        <v>15864.246446422723</v>
      </c>
      <c r="GZ53" s="286">
        <f>AnnualDivReqs!$L45</f>
        <v>1800.0000000000007</v>
      </c>
      <c r="HA53" s="287">
        <f t="shared" si="85"/>
        <v>382991.53071333014</v>
      </c>
      <c r="HB53" s="286">
        <f>AnnualDivReqs!$AO45</f>
        <v>2211.9999999997453</v>
      </c>
      <c r="HC53" s="286">
        <f>AnnualDivReqs!$AY45</f>
        <v>3263.3484162892187</v>
      </c>
      <c r="HD53" s="286">
        <f>AnnualAggregations!$AD45</f>
        <v>62235.325660176604</v>
      </c>
      <c r="HE53" s="286">
        <f>AnnualAggregations!$AE45</f>
        <v>24563.774451959202</v>
      </c>
      <c r="HF53" s="286">
        <f>AnnualAggregations!$AF45</f>
        <v>20929.187609047556</v>
      </c>
      <c r="HG53" s="286">
        <f>AnnualDivReqs!$AL45</f>
        <v>13562.277580069611</v>
      </c>
      <c r="HH53" s="286">
        <f>AnnualDivReqs!$AG45</f>
        <v>21290.628257365119</v>
      </c>
      <c r="HI53" s="286">
        <f>AnnualDivReqs!$AN45</f>
        <v>6772.586255522393</v>
      </c>
      <c r="HJ53" s="287">
        <f t="shared" si="86"/>
        <v>152617.12823042969</v>
      </c>
      <c r="HK53" s="287">
        <f t="shared" si="87"/>
        <v>537820.65894375963</v>
      </c>
      <c r="HL53" s="286">
        <f>AnnualDivReqs!$AP45</f>
        <v>378.87777777775057</v>
      </c>
      <c r="HM53" s="442" t="s">
        <v>597</v>
      </c>
      <c r="HN53" s="286">
        <f>AnnualDivReqs!$AJ45</f>
        <v>38999.999998983854</v>
      </c>
      <c r="HO53" s="286">
        <f>AnnualDivReqs!$BC45</f>
        <v>16199.99999897049</v>
      </c>
      <c r="HP53" s="286">
        <f>AnnualDivReqs!$J45</f>
        <v>4166.6500000021233</v>
      </c>
      <c r="HQ53" s="286">
        <f>AnnualAggregations!$AG45</f>
        <v>19374.983333335964</v>
      </c>
      <c r="HR53" s="287">
        <f t="shared" si="88"/>
        <v>79120.511109070183</v>
      </c>
      <c r="HS53" s="287">
        <f t="shared" si="89"/>
        <v>79120.511109070183</v>
      </c>
      <c r="HT53" s="287">
        <f t="shared" si="90"/>
        <v>616941.17005282978</v>
      </c>
      <c r="HV53" s="440" t="s">
        <v>628</v>
      </c>
      <c r="HW53" s="440" t="s">
        <v>628</v>
      </c>
      <c r="HX53" s="440" t="s">
        <v>628</v>
      </c>
      <c r="HY53" s="440" t="s">
        <v>628</v>
      </c>
      <c r="HZ53" s="440" t="s">
        <v>628</v>
      </c>
      <c r="IA53" s="440" t="s">
        <v>628</v>
      </c>
      <c r="IB53" s="440" t="s">
        <v>628</v>
      </c>
      <c r="IC53" s="440" t="s">
        <v>628</v>
      </c>
      <c r="ID53" s="440" t="s">
        <v>628</v>
      </c>
      <c r="IE53" s="440" t="s">
        <v>628</v>
      </c>
      <c r="IF53" s="440" t="s">
        <v>628</v>
      </c>
      <c r="IG53" s="440" t="s">
        <v>628</v>
      </c>
      <c r="IH53" s="440" t="s">
        <v>628</v>
      </c>
      <c r="IJ53" s="440" t="s">
        <v>628</v>
      </c>
      <c r="IL53" s="286">
        <f>AnnualAggregations!$AB45</f>
        <v>37764.238566617634</v>
      </c>
      <c r="IM53" s="286">
        <f>AnnualAggregations!$Z45</f>
        <v>109147.66126754211</v>
      </c>
      <c r="IN53" s="442" t="s">
        <v>597</v>
      </c>
      <c r="IO53" s="286">
        <f>AnnualAggregations!$AC45</f>
        <v>5000.0000000019172</v>
      </c>
      <c r="IP53" s="442" t="s">
        <v>597</v>
      </c>
      <c r="IQ53" s="440" t="s">
        <v>628</v>
      </c>
      <c r="IR53" s="440" t="s">
        <v>628</v>
      </c>
      <c r="IS53" s="440" t="s">
        <v>628</v>
      </c>
      <c r="IT53" s="440" t="s">
        <v>628</v>
      </c>
      <c r="IU53" s="286">
        <f>AnnualDivReqs!$BG45</f>
        <v>12296.800000006155</v>
      </c>
      <c r="IW53" s="440" t="s">
        <v>628</v>
      </c>
      <c r="IX53" s="440" t="s">
        <v>628</v>
      </c>
      <c r="IY53" s="440" t="s">
        <v>628</v>
      </c>
      <c r="IZ53" s="442" t="s">
        <v>597</v>
      </c>
    </row>
    <row r="54" spans="1:260" ht="15.75" thickBot="1" x14ac:dyDescent="0.3">
      <c r="A54" s="480" t="str">
        <f>ADDRESS(ROW(SJRIPSummary!E46),COLUMN(SJRIPSummary!E46),4,1)</f>
        <v>E46</v>
      </c>
      <c r="B54" s="480" t="str">
        <f t="shared" si="57"/>
        <v>46</v>
      </c>
      <c r="C54" t="s">
        <v>614</v>
      </c>
      <c r="D54" s="404">
        <v>39</v>
      </c>
      <c r="E54" s="404">
        <v>100</v>
      </c>
      <c r="F54" s="404">
        <v>161</v>
      </c>
      <c r="G54" s="404">
        <v>222</v>
      </c>
      <c r="H54" s="8"/>
      <c r="I54" s="554" t="s">
        <v>115</v>
      </c>
      <c r="J54" s="555"/>
      <c r="K54" s="555"/>
      <c r="L54" s="555"/>
      <c r="M54" s="202">
        <f ca="1">M46+M53</f>
        <v>283700</v>
      </c>
      <c r="N54" s="178"/>
      <c r="O54" s="168"/>
      <c r="P54" s="169"/>
      <c r="Q54" s="8"/>
      <c r="R54" s="21"/>
      <c r="S54" s="21"/>
      <c r="T54" s="282">
        <v>1967</v>
      </c>
      <c r="U54" s="286">
        <f>AnnualAggregations!$C46</f>
        <v>245755.76899619837</v>
      </c>
      <c r="V54" s="286">
        <f>AnnualDepletions!$BI46</f>
        <v>-360.86621999707017</v>
      </c>
      <c r="W54" s="286">
        <f>AnnualDepletions!$AM46</f>
        <v>12100.000000000007</v>
      </c>
      <c r="X54" s="286">
        <f>AnnualDepletions!$AK46</f>
        <v>7970</v>
      </c>
      <c r="Y54" s="286">
        <f>AnnualDepletions!$L46</f>
        <v>900</v>
      </c>
      <c r="Z54" s="287">
        <f t="shared" si="58"/>
        <v>266364.90277620131</v>
      </c>
      <c r="AA54" s="286">
        <f>AnnualDepletions!$AO46</f>
        <v>903.99999999989586</v>
      </c>
      <c r="AB54" s="286">
        <f>AnnualDepletions!$AY46</f>
        <v>1567.9999999998192</v>
      </c>
      <c r="AC54" s="286">
        <f>AnnualAggregations!$F46</f>
        <v>33107.590624105571</v>
      </c>
      <c r="AD54" s="286">
        <f>AnnualAggregations!$G46</f>
        <v>2711.2636025323086</v>
      </c>
      <c r="AE54" s="286">
        <f>AnnualAggregations!$H46</f>
        <v>12993.999999998503</v>
      </c>
      <c r="AF54" s="286">
        <f>AnnualDepletions!$AL46</f>
        <v>10930.999999998741</v>
      </c>
      <c r="AG54" s="286">
        <f>AnnualDepletions!$AG46</f>
        <v>8769.9999999989959</v>
      </c>
      <c r="AH54" s="286">
        <f>AnnualDepletions!$AN46</f>
        <v>3056.9999999996485</v>
      </c>
      <c r="AI54" s="287">
        <f t="shared" si="59"/>
        <v>73138.854226633586</v>
      </c>
      <c r="AJ54" s="287">
        <f t="shared" si="60"/>
        <v>340407.75700283481</v>
      </c>
      <c r="AK54" s="286">
        <f>AnnualDepletions!$AP46</f>
        <v>340.98999999997505</v>
      </c>
      <c r="AL54" s="286">
        <f>AnnualDepletions!$BH46</f>
        <v>27565.425154755609</v>
      </c>
      <c r="AM54" s="286">
        <f>AnnualDepletions!$AJ46</f>
        <v>38999.999998983854</v>
      </c>
      <c r="AN54" s="286">
        <f>AnnualDepletions!$BC46</f>
        <v>16199.99999897049</v>
      </c>
      <c r="AO54" s="286">
        <f>AnnualDepletions!$J46</f>
        <v>2499.9900000012672</v>
      </c>
      <c r="AP54" s="286">
        <f>AnnualAggregations!$I46</f>
        <v>11624.990000001573</v>
      </c>
      <c r="AQ54" s="287">
        <f t="shared" si="61"/>
        <v>69665.96999795716</v>
      </c>
      <c r="AR54" s="287">
        <f t="shared" si="62"/>
        <v>97231.395152712779</v>
      </c>
      <c r="AS54" s="287">
        <f t="shared" si="63"/>
        <v>437639.15215554758</v>
      </c>
      <c r="AU54" s="321">
        <f ca="1">StateModDepletions_ThisScenario!AC44</f>
        <v>32712.865495815873</v>
      </c>
      <c r="AV54" s="321">
        <f ca="1">StateModDepletions_ThisScenario!AD44</f>
        <v>16562.440522357821</v>
      </c>
      <c r="AW54" s="321">
        <f ca="1">StateModDepletions_ThisScenario!AE44</f>
        <v>104249.74848878384</v>
      </c>
      <c r="AX54" s="321">
        <f ca="1">StateModDepletions_ThisScenario!AB44</f>
        <v>24765.810481309891</v>
      </c>
      <c r="AY54" s="288">
        <f t="shared" ca="1" si="64"/>
        <v>178290.86498826742</v>
      </c>
      <c r="AZ54" s="321">
        <f ca="1">StateModDepletions_ThisScenario!AG44</f>
        <v>32708.238146013093</v>
      </c>
      <c r="BA54" s="321">
        <f ca="1">StateModDepletions_ThisScenario!AF44</f>
        <v>17514.357775285836</v>
      </c>
      <c r="BB54" s="321">
        <f ca="1">StateModDepletions_ThisScenario!AH44</f>
        <v>12816.032353237271</v>
      </c>
      <c r="BC54" s="321">
        <f ca="1">StateModDepletions_ThisScenario!AI44</f>
        <v>10871.693043733145</v>
      </c>
      <c r="BD54" s="321">
        <f ca="1">StateModDepletions_ThisScenario!N44</f>
        <v>1326.6977829933167</v>
      </c>
      <c r="BE54" s="321">
        <f ca="1">StateModDepletions_ThisScenario!V44</f>
        <v>9854.772985458374</v>
      </c>
      <c r="BF54" s="288">
        <f t="shared" ca="1" si="65"/>
        <v>85091.792086721034</v>
      </c>
      <c r="BG54" s="288">
        <f t="shared" ca="1" si="66"/>
        <v>263382.65707498847</v>
      </c>
      <c r="BI54" s="288">
        <f t="shared" ca="1" si="67"/>
        <v>701021.80923053599</v>
      </c>
      <c r="BK54" s="286">
        <f>AnnualAggregations!$D46</f>
        <v>35893.000000000044</v>
      </c>
      <c r="BL54" s="286">
        <f>AnnualAggregations!$B46</f>
        <v>57147.914910333267</v>
      </c>
      <c r="BM54" s="286">
        <f>AnnualDepletions!$BK46</f>
        <v>74654.232783468644</v>
      </c>
      <c r="BN54" s="286">
        <f>AnnualAggregations!$E46</f>
        <v>5000.0000000019172</v>
      </c>
      <c r="BO54" s="287">
        <f t="shared" si="68"/>
        <v>172695.14769380388</v>
      </c>
      <c r="BP54" s="321">
        <f ca="1">StateModDepletions_ThisScenario!Y44</f>
        <v>212.11356273293495</v>
      </c>
      <c r="BQ54" s="321">
        <f ca="1">StateModDepletions_ThisScenario!AJ44</f>
        <v>129748.49382491154</v>
      </c>
      <c r="BR54" s="321">
        <f ca="1">StateModDepletions_ThisScenario!Z44</f>
        <v>215328.78787088394</v>
      </c>
      <c r="BS54" s="321">
        <f ca="1">StateModDepletions_ThisScenario!AA44</f>
        <v>85368.18048323947</v>
      </c>
      <c r="BT54" s="286">
        <f>AnnualDepletions!$BG46</f>
        <v>12296.800000006155</v>
      </c>
      <c r="BV54" s="287">
        <f t="shared" ca="1" si="69"/>
        <v>886013.75692434609</v>
      </c>
      <c r="BW54" s="287">
        <f t="shared" ca="1" si="70"/>
        <v>800645.57644110662</v>
      </c>
      <c r="BX54" s="287">
        <f t="shared" ca="1" si="91"/>
        <v>815520.57644110662</v>
      </c>
      <c r="BY54" s="287">
        <f>SJRIPSummaryRAW!$B$79</f>
        <v>14875</v>
      </c>
      <c r="CC54" s="282">
        <v>1967</v>
      </c>
      <c r="CD54" s="286">
        <f>AnnualAggregations!K46</f>
        <v>245755.76899619837</v>
      </c>
      <c r="CE54" s="442" t="s">
        <v>597</v>
      </c>
      <c r="CF54" s="286">
        <f>AnnualDeplReqs!$AM46</f>
        <v>12100.000000000007</v>
      </c>
      <c r="CG54" s="286">
        <f>AnnualDeplReqs!$AK46</f>
        <v>7970</v>
      </c>
      <c r="CH54" s="286">
        <f>AnnualDeplReqs!$L46</f>
        <v>900</v>
      </c>
      <c r="CI54" s="443">
        <f t="shared" si="71"/>
        <v>266364.90277620131</v>
      </c>
      <c r="CJ54" s="286">
        <f>AnnualDeplReqs!$AO46</f>
        <v>903.99999999989586</v>
      </c>
      <c r="CK54" s="286">
        <f>AnnualDeplReqs!$AY46</f>
        <v>1567.9999999998192</v>
      </c>
      <c r="CL54" s="286">
        <f>AnnualAggregations!$N46</f>
        <v>33107.590624105571</v>
      </c>
      <c r="CM54" s="286">
        <f>AnnualAggregations!$O46</f>
        <v>12169.999999998608</v>
      </c>
      <c r="CN54" s="286">
        <f>AnnualAggregations!$P46</f>
        <v>12993.999999998503</v>
      </c>
      <c r="CO54" s="286">
        <f>AnnualDeplReqs!$AL46</f>
        <v>10930.999999998741</v>
      </c>
      <c r="CP54" s="286">
        <f>AnnualDeplReqs!$AG46</f>
        <v>8769.9999999989959</v>
      </c>
      <c r="CQ54" s="286">
        <f>AnnualDeplReqs!$AN46</f>
        <v>3056.9999999996485</v>
      </c>
      <c r="CR54" s="287">
        <f t="shared" si="72"/>
        <v>82597.590624099888</v>
      </c>
      <c r="CS54" s="287">
        <f t="shared" si="73"/>
        <v>349866.49340030109</v>
      </c>
      <c r="CT54" s="286">
        <f>AnnualDeplReqs!$AP46</f>
        <v>340.98999999997505</v>
      </c>
      <c r="CU54" s="442" t="s">
        <v>597</v>
      </c>
      <c r="CV54" s="286">
        <f>AnnualDeplReqs!$AJ46</f>
        <v>38999.999998983854</v>
      </c>
      <c r="CW54" s="286">
        <f>AnnualDeplReqs!$BC46</f>
        <v>16199.99999897049</v>
      </c>
      <c r="CX54" s="286">
        <f>AnnualDeplReqs!$J46</f>
        <v>2499.9900000012672</v>
      </c>
      <c r="CY54" s="286">
        <f>AnnualAggregations!$Q46</f>
        <v>11624.990000001573</v>
      </c>
      <c r="CZ54" s="287">
        <f t="shared" si="74"/>
        <v>69665.96999795716</v>
      </c>
      <c r="DA54" s="443">
        <f t="shared" si="75"/>
        <v>97231.395152712765</v>
      </c>
      <c r="DB54" s="287">
        <f t="shared" si="76"/>
        <v>447097.88855301385</v>
      </c>
      <c r="DD54" s="440" t="s">
        <v>628</v>
      </c>
      <c r="DE54" s="440" t="s">
        <v>628</v>
      </c>
      <c r="DF54" s="440" t="s">
        <v>628</v>
      </c>
      <c r="DG54" s="440" t="s">
        <v>628</v>
      </c>
      <c r="DH54" s="440" t="s">
        <v>628</v>
      </c>
      <c r="DI54" s="440" t="s">
        <v>628</v>
      </c>
      <c r="DJ54" s="440" t="s">
        <v>628</v>
      </c>
      <c r="DK54" s="440" t="s">
        <v>628</v>
      </c>
      <c r="DL54" s="440" t="s">
        <v>628</v>
      </c>
      <c r="DM54" s="440" t="s">
        <v>628</v>
      </c>
      <c r="DN54" s="440" t="s">
        <v>628</v>
      </c>
      <c r="DO54" s="440" t="s">
        <v>628</v>
      </c>
      <c r="DP54" s="440" t="s">
        <v>628</v>
      </c>
      <c r="DR54" s="440" t="s">
        <v>628</v>
      </c>
      <c r="DT54" s="286">
        <f>AnnualAggregations!$L46</f>
        <v>35893.000000000073</v>
      </c>
      <c r="DU54" s="443">
        <f>AnnualAggregations!$J46</f>
        <v>57172.449818787944</v>
      </c>
      <c r="DV54" s="442" t="s">
        <v>597</v>
      </c>
      <c r="DW54" s="286">
        <f>AnnualAggregations!$M46</f>
        <v>5000.0000000019172</v>
      </c>
      <c r="DX54" s="442" t="s">
        <v>597</v>
      </c>
      <c r="DY54" s="440" t="s">
        <v>628</v>
      </c>
      <c r="DZ54" s="440" t="s">
        <v>628</v>
      </c>
      <c r="EA54" s="440" t="s">
        <v>628</v>
      </c>
      <c r="EB54" s="440" t="s">
        <v>628</v>
      </c>
      <c r="EC54" s="286">
        <f>AnnualDeplReqs!$BG46</f>
        <v>12296.800000006155</v>
      </c>
      <c r="EE54" s="440" t="s">
        <v>628</v>
      </c>
      <c r="EF54" s="440" t="s">
        <v>628</v>
      </c>
      <c r="EG54" s="440" t="s">
        <v>628</v>
      </c>
      <c r="EH54" s="442" t="s">
        <v>597</v>
      </c>
      <c r="EL54" s="282">
        <v>1967</v>
      </c>
      <c r="EM54" s="286">
        <f>AnnualAggregations!S46</f>
        <v>307194.71124524897</v>
      </c>
      <c r="EN54" s="442" t="s">
        <v>597</v>
      </c>
      <c r="EO54" s="286">
        <f>AnnualDiversions!$AM46</f>
        <v>24160.880683190007</v>
      </c>
      <c r="EP54" s="286">
        <f>AnnualDiversions!$AK46</f>
        <v>15864.246446422727</v>
      </c>
      <c r="EQ54" s="286">
        <f>AnnualDiversions!$L46</f>
        <v>1800</v>
      </c>
      <c r="ER54" s="287">
        <f t="shared" si="77"/>
        <v>349019.83837486169</v>
      </c>
      <c r="ES54" s="286">
        <f>AnnualDiversions!$AO46</f>
        <v>1807.9999999997917</v>
      </c>
      <c r="ET54" s="286">
        <f>AnnualDiversions!$AY46</f>
        <v>2838.0090497734295</v>
      </c>
      <c r="EU54" s="286">
        <f>AnnualAggregations!$V46</f>
        <v>55586.564430690487</v>
      </c>
      <c r="EV54" s="286">
        <f>AnnualAggregations!$W46</f>
        <v>4825.4812092796992</v>
      </c>
      <c r="EW54" s="286">
        <f>AnnualAggregations!$X46</f>
        <v>19917.431906591082</v>
      </c>
      <c r="EX54" s="286">
        <f>AnnualDiversions!$AL46</f>
        <v>12966.78529062722</v>
      </c>
      <c r="EY54" s="286">
        <f>AnnualDiversions!$AG46</f>
        <v>16620.86610442336</v>
      </c>
      <c r="EZ54" s="286">
        <f>AnnualDiversions!$AN46</f>
        <v>5747.8612390705066</v>
      </c>
      <c r="FA54" s="287">
        <f t="shared" si="78"/>
        <v>118502.99923045578</v>
      </c>
      <c r="FB54" s="287">
        <f t="shared" si="79"/>
        <v>469330.83760531724</v>
      </c>
      <c r="FC54" s="286">
        <f>AnnualDiversions!$AP46</f>
        <v>378.87777777775057</v>
      </c>
      <c r="FD54" s="442" t="s">
        <v>597</v>
      </c>
      <c r="FE54" s="286">
        <f>AnnualDiversions!$AJ46</f>
        <v>38999.999998983854</v>
      </c>
      <c r="FF54" s="286">
        <f>AnnualDiversions!$BC46</f>
        <v>16199.99999897049</v>
      </c>
      <c r="FG54" s="286">
        <f>AnnualDiversions!$J46</f>
        <v>4166.6500000021233</v>
      </c>
      <c r="FH54" s="286">
        <f>AnnualAggregations!$Y46</f>
        <v>19374.983333335964</v>
      </c>
      <c r="FI54" s="287">
        <f t="shared" si="80"/>
        <v>79120.511109070183</v>
      </c>
      <c r="FJ54" s="287">
        <f t="shared" si="81"/>
        <v>79120.511109070183</v>
      </c>
      <c r="FK54" s="287">
        <f t="shared" si="82"/>
        <v>548451.34871438739</v>
      </c>
      <c r="FM54" s="440" t="s">
        <v>628</v>
      </c>
      <c r="FN54" s="440" t="s">
        <v>628</v>
      </c>
      <c r="FO54" s="440" t="s">
        <v>628</v>
      </c>
      <c r="FP54" s="440" t="s">
        <v>628</v>
      </c>
      <c r="FQ54" s="440" t="s">
        <v>628</v>
      </c>
      <c r="FR54" s="440" t="s">
        <v>628</v>
      </c>
      <c r="FS54" s="440" t="s">
        <v>628</v>
      </c>
      <c r="FT54" s="440" t="s">
        <v>628</v>
      </c>
      <c r="FU54" s="440" t="s">
        <v>628</v>
      </c>
      <c r="FV54" s="440" t="s">
        <v>628</v>
      </c>
      <c r="FW54" s="440" t="s">
        <v>628</v>
      </c>
      <c r="FX54" s="440" t="s">
        <v>628</v>
      </c>
      <c r="FY54" s="440" t="s">
        <v>628</v>
      </c>
      <c r="GA54" s="440" t="s">
        <v>628</v>
      </c>
      <c r="GC54" s="286">
        <f>AnnualAggregations!$T46</f>
        <v>37764.238566617612</v>
      </c>
      <c r="GD54" s="286">
        <f>AnnualAggregations!$R46</f>
        <v>109067.13000005134</v>
      </c>
      <c r="GE54" s="443">
        <f t="shared" si="83"/>
        <v>74654.232783468644</v>
      </c>
      <c r="GF54" s="286">
        <f>AnnualAggregations!$U46</f>
        <v>5000.0000000019172</v>
      </c>
      <c r="GG54" s="287">
        <f t="shared" si="84"/>
        <v>226485.60135013951</v>
      </c>
      <c r="GH54" s="440" t="s">
        <v>628</v>
      </c>
      <c r="GI54" s="440" t="s">
        <v>628</v>
      </c>
      <c r="GJ54" s="440" t="s">
        <v>628</v>
      </c>
      <c r="GK54" s="440" t="s">
        <v>628</v>
      </c>
      <c r="GL54" s="286">
        <f>AnnualDiversions!$BG46</f>
        <v>12296.800000006155</v>
      </c>
      <c r="GN54" s="440" t="s">
        <v>628</v>
      </c>
      <c r="GO54" s="440" t="s">
        <v>628</v>
      </c>
      <c r="GP54" s="440" t="s">
        <v>628</v>
      </c>
      <c r="GQ54" s="442" t="s">
        <v>597</v>
      </c>
      <c r="GU54" s="282">
        <v>1967</v>
      </c>
      <c r="GV54" s="286">
        <f>AnnualAggregations!AA46</f>
        <v>307194.71124524897</v>
      </c>
      <c r="GW54" s="442" t="s">
        <v>597</v>
      </c>
      <c r="GX54" s="286">
        <f>AnnualDivReqs!$AM46</f>
        <v>24160.880683190007</v>
      </c>
      <c r="GY54" s="286">
        <f>AnnualDivReqs!$AK46</f>
        <v>15864.246446422727</v>
      </c>
      <c r="GZ54" s="286">
        <f>AnnualDivReqs!$L46</f>
        <v>1800</v>
      </c>
      <c r="HA54" s="287">
        <f t="shared" si="85"/>
        <v>349019.83837486169</v>
      </c>
      <c r="HB54" s="286">
        <f>AnnualDivReqs!$AO46</f>
        <v>1807.9999999997917</v>
      </c>
      <c r="HC54" s="286">
        <f>AnnualDivReqs!$AY46</f>
        <v>2838.0090497734295</v>
      </c>
      <c r="HD54" s="286">
        <f>AnnualAggregations!$AD46</f>
        <v>55586.564430690487</v>
      </c>
      <c r="HE54" s="286">
        <f>AnnualAggregations!$AE46</f>
        <v>21798.579941456683</v>
      </c>
      <c r="HF54" s="286">
        <f>AnnualAggregations!$AF46</f>
        <v>19917.431906591082</v>
      </c>
      <c r="HG54" s="286">
        <f>AnnualDivReqs!$AL46</f>
        <v>12966.78529062722</v>
      </c>
      <c r="HH54" s="286">
        <f>AnnualDivReqs!$AG46</f>
        <v>16620.86610442336</v>
      </c>
      <c r="HI54" s="286">
        <f>AnnualDivReqs!$AN46</f>
        <v>5747.8612390705066</v>
      </c>
      <c r="HJ54" s="287">
        <f t="shared" si="86"/>
        <v>135476.09796263275</v>
      </c>
      <c r="HK54" s="287">
        <f t="shared" si="87"/>
        <v>486303.93633749417</v>
      </c>
      <c r="HL54" s="286">
        <f>AnnualDivReqs!$AP46</f>
        <v>378.87777777775057</v>
      </c>
      <c r="HM54" s="442" t="s">
        <v>597</v>
      </c>
      <c r="HN54" s="286">
        <f>AnnualDivReqs!$AJ46</f>
        <v>38999.999998983854</v>
      </c>
      <c r="HO54" s="286">
        <f>AnnualDivReqs!$BC46</f>
        <v>16199.99999897049</v>
      </c>
      <c r="HP54" s="286">
        <f>AnnualDivReqs!$J46</f>
        <v>4166.6500000021233</v>
      </c>
      <c r="HQ54" s="286">
        <f>AnnualAggregations!$AG46</f>
        <v>19374.983333335964</v>
      </c>
      <c r="HR54" s="287">
        <f t="shared" si="88"/>
        <v>79120.511109070183</v>
      </c>
      <c r="HS54" s="287">
        <f t="shared" si="89"/>
        <v>79120.511109070183</v>
      </c>
      <c r="HT54" s="287">
        <f t="shared" si="90"/>
        <v>565424.44744656433</v>
      </c>
      <c r="HV54" s="440" t="s">
        <v>628</v>
      </c>
      <c r="HW54" s="440" t="s">
        <v>628</v>
      </c>
      <c r="HX54" s="440" t="s">
        <v>628</v>
      </c>
      <c r="HY54" s="440" t="s">
        <v>628</v>
      </c>
      <c r="HZ54" s="440" t="s">
        <v>628</v>
      </c>
      <c r="IA54" s="440" t="s">
        <v>628</v>
      </c>
      <c r="IB54" s="440" t="s">
        <v>628</v>
      </c>
      <c r="IC54" s="440" t="s">
        <v>628</v>
      </c>
      <c r="ID54" s="440" t="s">
        <v>628</v>
      </c>
      <c r="IE54" s="440" t="s">
        <v>628</v>
      </c>
      <c r="IF54" s="440" t="s">
        <v>628</v>
      </c>
      <c r="IG54" s="440" t="s">
        <v>628</v>
      </c>
      <c r="IH54" s="440" t="s">
        <v>628</v>
      </c>
      <c r="IJ54" s="440" t="s">
        <v>628</v>
      </c>
      <c r="IL54" s="286">
        <f>AnnualAggregations!$AB46</f>
        <v>37764.238566617634</v>
      </c>
      <c r="IM54" s="286">
        <f>AnnualAggregations!$Z46</f>
        <v>109116.1998169607</v>
      </c>
      <c r="IN54" s="442" t="s">
        <v>597</v>
      </c>
      <c r="IO54" s="286">
        <f>AnnualAggregations!$AC46</f>
        <v>5000.0000000019172</v>
      </c>
      <c r="IP54" s="442" t="s">
        <v>597</v>
      </c>
      <c r="IQ54" s="440" t="s">
        <v>628</v>
      </c>
      <c r="IR54" s="440" t="s">
        <v>628</v>
      </c>
      <c r="IS54" s="440" t="s">
        <v>628</v>
      </c>
      <c r="IT54" s="440" t="s">
        <v>628</v>
      </c>
      <c r="IU54" s="286">
        <f>AnnualDivReqs!$BG46</f>
        <v>12296.800000006155</v>
      </c>
      <c r="IW54" s="440" t="s">
        <v>628</v>
      </c>
      <c r="IX54" s="440" t="s">
        <v>628</v>
      </c>
      <c r="IY54" s="440" t="s">
        <v>628</v>
      </c>
      <c r="IZ54" s="442" t="s">
        <v>597</v>
      </c>
    </row>
    <row r="55" spans="1:260" ht="15.75" thickBot="1" x14ac:dyDescent="0.3">
      <c r="A55" s="480" t="str">
        <f>ADDRESS(ROW(SJRIPSummary!E47),COLUMN(SJRIPSummary!E47),4,1)</f>
        <v>E47</v>
      </c>
      <c r="B55" s="480" t="str">
        <f t="shared" si="57"/>
        <v>47</v>
      </c>
      <c r="C55"/>
      <c r="D55" s="404">
        <v>40</v>
      </c>
      <c r="E55" s="404">
        <v>101</v>
      </c>
      <c r="F55" s="404">
        <v>162</v>
      </c>
      <c r="G55" s="404">
        <v>223</v>
      </c>
      <c r="H55" s="394"/>
      <c r="I55" s="193"/>
      <c r="J55" s="194"/>
      <c r="K55" s="194"/>
      <c r="L55" s="194"/>
      <c r="M55" s="203"/>
      <c r="N55" s="167"/>
      <c r="O55" s="260"/>
      <c r="P55" s="261"/>
      <c r="Q55" s="394"/>
      <c r="R55" s="21"/>
      <c r="S55" s="21"/>
      <c r="T55" s="282">
        <v>1968</v>
      </c>
      <c r="U55" s="286">
        <f>AnnualAggregations!$C47</f>
        <v>240542.49027684936</v>
      </c>
      <c r="V55" s="286">
        <f>AnnualDepletions!$BI47</f>
        <v>-1539.1713337826466</v>
      </c>
      <c r="W55" s="286">
        <f>AnnualDepletions!$AM47</f>
        <v>12100.000000000007</v>
      </c>
      <c r="X55" s="286">
        <f>AnnualDepletions!$AK47</f>
        <v>7969.99999999999</v>
      </c>
      <c r="Y55" s="286">
        <f>AnnualDepletions!$L47</f>
        <v>899.99999999999864</v>
      </c>
      <c r="Z55" s="287">
        <f t="shared" si="58"/>
        <v>259973.31894306673</v>
      </c>
      <c r="AA55" s="286">
        <f>AnnualDepletions!$AO47</f>
        <v>826.99999999990428</v>
      </c>
      <c r="AB55" s="286">
        <f>AnnualDepletions!$AY47</f>
        <v>1583.9999999998174</v>
      </c>
      <c r="AC55" s="286">
        <f>AnnualAggregations!$F47</f>
        <v>30821.146842224811</v>
      </c>
      <c r="AD55" s="286">
        <f>AnnualAggregations!$G47</f>
        <v>4272.9263714705803</v>
      </c>
      <c r="AE55" s="286">
        <f>AnnualAggregations!$H47</f>
        <v>12996.99999999851</v>
      </c>
      <c r="AF55" s="286">
        <f>AnnualDepletions!$AL47</f>
        <v>10951.999999998747</v>
      </c>
      <c r="AG55" s="286">
        <f>AnnualDepletions!$AG47</f>
        <v>8011.9999999990832</v>
      </c>
      <c r="AH55" s="286">
        <f>AnnualDepletions!$AN47</f>
        <v>2791.9999999996776</v>
      </c>
      <c r="AI55" s="287">
        <f t="shared" si="59"/>
        <v>71431.073213691227</v>
      </c>
      <c r="AJ55" s="287">
        <f t="shared" si="60"/>
        <v>332231.39215675788</v>
      </c>
      <c r="AK55" s="286">
        <f>AnnualDepletions!$AP47</f>
        <v>340.98999999997511</v>
      </c>
      <c r="AL55" s="286">
        <f>AnnualDepletions!$BH47</f>
        <v>27798.378851957212</v>
      </c>
      <c r="AM55" s="286">
        <f>AnnualDepletions!$AJ47</f>
        <v>38999.999998983862</v>
      </c>
      <c r="AN55" s="286">
        <f>AnnualDepletions!$BC47</f>
        <v>16199.999998970494</v>
      </c>
      <c r="AO55" s="286">
        <f>AnnualDepletions!$J47</f>
        <v>2499.9900000012672</v>
      </c>
      <c r="AP55" s="286">
        <f>AnnualAggregations!$I47</f>
        <v>11624.990000001573</v>
      </c>
      <c r="AQ55" s="287">
        <f t="shared" si="61"/>
        <v>69665.969997957174</v>
      </c>
      <c r="AR55" s="287">
        <f t="shared" si="62"/>
        <v>97464.348849914386</v>
      </c>
      <c r="AS55" s="287">
        <f t="shared" si="63"/>
        <v>429695.74100667227</v>
      </c>
      <c r="AU55" s="321">
        <f ca="1">StateModDepletions_ThisScenario!AC45</f>
        <v>35586.244238644838</v>
      </c>
      <c r="AV55" s="321">
        <f ca="1">StateModDepletions_ThisScenario!AD45</f>
        <v>18172.159747745842</v>
      </c>
      <c r="AW55" s="321">
        <f ca="1">StateModDepletions_ThisScenario!AE45</f>
        <v>109511.96926102042</v>
      </c>
      <c r="AX55" s="321">
        <f ca="1">StateModDepletions_ThisScenario!AB45</f>
        <v>24765.810481309891</v>
      </c>
      <c r="AY55" s="288">
        <f t="shared" ca="1" si="64"/>
        <v>188036.18372872099</v>
      </c>
      <c r="AZ55" s="321">
        <f ca="1">StateModDepletions_ThisScenario!AG45</f>
        <v>36260.343853010316</v>
      </c>
      <c r="BA55" s="321">
        <f ca="1">StateModDepletions_ThisScenario!AF45</f>
        <v>18503.746310487375</v>
      </c>
      <c r="BB55" s="321">
        <f ca="1">StateModDepletions_ThisScenario!AH45</f>
        <v>18912.320832535625</v>
      </c>
      <c r="BC55" s="321">
        <f ca="1">StateModDepletions_ThisScenario!AI45</f>
        <v>20309.810590410605</v>
      </c>
      <c r="BD55" s="321">
        <f ca="1">StateModDepletions_ThisScenario!N45</f>
        <v>1326.6977829933167</v>
      </c>
      <c r="BE55" s="321">
        <f ca="1">StateModDepletions_ThisScenario!V45</f>
        <v>13552.42827129364</v>
      </c>
      <c r="BF55" s="288">
        <f t="shared" ca="1" si="65"/>
        <v>108865.34764073088</v>
      </c>
      <c r="BG55" s="288">
        <f t="shared" ca="1" si="66"/>
        <v>296901.5313694519</v>
      </c>
      <c r="BI55" s="288">
        <f t="shared" ca="1" si="67"/>
        <v>726597.27237612417</v>
      </c>
      <c r="BK55" s="286">
        <f>AnnualAggregations!$D47</f>
        <v>35893.000000000051</v>
      </c>
      <c r="BL55" s="286">
        <f>AnnualAggregations!$B47</f>
        <v>57161.450585639941</v>
      </c>
      <c r="BM55" s="286">
        <f>AnnualDepletions!$BK47</f>
        <v>96872.911320062136</v>
      </c>
      <c r="BN55" s="286">
        <f>AnnualAggregations!$E47</f>
        <v>5000.0000000019463</v>
      </c>
      <c r="BO55" s="287">
        <f t="shared" si="68"/>
        <v>194927.36190570408</v>
      </c>
      <c r="BP55" s="321">
        <f ca="1">StateModDepletions_ThisScenario!Y45</f>
        <v>212.11356273293495</v>
      </c>
      <c r="BQ55" s="321">
        <f ca="1">StateModDepletions_ThisScenario!AJ45</f>
        <v>127442.50078120425</v>
      </c>
      <c r="BR55" s="321">
        <f ca="1">StateModDepletions_ThisScenario!Z45</f>
        <v>226500.1316202879</v>
      </c>
      <c r="BS55" s="321">
        <f ca="1">StateModDepletions_ThisScenario!AA45</f>
        <v>98845.517276350714</v>
      </c>
      <c r="BT55" s="286">
        <f>AnnualDepletions!$BG47</f>
        <v>12296.800000006155</v>
      </c>
      <c r="BV55" s="287">
        <f t="shared" ca="1" si="69"/>
        <v>933821.4342818344</v>
      </c>
      <c r="BW55" s="287">
        <f t="shared" ca="1" si="70"/>
        <v>834975.91700548364</v>
      </c>
      <c r="BX55" s="287">
        <f t="shared" ca="1" si="91"/>
        <v>849850.91700548364</v>
      </c>
      <c r="BY55" s="287">
        <f>SJRIPSummaryRAW!$B$79</f>
        <v>14875</v>
      </c>
      <c r="CC55" s="282">
        <v>1968</v>
      </c>
      <c r="CD55" s="286">
        <f>AnnualAggregations!K47</f>
        <v>240542.49027684936</v>
      </c>
      <c r="CE55" s="442" t="s">
        <v>597</v>
      </c>
      <c r="CF55" s="286">
        <f>AnnualDeplReqs!$AM47</f>
        <v>12100.000000000007</v>
      </c>
      <c r="CG55" s="286">
        <f>AnnualDeplReqs!$AK47</f>
        <v>7969.99999999999</v>
      </c>
      <c r="CH55" s="286">
        <f>AnnualDeplReqs!$L47</f>
        <v>899.99999999999864</v>
      </c>
      <c r="CI55" s="443">
        <f t="shared" si="71"/>
        <v>259973.31894306673</v>
      </c>
      <c r="CJ55" s="286">
        <f>AnnualDeplReqs!$AO47</f>
        <v>826.99999999990428</v>
      </c>
      <c r="CK55" s="286">
        <f>AnnualDeplReqs!$AY47</f>
        <v>1583.9999999998174</v>
      </c>
      <c r="CL55" s="286">
        <f>AnnualAggregations!$N47</f>
        <v>30821.146842224811</v>
      </c>
      <c r="CM55" s="286">
        <f>AnnualAggregations!$O47</f>
        <v>11456.999999998679</v>
      </c>
      <c r="CN55" s="286">
        <f>AnnualAggregations!$P47</f>
        <v>12996.99999999851</v>
      </c>
      <c r="CO55" s="286">
        <f>AnnualDeplReqs!$AL47</f>
        <v>10951.999999998747</v>
      </c>
      <c r="CP55" s="286">
        <f>AnnualDeplReqs!$AG47</f>
        <v>8011.9999999990832</v>
      </c>
      <c r="CQ55" s="286">
        <f>AnnualDeplReqs!$AN47</f>
        <v>2791.9999999996776</v>
      </c>
      <c r="CR55" s="287">
        <f t="shared" si="72"/>
        <v>78615.146842219328</v>
      </c>
      <c r="CS55" s="287">
        <f t="shared" si="73"/>
        <v>339415.46578528598</v>
      </c>
      <c r="CT55" s="286">
        <f>AnnualDeplReqs!$AP47</f>
        <v>340.98999999997511</v>
      </c>
      <c r="CU55" s="442" t="s">
        <v>597</v>
      </c>
      <c r="CV55" s="286">
        <f>AnnualDeplReqs!$AJ47</f>
        <v>38999.999998983862</v>
      </c>
      <c r="CW55" s="286">
        <f>AnnualDeplReqs!$BC47</f>
        <v>16199.999998970494</v>
      </c>
      <c r="CX55" s="286">
        <f>AnnualDeplReqs!$J47</f>
        <v>2499.9900000012672</v>
      </c>
      <c r="CY55" s="286">
        <f>AnnualAggregations!$Q47</f>
        <v>11624.990000001573</v>
      </c>
      <c r="CZ55" s="287">
        <f t="shared" si="74"/>
        <v>69665.969997957174</v>
      </c>
      <c r="DA55" s="443">
        <f t="shared" si="75"/>
        <v>97464.348849914386</v>
      </c>
      <c r="DB55" s="287">
        <f t="shared" si="76"/>
        <v>436879.81463520037</v>
      </c>
      <c r="DD55" s="440" t="s">
        <v>628</v>
      </c>
      <c r="DE55" s="440" t="s">
        <v>628</v>
      </c>
      <c r="DF55" s="440" t="s">
        <v>628</v>
      </c>
      <c r="DG55" s="440" t="s">
        <v>628</v>
      </c>
      <c r="DH55" s="440" t="s">
        <v>628</v>
      </c>
      <c r="DI55" s="440" t="s">
        <v>628</v>
      </c>
      <c r="DJ55" s="440" t="s">
        <v>628</v>
      </c>
      <c r="DK55" s="440" t="s">
        <v>628</v>
      </c>
      <c r="DL55" s="440" t="s">
        <v>628</v>
      </c>
      <c r="DM55" s="440" t="s">
        <v>628</v>
      </c>
      <c r="DN55" s="440" t="s">
        <v>628</v>
      </c>
      <c r="DO55" s="440" t="s">
        <v>628</v>
      </c>
      <c r="DP55" s="440" t="s">
        <v>628</v>
      </c>
      <c r="DR55" s="440" t="s">
        <v>628</v>
      </c>
      <c r="DT55" s="286">
        <f>AnnualAggregations!$L47</f>
        <v>35893.000000000073</v>
      </c>
      <c r="DU55" s="443">
        <f>AnnualAggregations!$J47</f>
        <v>57239.855918973328</v>
      </c>
      <c r="DV55" s="442" t="s">
        <v>597</v>
      </c>
      <c r="DW55" s="286">
        <f>AnnualAggregations!$M47</f>
        <v>5000.0000000019463</v>
      </c>
      <c r="DX55" s="442" t="s">
        <v>597</v>
      </c>
      <c r="DY55" s="440" t="s">
        <v>628</v>
      </c>
      <c r="DZ55" s="440" t="s">
        <v>628</v>
      </c>
      <c r="EA55" s="440" t="s">
        <v>628</v>
      </c>
      <c r="EB55" s="440" t="s">
        <v>628</v>
      </c>
      <c r="EC55" s="286">
        <f>AnnualDeplReqs!$BG47</f>
        <v>12296.800000006155</v>
      </c>
      <c r="EE55" s="440" t="s">
        <v>628</v>
      </c>
      <c r="EF55" s="440" t="s">
        <v>628</v>
      </c>
      <c r="EG55" s="440" t="s">
        <v>628</v>
      </c>
      <c r="EH55" s="442" t="s">
        <v>597</v>
      </c>
      <c r="EL55" s="282">
        <v>1968</v>
      </c>
      <c r="EM55" s="286">
        <f>AnnualAggregations!S47</f>
        <v>300678.11284606159</v>
      </c>
      <c r="EN55" s="442" t="s">
        <v>597</v>
      </c>
      <c r="EO55" s="286">
        <f>AnnualDiversions!$AM47</f>
        <v>24160.880683190011</v>
      </c>
      <c r="EP55" s="286">
        <f>AnnualDiversions!$AK47</f>
        <v>15864.246446422723</v>
      </c>
      <c r="EQ55" s="286">
        <f>AnnualDiversions!$L47</f>
        <v>1799.9999999999973</v>
      </c>
      <c r="ER55" s="287">
        <f t="shared" si="77"/>
        <v>342503.23997567431</v>
      </c>
      <c r="ES55" s="286">
        <f>AnnualDiversions!$AO47</f>
        <v>1653.9999999998086</v>
      </c>
      <c r="ET55" s="286">
        <f>AnnualDiversions!$AY47</f>
        <v>2866.9683257915249</v>
      </c>
      <c r="EU55" s="286">
        <f>AnnualAggregations!$V47</f>
        <v>51756.553089356166</v>
      </c>
      <c r="EV55" s="286">
        <f>AnnualAggregations!$W47</f>
        <v>8071.9499635537113</v>
      </c>
      <c r="EW55" s="286">
        <f>AnnualAggregations!$X47</f>
        <v>19921.518711600962</v>
      </c>
      <c r="EX55" s="286">
        <f>AnnualDiversions!$AL47</f>
        <v>12991.696322655693</v>
      </c>
      <c r="EY55" s="286">
        <f>AnnualDiversions!$AG47</f>
        <v>15184.307779776513</v>
      </c>
      <c r="EZ55" s="286">
        <f>AnnualDiversions!$AN47</f>
        <v>5249.6004512544487</v>
      </c>
      <c r="FA55" s="287">
        <f t="shared" si="78"/>
        <v>116042.59464398902</v>
      </c>
      <c r="FB55" s="287">
        <f t="shared" si="79"/>
        <v>460199.83461966319</v>
      </c>
      <c r="FC55" s="286">
        <f>AnnualDiversions!$AP47</f>
        <v>378.87777777775057</v>
      </c>
      <c r="FD55" s="442" t="s">
        <v>597</v>
      </c>
      <c r="FE55" s="286">
        <f>AnnualDiversions!$AJ47</f>
        <v>38999.999998983862</v>
      </c>
      <c r="FF55" s="286">
        <f>AnnualDiversions!$BC47</f>
        <v>16199.999998970494</v>
      </c>
      <c r="FG55" s="286">
        <f>AnnualDiversions!$J47</f>
        <v>4166.6500000021233</v>
      </c>
      <c r="FH55" s="286">
        <f>AnnualAggregations!$Y47</f>
        <v>19374.983333335967</v>
      </c>
      <c r="FI55" s="287">
        <f t="shared" si="80"/>
        <v>79120.511109070212</v>
      </c>
      <c r="FJ55" s="287">
        <f t="shared" si="81"/>
        <v>79120.511109070198</v>
      </c>
      <c r="FK55" s="287">
        <f t="shared" si="82"/>
        <v>539320.34572873334</v>
      </c>
      <c r="FM55" s="440" t="s">
        <v>628</v>
      </c>
      <c r="FN55" s="440" t="s">
        <v>628</v>
      </c>
      <c r="FO55" s="440" t="s">
        <v>628</v>
      </c>
      <c r="FP55" s="440" t="s">
        <v>628</v>
      </c>
      <c r="FQ55" s="440" t="s">
        <v>628</v>
      </c>
      <c r="FR55" s="440" t="s">
        <v>628</v>
      </c>
      <c r="FS55" s="440" t="s">
        <v>628</v>
      </c>
      <c r="FT55" s="440" t="s">
        <v>628</v>
      </c>
      <c r="FU55" s="440" t="s">
        <v>628</v>
      </c>
      <c r="FV55" s="440" t="s">
        <v>628</v>
      </c>
      <c r="FW55" s="440" t="s">
        <v>628</v>
      </c>
      <c r="FX55" s="440" t="s">
        <v>628</v>
      </c>
      <c r="FY55" s="440" t="s">
        <v>628</v>
      </c>
      <c r="GA55" s="440" t="s">
        <v>628</v>
      </c>
      <c r="GC55" s="286">
        <f>AnnualAggregations!$T47</f>
        <v>37763.476493275426</v>
      </c>
      <c r="GD55" s="286">
        <f>AnnualAggregations!$R47</f>
        <v>109067.13000005134</v>
      </c>
      <c r="GE55" s="443">
        <f t="shared" si="83"/>
        <v>96872.911320062136</v>
      </c>
      <c r="GF55" s="286">
        <f>AnnualAggregations!$U47</f>
        <v>5000.0000000019463</v>
      </c>
      <c r="GG55" s="287">
        <f t="shared" si="84"/>
        <v>248703.51781339085</v>
      </c>
      <c r="GH55" s="440" t="s">
        <v>628</v>
      </c>
      <c r="GI55" s="440" t="s">
        <v>628</v>
      </c>
      <c r="GJ55" s="440" t="s">
        <v>628</v>
      </c>
      <c r="GK55" s="440" t="s">
        <v>628</v>
      </c>
      <c r="GL55" s="286">
        <f>AnnualDiversions!$BG47</f>
        <v>12296.800000006155</v>
      </c>
      <c r="GN55" s="440" t="s">
        <v>628</v>
      </c>
      <c r="GO55" s="440" t="s">
        <v>628</v>
      </c>
      <c r="GP55" s="440" t="s">
        <v>628</v>
      </c>
      <c r="GQ55" s="442" t="s">
        <v>597</v>
      </c>
      <c r="GU55" s="282">
        <v>1968</v>
      </c>
      <c r="GV55" s="286">
        <f>AnnualAggregations!AA47</f>
        <v>300678.11284606159</v>
      </c>
      <c r="GW55" s="442" t="s">
        <v>597</v>
      </c>
      <c r="GX55" s="286">
        <f>AnnualDivReqs!$AM47</f>
        <v>24160.880683190011</v>
      </c>
      <c r="GY55" s="286">
        <f>AnnualDivReqs!$AK47</f>
        <v>15864.246446422723</v>
      </c>
      <c r="GZ55" s="286">
        <f>AnnualDivReqs!$L47</f>
        <v>1799.9999999999973</v>
      </c>
      <c r="HA55" s="287">
        <f t="shared" si="85"/>
        <v>342503.23997567431</v>
      </c>
      <c r="HB55" s="286">
        <f>AnnualDivReqs!$AO47</f>
        <v>1653.9999999998086</v>
      </c>
      <c r="HC55" s="286">
        <f>AnnualDivReqs!$AY47</f>
        <v>2866.9683257915249</v>
      </c>
      <c r="HD55" s="286">
        <f>AnnualAggregations!$AD47</f>
        <v>51756.553089356166</v>
      </c>
      <c r="HE55" s="286">
        <f>AnnualAggregations!$AE47</f>
        <v>20519.764282868371</v>
      </c>
      <c r="HF55" s="286">
        <f>AnnualAggregations!$AF47</f>
        <v>19921.518711600962</v>
      </c>
      <c r="HG55" s="286">
        <f>AnnualDivReqs!$AL47</f>
        <v>12991.696322655693</v>
      </c>
      <c r="HH55" s="286">
        <f>AnnualDivReqs!$AG47</f>
        <v>15184.307779776513</v>
      </c>
      <c r="HI55" s="286">
        <f>AnnualDivReqs!$AN47</f>
        <v>5249.6004512544487</v>
      </c>
      <c r="HJ55" s="287">
        <f t="shared" si="86"/>
        <v>128490.40896330368</v>
      </c>
      <c r="HK55" s="287">
        <f t="shared" si="87"/>
        <v>472647.6489389778</v>
      </c>
      <c r="HL55" s="286">
        <f>AnnualDivReqs!$AP47</f>
        <v>378.87777777775057</v>
      </c>
      <c r="HM55" s="442" t="s">
        <v>597</v>
      </c>
      <c r="HN55" s="286">
        <f>AnnualDivReqs!$AJ47</f>
        <v>38999.999998983862</v>
      </c>
      <c r="HO55" s="286">
        <f>AnnualDivReqs!$BC47</f>
        <v>16199.999998970494</v>
      </c>
      <c r="HP55" s="286">
        <f>AnnualDivReqs!$J47</f>
        <v>4166.6500000021233</v>
      </c>
      <c r="HQ55" s="286">
        <f>AnnualAggregations!$AG47</f>
        <v>19374.983333335967</v>
      </c>
      <c r="HR55" s="287">
        <f t="shared" si="88"/>
        <v>79120.511109070212</v>
      </c>
      <c r="HS55" s="287">
        <f t="shared" si="89"/>
        <v>79120.511109070198</v>
      </c>
      <c r="HT55" s="287">
        <f t="shared" si="90"/>
        <v>551768.16004804801</v>
      </c>
      <c r="HV55" s="440" t="s">
        <v>628</v>
      </c>
      <c r="HW55" s="440" t="s">
        <v>628</v>
      </c>
      <c r="HX55" s="440" t="s">
        <v>628</v>
      </c>
      <c r="HY55" s="440" t="s">
        <v>628</v>
      </c>
      <c r="HZ55" s="440" t="s">
        <v>628</v>
      </c>
      <c r="IA55" s="440" t="s">
        <v>628</v>
      </c>
      <c r="IB55" s="440" t="s">
        <v>628</v>
      </c>
      <c r="IC55" s="440" t="s">
        <v>628</v>
      </c>
      <c r="ID55" s="440" t="s">
        <v>628</v>
      </c>
      <c r="IE55" s="440" t="s">
        <v>628</v>
      </c>
      <c r="IF55" s="440" t="s">
        <v>628</v>
      </c>
      <c r="IG55" s="440" t="s">
        <v>628</v>
      </c>
      <c r="IH55" s="440" t="s">
        <v>628</v>
      </c>
      <c r="IJ55" s="440" t="s">
        <v>628</v>
      </c>
      <c r="IL55" s="286">
        <f>AnnualAggregations!$AB47</f>
        <v>37763.476493275448</v>
      </c>
      <c r="IM55" s="286">
        <f>AnnualAggregations!$Z47</f>
        <v>109223.94066671812</v>
      </c>
      <c r="IN55" s="442" t="s">
        <v>597</v>
      </c>
      <c r="IO55" s="286">
        <f>AnnualAggregations!$AC47</f>
        <v>5000.0000000019463</v>
      </c>
      <c r="IP55" s="442" t="s">
        <v>597</v>
      </c>
      <c r="IQ55" s="440" t="s">
        <v>628</v>
      </c>
      <c r="IR55" s="440" t="s">
        <v>628</v>
      </c>
      <c r="IS55" s="440" t="s">
        <v>628</v>
      </c>
      <c r="IT55" s="440" t="s">
        <v>628</v>
      </c>
      <c r="IU55" s="286">
        <f>AnnualDivReqs!$BG47</f>
        <v>12296.800000006155</v>
      </c>
      <c r="IW55" s="440" t="s">
        <v>628</v>
      </c>
      <c r="IX55" s="440" t="s">
        <v>628</v>
      </c>
      <c r="IY55" s="440" t="s">
        <v>628</v>
      </c>
      <c r="IZ55" s="442" t="s">
        <v>597</v>
      </c>
    </row>
    <row r="56" spans="1:260" ht="15.75" thickBot="1" x14ac:dyDescent="0.3">
      <c r="A56" s="480" t="str">
        <f>ADDRESS(ROW(SJRIPSummary!E48),COLUMN(SJRIPSummary!E48),4,1)</f>
        <v>E48</v>
      </c>
      <c r="B56" s="480" t="str">
        <f t="shared" si="57"/>
        <v>48</v>
      </c>
      <c r="C56" t="s">
        <v>116</v>
      </c>
      <c r="D56" s="404">
        <v>41</v>
      </c>
      <c r="E56" s="404">
        <v>102</v>
      </c>
      <c r="F56" s="404">
        <v>163</v>
      </c>
      <c r="G56" s="404">
        <v>224</v>
      </c>
      <c r="H56" s="393"/>
      <c r="I56" s="618" t="s">
        <v>116</v>
      </c>
      <c r="J56" s="619"/>
      <c r="K56" s="619"/>
      <c r="L56" s="619"/>
      <c r="M56" s="262">
        <f ca="1">M40+M54</f>
        <v>723740</v>
      </c>
      <c r="N56" s="181"/>
      <c r="O56" s="179"/>
      <c r="P56" s="180"/>
      <c r="Q56" s="393"/>
      <c r="R56" s="21"/>
      <c r="S56" s="21"/>
      <c r="T56" s="282">
        <v>1969</v>
      </c>
      <c r="U56" s="286">
        <f>AnnualAggregations!$C48</f>
        <v>236862.36943159031</v>
      </c>
      <c r="V56" s="286">
        <f>AnnualDepletions!$BI48</f>
        <v>-2139.5461329186901</v>
      </c>
      <c r="W56" s="286">
        <f>AnnualDepletions!$AM48</f>
        <v>12100.000000000007</v>
      </c>
      <c r="X56" s="286">
        <f>AnnualDepletions!$AK48</f>
        <v>7970.0000000000091</v>
      </c>
      <c r="Y56" s="286">
        <f>AnnualDepletions!$L48</f>
        <v>900</v>
      </c>
      <c r="Z56" s="287">
        <f t="shared" si="58"/>
        <v>255692.82329867163</v>
      </c>
      <c r="AA56" s="286">
        <f>AnnualDepletions!$AO48</f>
        <v>957.9999999998895</v>
      </c>
      <c r="AB56" s="286">
        <f>AnnualDepletions!$AY48</f>
        <v>1404.9999999998377</v>
      </c>
      <c r="AC56" s="286">
        <f>AnnualAggregations!$F48</f>
        <v>31985.825453776059</v>
      </c>
      <c r="AD56" s="286">
        <f>AnnualAggregations!$G48</f>
        <v>6280.9516502212455</v>
      </c>
      <c r="AE56" s="286">
        <f>AnnualAggregations!$H48</f>
        <v>11695.999999998659</v>
      </c>
      <c r="AF56" s="286">
        <f>AnnualDepletions!$AL48</f>
        <v>10016.999999998845</v>
      </c>
      <c r="AG56" s="286">
        <f>AnnualDepletions!$AG48</f>
        <v>8241.9999999990523</v>
      </c>
      <c r="AH56" s="286">
        <f>AnnualDepletions!$AN48</f>
        <v>2673.999999999693</v>
      </c>
      <c r="AI56" s="287">
        <f t="shared" si="59"/>
        <v>72300.777103993387</v>
      </c>
      <c r="AJ56" s="287">
        <f t="shared" si="60"/>
        <v>328951.60040266492</v>
      </c>
      <c r="AK56" s="286">
        <f>AnnualDepletions!$AP48</f>
        <v>340.98999999997505</v>
      </c>
      <c r="AL56" s="286">
        <f>AnnualDepletions!$BH48</f>
        <v>27030.925799091608</v>
      </c>
      <c r="AM56" s="286">
        <f>AnnualDepletions!$AJ48</f>
        <v>38999.999998983854</v>
      </c>
      <c r="AN56" s="286">
        <f>AnnualDepletions!$BC48</f>
        <v>16199.99999897049</v>
      </c>
      <c r="AO56" s="286">
        <f>AnnualDepletions!$J48</f>
        <v>2499.9900000012672</v>
      </c>
      <c r="AP56" s="286">
        <f>AnnualAggregations!$I48</f>
        <v>11624.990000001573</v>
      </c>
      <c r="AQ56" s="287">
        <f t="shared" si="61"/>
        <v>69665.96999795716</v>
      </c>
      <c r="AR56" s="287">
        <f t="shared" si="62"/>
        <v>96696.895797048783</v>
      </c>
      <c r="AS56" s="287">
        <f t="shared" si="63"/>
        <v>425648.49619971367</v>
      </c>
      <c r="AU56" s="321">
        <f ca="1">StateModDepletions_ThisScenario!AC46</f>
        <v>30896.542668275535</v>
      </c>
      <c r="AV56" s="321">
        <f ca="1">StateModDepletions_ThisScenario!AD46</f>
        <v>16836.826097115874</v>
      </c>
      <c r="AW56" s="321">
        <f ca="1">StateModDepletions_ThisScenario!AE46</f>
        <v>97630.380410701036</v>
      </c>
      <c r="AX56" s="321">
        <f ca="1">StateModDepletions_ThisScenario!AB46</f>
        <v>24765.810481309891</v>
      </c>
      <c r="AY56" s="288">
        <f t="shared" ca="1" si="64"/>
        <v>170129.55965740234</v>
      </c>
      <c r="AZ56" s="321">
        <f ca="1">StateModDepletions_ThisScenario!AG46</f>
        <v>43905.631473606903</v>
      </c>
      <c r="BA56" s="321">
        <f ca="1">StateModDepletions_ThisScenario!AF46</f>
        <v>17112.548480100937</v>
      </c>
      <c r="BB56" s="321">
        <f ca="1">StateModDepletions_ThisScenario!AH46</f>
        <v>20273.417757213116</v>
      </c>
      <c r="BC56" s="321">
        <f ca="1">StateModDepletions_ThisScenario!AI46</f>
        <v>19691.990072710832</v>
      </c>
      <c r="BD56" s="321">
        <f ca="1">StateModDepletions_ThisScenario!N46</f>
        <v>1326.6977829933167</v>
      </c>
      <c r="BE56" s="321">
        <f ca="1">StateModDepletions_ThisScenario!V46</f>
        <v>15615.632664680481</v>
      </c>
      <c r="BF56" s="288">
        <f t="shared" ca="1" si="65"/>
        <v>117925.91823130559</v>
      </c>
      <c r="BG56" s="288">
        <f t="shared" ca="1" si="66"/>
        <v>288055.47788870794</v>
      </c>
      <c r="BI56" s="288">
        <f t="shared" ca="1" si="67"/>
        <v>713703.97408842156</v>
      </c>
      <c r="BK56" s="286">
        <f>AnnualAggregations!$D48</f>
        <v>35893.000000000029</v>
      </c>
      <c r="BL56" s="286">
        <f>AnnualAggregations!$B48</f>
        <v>57173.113621154662</v>
      </c>
      <c r="BM56" s="286">
        <f>AnnualDepletions!$BK48</f>
        <v>127125.89045063809</v>
      </c>
      <c r="BN56" s="286">
        <f>AnnualAggregations!$E48</f>
        <v>5000.0000000019172</v>
      </c>
      <c r="BO56" s="287">
        <f t="shared" si="68"/>
        <v>225192.00407179468</v>
      </c>
      <c r="BP56" s="321">
        <f ca="1">StateModDepletions_ThisScenario!Y46</f>
        <v>212.11356273293495</v>
      </c>
      <c r="BQ56" s="321">
        <f ca="1">StateModDepletions_ThisScenario!AJ46</f>
        <v>138772.80230895779</v>
      </c>
      <c r="BR56" s="321">
        <f ca="1">StateModDepletions_ThisScenario!Z46</f>
        <v>256162.06614875793</v>
      </c>
      <c r="BS56" s="321">
        <f ca="1">StateModDepletions_ThisScenario!AA46</f>
        <v>117177.15027706721</v>
      </c>
      <c r="BT56" s="286">
        <f>AnnualDepletions!$BG48</f>
        <v>12296.800000006155</v>
      </c>
      <c r="BV56" s="287">
        <f t="shared" ca="1" si="69"/>
        <v>951192.77816022234</v>
      </c>
      <c r="BW56" s="287">
        <f t="shared" ca="1" si="70"/>
        <v>834015.62788315513</v>
      </c>
      <c r="BX56" s="287">
        <f t="shared" ca="1" si="91"/>
        <v>848890.62788315513</v>
      </c>
      <c r="BY56" s="287">
        <f>SJRIPSummaryRAW!$B$79</f>
        <v>14875</v>
      </c>
      <c r="CC56" s="282">
        <v>1969</v>
      </c>
      <c r="CD56" s="286">
        <f>AnnualAggregations!K48</f>
        <v>236862.36943159031</v>
      </c>
      <c r="CE56" s="442" t="s">
        <v>597</v>
      </c>
      <c r="CF56" s="286">
        <f>AnnualDeplReqs!$AM48</f>
        <v>12100.000000000007</v>
      </c>
      <c r="CG56" s="286">
        <f>AnnualDeplReqs!$AK48</f>
        <v>7970.0000000000091</v>
      </c>
      <c r="CH56" s="286">
        <f>AnnualDeplReqs!$L48</f>
        <v>900</v>
      </c>
      <c r="CI56" s="443">
        <f t="shared" si="71"/>
        <v>255692.82329867163</v>
      </c>
      <c r="CJ56" s="286">
        <f>AnnualDeplReqs!$AO48</f>
        <v>957.9999999998895</v>
      </c>
      <c r="CK56" s="286">
        <f>AnnualDeplReqs!$AY48</f>
        <v>1404.9999999998377</v>
      </c>
      <c r="CL56" s="286">
        <f>AnnualAggregations!$N48</f>
        <v>31985.825453776059</v>
      </c>
      <c r="CM56" s="286">
        <f>AnnualAggregations!$O48</f>
        <v>12030.999999998616</v>
      </c>
      <c r="CN56" s="286">
        <f>AnnualAggregations!$P48</f>
        <v>11695.999999998659</v>
      </c>
      <c r="CO56" s="286">
        <f>AnnualDeplReqs!$AL48</f>
        <v>10016.999999998845</v>
      </c>
      <c r="CP56" s="286">
        <f>AnnualDeplReqs!$AG48</f>
        <v>8241.9999999990523</v>
      </c>
      <c r="CQ56" s="286">
        <f>AnnualDeplReqs!$AN48</f>
        <v>2673.999999999693</v>
      </c>
      <c r="CR56" s="287">
        <f t="shared" si="72"/>
        <v>78050.825453770769</v>
      </c>
      <c r="CS56" s="287">
        <f t="shared" si="73"/>
        <v>334701.64875244227</v>
      </c>
      <c r="CT56" s="286">
        <f>AnnualDeplReqs!$AP48</f>
        <v>340.98999999997505</v>
      </c>
      <c r="CU56" s="442" t="s">
        <v>597</v>
      </c>
      <c r="CV56" s="286">
        <f>AnnualDeplReqs!$AJ48</f>
        <v>38999.999998983854</v>
      </c>
      <c r="CW56" s="286">
        <f>AnnualDeplReqs!$BC48</f>
        <v>16199.99999897049</v>
      </c>
      <c r="CX56" s="286">
        <f>AnnualDeplReqs!$J48</f>
        <v>2499.9900000012672</v>
      </c>
      <c r="CY56" s="286">
        <f>AnnualAggregations!$Q48</f>
        <v>11624.990000001573</v>
      </c>
      <c r="CZ56" s="287">
        <f t="shared" si="74"/>
        <v>69665.96999795716</v>
      </c>
      <c r="DA56" s="443">
        <f t="shared" si="75"/>
        <v>96696.895797048768</v>
      </c>
      <c r="DB56" s="287">
        <f t="shared" si="76"/>
        <v>431398.54454949102</v>
      </c>
      <c r="DD56" s="440" t="s">
        <v>628</v>
      </c>
      <c r="DE56" s="440" t="s">
        <v>628</v>
      </c>
      <c r="DF56" s="440" t="s">
        <v>628</v>
      </c>
      <c r="DG56" s="440" t="s">
        <v>628</v>
      </c>
      <c r="DH56" s="440" t="s">
        <v>628</v>
      </c>
      <c r="DI56" s="440" t="s">
        <v>628</v>
      </c>
      <c r="DJ56" s="440" t="s">
        <v>628</v>
      </c>
      <c r="DK56" s="440" t="s">
        <v>628</v>
      </c>
      <c r="DL56" s="440" t="s">
        <v>628</v>
      </c>
      <c r="DM56" s="440" t="s">
        <v>628</v>
      </c>
      <c r="DN56" s="440" t="s">
        <v>628</v>
      </c>
      <c r="DO56" s="440" t="s">
        <v>628</v>
      </c>
      <c r="DP56" s="440" t="s">
        <v>628</v>
      </c>
      <c r="DR56" s="440" t="s">
        <v>628</v>
      </c>
      <c r="DT56" s="286">
        <f>AnnualAggregations!$L48</f>
        <v>35893.000000000073</v>
      </c>
      <c r="DU56" s="443">
        <f>AnnualAggregations!$J48</f>
        <v>57173.113621154662</v>
      </c>
      <c r="DV56" s="442" t="s">
        <v>597</v>
      </c>
      <c r="DW56" s="286">
        <f>AnnualAggregations!$M48</f>
        <v>5000.0000000019172</v>
      </c>
      <c r="DX56" s="442" t="s">
        <v>597</v>
      </c>
      <c r="DY56" s="440" t="s">
        <v>628</v>
      </c>
      <c r="DZ56" s="440" t="s">
        <v>628</v>
      </c>
      <c r="EA56" s="440" t="s">
        <v>628</v>
      </c>
      <c r="EB56" s="440" t="s">
        <v>628</v>
      </c>
      <c r="EC56" s="286">
        <f>AnnualDeplReqs!$BG48</f>
        <v>12296.800000006155</v>
      </c>
      <c r="EE56" s="440" t="s">
        <v>628</v>
      </c>
      <c r="EF56" s="440" t="s">
        <v>628</v>
      </c>
      <c r="EG56" s="440" t="s">
        <v>628</v>
      </c>
      <c r="EH56" s="442" t="s">
        <v>597</v>
      </c>
      <c r="EL56" s="282">
        <v>1969</v>
      </c>
      <c r="EM56" s="286">
        <f>AnnualAggregations!S48</f>
        <v>296077.96178948792</v>
      </c>
      <c r="EN56" s="442" t="s">
        <v>597</v>
      </c>
      <c r="EO56" s="286">
        <f>AnnualDiversions!$AM48</f>
        <v>24160.880683190007</v>
      </c>
      <c r="EP56" s="286">
        <f>AnnualDiversions!$AK48</f>
        <v>15864.246446422727</v>
      </c>
      <c r="EQ56" s="286">
        <f>AnnualDiversions!$L48</f>
        <v>1800</v>
      </c>
      <c r="ER56" s="287">
        <f t="shared" si="77"/>
        <v>337903.08891910064</v>
      </c>
      <c r="ES56" s="286">
        <f>AnnualDiversions!$AO48</f>
        <v>1915.999999999779</v>
      </c>
      <c r="ET56" s="286">
        <f>AnnualDiversions!$AY48</f>
        <v>2542.9864253390729</v>
      </c>
      <c r="EU56" s="286">
        <f>AnnualAggregations!$V48</f>
        <v>53711.578836581684</v>
      </c>
      <c r="EV56" s="286">
        <f>AnnualAggregations!$W48</f>
        <v>11659.212094530154</v>
      </c>
      <c r="EW56" s="286">
        <f>AnnualAggregations!$X48</f>
        <v>17929.560157713488</v>
      </c>
      <c r="EX56" s="286">
        <f>AnnualDiversions!$AL48</f>
        <v>11882.562277578707</v>
      </c>
      <c r="EY56" s="286">
        <f>AnnualDiversions!$AG48</f>
        <v>15620.202785935868</v>
      </c>
      <c r="EZ56" s="286">
        <f>AnnualDiversions!$AN48</f>
        <v>5027.7333834722031</v>
      </c>
      <c r="FA56" s="287">
        <f t="shared" si="78"/>
        <v>118373.83596115117</v>
      </c>
      <c r="FB56" s="287">
        <f t="shared" si="79"/>
        <v>458192.92488025158</v>
      </c>
      <c r="FC56" s="286">
        <f>AnnualDiversions!$AP48</f>
        <v>378.87777777775057</v>
      </c>
      <c r="FD56" s="442" t="s">
        <v>597</v>
      </c>
      <c r="FE56" s="286">
        <f>AnnualDiversions!$AJ48</f>
        <v>38999.999998983854</v>
      </c>
      <c r="FF56" s="286">
        <f>AnnualDiversions!$BC48</f>
        <v>16199.99999897049</v>
      </c>
      <c r="FG56" s="286">
        <f>AnnualDiversions!$J48</f>
        <v>4166.6500000021233</v>
      </c>
      <c r="FH56" s="286">
        <f>AnnualAggregations!$Y48</f>
        <v>19374.983333335964</v>
      </c>
      <c r="FI56" s="287">
        <f t="shared" si="80"/>
        <v>79120.511109070183</v>
      </c>
      <c r="FJ56" s="287">
        <f t="shared" si="81"/>
        <v>79120.511109070183</v>
      </c>
      <c r="FK56" s="287">
        <f t="shared" si="82"/>
        <v>537313.43598932179</v>
      </c>
      <c r="FM56" s="440" t="s">
        <v>628</v>
      </c>
      <c r="FN56" s="440" t="s">
        <v>628</v>
      </c>
      <c r="FO56" s="440" t="s">
        <v>628</v>
      </c>
      <c r="FP56" s="440" t="s">
        <v>628</v>
      </c>
      <c r="FQ56" s="440" t="s">
        <v>628</v>
      </c>
      <c r="FR56" s="440" t="s">
        <v>628</v>
      </c>
      <c r="FS56" s="440" t="s">
        <v>628</v>
      </c>
      <c r="FT56" s="440" t="s">
        <v>628</v>
      </c>
      <c r="FU56" s="440" t="s">
        <v>628</v>
      </c>
      <c r="FV56" s="440" t="s">
        <v>628</v>
      </c>
      <c r="FW56" s="440" t="s">
        <v>628</v>
      </c>
      <c r="FX56" s="440" t="s">
        <v>628</v>
      </c>
      <c r="FY56" s="440" t="s">
        <v>628</v>
      </c>
      <c r="GA56" s="440" t="s">
        <v>628</v>
      </c>
      <c r="GC56" s="286">
        <f>AnnualAggregations!$T48</f>
        <v>37764.238566617591</v>
      </c>
      <c r="GD56" s="286">
        <f>AnnualAggregations!$R48</f>
        <v>109067.13000005133</v>
      </c>
      <c r="GE56" s="443">
        <f t="shared" si="83"/>
        <v>127125.89045063809</v>
      </c>
      <c r="GF56" s="286">
        <f>AnnualAggregations!$U48</f>
        <v>5000.0000000019172</v>
      </c>
      <c r="GG56" s="287">
        <f t="shared" si="84"/>
        <v>278957.25901730894</v>
      </c>
      <c r="GH56" s="440" t="s">
        <v>628</v>
      </c>
      <c r="GI56" s="440" t="s">
        <v>628</v>
      </c>
      <c r="GJ56" s="440" t="s">
        <v>628</v>
      </c>
      <c r="GK56" s="440" t="s">
        <v>628</v>
      </c>
      <c r="GL56" s="286">
        <f>AnnualDiversions!$BG48</f>
        <v>12296.800000006155</v>
      </c>
      <c r="GN56" s="440" t="s">
        <v>628</v>
      </c>
      <c r="GO56" s="440" t="s">
        <v>628</v>
      </c>
      <c r="GP56" s="440" t="s">
        <v>628</v>
      </c>
      <c r="GQ56" s="442" t="s">
        <v>597</v>
      </c>
      <c r="GU56" s="282">
        <v>1969</v>
      </c>
      <c r="GV56" s="286">
        <f>AnnualAggregations!AA48</f>
        <v>296077.96178948792</v>
      </c>
      <c r="GW56" s="442" t="s">
        <v>597</v>
      </c>
      <c r="GX56" s="286">
        <f>AnnualDivReqs!$AM48</f>
        <v>24160.880683190007</v>
      </c>
      <c r="GY56" s="286">
        <f>AnnualDivReqs!$AK48</f>
        <v>15864.246446422727</v>
      </c>
      <c r="GZ56" s="286">
        <f>AnnualDivReqs!$L48</f>
        <v>1800</v>
      </c>
      <c r="HA56" s="287">
        <f t="shared" si="85"/>
        <v>337903.08891910064</v>
      </c>
      <c r="HB56" s="286">
        <f>AnnualDivReqs!$AO48</f>
        <v>1915.999999999779</v>
      </c>
      <c r="HC56" s="286">
        <f>AnnualDivReqs!$AY48</f>
        <v>2542.9864253390729</v>
      </c>
      <c r="HD56" s="286">
        <f>AnnualAggregations!$AD48</f>
        <v>53711.578836581684</v>
      </c>
      <c r="HE56" s="286">
        <f>AnnualAggregations!$AE48</f>
        <v>21547.743127936996</v>
      </c>
      <c r="HF56" s="286">
        <f>AnnualAggregations!$AF48</f>
        <v>17929.560157713488</v>
      </c>
      <c r="HG56" s="286">
        <f>AnnualDivReqs!$AL48</f>
        <v>11882.562277578707</v>
      </c>
      <c r="HH56" s="286">
        <f>AnnualDivReqs!$AG48</f>
        <v>15620.202785935868</v>
      </c>
      <c r="HI56" s="286">
        <f>AnnualDivReqs!$AN48</f>
        <v>5027.7333834722031</v>
      </c>
      <c r="HJ56" s="287">
        <f t="shared" si="86"/>
        <v>128262.36699455802</v>
      </c>
      <c r="HK56" s="287">
        <f t="shared" si="87"/>
        <v>468081.45591365843</v>
      </c>
      <c r="HL56" s="286">
        <f>AnnualDivReqs!$AP48</f>
        <v>378.87777777775057</v>
      </c>
      <c r="HM56" s="442" t="s">
        <v>597</v>
      </c>
      <c r="HN56" s="286">
        <f>AnnualDivReqs!$AJ48</f>
        <v>38999.999998983854</v>
      </c>
      <c r="HO56" s="286">
        <f>AnnualDivReqs!$BC48</f>
        <v>16199.99999897049</v>
      </c>
      <c r="HP56" s="286">
        <f>AnnualDivReqs!$J48</f>
        <v>4166.6500000021233</v>
      </c>
      <c r="HQ56" s="286">
        <f>AnnualAggregations!$AG48</f>
        <v>19374.983333335964</v>
      </c>
      <c r="HR56" s="287">
        <f t="shared" si="88"/>
        <v>79120.511109070183</v>
      </c>
      <c r="HS56" s="287">
        <f t="shared" si="89"/>
        <v>79120.511109070183</v>
      </c>
      <c r="HT56" s="287">
        <f t="shared" si="90"/>
        <v>547201.96702272864</v>
      </c>
      <c r="HV56" s="440" t="s">
        <v>628</v>
      </c>
      <c r="HW56" s="440" t="s">
        <v>628</v>
      </c>
      <c r="HX56" s="440" t="s">
        <v>628</v>
      </c>
      <c r="HY56" s="440" t="s">
        <v>628</v>
      </c>
      <c r="HZ56" s="440" t="s">
        <v>628</v>
      </c>
      <c r="IA56" s="440" t="s">
        <v>628</v>
      </c>
      <c r="IB56" s="440" t="s">
        <v>628</v>
      </c>
      <c r="IC56" s="440" t="s">
        <v>628</v>
      </c>
      <c r="ID56" s="440" t="s">
        <v>628</v>
      </c>
      <c r="IE56" s="440" t="s">
        <v>628</v>
      </c>
      <c r="IF56" s="440" t="s">
        <v>628</v>
      </c>
      <c r="IG56" s="440" t="s">
        <v>628</v>
      </c>
      <c r="IH56" s="440" t="s">
        <v>628</v>
      </c>
      <c r="IJ56" s="440" t="s">
        <v>628</v>
      </c>
      <c r="IL56" s="286">
        <f>AnnualAggregations!$AB48</f>
        <v>37764.238566617634</v>
      </c>
      <c r="IM56" s="286">
        <f>AnnualAggregations!$Z48</f>
        <v>109067.13000005133</v>
      </c>
      <c r="IN56" s="442" t="s">
        <v>597</v>
      </c>
      <c r="IO56" s="286">
        <f>AnnualAggregations!$AC48</f>
        <v>5000.0000000019172</v>
      </c>
      <c r="IP56" s="442" t="s">
        <v>597</v>
      </c>
      <c r="IQ56" s="440" t="s">
        <v>628</v>
      </c>
      <c r="IR56" s="440" t="s">
        <v>628</v>
      </c>
      <c r="IS56" s="440" t="s">
        <v>628</v>
      </c>
      <c r="IT56" s="440" t="s">
        <v>628</v>
      </c>
      <c r="IU56" s="286">
        <f>AnnualDivReqs!$BG48</f>
        <v>12296.800000006155</v>
      </c>
      <c r="IW56" s="440" t="s">
        <v>628</v>
      </c>
      <c r="IX56" s="440" t="s">
        <v>628</v>
      </c>
      <c r="IY56" s="440" t="s">
        <v>628</v>
      </c>
      <c r="IZ56" s="442" t="s">
        <v>597</v>
      </c>
    </row>
    <row r="57" spans="1:260" ht="15.75" thickBot="1" x14ac:dyDescent="0.3">
      <c r="A57" s="480" t="str">
        <f>ADDRESS(ROW(SJRIPSummary!E49),COLUMN(SJRIPSummary!E49),4,1)</f>
        <v>E49</v>
      </c>
      <c r="B57" s="480" t="str">
        <f t="shared" si="57"/>
        <v>49</v>
      </c>
      <c r="C57"/>
      <c r="D57" s="404">
        <v>42</v>
      </c>
      <c r="E57" s="404">
        <v>103</v>
      </c>
      <c r="F57" s="404">
        <v>164</v>
      </c>
      <c r="G57" s="404">
        <v>225</v>
      </c>
      <c r="H57" s="394"/>
      <c r="I57" s="193"/>
      <c r="J57" s="194"/>
      <c r="K57" s="194"/>
      <c r="L57" s="194"/>
      <c r="M57" s="203"/>
      <c r="N57" s="167"/>
      <c r="O57" s="260"/>
      <c r="P57" s="261"/>
      <c r="Q57" s="394"/>
      <c r="R57" s="21"/>
      <c r="S57" s="21"/>
      <c r="T57" s="282">
        <v>1970</v>
      </c>
      <c r="U57" s="286">
        <f>AnnualAggregations!$C49</f>
        <v>243152.71456010779</v>
      </c>
      <c r="V57" s="286">
        <f>AnnualDepletions!$BI49</f>
        <v>-881.47710721534656</v>
      </c>
      <c r="W57" s="286">
        <f>AnnualDepletions!$AM49</f>
        <v>12099.999999999998</v>
      </c>
      <c r="X57" s="286">
        <f>AnnualDepletions!$AK49</f>
        <v>7970.0000000000064</v>
      </c>
      <c r="Y57" s="286">
        <f>AnnualDepletions!$L49</f>
        <v>899.99999999999943</v>
      </c>
      <c r="Z57" s="287">
        <f t="shared" si="58"/>
        <v>263241.23745289247</v>
      </c>
      <c r="AA57" s="286">
        <f>AnnualDepletions!$AO49</f>
        <v>900.9999999998962</v>
      </c>
      <c r="AB57" s="286">
        <f>AnnualDepletions!$AY49</f>
        <v>1340.9999999998452</v>
      </c>
      <c r="AC57" s="286">
        <f>AnnualAggregations!$F49</f>
        <v>30788.891278082956</v>
      </c>
      <c r="AD57" s="286">
        <f>AnnualAggregations!$G49</f>
        <v>3082.54676656109</v>
      </c>
      <c r="AE57" s="286">
        <f>AnnualAggregations!$H49</f>
        <v>11907.99999999863</v>
      </c>
      <c r="AF57" s="286">
        <f>AnnualDepletions!$AL49</f>
        <v>10070.999999998843</v>
      </c>
      <c r="AG57" s="286">
        <f>AnnualDepletions!$AG49</f>
        <v>8154.9999999990687</v>
      </c>
      <c r="AH57" s="286">
        <f>AnnualDepletions!$AN49</f>
        <v>2892.9999999996676</v>
      </c>
      <c r="AI57" s="287">
        <f t="shared" si="59"/>
        <v>68239.438044640105</v>
      </c>
      <c r="AJ57" s="287">
        <f t="shared" si="60"/>
        <v>332381.67549753247</v>
      </c>
      <c r="AK57" s="286">
        <f>AnnualDepletions!$AP49</f>
        <v>340.98999999997505</v>
      </c>
      <c r="AL57" s="286">
        <f>AnnualDepletions!$BH49</f>
        <v>27745.191361295208</v>
      </c>
      <c r="AM57" s="286">
        <f>AnnualDepletions!$AJ49</f>
        <v>38999.999998983854</v>
      </c>
      <c r="AN57" s="286">
        <f>AnnualDepletions!$BC49</f>
        <v>16199.99999897049</v>
      </c>
      <c r="AO57" s="286">
        <f>AnnualDepletions!$J49</f>
        <v>2499.9900000012672</v>
      </c>
      <c r="AP57" s="286">
        <f>AnnualAggregations!$I49</f>
        <v>11624.990000001573</v>
      </c>
      <c r="AQ57" s="287">
        <f t="shared" si="61"/>
        <v>69665.96999795716</v>
      </c>
      <c r="AR57" s="287">
        <f t="shared" si="62"/>
        <v>97411.161359252379</v>
      </c>
      <c r="AS57" s="287">
        <f t="shared" si="63"/>
        <v>429792.83685678488</v>
      </c>
      <c r="AU57" s="321">
        <f ca="1">StateModDepletions_ThisScenario!AC47</f>
        <v>29177.46357896924</v>
      </c>
      <c r="AV57" s="321">
        <f ca="1">StateModDepletions_ThisScenario!AD47</f>
        <v>15946.050799876451</v>
      </c>
      <c r="AW57" s="321">
        <f ca="1">StateModDepletions_ThisScenario!AE47</f>
        <v>103298.69309158623</v>
      </c>
      <c r="AX57" s="321">
        <f ca="1">StateModDepletions_ThisScenario!AB47</f>
        <v>24765.810481309891</v>
      </c>
      <c r="AY57" s="288">
        <f t="shared" ca="1" si="64"/>
        <v>173188.01795174181</v>
      </c>
      <c r="AZ57" s="321">
        <f ca="1">StateModDepletions_ThisScenario!AG47</f>
        <v>44556.214314183671</v>
      </c>
      <c r="BA57" s="321">
        <f ca="1">StateModDepletions_ThisScenario!AF47</f>
        <v>17127.430164977912</v>
      </c>
      <c r="BB57" s="321">
        <f ca="1">StateModDepletions_ThisScenario!AH47</f>
        <v>16102.548210307956</v>
      </c>
      <c r="BC57" s="321">
        <f ca="1">StateModDepletions_ThisScenario!AI47</f>
        <v>16095.157890743991</v>
      </c>
      <c r="BD57" s="321">
        <f ca="1">StateModDepletions_ThisScenario!N47</f>
        <v>1326.6977829933167</v>
      </c>
      <c r="BE57" s="321">
        <f ca="1">StateModDepletions_ThisScenario!V47</f>
        <v>13195.320412635803</v>
      </c>
      <c r="BF57" s="288">
        <f t="shared" ca="1" si="65"/>
        <v>108403.36877584265</v>
      </c>
      <c r="BG57" s="288">
        <f t="shared" ca="1" si="66"/>
        <v>281591.38672758447</v>
      </c>
      <c r="BI57" s="288">
        <f t="shared" ca="1" si="67"/>
        <v>711384.22358436929</v>
      </c>
      <c r="BK57" s="286">
        <f>AnnualAggregations!$D49</f>
        <v>35893.000000000051</v>
      </c>
      <c r="BL57" s="286">
        <f>AnnualAggregations!$B49</f>
        <v>57171.576736657502</v>
      </c>
      <c r="BM57" s="286">
        <f>AnnualDepletions!$BK49</f>
        <v>89529.867917365482</v>
      </c>
      <c r="BN57" s="286">
        <f>AnnualAggregations!$E49</f>
        <v>5000.0000000019172</v>
      </c>
      <c r="BO57" s="287">
        <f t="shared" si="68"/>
        <v>187594.44465402496</v>
      </c>
      <c r="BP57" s="321">
        <f ca="1">StateModDepletions_ThisScenario!Y47</f>
        <v>212.11356273293495</v>
      </c>
      <c r="BQ57" s="321">
        <f ca="1">StateModDepletions_ThisScenario!AJ47</f>
        <v>130455.92502729937</v>
      </c>
      <c r="BR57" s="321">
        <f ca="1">StateModDepletions_ThisScenario!Z47</f>
        <v>206200.7319226265</v>
      </c>
      <c r="BS57" s="321">
        <f ca="1">StateModDepletions_ThisScenario!AA47</f>
        <v>75532.693332594194</v>
      </c>
      <c r="BT57" s="286">
        <f>AnnualDepletions!$BG49</f>
        <v>12296.800000006155</v>
      </c>
      <c r="BV57" s="287">
        <f t="shared" ca="1" si="69"/>
        <v>911275.46823840041</v>
      </c>
      <c r="BW57" s="287">
        <f t="shared" ca="1" si="70"/>
        <v>835742.77490580617</v>
      </c>
      <c r="BX57" s="287">
        <f t="shared" ca="1" si="91"/>
        <v>850617.77490580617</v>
      </c>
      <c r="BY57" s="287">
        <f>SJRIPSummaryRAW!$B$79</f>
        <v>14875</v>
      </c>
      <c r="CC57" s="282">
        <v>1970</v>
      </c>
      <c r="CD57" s="286">
        <f>AnnualAggregations!K49</f>
        <v>243152.71456010779</v>
      </c>
      <c r="CE57" s="442" t="s">
        <v>597</v>
      </c>
      <c r="CF57" s="286">
        <f>AnnualDeplReqs!$AM49</f>
        <v>12099.999999999998</v>
      </c>
      <c r="CG57" s="286">
        <f>AnnualDeplReqs!$AK49</f>
        <v>7970.0000000000064</v>
      </c>
      <c r="CH57" s="286">
        <f>AnnualDeplReqs!$L49</f>
        <v>899.99999999999943</v>
      </c>
      <c r="CI57" s="443">
        <f t="shared" si="71"/>
        <v>263241.23745289247</v>
      </c>
      <c r="CJ57" s="286">
        <f>AnnualDeplReqs!$AO49</f>
        <v>900.9999999998962</v>
      </c>
      <c r="CK57" s="286">
        <f>AnnualDeplReqs!$AY49</f>
        <v>1340.9999999998452</v>
      </c>
      <c r="CL57" s="286">
        <f>AnnualAggregations!$N49</f>
        <v>30788.891278082956</v>
      </c>
      <c r="CM57" s="286">
        <f>AnnualAggregations!$O49</f>
        <v>11478.999999998678</v>
      </c>
      <c r="CN57" s="286">
        <f>AnnualAggregations!$P49</f>
        <v>11907.99999999863</v>
      </c>
      <c r="CO57" s="286">
        <f>AnnualDeplReqs!$AL49</f>
        <v>10070.999999998843</v>
      </c>
      <c r="CP57" s="286">
        <f>AnnualDeplReqs!$AG49</f>
        <v>8154.9999999990687</v>
      </c>
      <c r="CQ57" s="286">
        <f>AnnualDeplReqs!$AN49</f>
        <v>2892.9999999996676</v>
      </c>
      <c r="CR57" s="287">
        <f t="shared" si="72"/>
        <v>76635.891278077688</v>
      </c>
      <c r="CS57" s="287">
        <f t="shared" si="73"/>
        <v>340778.12873097003</v>
      </c>
      <c r="CT57" s="286">
        <f>AnnualDeplReqs!$AP49</f>
        <v>340.98999999997505</v>
      </c>
      <c r="CU57" s="442" t="s">
        <v>597</v>
      </c>
      <c r="CV57" s="286">
        <f>AnnualDeplReqs!$AJ49</f>
        <v>38999.999998983854</v>
      </c>
      <c r="CW57" s="286">
        <f>AnnualDeplReqs!$BC49</f>
        <v>16199.99999897049</v>
      </c>
      <c r="CX57" s="286">
        <f>AnnualDeplReqs!$J49</f>
        <v>2499.9900000012672</v>
      </c>
      <c r="CY57" s="286">
        <f>AnnualAggregations!$Q49</f>
        <v>11624.990000001573</v>
      </c>
      <c r="CZ57" s="287">
        <f t="shared" si="74"/>
        <v>69665.96999795716</v>
      </c>
      <c r="DA57" s="443">
        <f t="shared" si="75"/>
        <v>97411.161359252364</v>
      </c>
      <c r="DB57" s="287">
        <f t="shared" si="76"/>
        <v>438189.29009022238</v>
      </c>
      <c r="DD57" s="440" t="s">
        <v>628</v>
      </c>
      <c r="DE57" s="440" t="s">
        <v>628</v>
      </c>
      <c r="DF57" s="440" t="s">
        <v>628</v>
      </c>
      <c r="DG57" s="440" t="s">
        <v>628</v>
      </c>
      <c r="DH57" s="440" t="s">
        <v>628</v>
      </c>
      <c r="DI57" s="440" t="s">
        <v>628</v>
      </c>
      <c r="DJ57" s="440" t="s">
        <v>628</v>
      </c>
      <c r="DK57" s="440" t="s">
        <v>628</v>
      </c>
      <c r="DL57" s="440" t="s">
        <v>628</v>
      </c>
      <c r="DM57" s="440" t="s">
        <v>628</v>
      </c>
      <c r="DN57" s="440" t="s">
        <v>628</v>
      </c>
      <c r="DO57" s="440" t="s">
        <v>628</v>
      </c>
      <c r="DP57" s="440" t="s">
        <v>628</v>
      </c>
      <c r="DR57" s="440" t="s">
        <v>628</v>
      </c>
      <c r="DT57" s="286">
        <f>AnnualAggregations!$L49</f>
        <v>35893.000000000073</v>
      </c>
      <c r="DU57" s="443">
        <f>AnnualAggregations!$J49</f>
        <v>57181.074736657494</v>
      </c>
      <c r="DV57" s="442" t="s">
        <v>597</v>
      </c>
      <c r="DW57" s="286">
        <f>AnnualAggregations!$M49</f>
        <v>5000.0000000019172</v>
      </c>
      <c r="DX57" s="442" t="s">
        <v>597</v>
      </c>
      <c r="DY57" s="440" t="s">
        <v>628</v>
      </c>
      <c r="DZ57" s="440" t="s">
        <v>628</v>
      </c>
      <c r="EA57" s="440" t="s">
        <v>628</v>
      </c>
      <c r="EB57" s="440" t="s">
        <v>628</v>
      </c>
      <c r="EC57" s="286">
        <f>AnnualDeplReqs!$BG49</f>
        <v>12296.800000006155</v>
      </c>
      <c r="EE57" s="440" t="s">
        <v>628</v>
      </c>
      <c r="EF57" s="440" t="s">
        <v>628</v>
      </c>
      <c r="EG57" s="440" t="s">
        <v>628</v>
      </c>
      <c r="EH57" s="442" t="s">
        <v>597</v>
      </c>
      <c r="EL57" s="282">
        <v>1970</v>
      </c>
      <c r="EM57" s="286">
        <f>AnnualAggregations!S49</f>
        <v>303940.89320013527</v>
      </c>
      <c r="EN57" s="442" t="s">
        <v>597</v>
      </c>
      <c r="EO57" s="286">
        <f>AnnualDiversions!$AM49</f>
        <v>24160.880683189971</v>
      </c>
      <c r="EP57" s="286">
        <f>AnnualDiversions!$AK49</f>
        <v>15864.246446422745</v>
      </c>
      <c r="EQ57" s="286">
        <f>AnnualDiversions!$L49</f>
        <v>1799.9999999999989</v>
      </c>
      <c r="ER57" s="287">
        <f t="shared" si="77"/>
        <v>345766.02032974799</v>
      </c>
      <c r="ES57" s="286">
        <f>AnnualDiversions!$AO49</f>
        <v>1801.9999999997924</v>
      </c>
      <c r="ET57" s="286">
        <f>AnnualDiversions!$AY49</f>
        <v>2427.1493212666869</v>
      </c>
      <c r="EU57" s="286">
        <f>AnnualAggregations!$V49</f>
        <v>51675.791422326787</v>
      </c>
      <c r="EV57" s="286">
        <f>AnnualAggregations!$W49</f>
        <v>5521.0651567117266</v>
      </c>
      <c r="EW57" s="286">
        <f>AnnualAggregations!$X49</f>
        <v>18252.875374197578</v>
      </c>
      <c r="EX57" s="286">
        <f>AnnualDiversions!$AL49</f>
        <v>11946.619217080486</v>
      </c>
      <c r="EY57" s="286">
        <f>AnnualDiversions!$AG49</f>
        <v>15455.320761866891</v>
      </c>
      <c r="EZ57" s="286">
        <f>AnnualDiversions!$AN49</f>
        <v>5439.5036194409413</v>
      </c>
      <c r="FA57" s="287">
        <f t="shared" si="78"/>
        <v>110718.32487289111</v>
      </c>
      <c r="FB57" s="287">
        <f t="shared" si="79"/>
        <v>458286.34520263888</v>
      </c>
      <c r="FC57" s="286">
        <f>AnnualDiversions!$AP49</f>
        <v>378.87777777775057</v>
      </c>
      <c r="FD57" s="442" t="s">
        <v>597</v>
      </c>
      <c r="FE57" s="286">
        <f>AnnualDiversions!$AJ49</f>
        <v>38999.999998983854</v>
      </c>
      <c r="FF57" s="286">
        <f>AnnualDiversions!$BC49</f>
        <v>16199.99999897049</v>
      </c>
      <c r="FG57" s="286">
        <f>AnnualDiversions!$J49</f>
        <v>4166.6500000021233</v>
      </c>
      <c r="FH57" s="286">
        <f>AnnualAggregations!$Y49</f>
        <v>19374.983333335964</v>
      </c>
      <c r="FI57" s="287">
        <f t="shared" si="80"/>
        <v>79120.511109070183</v>
      </c>
      <c r="FJ57" s="287">
        <f t="shared" si="81"/>
        <v>79120.511109070183</v>
      </c>
      <c r="FK57" s="287">
        <f t="shared" si="82"/>
        <v>537406.85631170904</v>
      </c>
      <c r="FM57" s="440" t="s">
        <v>628</v>
      </c>
      <c r="FN57" s="440" t="s">
        <v>628</v>
      </c>
      <c r="FO57" s="440" t="s">
        <v>628</v>
      </c>
      <c r="FP57" s="440" t="s">
        <v>628</v>
      </c>
      <c r="FQ57" s="440" t="s">
        <v>628</v>
      </c>
      <c r="FR57" s="440" t="s">
        <v>628</v>
      </c>
      <c r="FS57" s="440" t="s">
        <v>628</v>
      </c>
      <c r="FT57" s="440" t="s">
        <v>628</v>
      </c>
      <c r="FU57" s="440" t="s">
        <v>628</v>
      </c>
      <c r="FV57" s="440" t="s">
        <v>628</v>
      </c>
      <c r="FW57" s="440" t="s">
        <v>628</v>
      </c>
      <c r="FX57" s="440" t="s">
        <v>628</v>
      </c>
      <c r="FY57" s="440" t="s">
        <v>628</v>
      </c>
      <c r="GA57" s="440" t="s">
        <v>628</v>
      </c>
      <c r="GC57" s="286">
        <f>AnnualAggregations!$T49</f>
        <v>37764.238566617612</v>
      </c>
      <c r="GD57" s="286">
        <f>AnnualAggregations!$R49</f>
        <v>109067.13000005133</v>
      </c>
      <c r="GE57" s="443">
        <f t="shared" si="83"/>
        <v>89529.867917365482</v>
      </c>
      <c r="GF57" s="286">
        <f>AnnualAggregations!$U49</f>
        <v>5000.0000000019172</v>
      </c>
      <c r="GG57" s="287">
        <f t="shared" si="84"/>
        <v>241361.23648403634</v>
      </c>
      <c r="GH57" s="440" t="s">
        <v>628</v>
      </c>
      <c r="GI57" s="440" t="s">
        <v>628</v>
      </c>
      <c r="GJ57" s="440" t="s">
        <v>628</v>
      </c>
      <c r="GK57" s="440" t="s">
        <v>628</v>
      </c>
      <c r="GL57" s="286">
        <f>AnnualDiversions!$BG49</f>
        <v>12296.800000006155</v>
      </c>
      <c r="GN57" s="440" t="s">
        <v>628</v>
      </c>
      <c r="GO57" s="440" t="s">
        <v>628</v>
      </c>
      <c r="GP57" s="440" t="s">
        <v>628</v>
      </c>
      <c r="GQ57" s="442" t="s">
        <v>597</v>
      </c>
      <c r="GU57" s="282">
        <v>1970</v>
      </c>
      <c r="GV57" s="286">
        <f>AnnualAggregations!AA49</f>
        <v>303940.89320013527</v>
      </c>
      <c r="GW57" s="442" t="s">
        <v>597</v>
      </c>
      <c r="GX57" s="286">
        <f>AnnualDivReqs!$AM49</f>
        <v>24160.880683189971</v>
      </c>
      <c r="GY57" s="286">
        <f>AnnualDivReqs!$AK49</f>
        <v>15864.246446422745</v>
      </c>
      <c r="GZ57" s="286">
        <f>AnnualDivReqs!$L49</f>
        <v>1799.9999999999989</v>
      </c>
      <c r="HA57" s="287">
        <f t="shared" si="85"/>
        <v>345766.02032974799</v>
      </c>
      <c r="HB57" s="286">
        <f>AnnualDivReqs!$AO49</f>
        <v>1801.9999999997924</v>
      </c>
      <c r="HC57" s="286">
        <f>AnnualDivReqs!$AY49</f>
        <v>2427.1493212666869</v>
      </c>
      <c r="HD57" s="286">
        <f>AnnualAggregations!$AD49</f>
        <v>51675.791422326787</v>
      </c>
      <c r="HE57" s="286">
        <f>AnnualAggregations!$AE49</f>
        <v>20560.800305797413</v>
      </c>
      <c r="HF57" s="286">
        <f>AnnualAggregations!$AF49</f>
        <v>18252.875374197578</v>
      </c>
      <c r="HG57" s="286">
        <f>AnnualDivReqs!$AL49</f>
        <v>11946.619217080486</v>
      </c>
      <c r="HH57" s="286">
        <f>AnnualDivReqs!$AG49</f>
        <v>15455.320761866891</v>
      </c>
      <c r="HI57" s="286">
        <f>AnnualDivReqs!$AN49</f>
        <v>5439.5036194409413</v>
      </c>
      <c r="HJ57" s="287">
        <f t="shared" si="86"/>
        <v>125758.06002197681</v>
      </c>
      <c r="HK57" s="287">
        <f t="shared" si="87"/>
        <v>473326.08035172458</v>
      </c>
      <c r="HL57" s="286">
        <f>AnnualDivReqs!$AP49</f>
        <v>378.87777777775057</v>
      </c>
      <c r="HM57" s="442" t="s">
        <v>597</v>
      </c>
      <c r="HN57" s="286">
        <f>AnnualDivReqs!$AJ49</f>
        <v>38999.999998983854</v>
      </c>
      <c r="HO57" s="286">
        <f>AnnualDivReqs!$BC49</f>
        <v>16199.99999897049</v>
      </c>
      <c r="HP57" s="286">
        <f>AnnualDivReqs!$J49</f>
        <v>4166.6500000021233</v>
      </c>
      <c r="HQ57" s="286">
        <f>AnnualAggregations!$AG49</f>
        <v>19374.983333335964</v>
      </c>
      <c r="HR57" s="287">
        <f t="shared" si="88"/>
        <v>79120.511109070183</v>
      </c>
      <c r="HS57" s="287">
        <f t="shared" si="89"/>
        <v>79120.511109070183</v>
      </c>
      <c r="HT57" s="287">
        <f t="shared" si="90"/>
        <v>552446.59146079479</v>
      </c>
      <c r="HV57" s="440" t="s">
        <v>628</v>
      </c>
      <c r="HW57" s="440" t="s">
        <v>628</v>
      </c>
      <c r="HX57" s="440" t="s">
        <v>628</v>
      </c>
      <c r="HY57" s="440" t="s">
        <v>628</v>
      </c>
      <c r="HZ57" s="440" t="s">
        <v>628</v>
      </c>
      <c r="IA57" s="440" t="s">
        <v>628</v>
      </c>
      <c r="IB57" s="440" t="s">
        <v>628</v>
      </c>
      <c r="IC57" s="440" t="s">
        <v>628</v>
      </c>
      <c r="ID57" s="440" t="s">
        <v>628</v>
      </c>
      <c r="IE57" s="440" t="s">
        <v>628</v>
      </c>
      <c r="IF57" s="440" t="s">
        <v>628</v>
      </c>
      <c r="IG57" s="440" t="s">
        <v>628</v>
      </c>
      <c r="IH57" s="440" t="s">
        <v>628</v>
      </c>
      <c r="IJ57" s="440" t="s">
        <v>628</v>
      </c>
      <c r="IL57" s="286">
        <f>AnnualAggregations!$AB49</f>
        <v>37764.238566617634</v>
      </c>
      <c r="IM57" s="286">
        <f>AnnualAggregations!$Z49</f>
        <v>109086.12600005131</v>
      </c>
      <c r="IN57" s="442" t="s">
        <v>597</v>
      </c>
      <c r="IO57" s="286">
        <f>AnnualAggregations!$AC49</f>
        <v>5000.0000000019172</v>
      </c>
      <c r="IP57" s="442" t="s">
        <v>597</v>
      </c>
      <c r="IQ57" s="440" t="s">
        <v>628</v>
      </c>
      <c r="IR57" s="440" t="s">
        <v>628</v>
      </c>
      <c r="IS57" s="440" t="s">
        <v>628</v>
      </c>
      <c r="IT57" s="440" t="s">
        <v>628</v>
      </c>
      <c r="IU57" s="286">
        <f>AnnualDivReqs!$BG49</f>
        <v>12296.800000006155</v>
      </c>
      <c r="IW57" s="440" t="s">
        <v>628</v>
      </c>
      <c r="IX57" s="440" t="s">
        <v>628</v>
      </c>
      <c r="IY57" s="440" t="s">
        <v>628</v>
      </c>
      <c r="IZ57" s="442" t="s">
        <v>597</v>
      </c>
    </row>
    <row r="58" spans="1:260" x14ac:dyDescent="0.25">
      <c r="A58" s="480" t="str">
        <f>ADDRESS(ROW(SJRIPSummary!E50),COLUMN(SJRIPSummary!E50),4,1)</f>
        <v>E50</v>
      </c>
      <c r="B58" s="480" t="str">
        <f t="shared" si="57"/>
        <v>50</v>
      </c>
      <c r="C58" t="s">
        <v>118</v>
      </c>
      <c r="D58" s="404">
        <v>43</v>
      </c>
      <c r="E58" s="404">
        <v>104</v>
      </c>
      <c r="F58" s="404">
        <v>165</v>
      </c>
      <c r="G58" s="404">
        <v>226</v>
      </c>
      <c r="H58" s="393"/>
      <c r="I58" s="620" t="s">
        <v>117</v>
      </c>
      <c r="J58" s="621"/>
      <c r="K58" s="621"/>
      <c r="L58" s="263" t="s">
        <v>118</v>
      </c>
      <c r="M58" s="237">
        <f ca="1">ROUND(SJRIPSummaryRAW!B60,-2)</f>
        <v>35700</v>
      </c>
      <c r="N58" s="148"/>
      <c r="O58" s="258">
        <f ca="1">ROUND(SJRIPSummaryRAW!D60,-2)</f>
        <v>35900</v>
      </c>
      <c r="P58" s="259">
        <f ca="1">ROUND(SJRIPSummaryRAW!E60,-2)</f>
        <v>21500</v>
      </c>
      <c r="Q58" s="393"/>
      <c r="R58" s="21"/>
      <c r="S58" s="21"/>
      <c r="T58" s="282">
        <v>1971</v>
      </c>
      <c r="U58" s="286">
        <f>AnnualAggregations!$C50</f>
        <v>251950.43743319449</v>
      </c>
      <c r="V58" s="286">
        <f>AnnualDepletions!$BI50</f>
        <v>878.06746740217602</v>
      </c>
      <c r="W58" s="286">
        <f>AnnualDepletions!$AM50</f>
        <v>12100</v>
      </c>
      <c r="X58" s="286">
        <f>AnnualDepletions!$AK50</f>
        <v>7824.0030788877229</v>
      </c>
      <c r="Y58" s="286">
        <f>AnnualDepletions!$L50</f>
        <v>900.00000000000068</v>
      </c>
      <c r="Z58" s="287">
        <f t="shared" si="58"/>
        <v>273652.50797948439</v>
      </c>
      <c r="AA58" s="286">
        <f>AnnualDepletions!$AO50</f>
        <v>891.9999999998978</v>
      </c>
      <c r="AB58" s="286">
        <f>AnnualDepletions!$AY50</f>
        <v>1375.9999999998415</v>
      </c>
      <c r="AC58" s="286">
        <f>AnnualAggregations!$F50</f>
        <v>31421.561101326432</v>
      </c>
      <c r="AD58" s="286">
        <f>AnnualAggregations!$G50</f>
        <v>3375.9250375054912</v>
      </c>
      <c r="AE58" s="286">
        <f>AnnualAggregations!$H50</f>
        <v>12005.999999998623</v>
      </c>
      <c r="AF58" s="286">
        <f>AnnualDepletions!$AL50</f>
        <v>10181.999999998827</v>
      </c>
      <c r="AG58" s="286">
        <f>AnnualDepletions!$AG50</f>
        <v>7854.9999999990923</v>
      </c>
      <c r="AH58" s="286">
        <f>AnnualDepletions!$AN50</f>
        <v>2617.9999999996985</v>
      </c>
      <c r="AI58" s="287">
        <f t="shared" si="59"/>
        <v>68834.486138828011</v>
      </c>
      <c r="AJ58" s="287">
        <f t="shared" si="60"/>
        <v>343378.99411831226</v>
      </c>
      <c r="AK58" s="286">
        <f>AnnualDepletions!$AP50</f>
        <v>340.98999999997505</v>
      </c>
      <c r="AL58" s="286">
        <f>AnnualDepletions!$BH50</f>
        <v>29322.620218650103</v>
      </c>
      <c r="AM58" s="286">
        <f>AnnualDepletions!$AJ50</f>
        <v>38999.999998983854</v>
      </c>
      <c r="AN58" s="286">
        <f>AnnualDepletions!$BC50</f>
        <v>16199.99999897049</v>
      </c>
      <c r="AO58" s="286">
        <f>AnnualDepletions!$J50</f>
        <v>2499.9900000012672</v>
      </c>
      <c r="AP58" s="286">
        <f>AnnualAggregations!$I50</f>
        <v>11624.990000001573</v>
      </c>
      <c r="AQ58" s="287">
        <f t="shared" si="61"/>
        <v>69665.96999795716</v>
      </c>
      <c r="AR58" s="287">
        <f t="shared" si="62"/>
        <v>98988.590216607277</v>
      </c>
      <c r="AS58" s="287">
        <f t="shared" si="63"/>
        <v>442367.58433491952</v>
      </c>
      <c r="AU58" s="321">
        <f ca="1">StateModDepletions_ThisScenario!AC48</f>
        <v>30993.913414597511</v>
      </c>
      <c r="AV58" s="321">
        <f ca="1">StateModDepletions_ThisScenario!AD48</f>
        <v>16787.119212508202</v>
      </c>
      <c r="AW58" s="321">
        <f ca="1">StateModDepletions_ThisScenario!AE48</f>
        <v>105071.50781261548</v>
      </c>
      <c r="AX58" s="321">
        <f ca="1">StateModDepletions_ThisScenario!AB48</f>
        <v>24765.810481309891</v>
      </c>
      <c r="AY58" s="288">
        <f t="shared" ca="1" si="64"/>
        <v>177618.35092103109</v>
      </c>
      <c r="AZ58" s="321">
        <f ca="1">StateModDepletions_ThisScenario!AG48</f>
        <v>34690.130412323851</v>
      </c>
      <c r="BA58" s="321">
        <f ca="1">StateModDepletions_ThisScenario!AF48</f>
        <v>17475.901760891069</v>
      </c>
      <c r="BB58" s="321">
        <f ca="1">StateModDepletions_ThisScenario!AH48</f>
        <v>14487.974418900907</v>
      </c>
      <c r="BC58" s="321">
        <f ca="1">StateModDepletions_ThisScenario!AI48</f>
        <v>15759.369702206925</v>
      </c>
      <c r="BD58" s="321">
        <f ca="1">StateModDepletions_ThisScenario!N48</f>
        <v>1326.6977829933167</v>
      </c>
      <c r="BE58" s="321">
        <f ca="1">StateModDepletions_ThisScenario!V48</f>
        <v>11747.252390861511</v>
      </c>
      <c r="BF58" s="288">
        <f t="shared" ca="1" si="65"/>
        <v>95487.326468177576</v>
      </c>
      <c r="BG58" s="288">
        <f t="shared" ca="1" si="66"/>
        <v>273105.67738920869</v>
      </c>
      <c r="BI58" s="288">
        <f t="shared" ca="1" si="67"/>
        <v>715473.26172412816</v>
      </c>
      <c r="BK58" s="286">
        <f>AnnualAggregations!$D50</f>
        <v>35893.000000000029</v>
      </c>
      <c r="BL58" s="286">
        <f>AnnualAggregations!$B50</f>
        <v>57169.199647812879</v>
      </c>
      <c r="BM58" s="286">
        <f>AnnualDepletions!$BK50</f>
        <v>61272.241050227894</v>
      </c>
      <c r="BN58" s="286">
        <f>AnnualAggregations!$E50</f>
        <v>5000.0000000019172</v>
      </c>
      <c r="BO58" s="287">
        <f t="shared" si="68"/>
        <v>159334.44069804272</v>
      </c>
      <c r="BP58" s="321">
        <f ca="1">StateModDepletions_ThisScenario!Y48</f>
        <v>212.11356273293495</v>
      </c>
      <c r="BQ58" s="321">
        <f ca="1">StateModDepletions_ThisScenario!AJ48</f>
        <v>131169.77829131004</v>
      </c>
      <c r="BR58" s="321">
        <f ca="1">StateModDepletions_ThisScenario!Z48</f>
        <v>207111.20185446739</v>
      </c>
      <c r="BS58" s="321">
        <f ca="1">StateModDepletions_ThisScenario!AA48</f>
        <v>75729.310000424433</v>
      </c>
      <c r="BT58" s="286">
        <f>AnnualDepletions!$BG50</f>
        <v>12296.800000006155</v>
      </c>
      <c r="BV58" s="287">
        <f t="shared" ca="1" si="69"/>
        <v>887104.502422177</v>
      </c>
      <c r="BW58" s="287">
        <f t="shared" ca="1" si="70"/>
        <v>811375.19242175261</v>
      </c>
      <c r="BX58" s="287">
        <f t="shared" ca="1" si="91"/>
        <v>826250.19242175261</v>
      </c>
      <c r="BY58" s="287">
        <f>SJRIPSummaryRAW!$B$79</f>
        <v>14875</v>
      </c>
      <c r="CC58" s="282">
        <v>1971</v>
      </c>
      <c r="CD58" s="286">
        <f>AnnualAggregations!K50</f>
        <v>251950.43743319449</v>
      </c>
      <c r="CE58" s="442" t="s">
        <v>597</v>
      </c>
      <c r="CF58" s="286">
        <f>AnnualDeplReqs!$AM50</f>
        <v>12100</v>
      </c>
      <c r="CG58" s="286">
        <f>AnnualDeplReqs!$AK50</f>
        <v>7824.0030788877229</v>
      </c>
      <c r="CH58" s="286">
        <f>AnnualDeplReqs!$L50</f>
        <v>900.00000000000068</v>
      </c>
      <c r="CI58" s="443">
        <f t="shared" si="71"/>
        <v>273652.50797948439</v>
      </c>
      <c r="CJ58" s="286">
        <f>AnnualDeplReqs!$AO50</f>
        <v>891.9999999998978</v>
      </c>
      <c r="CK58" s="286">
        <f>AnnualDeplReqs!$AY50</f>
        <v>1375.9999999998415</v>
      </c>
      <c r="CL58" s="286">
        <f>AnnualAggregations!$N50</f>
        <v>31421.561101326432</v>
      </c>
      <c r="CM58" s="286">
        <f>AnnualAggregations!$O50</f>
        <v>11552.99999999867</v>
      </c>
      <c r="CN58" s="286">
        <f>AnnualAggregations!$P50</f>
        <v>12005.999999998623</v>
      </c>
      <c r="CO58" s="286">
        <f>AnnualDeplReqs!$AL50</f>
        <v>10181.999999998827</v>
      </c>
      <c r="CP58" s="286">
        <f>AnnualDeplReqs!$AG50</f>
        <v>7854.9999999990923</v>
      </c>
      <c r="CQ58" s="286">
        <f>AnnualDeplReqs!$AN50</f>
        <v>2617.9999999996985</v>
      </c>
      <c r="CR58" s="287">
        <f t="shared" si="72"/>
        <v>77011.561101321189</v>
      </c>
      <c r="CS58" s="287">
        <f t="shared" si="73"/>
        <v>351556.06908080546</v>
      </c>
      <c r="CT58" s="286">
        <f>AnnualDeplReqs!$AP50</f>
        <v>340.98999999997505</v>
      </c>
      <c r="CU58" s="442" t="s">
        <v>597</v>
      </c>
      <c r="CV58" s="286">
        <f>AnnualDeplReqs!$AJ50</f>
        <v>38999.999998983854</v>
      </c>
      <c r="CW58" s="286">
        <f>AnnualDeplReqs!$BC50</f>
        <v>16199.99999897049</v>
      </c>
      <c r="CX58" s="286">
        <f>AnnualDeplReqs!$J50</f>
        <v>2499.9900000012672</v>
      </c>
      <c r="CY58" s="286">
        <f>AnnualAggregations!$Q50</f>
        <v>11624.990000001573</v>
      </c>
      <c r="CZ58" s="287">
        <f t="shared" si="74"/>
        <v>69665.96999795716</v>
      </c>
      <c r="DA58" s="443">
        <f t="shared" si="75"/>
        <v>98988.590216607263</v>
      </c>
      <c r="DB58" s="287">
        <f t="shared" si="76"/>
        <v>450544.65929741273</v>
      </c>
      <c r="DD58" s="440" t="s">
        <v>628</v>
      </c>
      <c r="DE58" s="440" t="s">
        <v>628</v>
      </c>
      <c r="DF58" s="440" t="s">
        <v>628</v>
      </c>
      <c r="DG58" s="440" t="s">
        <v>628</v>
      </c>
      <c r="DH58" s="440" t="s">
        <v>628</v>
      </c>
      <c r="DI58" s="440" t="s">
        <v>628</v>
      </c>
      <c r="DJ58" s="440" t="s">
        <v>628</v>
      </c>
      <c r="DK58" s="440" t="s">
        <v>628</v>
      </c>
      <c r="DL58" s="440" t="s">
        <v>628</v>
      </c>
      <c r="DM58" s="440" t="s">
        <v>628</v>
      </c>
      <c r="DN58" s="440" t="s">
        <v>628</v>
      </c>
      <c r="DO58" s="440" t="s">
        <v>628</v>
      </c>
      <c r="DP58" s="440" t="s">
        <v>628</v>
      </c>
      <c r="DR58" s="440" t="s">
        <v>628</v>
      </c>
      <c r="DT58" s="286">
        <f>AnnualAggregations!$L50</f>
        <v>35893.000000000073</v>
      </c>
      <c r="DU58" s="443">
        <f>AnnualAggregations!$J50</f>
        <v>57171.996120841526</v>
      </c>
      <c r="DV58" s="442" t="s">
        <v>597</v>
      </c>
      <c r="DW58" s="286">
        <f>AnnualAggregations!$M50</f>
        <v>5000.0000000019172</v>
      </c>
      <c r="DX58" s="442" t="s">
        <v>597</v>
      </c>
      <c r="DY58" s="440" t="s">
        <v>628</v>
      </c>
      <c r="DZ58" s="440" t="s">
        <v>628</v>
      </c>
      <c r="EA58" s="440" t="s">
        <v>628</v>
      </c>
      <c r="EB58" s="440" t="s">
        <v>628</v>
      </c>
      <c r="EC58" s="286">
        <f>AnnualDeplReqs!$BG50</f>
        <v>12296.800000006155</v>
      </c>
      <c r="EE58" s="440" t="s">
        <v>628</v>
      </c>
      <c r="EF58" s="440" t="s">
        <v>628</v>
      </c>
      <c r="EG58" s="440" t="s">
        <v>628</v>
      </c>
      <c r="EH58" s="442" t="s">
        <v>597</v>
      </c>
      <c r="EL58" s="282">
        <v>1971</v>
      </c>
      <c r="EM58" s="286">
        <f>AnnualAggregations!S50</f>
        <v>314938.04679149308</v>
      </c>
      <c r="EN58" s="442" t="s">
        <v>597</v>
      </c>
      <c r="EO58" s="286">
        <f>AnnualDiversions!$AM50</f>
        <v>24160.880683189996</v>
      </c>
      <c r="EP58" s="286">
        <f>AnnualDiversions!$AK50</f>
        <v>15573.640281185075</v>
      </c>
      <c r="EQ58" s="286">
        <f>AnnualDiversions!$L50</f>
        <v>1800.0000000000014</v>
      </c>
      <c r="ER58" s="287">
        <f t="shared" si="77"/>
        <v>356472.56775586819</v>
      </c>
      <c r="ES58" s="286">
        <f>AnnualDiversions!$AO50</f>
        <v>1783.9999999997956</v>
      </c>
      <c r="ET58" s="286">
        <f>AnnualDiversions!$AY50</f>
        <v>2490.4977375562767</v>
      </c>
      <c r="EU58" s="286">
        <f>AnnualAggregations!$V50</f>
        <v>52739.575436739215</v>
      </c>
      <c r="EV58" s="286">
        <f>AnnualAggregations!$W50</f>
        <v>6034.8732939344218</v>
      </c>
      <c r="EW58" s="286">
        <f>AnnualAggregations!$X50</f>
        <v>18402.225737999397</v>
      </c>
      <c r="EX58" s="286">
        <f>AnnualDiversions!$AL50</f>
        <v>12078.291814945225</v>
      </c>
      <c r="EY58" s="286">
        <f>AnnualDiversions!$AG50</f>
        <v>14886.762058180811</v>
      </c>
      <c r="EZ58" s="286">
        <f>AnnualDiversions!$AN50</f>
        <v>4922.4405377450394</v>
      </c>
      <c r="FA58" s="287">
        <f t="shared" si="78"/>
        <v>111554.66661710039</v>
      </c>
      <c r="FB58" s="287">
        <f t="shared" si="79"/>
        <v>469811.23437296832</v>
      </c>
      <c r="FC58" s="286">
        <f>AnnualDiversions!$AP50</f>
        <v>378.87777777775057</v>
      </c>
      <c r="FD58" s="442" t="s">
        <v>597</v>
      </c>
      <c r="FE58" s="286">
        <f>AnnualDiversions!$AJ50</f>
        <v>38999.999998983854</v>
      </c>
      <c r="FF58" s="286">
        <f>AnnualDiversions!$BC50</f>
        <v>16199.99999897049</v>
      </c>
      <c r="FG58" s="286">
        <f>AnnualDiversions!$J50</f>
        <v>4166.6500000021233</v>
      </c>
      <c r="FH58" s="286">
        <f>AnnualAggregations!$Y50</f>
        <v>19374.983333335964</v>
      </c>
      <c r="FI58" s="287">
        <f t="shared" si="80"/>
        <v>79120.511109070183</v>
      </c>
      <c r="FJ58" s="287">
        <f t="shared" si="81"/>
        <v>79120.511109070183</v>
      </c>
      <c r="FK58" s="287">
        <f t="shared" si="82"/>
        <v>548931.74548203847</v>
      </c>
      <c r="FM58" s="440" t="s">
        <v>628</v>
      </c>
      <c r="FN58" s="440" t="s">
        <v>628</v>
      </c>
      <c r="FO58" s="440" t="s">
        <v>628</v>
      </c>
      <c r="FP58" s="440" t="s">
        <v>628</v>
      </c>
      <c r="FQ58" s="440" t="s">
        <v>628</v>
      </c>
      <c r="FR58" s="440" t="s">
        <v>628</v>
      </c>
      <c r="FS58" s="440" t="s">
        <v>628</v>
      </c>
      <c r="FT58" s="440" t="s">
        <v>628</v>
      </c>
      <c r="FU58" s="440" t="s">
        <v>628</v>
      </c>
      <c r="FV58" s="440" t="s">
        <v>628</v>
      </c>
      <c r="FW58" s="440" t="s">
        <v>628</v>
      </c>
      <c r="FX58" s="440" t="s">
        <v>628</v>
      </c>
      <c r="FY58" s="440" t="s">
        <v>628</v>
      </c>
      <c r="GA58" s="440" t="s">
        <v>628</v>
      </c>
      <c r="GC58" s="286">
        <f>AnnualAggregations!$T50</f>
        <v>37764.238566617591</v>
      </c>
      <c r="GD58" s="286">
        <f>AnnualAggregations!$R50</f>
        <v>109067.13000005133</v>
      </c>
      <c r="GE58" s="443">
        <f t="shared" si="83"/>
        <v>61272.241050227894</v>
      </c>
      <c r="GF58" s="286">
        <f>AnnualAggregations!$U50</f>
        <v>5000.0000000019172</v>
      </c>
      <c r="GG58" s="287">
        <f t="shared" si="84"/>
        <v>213103.60961689873</v>
      </c>
      <c r="GH58" s="440" t="s">
        <v>628</v>
      </c>
      <c r="GI58" s="440" t="s">
        <v>628</v>
      </c>
      <c r="GJ58" s="440" t="s">
        <v>628</v>
      </c>
      <c r="GK58" s="440" t="s">
        <v>628</v>
      </c>
      <c r="GL58" s="286">
        <f>AnnualDiversions!$BG50</f>
        <v>12296.800000006155</v>
      </c>
      <c r="GN58" s="440" t="s">
        <v>628</v>
      </c>
      <c r="GO58" s="440" t="s">
        <v>628</v>
      </c>
      <c r="GP58" s="440" t="s">
        <v>628</v>
      </c>
      <c r="GQ58" s="442" t="s">
        <v>597</v>
      </c>
      <c r="GU58" s="282">
        <v>1971</v>
      </c>
      <c r="GV58" s="286">
        <f>AnnualAggregations!AA50</f>
        <v>314938.04679149308</v>
      </c>
      <c r="GW58" s="442" t="s">
        <v>597</v>
      </c>
      <c r="GX58" s="286">
        <f>AnnualDivReqs!$AM50</f>
        <v>24160.880683189996</v>
      </c>
      <c r="GY58" s="286">
        <f>AnnualDivReqs!$AK50</f>
        <v>15573.640281185075</v>
      </c>
      <c r="GZ58" s="286">
        <f>AnnualDivReqs!$L50</f>
        <v>1800.0000000000014</v>
      </c>
      <c r="HA58" s="287">
        <f t="shared" si="85"/>
        <v>356472.56775586819</v>
      </c>
      <c r="HB58" s="286">
        <f>AnnualDivReqs!$AO50</f>
        <v>1783.9999999997956</v>
      </c>
      <c r="HC58" s="286">
        <f>AnnualDivReqs!$AY50</f>
        <v>2490.4977375562767</v>
      </c>
      <c r="HD58" s="286">
        <f>AnnualAggregations!$AD50</f>
        <v>52739.575436739215</v>
      </c>
      <c r="HE58" s="286">
        <f>AnnualAggregations!$AE50</f>
        <v>20692.883706724704</v>
      </c>
      <c r="HF58" s="286">
        <f>AnnualAggregations!$AF50</f>
        <v>18402.225737999397</v>
      </c>
      <c r="HG58" s="286">
        <f>AnnualDivReqs!$AL50</f>
        <v>12078.291814945225</v>
      </c>
      <c r="HH58" s="286">
        <f>AnnualDivReqs!$AG50</f>
        <v>14886.762058180811</v>
      </c>
      <c r="HI58" s="286">
        <f>AnnualDivReqs!$AN50</f>
        <v>4922.4405377450394</v>
      </c>
      <c r="HJ58" s="287">
        <f t="shared" si="86"/>
        <v>126212.67702989068</v>
      </c>
      <c r="HK58" s="287">
        <f t="shared" si="87"/>
        <v>484469.24478575867</v>
      </c>
      <c r="HL58" s="286">
        <f>AnnualDivReqs!$AP50</f>
        <v>378.87777777775057</v>
      </c>
      <c r="HM58" s="442" t="s">
        <v>597</v>
      </c>
      <c r="HN58" s="286">
        <f>AnnualDivReqs!$AJ50</f>
        <v>38999.999998983854</v>
      </c>
      <c r="HO58" s="286">
        <f>AnnualDivReqs!$BC50</f>
        <v>16199.99999897049</v>
      </c>
      <c r="HP58" s="286">
        <f>AnnualDivReqs!$J50</f>
        <v>4166.6500000021233</v>
      </c>
      <c r="HQ58" s="286">
        <f>AnnualAggregations!$AG50</f>
        <v>19374.983333335964</v>
      </c>
      <c r="HR58" s="287">
        <f t="shared" si="88"/>
        <v>79120.511109070183</v>
      </c>
      <c r="HS58" s="287">
        <f t="shared" si="89"/>
        <v>79120.511109070183</v>
      </c>
      <c r="HT58" s="287">
        <f t="shared" si="90"/>
        <v>563589.75589482882</v>
      </c>
      <c r="HV58" s="440" t="s">
        <v>628</v>
      </c>
      <c r="HW58" s="440" t="s">
        <v>628</v>
      </c>
      <c r="HX58" s="440" t="s">
        <v>628</v>
      </c>
      <c r="HY58" s="440" t="s">
        <v>628</v>
      </c>
      <c r="HZ58" s="440" t="s">
        <v>628</v>
      </c>
      <c r="IA58" s="440" t="s">
        <v>628</v>
      </c>
      <c r="IB58" s="440" t="s">
        <v>628</v>
      </c>
      <c r="IC58" s="440" t="s">
        <v>628</v>
      </c>
      <c r="ID58" s="440" t="s">
        <v>628</v>
      </c>
      <c r="IE58" s="440" t="s">
        <v>628</v>
      </c>
      <c r="IF58" s="440" t="s">
        <v>628</v>
      </c>
      <c r="IG58" s="440" t="s">
        <v>628</v>
      </c>
      <c r="IH58" s="440" t="s">
        <v>628</v>
      </c>
      <c r="IJ58" s="440" t="s">
        <v>628</v>
      </c>
      <c r="IL58" s="286">
        <f>AnnualAggregations!$AB50</f>
        <v>37764.238566617634</v>
      </c>
      <c r="IM58" s="286">
        <f>AnnualAggregations!$Z50</f>
        <v>109072.72294610862</v>
      </c>
      <c r="IN58" s="442" t="s">
        <v>597</v>
      </c>
      <c r="IO58" s="286">
        <f>AnnualAggregations!$AC50</f>
        <v>5000.0000000019172</v>
      </c>
      <c r="IP58" s="442" t="s">
        <v>597</v>
      </c>
      <c r="IQ58" s="440" t="s">
        <v>628</v>
      </c>
      <c r="IR58" s="440" t="s">
        <v>628</v>
      </c>
      <c r="IS58" s="440" t="s">
        <v>628</v>
      </c>
      <c r="IT58" s="440" t="s">
        <v>628</v>
      </c>
      <c r="IU58" s="286">
        <f>AnnualDivReqs!$BG50</f>
        <v>12296.800000006155</v>
      </c>
      <c r="IW58" s="440" t="s">
        <v>628</v>
      </c>
      <c r="IX58" s="440" t="s">
        <v>628</v>
      </c>
      <c r="IY58" s="440" t="s">
        <v>628</v>
      </c>
      <c r="IZ58" s="442" t="s">
        <v>597</v>
      </c>
    </row>
    <row r="59" spans="1:260" x14ac:dyDescent="0.25">
      <c r="A59" s="480" t="str">
        <f>ADDRESS(ROW(SJRIPSummary!E51),COLUMN(SJRIPSummary!E51),4,1)</f>
        <v>E51</v>
      </c>
      <c r="B59" s="480" t="str">
        <f t="shared" si="57"/>
        <v>51</v>
      </c>
      <c r="C59" t="s">
        <v>119</v>
      </c>
      <c r="D59" s="404">
        <v>44</v>
      </c>
      <c r="E59" s="404">
        <v>105</v>
      </c>
      <c r="F59" s="404">
        <v>166</v>
      </c>
      <c r="G59" s="404">
        <v>227</v>
      </c>
      <c r="H59" s="396"/>
      <c r="I59" s="620"/>
      <c r="J59" s="621"/>
      <c r="K59" s="621"/>
      <c r="L59" s="175" t="s">
        <v>119</v>
      </c>
      <c r="M59" s="174">
        <f ca="1">ROUND(SJRIPSummaryRAW!B58,-2)</f>
        <v>57100</v>
      </c>
      <c r="N59" s="148"/>
      <c r="O59" s="221">
        <f ca="1">ROUND(SJRIPSummaryRAW!D58,-2)</f>
        <v>57200</v>
      </c>
      <c r="P59" s="222">
        <f ca="1">ROUND(SJRIPSummaryRAW!E58,-2)</f>
        <v>56600</v>
      </c>
      <c r="Q59" s="396"/>
      <c r="R59" s="21"/>
      <c r="S59" s="21"/>
      <c r="T59" s="282">
        <v>1972</v>
      </c>
      <c r="U59" s="286">
        <f>AnnualAggregations!$C51</f>
        <v>270124.56335813185</v>
      </c>
      <c r="V59" s="286">
        <f>AnnualDepletions!$BI51</f>
        <v>4377.2432824737898</v>
      </c>
      <c r="W59" s="286">
        <f>AnnualDepletions!$AM51</f>
        <v>12100.000000000016</v>
      </c>
      <c r="X59" s="286">
        <f>AnnualDepletions!$AK51</f>
        <v>7970.0000000000082</v>
      </c>
      <c r="Y59" s="286">
        <f>AnnualDepletions!$L51</f>
        <v>900.00000000000125</v>
      </c>
      <c r="Z59" s="287">
        <f t="shared" si="58"/>
        <v>295471.80664060562</v>
      </c>
      <c r="AA59" s="286">
        <f>AnnualDepletions!$AO51</f>
        <v>1201.999999999862</v>
      </c>
      <c r="AB59" s="286">
        <f>AnnualDepletions!$AY51</f>
        <v>1648.9999999998106</v>
      </c>
      <c r="AC59" s="286">
        <f>AnnualAggregations!$F51</f>
        <v>32918.854342494131</v>
      </c>
      <c r="AD59" s="286">
        <f>AnnualAggregations!$G51</f>
        <v>1387.0084815530856</v>
      </c>
      <c r="AE59" s="286">
        <f>AnnualAggregations!$H51</f>
        <v>13454.999999998448</v>
      </c>
      <c r="AF59" s="286">
        <f>AnnualDepletions!$AL51</f>
        <v>11397.999999998687</v>
      </c>
      <c r="AG59" s="286">
        <f>AnnualDepletions!$AG51</f>
        <v>9211.230723389097</v>
      </c>
      <c r="AH59" s="286">
        <f>AnnualDepletions!$AN51</f>
        <v>3084.9999999996453</v>
      </c>
      <c r="AI59" s="287">
        <f t="shared" si="59"/>
        <v>73104.093547432916</v>
      </c>
      <c r="AJ59" s="287">
        <f t="shared" si="60"/>
        <v>369777.90018803842</v>
      </c>
      <c r="AK59" s="286">
        <f>AnnualDepletions!$AP51</f>
        <v>340.98999999997511</v>
      </c>
      <c r="AL59" s="286">
        <f>AnnualDepletions!$BH51</f>
        <v>28499.854368710523</v>
      </c>
      <c r="AM59" s="286">
        <f>AnnualDepletions!$AJ51</f>
        <v>38999.999998983862</v>
      </c>
      <c r="AN59" s="286">
        <f>AnnualDepletions!$BC51</f>
        <v>16199.999998970494</v>
      </c>
      <c r="AO59" s="286">
        <f>AnnualDepletions!$J51</f>
        <v>2499.9900000012672</v>
      </c>
      <c r="AP59" s="286">
        <f>AnnualAggregations!$I51</f>
        <v>11624.990000001573</v>
      </c>
      <c r="AQ59" s="287">
        <f t="shared" si="61"/>
        <v>69665.969997957174</v>
      </c>
      <c r="AR59" s="287">
        <f t="shared" si="62"/>
        <v>98165.824366667701</v>
      </c>
      <c r="AS59" s="287">
        <f t="shared" si="63"/>
        <v>467943.72455470613</v>
      </c>
      <c r="AU59" s="321">
        <f ca="1">StateModDepletions_ThisScenario!AC49</f>
        <v>29985.079167213291</v>
      </c>
      <c r="AV59" s="321">
        <f ca="1">StateModDepletions_ThisScenario!AD49</f>
        <v>16561.59186783433</v>
      </c>
      <c r="AW59" s="321">
        <f ca="1">StateModDepletions_ThisScenario!AE49</f>
        <v>105184.46034565568</v>
      </c>
      <c r="AX59" s="321">
        <f ca="1">StateModDepletions_ThisScenario!AB49</f>
        <v>24765.810481309891</v>
      </c>
      <c r="AY59" s="288">
        <f t="shared" ca="1" si="64"/>
        <v>176496.94186201319</v>
      </c>
      <c r="AZ59" s="321">
        <f ca="1">StateModDepletions_ThisScenario!AG49</f>
        <v>26396.263711957708</v>
      </c>
      <c r="BA59" s="321">
        <f ca="1">StateModDepletions_ThisScenario!AF49</f>
        <v>18658.707079261541</v>
      </c>
      <c r="BB59" s="321">
        <f ca="1">StateModDepletions_ThisScenario!AH49</f>
        <v>11267.71421604231</v>
      </c>
      <c r="BC59" s="321">
        <f ca="1">StateModDepletions_ThisScenario!AI49</f>
        <v>9684.957607850507</v>
      </c>
      <c r="BD59" s="321">
        <f ca="1">StateModDepletions_ThisScenario!N49</f>
        <v>1326.6977829933167</v>
      </c>
      <c r="BE59" s="321">
        <f ca="1">StateModDepletions_ThisScenario!V49</f>
        <v>8836.2280311584473</v>
      </c>
      <c r="BF59" s="288">
        <f t="shared" ca="1" si="65"/>
        <v>76170.568429263833</v>
      </c>
      <c r="BG59" s="288">
        <f t="shared" ca="1" si="66"/>
        <v>252667.51029127702</v>
      </c>
      <c r="BI59" s="288">
        <f t="shared" ca="1" si="67"/>
        <v>720611.2348459831</v>
      </c>
      <c r="BK59" s="286">
        <f>AnnualAggregations!$D51</f>
        <v>35893.000000000036</v>
      </c>
      <c r="BL59" s="286">
        <f>AnnualAggregations!$B51</f>
        <v>57107.805153005611</v>
      </c>
      <c r="BM59" s="286">
        <f>AnnualDepletions!$BK51</f>
        <v>60245.521726773353</v>
      </c>
      <c r="BN59" s="286">
        <f>AnnualAggregations!$E51</f>
        <v>5000.0000000019463</v>
      </c>
      <c r="BO59" s="287">
        <f t="shared" si="68"/>
        <v>158246.32687978094</v>
      </c>
      <c r="BP59" s="321">
        <f ca="1">StateModDepletions_ThisScenario!Y49</f>
        <v>212.11356273293495</v>
      </c>
      <c r="BQ59" s="321">
        <f ca="1">StateModDepletions_ThisScenario!AJ49</f>
        <v>145768.24416999574</v>
      </c>
      <c r="BR59" s="321">
        <f ca="1">StateModDepletions_ThisScenario!Z49</f>
        <v>203495.78237521648</v>
      </c>
      <c r="BS59" s="321">
        <f ca="1">StateModDepletions_ThisScenario!AA49</f>
        <v>57515.424642487793</v>
      </c>
      <c r="BT59" s="286">
        <f>AnnualDepletions!$BG51</f>
        <v>12296.800000006155</v>
      </c>
      <c r="BV59" s="287">
        <f t="shared" ca="1" si="69"/>
        <v>891154.36172577017</v>
      </c>
      <c r="BW59" s="287">
        <f t="shared" ca="1" si="70"/>
        <v>833638.93708328239</v>
      </c>
      <c r="BX59" s="287">
        <f t="shared" ca="1" si="91"/>
        <v>848513.93708328239</v>
      </c>
      <c r="BY59" s="287">
        <f>SJRIPSummaryRAW!$B$79</f>
        <v>14875</v>
      </c>
      <c r="CC59" s="282">
        <v>1972</v>
      </c>
      <c r="CD59" s="286">
        <f>AnnualAggregations!K51</f>
        <v>270124.56335813185</v>
      </c>
      <c r="CE59" s="442" t="s">
        <v>597</v>
      </c>
      <c r="CF59" s="286">
        <f>AnnualDeplReqs!$AM51</f>
        <v>12100.000000000016</v>
      </c>
      <c r="CG59" s="286">
        <f>AnnualDeplReqs!$AK51</f>
        <v>7970.0000000000082</v>
      </c>
      <c r="CH59" s="286">
        <f>AnnualDeplReqs!$L51</f>
        <v>900.00000000000125</v>
      </c>
      <c r="CI59" s="443">
        <f t="shared" si="71"/>
        <v>295471.80664060562</v>
      </c>
      <c r="CJ59" s="286">
        <f>AnnualDeplReqs!$AO51</f>
        <v>1201.999999999862</v>
      </c>
      <c r="CK59" s="286">
        <f>AnnualDeplReqs!$AY51</f>
        <v>1648.9999999998106</v>
      </c>
      <c r="CL59" s="286">
        <f>AnnualAggregations!$N51</f>
        <v>32918.854342494131</v>
      </c>
      <c r="CM59" s="286">
        <f>AnnualAggregations!$O51</f>
        <v>12071.999999998608</v>
      </c>
      <c r="CN59" s="286">
        <f>AnnualAggregations!$P51</f>
        <v>13454.999999998448</v>
      </c>
      <c r="CO59" s="286">
        <f>AnnualDeplReqs!$AL51</f>
        <v>11397.999999998687</v>
      </c>
      <c r="CP59" s="286">
        <f>AnnualDeplReqs!$AG51</f>
        <v>9217.9999999989341</v>
      </c>
      <c r="CQ59" s="286">
        <f>AnnualDeplReqs!$AN51</f>
        <v>3084.9999999996453</v>
      </c>
      <c r="CR59" s="287">
        <f t="shared" si="72"/>
        <v>83795.854342488281</v>
      </c>
      <c r="CS59" s="287">
        <f t="shared" si="73"/>
        <v>380469.66098309378</v>
      </c>
      <c r="CT59" s="286">
        <f>AnnualDeplReqs!$AP51</f>
        <v>340.98999999997511</v>
      </c>
      <c r="CU59" s="442" t="s">
        <v>597</v>
      </c>
      <c r="CV59" s="286">
        <f>AnnualDeplReqs!$AJ51</f>
        <v>38999.999998983862</v>
      </c>
      <c r="CW59" s="286">
        <f>AnnualDeplReqs!$BC51</f>
        <v>16199.999998970494</v>
      </c>
      <c r="CX59" s="286">
        <f>AnnualDeplReqs!$J51</f>
        <v>2499.9900000012672</v>
      </c>
      <c r="CY59" s="286">
        <f>AnnualAggregations!$Q51</f>
        <v>11624.990000001573</v>
      </c>
      <c r="CZ59" s="287">
        <f t="shared" si="74"/>
        <v>69665.969997957174</v>
      </c>
      <c r="DA59" s="443">
        <f t="shared" si="75"/>
        <v>98165.824366667701</v>
      </c>
      <c r="DB59" s="287">
        <f t="shared" si="76"/>
        <v>478635.4853497615</v>
      </c>
      <c r="DD59" s="440" t="s">
        <v>628</v>
      </c>
      <c r="DE59" s="440" t="s">
        <v>628</v>
      </c>
      <c r="DF59" s="440" t="s">
        <v>628</v>
      </c>
      <c r="DG59" s="440" t="s">
        <v>628</v>
      </c>
      <c r="DH59" s="440" t="s">
        <v>628</v>
      </c>
      <c r="DI59" s="440" t="s">
        <v>628</v>
      </c>
      <c r="DJ59" s="440" t="s">
        <v>628</v>
      </c>
      <c r="DK59" s="440" t="s">
        <v>628</v>
      </c>
      <c r="DL59" s="440" t="s">
        <v>628</v>
      </c>
      <c r="DM59" s="440" t="s">
        <v>628</v>
      </c>
      <c r="DN59" s="440" t="s">
        <v>628</v>
      </c>
      <c r="DO59" s="440" t="s">
        <v>628</v>
      </c>
      <c r="DP59" s="440" t="s">
        <v>628</v>
      </c>
      <c r="DR59" s="440" t="s">
        <v>628</v>
      </c>
      <c r="DT59" s="286">
        <f>AnnualAggregations!$L51</f>
        <v>35893.000000000073</v>
      </c>
      <c r="DU59" s="443">
        <f>AnnualAggregations!$J51</f>
        <v>57317.887421822918</v>
      </c>
      <c r="DV59" s="442" t="s">
        <v>597</v>
      </c>
      <c r="DW59" s="286">
        <f>AnnualAggregations!$M51</f>
        <v>5000.0000000019463</v>
      </c>
      <c r="DX59" s="442" t="s">
        <v>597</v>
      </c>
      <c r="DY59" s="440" t="s">
        <v>628</v>
      </c>
      <c r="DZ59" s="440" t="s">
        <v>628</v>
      </c>
      <c r="EA59" s="440" t="s">
        <v>628</v>
      </c>
      <c r="EB59" s="440" t="s">
        <v>628</v>
      </c>
      <c r="EC59" s="286">
        <f>AnnualDeplReqs!$BG51</f>
        <v>12296.800000006155</v>
      </c>
      <c r="EE59" s="440" t="s">
        <v>628</v>
      </c>
      <c r="EF59" s="440" t="s">
        <v>628</v>
      </c>
      <c r="EG59" s="440" t="s">
        <v>628</v>
      </c>
      <c r="EH59" s="442" t="s">
        <v>597</v>
      </c>
      <c r="EL59" s="282">
        <v>1972</v>
      </c>
      <c r="EM59" s="286">
        <f>AnnualAggregations!S51</f>
        <v>337655.70419766405</v>
      </c>
      <c r="EN59" s="442" t="s">
        <v>597</v>
      </c>
      <c r="EO59" s="286">
        <f>AnnualDiversions!$AM51</f>
        <v>24160.880683189986</v>
      </c>
      <c r="EP59" s="286">
        <f>AnnualDiversions!$AK51</f>
        <v>15864.246446422741</v>
      </c>
      <c r="EQ59" s="286">
        <f>AnnualDiversions!$L51</f>
        <v>1800.0000000000025</v>
      </c>
      <c r="ER59" s="287">
        <f t="shared" si="77"/>
        <v>379480.83132727677</v>
      </c>
      <c r="ES59" s="286">
        <f>AnnualDiversions!$AO51</f>
        <v>2403.999999999724</v>
      </c>
      <c r="ET59" s="286">
        <f>AnnualDiversions!$AY51</f>
        <v>2984.6153846150396</v>
      </c>
      <c r="EU59" s="286">
        <f>AnnualAggregations!$V51</f>
        <v>55242.025407338115</v>
      </c>
      <c r="EV59" s="286">
        <f>AnnualAggregations!$W51</f>
        <v>2193.9872145453401</v>
      </c>
      <c r="EW59" s="286">
        <f>AnnualAggregations!$X51</f>
        <v>20625.241566707176</v>
      </c>
      <c r="EX59" s="286">
        <f>AnnualDiversions!$AL51</f>
        <v>13520.75919335551</v>
      </c>
      <c r="EY59" s="286">
        <f>AnnualDiversions!$AG51</f>
        <v>17457.084664814</v>
      </c>
      <c r="EZ59" s="286">
        <f>AnnualDiversions!$AN51</f>
        <v>5800.5076619340871</v>
      </c>
      <c r="FA59" s="287">
        <f t="shared" si="78"/>
        <v>117824.22109330927</v>
      </c>
      <c r="FB59" s="287">
        <f t="shared" si="79"/>
        <v>499709.05242058577</v>
      </c>
      <c r="FC59" s="286">
        <f>AnnualDiversions!$AP51</f>
        <v>378.87777777775057</v>
      </c>
      <c r="FD59" s="442" t="s">
        <v>597</v>
      </c>
      <c r="FE59" s="286">
        <f>AnnualDiversions!$AJ51</f>
        <v>38999.999998983862</v>
      </c>
      <c r="FF59" s="286">
        <f>AnnualDiversions!$BC51</f>
        <v>16199.999998970494</v>
      </c>
      <c r="FG59" s="286">
        <f>AnnualDiversions!$J51</f>
        <v>4166.6500000021233</v>
      </c>
      <c r="FH59" s="286">
        <f>AnnualAggregations!$Y51</f>
        <v>19374.983333335967</v>
      </c>
      <c r="FI59" s="287">
        <f t="shared" si="80"/>
        <v>79120.511109070212</v>
      </c>
      <c r="FJ59" s="287">
        <f t="shared" si="81"/>
        <v>79120.511109070198</v>
      </c>
      <c r="FK59" s="287">
        <f t="shared" si="82"/>
        <v>578829.56352965592</v>
      </c>
      <c r="FM59" s="440" t="s">
        <v>628</v>
      </c>
      <c r="FN59" s="440" t="s">
        <v>628</v>
      </c>
      <c r="FO59" s="440" t="s">
        <v>628</v>
      </c>
      <c r="FP59" s="440" t="s">
        <v>628</v>
      </c>
      <c r="FQ59" s="440" t="s">
        <v>628</v>
      </c>
      <c r="FR59" s="440" t="s">
        <v>628</v>
      </c>
      <c r="FS59" s="440" t="s">
        <v>628</v>
      </c>
      <c r="FT59" s="440" t="s">
        <v>628</v>
      </c>
      <c r="FU59" s="440" t="s">
        <v>628</v>
      </c>
      <c r="FV59" s="440" t="s">
        <v>628</v>
      </c>
      <c r="FW59" s="440" t="s">
        <v>628</v>
      </c>
      <c r="FX59" s="440" t="s">
        <v>628</v>
      </c>
      <c r="FY59" s="440" t="s">
        <v>628</v>
      </c>
      <c r="GA59" s="440" t="s">
        <v>628</v>
      </c>
      <c r="GC59" s="286">
        <f>AnnualAggregations!$T51</f>
        <v>37763.476493275411</v>
      </c>
      <c r="GD59" s="286">
        <f>AnnualAggregations!$R51</f>
        <v>109067.13000005131</v>
      </c>
      <c r="GE59" s="443">
        <f t="shared" si="83"/>
        <v>60245.521726773353</v>
      </c>
      <c r="GF59" s="286">
        <f>AnnualAggregations!$U51</f>
        <v>5000.0000000019463</v>
      </c>
      <c r="GG59" s="287">
        <f t="shared" si="84"/>
        <v>212076.12822010202</v>
      </c>
      <c r="GH59" s="440" t="s">
        <v>628</v>
      </c>
      <c r="GI59" s="440" t="s">
        <v>628</v>
      </c>
      <c r="GJ59" s="440" t="s">
        <v>628</v>
      </c>
      <c r="GK59" s="440" t="s">
        <v>628</v>
      </c>
      <c r="GL59" s="286">
        <f>AnnualDiversions!$BG51</f>
        <v>12296.800000006155</v>
      </c>
      <c r="GN59" s="440" t="s">
        <v>628</v>
      </c>
      <c r="GO59" s="440" t="s">
        <v>628</v>
      </c>
      <c r="GP59" s="440" t="s">
        <v>628</v>
      </c>
      <c r="GQ59" s="442" t="s">
        <v>597</v>
      </c>
      <c r="GU59" s="282">
        <v>1972</v>
      </c>
      <c r="GV59" s="286">
        <f>AnnualAggregations!AA51</f>
        <v>337655.70419766405</v>
      </c>
      <c r="GW59" s="442" t="s">
        <v>597</v>
      </c>
      <c r="GX59" s="286">
        <f>AnnualDivReqs!$AM51</f>
        <v>24160.880683189986</v>
      </c>
      <c r="GY59" s="286">
        <f>AnnualDivReqs!$AK51</f>
        <v>15864.246446422741</v>
      </c>
      <c r="GZ59" s="286">
        <f>AnnualDivReqs!$L51</f>
        <v>1800.0000000000025</v>
      </c>
      <c r="HA59" s="287">
        <f t="shared" si="85"/>
        <v>379480.83132727677</v>
      </c>
      <c r="HB59" s="286">
        <f>AnnualDivReqs!$AO51</f>
        <v>2403.999999999724</v>
      </c>
      <c r="HC59" s="286">
        <f>AnnualDivReqs!$AY51</f>
        <v>2984.6153846150396</v>
      </c>
      <c r="HD59" s="286">
        <f>AnnualAggregations!$AD51</f>
        <v>55242.025407338115</v>
      </c>
      <c r="HE59" s="286">
        <f>AnnualAggregations!$AE51</f>
        <v>21623.343458670326</v>
      </c>
      <c r="HF59" s="286">
        <f>AnnualAggregations!$AF51</f>
        <v>20625.241566707176</v>
      </c>
      <c r="HG59" s="286">
        <f>AnnualDivReqs!$AL51</f>
        <v>13520.75919335551</v>
      </c>
      <c r="HH59" s="286">
        <f>AnnualDivReqs!$AG51</f>
        <v>17469.913768594608</v>
      </c>
      <c r="HI59" s="286">
        <f>AnnualDivReqs!$AN51</f>
        <v>5800.5076619340871</v>
      </c>
      <c r="HJ59" s="287">
        <f t="shared" si="86"/>
        <v>137266.40644121487</v>
      </c>
      <c r="HK59" s="287">
        <f t="shared" si="87"/>
        <v>519151.23776849138</v>
      </c>
      <c r="HL59" s="286">
        <f>AnnualDivReqs!$AP51</f>
        <v>378.87777777775057</v>
      </c>
      <c r="HM59" s="442" t="s">
        <v>597</v>
      </c>
      <c r="HN59" s="286">
        <f>AnnualDivReqs!$AJ51</f>
        <v>38999.999998983862</v>
      </c>
      <c r="HO59" s="286">
        <f>AnnualDivReqs!$BC51</f>
        <v>16199.999998970494</v>
      </c>
      <c r="HP59" s="286">
        <f>AnnualDivReqs!$J51</f>
        <v>4166.6500000021233</v>
      </c>
      <c r="HQ59" s="286">
        <f>AnnualAggregations!$AG51</f>
        <v>19374.983333335967</v>
      </c>
      <c r="HR59" s="287">
        <f t="shared" si="88"/>
        <v>79120.511109070212</v>
      </c>
      <c r="HS59" s="287">
        <f t="shared" si="89"/>
        <v>79120.511109070198</v>
      </c>
      <c r="HT59" s="287">
        <f t="shared" si="90"/>
        <v>598271.74887756153</v>
      </c>
      <c r="HV59" s="440" t="s">
        <v>628</v>
      </c>
      <c r="HW59" s="440" t="s">
        <v>628</v>
      </c>
      <c r="HX59" s="440" t="s">
        <v>628</v>
      </c>
      <c r="HY59" s="440" t="s">
        <v>628</v>
      </c>
      <c r="HZ59" s="440" t="s">
        <v>628</v>
      </c>
      <c r="IA59" s="440" t="s">
        <v>628</v>
      </c>
      <c r="IB59" s="440" t="s">
        <v>628</v>
      </c>
      <c r="IC59" s="440" t="s">
        <v>628</v>
      </c>
      <c r="ID59" s="440" t="s">
        <v>628</v>
      </c>
      <c r="IE59" s="440" t="s">
        <v>628</v>
      </c>
      <c r="IF59" s="440" t="s">
        <v>628</v>
      </c>
      <c r="IG59" s="440" t="s">
        <v>628</v>
      </c>
      <c r="IH59" s="440" t="s">
        <v>628</v>
      </c>
      <c r="IJ59" s="440" t="s">
        <v>628</v>
      </c>
      <c r="IL59" s="286">
        <f>AnnualAggregations!$AB51</f>
        <v>37763.476493275448</v>
      </c>
      <c r="IM59" s="286">
        <f>AnnualAggregations!$Z51</f>
        <v>109487.29453768593</v>
      </c>
      <c r="IN59" s="442" t="s">
        <v>597</v>
      </c>
      <c r="IO59" s="286">
        <f>AnnualAggregations!$AC51</f>
        <v>5000.0000000019463</v>
      </c>
      <c r="IP59" s="442" t="s">
        <v>597</v>
      </c>
      <c r="IQ59" s="440" t="s">
        <v>628</v>
      </c>
      <c r="IR59" s="440" t="s">
        <v>628</v>
      </c>
      <c r="IS59" s="440" t="s">
        <v>628</v>
      </c>
      <c r="IT59" s="440" t="s">
        <v>628</v>
      </c>
      <c r="IU59" s="286">
        <f>AnnualDivReqs!$BG51</f>
        <v>12296.800000006155</v>
      </c>
      <c r="IW59" s="440" t="s">
        <v>628</v>
      </c>
      <c r="IX59" s="440" t="s">
        <v>628</v>
      </c>
      <c r="IY59" s="440" t="s">
        <v>628</v>
      </c>
      <c r="IZ59" s="442" t="s">
        <v>597</v>
      </c>
    </row>
    <row r="60" spans="1:260" x14ac:dyDescent="0.25">
      <c r="A60" s="480" t="str">
        <f>ADDRESS(ROW(SJRIPSummary!E52),COLUMN(SJRIPSummary!E52),4,1)</f>
        <v>E52</v>
      </c>
      <c r="B60" s="480" t="str">
        <f t="shared" si="57"/>
        <v>52</v>
      </c>
      <c r="C60" t="s">
        <v>120</v>
      </c>
      <c r="D60" s="404">
        <v>45</v>
      </c>
      <c r="E60" s="404">
        <v>106</v>
      </c>
      <c r="F60" s="404">
        <v>167</v>
      </c>
      <c r="G60" s="404">
        <v>228</v>
      </c>
      <c r="H60" s="396"/>
      <c r="I60" s="620"/>
      <c r="J60" s="621"/>
      <c r="K60" s="621"/>
      <c r="L60" s="175" t="s">
        <v>120</v>
      </c>
      <c r="M60" s="174">
        <f ca="1">ROUND(SJRIPSummaryRAW!B59,-2)</f>
        <v>105200</v>
      </c>
      <c r="N60" s="148"/>
      <c r="O60" s="221">
        <f ca="1">ROUND(SJRIPSummaryRAW!D59,-2)</f>
        <v>233500</v>
      </c>
      <c r="P60" s="222">
        <f ca="1">ROUND(SJRIPSummaryRAW!E59,-2)</f>
        <v>7300</v>
      </c>
      <c r="Q60" s="396"/>
      <c r="R60" s="21"/>
      <c r="S60" s="21"/>
      <c r="T60" s="282">
        <v>1973</v>
      </c>
      <c r="U60" s="286">
        <f>AnnualAggregations!$C52</f>
        <v>233345.63642122349</v>
      </c>
      <c r="V60" s="286">
        <f>AnnualDepletions!$BI52</f>
        <v>-2842.8927349919904</v>
      </c>
      <c r="W60" s="286">
        <f>AnnualDepletions!$AM52</f>
        <v>12100.000000000007</v>
      </c>
      <c r="X60" s="286">
        <f>AnnualDepletions!$AK52</f>
        <v>7970</v>
      </c>
      <c r="Y60" s="286">
        <f>AnnualDepletions!$L52</f>
        <v>900.00000000000057</v>
      </c>
      <c r="Z60" s="287">
        <f t="shared" si="58"/>
        <v>251472.74368623149</v>
      </c>
      <c r="AA60" s="286">
        <f>AnnualDepletions!$AO52</f>
        <v>876.99999999989939</v>
      </c>
      <c r="AB60" s="286">
        <f>AnnualDepletions!$AY52</f>
        <v>1405.9999999998388</v>
      </c>
      <c r="AC60" s="286">
        <f>AnnualAggregations!$F52</f>
        <v>28435.487411814487</v>
      </c>
      <c r="AD60" s="286">
        <f>AnnualAggregations!$G52</f>
        <v>5713.1696961229609</v>
      </c>
      <c r="AE60" s="286">
        <f>AnnualAggregations!$H52</f>
        <v>11865.999999998636</v>
      </c>
      <c r="AF60" s="286">
        <f>AnnualDepletions!$AL52</f>
        <v>10124.999999998838</v>
      </c>
      <c r="AG60" s="286">
        <f>AnnualDepletions!$AG52</f>
        <v>7925.999999999086</v>
      </c>
      <c r="AH60" s="286">
        <f>AnnualDepletions!$AN52</f>
        <v>2684.9999999996899</v>
      </c>
      <c r="AI60" s="287">
        <f t="shared" si="59"/>
        <v>68156.657107933541</v>
      </c>
      <c r="AJ60" s="287">
        <f t="shared" si="60"/>
        <v>320506.40079416498</v>
      </c>
      <c r="AK60" s="286">
        <f>AnnualDepletions!$AP52</f>
        <v>340.98999999997505</v>
      </c>
      <c r="AL60" s="286">
        <f>AnnualDepletions!$BH52</f>
        <v>28145.681271460613</v>
      </c>
      <c r="AM60" s="286">
        <f>AnnualDepletions!$AJ52</f>
        <v>38999.999998983854</v>
      </c>
      <c r="AN60" s="286">
        <f>AnnualDepletions!$BC52</f>
        <v>16199.99999897049</v>
      </c>
      <c r="AO60" s="286">
        <f>AnnualDepletions!$J52</f>
        <v>2499.9900000012672</v>
      </c>
      <c r="AP60" s="286">
        <f>AnnualAggregations!$I52</f>
        <v>11624.990000001573</v>
      </c>
      <c r="AQ60" s="287">
        <f t="shared" si="61"/>
        <v>69665.96999795716</v>
      </c>
      <c r="AR60" s="287">
        <f t="shared" si="62"/>
        <v>97811.65126941778</v>
      </c>
      <c r="AS60" s="287">
        <f t="shared" si="63"/>
        <v>418318.05206358276</v>
      </c>
      <c r="AU60" s="321">
        <f ca="1">StateModDepletions_ThisScenario!AC50</f>
        <v>33134.017531111836</v>
      </c>
      <c r="AV60" s="321">
        <f ca="1">StateModDepletions_ThisScenario!AD50</f>
        <v>17773.175035774708</v>
      </c>
      <c r="AW60" s="321">
        <f ca="1">StateModDepletions_ThisScenario!AE50</f>
        <v>103430.39399935305</v>
      </c>
      <c r="AX60" s="321">
        <f ca="1">StateModDepletions_ThisScenario!AB50</f>
        <v>24765.810481309891</v>
      </c>
      <c r="AY60" s="288">
        <f t="shared" ca="1" si="64"/>
        <v>179103.39704754949</v>
      </c>
      <c r="AZ60" s="321">
        <f ca="1">StateModDepletions_ThisScenario!AG50</f>
        <v>46713.022593839545</v>
      </c>
      <c r="BA60" s="321">
        <f ca="1">StateModDepletions_ThisScenario!AF50</f>
        <v>18023.413944572178</v>
      </c>
      <c r="BB60" s="321">
        <f ca="1">StateModDepletions_ThisScenario!AH50</f>
        <v>21390.234972920269</v>
      </c>
      <c r="BC60" s="321">
        <f ca="1">StateModDepletions_ThisScenario!AI50</f>
        <v>26116.574057456033</v>
      </c>
      <c r="BD60" s="321">
        <f ca="1">StateModDepletions_ThisScenario!N50</f>
        <v>1326.6977829933167</v>
      </c>
      <c r="BE60" s="321">
        <f ca="1">StateModDepletions_ThisScenario!V50</f>
        <v>15842.156903266907</v>
      </c>
      <c r="BF60" s="288">
        <f t="shared" ca="1" si="65"/>
        <v>129412.10025504825</v>
      </c>
      <c r="BG60" s="288">
        <f t="shared" ca="1" si="66"/>
        <v>308515.49730259774</v>
      </c>
      <c r="BI60" s="288">
        <f t="shared" ca="1" si="67"/>
        <v>726833.54936618055</v>
      </c>
      <c r="BK60" s="286">
        <f>AnnualAggregations!$D52</f>
        <v>35893.000000000073</v>
      </c>
      <c r="BL60" s="286">
        <f>AnnualAggregations!$B52</f>
        <v>57173.855514924762</v>
      </c>
      <c r="BM60" s="286">
        <f>AnnualDepletions!$BK52</f>
        <v>171559.00874659489</v>
      </c>
      <c r="BN60" s="286">
        <f>AnnualAggregations!$E52</f>
        <v>5000.0000000019172</v>
      </c>
      <c r="BO60" s="287">
        <f t="shared" si="68"/>
        <v>269625.86426152167</v>
      </c>
      <c r="BP60" s="321">
        <f ca="1">StateModDepletions_ThisScenario!Y50</f>
        <v>212.11356273293495</v>
      </c>
      <c r="BQ60" s="321">
        <f ca="1">StateModDepletions_ThisScenario!AJ50</f>
        <v>127281.18966420337</v>
      </c>
      <c r="BR60" s="321">
        <f ca="1">StateModDepletions_ThisScenario!Z50</f>
        <v>194350.9814043045</v>
      </c>
      <c r="BS60" s="321">
        <f ca="1">StateModDepletions_ThisScenario!AA50</f>
        <v>66857.678177368201</v>
      </c>
      <c r="BT60" s="286">
        <f>AnnualDepletions!$BG52</f>
        <v>12296.800000006155</v>
      </c>
      <c r="BV60" s="287">
        <f t="shared" ca="1" si="69"/>
        <v>1008756.2136277084</v>
      </c>
      <c r="BW60" s="287">
        <f t="shared" ca="1" si="70"/>
        <v>941898.53545034013</v>
      </c>
      <c r="BX60" s="287">
        <f t="shared" ca="1" si="91"/>
        <v>956773.53545034013</v>
      </c>
      <c r="BY60" s="287">
        <f>SJRIPSummaryRAW!$B$79</f>
        <v>14875</v>
      </c>
      <c r="CC60" s="282">
        <v>1973</v>
      </c>
      <c r="CD60" s="286">
        <f>AnnualAggregations!K52</f>
        <v>233345.63642122349</v>
      </c>
      <c r="CE60" s="442" t="s">
        <v>597</v>
      </c>
      <c r="CF60" s="286">
        <f>AnnualDeplReqs!$AM52</f>
        <v>12100.000000000007</v>
      </c>
      <c r="CG60" s="286">
        <f>AnnualDeplReqs!$AK52</f>
        <v>7970</v>
      </c>
      <c r="CH60" s="286">
        <f>AnnualDeplReqs!$L52</f>
        <v>900.00000000000057</v>
      </c>
      <c r="CI60" s="443">
        <f t="shared" si="71"/>
        <v>251472.74368623149</v>
      </c>
      <c r="CJ60" s="286">
        <f>AnnualDeplReqs!$AO52</f>
        <v>876.99999999989939</v>
      </c>
      <c r="CK60" s="286">
        <f>AnnualDeplReqs!$AY52</f>
        <v>1405.9999999998388</v>
      </c>
      <c r="CL60" s="286">
        <f>AnnualAggregations!$N52</f>
        <v>28435.487411814487</v>
      </c>
      <c r="CM60" s="286">
        <f>AnnualAggregations!$O52</f>
        <v>10367.999999998805</v>
      </c>
      <c r="CN60" s="286">
        <f>AnnualAggregations!$P52</f>
        <v>11865.999999998636</v>
      </c>
      <c r="CO60" s="286">
        <f>AnnualDeplReqs!$AL52</f>
        <v>10124.999999998838</v>
      </c>
      <c r="CP60" s="286">
        <f>AnnualDeplReqs!$AG52</f>
        <v>7925.999999999086</v>
      </c>
      <c r="CQ60" s="286">
        <f>AnnualDeplReqs!$AN52</f>
        <v>2684.9999999996899</v>
      </c>
      <c r="CR60" s="287">
        <f t="shared" si="72"/>
        <v>72811.487411809387</v>
      </c>
      <c r="CS60" s="287">
        <f t="shared" si="73"/>
        <v>325161.23109804082</v>
      </c>
      <c r="CT60" s="286">
        <f>AnnualDeplReqs!$AP52</f>
        <v>340.98999999997505</v>
      </c>
      <c r="CU60" s="442" t="s">
        <v>597</v>
      </c>
      <c r="CV60" s="286">
        <f>AnnualDeplReqs!$AJ52</f>
        <v>38999.999998983854</v>
      </c>
      <c r="CW60" s="286">
        <f>AnnualDeplReqs!$BC52</f>
        <v>16199.99999897049</v>
      </c>
      <c r="CX60" s="286">
        <f>AnnualDeplReqs!$J52</f>
        <v>2499.9900000012672</v>
      </c>
      <c r="CY60" s="286">
        <f>AnnualAggregations!$Q52</f>
        <v>11624.990000001573</v>
      </c>
      <c r="CZ60" s="287">
        <f t="shared" si="74"/>
        <v>69665.96999795716</v>
      </c>
      <c r="DA60" s="443">
        <f t="shared" si="75"/>
        <v>97811.65126941778</v>
      </c>
      <c r="DB60" s="287">
        <f t="shared" si="76"/>
        <v>422972.8823674586</v>
      </c>
      <c r="DD60" s="440" t="s">
        <v>628</v>
      </c>
      <c r="DE60" s="440" t="s">
        <v>628</v>
      </c>
      <c r="DF60" s="440" t="s">
        <v>628</v>
      </c>
      <c r="DG60" s="440" t="s">
        <v>628</v>
      </c>
      <c r="DH60" s="440" t="s">
        <v>628</v>
      </c>
      <c r="DI60" s="440" t="s">
        <v>628</v>
      </c>
      <c r="DJ60" s="440" t="s">
        <v>628</v>
      </c>
      <c r="DK60" s="440" t="s">
        <v>628</v>
      </c>
      <c r="DL60" s="440" t="s">
        <v>628</v>
      </c>
      <c r="DM60" s="440" t="s">
        <v>628</v>
      </c>
      <c r="DN60" s="440" t="s">
        <v>628</v>
      </c>
      <c r="DO60" s="440" t="s">
        <v>628</v>
      </c>
      <c r="DP60" s="440" t="s">
        <v>628</v>
      </c>
      <c r="DR60" s="440" t="s">
        <v>628</v>
      </c>
      <c r="DT60" s="286">
        <f>AnnualAggregations!$L52</f>
        <v>35893.000000000073</v>
      </c>
      <c r="DU60" s="443">
        <f>AnnualAggregations!$J52</f>
        <v>57173.855514924762</v>
      </c>
      <c r="DV60" s="442" t="s">
        <v>597</v>
      </c>
      <c r="DW60" s="286">
        <f>AnnualAggregations!$M52</f>
        <v>5000.0000000019172</v>
      </c>
      <c r="DX60" s="442" t="s">
        <v>597</v>
      </c>
      <c r="DY60" s="440" t="s">
        <v>628</v>
      </c>
      <c r="DZ60" s="440" t="s">
        <v>628</v>
      </c>
      <c r="EA60" s="440" t="s">
        <v>628</v>
      </c>
      <c r="EB60" s="440" t="s">
        <v>628</v>
      </c>
      <c r="EC60" s="286">
        <f>AnnualDeplReqs!$BG52</f>
        <v>12296.800000006155</v>
      </c>
      <c r="EE60" s="440" t="s">
        <v>628</v>
      </c>
      <c r="EF60" s="440" t="s">
        <v>628</v>
      </c>
      <c r="EG60" s="440" t="s">
        <v>628</v>
      </c>
      <c r="EH60" s="442" t="s">
        <v>597</v>
      </c>
      <c r="EL60" s="282">
        <v>1973</v>
      </c>
      <c r="EM60" s="286">
        <f>AnnualAggregations!S52</f>
        <v>291682.04552652931</v>
      </c>
      <c r="EN60" s="442" t="s">
        <v>597</v>
      </c>
      <c r="EO60" s="286">
        <f>AnnualDiversions!$AM52</f>
        <v>24160.880683189993</v>
      </c>
      <c r="EP60" s="286">
        <f>AnnualDiversions!$AK52</f>
        <v>15864.246446422736</v>
      </c>
      <c r="EQ60" s="286">
        <f>AnnualDiversions!$L52</f>
        <v>1800.0000000000011</v>
      </c>
      <c r="ER60" s="287">
        <f t="shared" si="77"/>
        <v>333507.17265614204</v>
      </c>
      <c r="ES60" s="286">
        <f>AnnualDiversions!$AO52</f>
        <v>1753.9999999997988</v>
      </c>
      <c r="ET60" s="286">
        <f>AnnualDiversions!$AY52</f>
        <v>2544.7963800902057</v>
      </c>
      <c r="EU60" s="286">
        <f>AnnualAggregations!$V52</f>
        <v>47747.797750030251</v>
      </c>
      <c r="EV60" s="286">
        <f>AnnualAggregations!$W52</f>
        <v>11095.031183153471</v>
      </c>
      <c r="EW60" s="286">
        <f>AnnualAggregations!$X52</f>
        <v>18189.425665157942</v>
      </c>
      <c r="EX60" s="286">
        <f>AnnualDiversions!$AL52</f>
        <v>12010.67615658224</v>
      </c>
      <c r="EY60" s="286">
        <f>AnnualDiversions!$AG52</f>
        <v>15021.320951386506</v>
      </c>
      <c r="EZ60" s="286">
        <f>AnnualDiversions!$AN52</f>
        <v>5048.4159067400415</v>
      </c>
      <c r="FA60" s="287">
        <f t="shared" si="78"/>
        <v>111657.46399314066</v>
      </c>
      <c r="FB60" s="287">
        <f t="shared" si="79"/>
        <v>446918.63664928253</v>
      </c>
      <c r="FC60" s="286">
        <f>AnnualDiversions!$AP52</f>
        <v>378.87777777775057</v>
      </c>
      <c r="FD60" s="442" t="s">
        <v>597</v>
      </c>
      <c r="FE60" s="286">
        <f>AnnualDiversions!$AJ52</f>
        <v>38999.999998983854</v>
      </c>
      <c r="FF60" s="286">
        <f>AnnualDiversions!$BC52</f>
        <v>16199.99999897049</v>
      </c>
      <c r="FG60" s="286">
        <f>AnnualDiversions!$J52</f>
        <v>4166.6500000021233</v>
      </c>
      <c r="FH60" s="286">
        <f>AnnualAggregations!$Y52</f>
        <v>19374.983333335964</v>
      </c>
      <c r="FI60" s="287">
        <f t="shared" si="80"/>
        <v>79120.511109070183</v>
      </c>
      <c r="FJ60" s="287">
        <f t="shared" si="81"/>
        <v>79120.511109070183</v>
      </c>
      <c r="FK60" s="287">
        <f t="shared" si="82"/>
        <v>526039.14775835269</v>
      </c>
      <c r="FM60" s="440" t="s">
        <v>628</v>
      </c>
      <c r="FN60" s="440" t="s">
        <v>628</v>
      </c>
      <c r="FO60" s="440" t="s">
        <v>628</v>
      </c>
      <c r="FP60" s="440" t="s">
        <v>628</v>
      </c>
      <c r="FQ60" s="440" t="s">
        <v>628</v>
      </c>
      <c r="FR60" s="440" t="s">
        <v>628</v>
      </c>
      <c r="FS60" s="440" t="s">
        <v>628</v>
      </c>
      <c r="FT60" s="440" t="s">
        <v>628</v>
      </c>
      <c r="FU60" s="440" t="s">
        <v>628</v>
      </c>
      <c r="FV60" s="440" t="s">
        <v>628</v>
      </c>
      <c r="FW60" s="440" t="s">
        <v>628</v>
      </c>
      <c r="FX60" s="440" t="s">
        <v>628</v>
      </c>
      <c r="FY60" s="440" t="s">
        <v>628</v>
      </c>
      <c r="GA60" s="440" t="s">
        <v>628</v>
      </c>
      <c r="GC60" s="286">
        <f>AnnualAggregations!$T52</f>
        <v>37764.238566617634</v>
      </c>
      <c r="GD60" s="286">
        <f>AnnualAggregations!$R52</f>
        <v>109067.13000005133</v>
      </c>
      <c r="GE60" s="443">
        <f t="shared" si="83"/>
        <v>171559.00874659489</v>
      </c>
      <c r="GF60" s="286">
        <f>AnnualAggregations!$U52</f>
        <v>5000.0000000019172</v>
      </c>
      <c r="GG60" s="287">
        <f t="shared" si="84"/>
        <v>323390.37731326575</v>
      </c>
      <c r="GH60" s="440" t="s">
        <v>628</v>
      </c>
      <c r="GI60" s="440" t="s">
        <v>628</v>
      </c>
      <c r="GJ60" s="440" t="s">
        <v>628</v>
      </c>
      <c r="GK60" s="440" t="s">
        <v>628</v>
      </c>
      <c r="GL60" s="286">
        <f>AnnualDiversions!$BG52</f>
        <v>12296.800000006155</v>
      </c>
      <c r="GN60" s="440" t="s">
        <v>628</v>
      </c>
      <c r="GO60" s="440" t="s">
        <v>628</v>
      </c>
      <c r="GP60" s="440" t="s">
        <v>628</v>
      </c>
      <c r="GQ60" s="442" t="s">
        <v>597</v>
      </c>
      <c r="GU60" s="282">
        <v>1973</v>
      </c>
      <c r="GV60" s="286">
        <f>AnnualAggregations!AA52</f>
        <v>291682.04552652931</v>
      </c>
      <c r="GW60" s="442" t="s">
        <v>597</v>
      </c>
      <c r="GX60" s="286">
        <f>AnnualDivReqs!$AM52</f>
        <v>24160.880683189993</v>
      </c>
      <c r="GY60" s="286">
        <f>AnnualDivReqs!$AK52</f>
        <v>15864.246446422736</v>
      </c>
      <c r="GZ60" s="286">
        <f>AnnualDivReqs!$L52</f>
        <v>1800.0000000000011</v>
      </c>
      <c r="HA60" s="287">
        <f t="shared" si="85"/>
        <v>333507.17265614204</v>
      </c>
      <c r="HB60" s="286">
        <f>AnnualDivReqs!$AO52</f>
        <v>1753.9999999997988</v>
      </c>
      <c r="HC60" s="286">
        <f>AnnualDivReqs!$AY52</f>
        <v>2544.7963800902057</v>
      </c>
      <c r="HD60" s="286">
        <f>AnnualAggregations!$AD52</f>
        <v>47747.797750030251</v>
      </c>
      <c r="HE60" s="286">
        <f>AnnualAggregations!$AE52</f>
        <v>18572.659153593657</v>
      </c>
      <c r="HF60" s="286">
        <f>AnnualAggregations!$AF52</f>
        <v>18189.425665157942</v>
      </c>
      <c r="HG60" s="286">
        <f>AnnualDivReqs!$AL52</f>
        <v>12010.67615658224</v>
      </c>
      <c r="HH60" s="286">
        <f>AnnualDivReqs!$AG52</f>
        <v>15021.320951386506</v>
      </c>
      <c r="HI60" s="286">
        <f>AnnualDivReqs!$AN52</f>
        <v>5048.4159067400415</v>
      </c>
      <c r="HJ60" s="287">
        <f t="shared" si="86"/>
        <v>119135.09196358084</v>
      </c>
      <c r="HK60" s="287">
        <f t="shared" si="87"/>
        <v>454396.26461972273</v>
      </c>
      <c r="HL60" s="286">
        <f>AnnualDivReqs!$AP52</f>
        <v>378.87777777775057</v>
      </c>
      <c r="HM60" s="442" t="s">
        <v>597</v>
      </c>
      <c r="HN60" s="286">
        <f>AnnualDivReqs!$AJ52</f>
        <v>38999.999998983854</v>
      </c>
      <c r="HO60" s="286">
        <f>AnnualDivReqs!$BC52</f>
        <v>16199.99999897049</v>
      </c>
      <c r="HP60" s="286">
        <f>AnnualDivReqs!$J52</f>
        <v>4166.6500000021233</v>
      </c>
      <c r="HQ60" s="286">
        <f>AnnualAggregations!$AG52</f>
        <v>19374.983333335964</v>
      </c>
      <c r="HR60" s="287">
        <f t="shared" si="88"/>
        <v>79120.511109070183</v>
      </c>
      <c r="HS60" s="287">
        <f t="shared" si="89"/>
        <v>79120.511109070183</v>
      </c>
      <c r="HT60" s="287">
        <f t="shared" si="90"/>
        <v>533516.77572879288</v>
      </c>
      <c r="HV60" s="440" t="s">
        <v>628</v>
      </c>
      <c r="HW60" s="440" t="s">
        <v>628</v>
      </c>
      <c r="HX60" s="440" t="s">
        <v>628</v>
      </c>
      <c r="HY60" s="440" t="s">
        <v>628</v>
      </c>
      <c r="HZ60" s="440" t="s">
        <v>628</v>
      </c>
      <c r="IA60" s="440" t="s">
        <v>628</v>
      </c>
      <c r="IB60" s="440" t="s">
        <v>628</v>
      </c>
      <c r="IC60" s="440" t="s">
        <v>628</v>
      </c>
      <c r="ID60" s="440" t="s">
        <v>628</v>
      </c>
      <c r="IE60" s="440" t="s">
        <v>628</v>
      </c>
      <c r="IF60" s="440" t="s">
        <v>628</v>
      </c>
      <c r="IG60" s="440" t="s">
        <v>628</v>
      </c>
      <c r="IH60" s="440" t="s">
        <v>628</v>
      </c>
      <c r="IJ60" s="440" t="s">
        <v>628</v>
      </c>
      <c r="IL60" s="286">
        <f>AnnualAggregations!$AB52</f>
        <v>37764.238566617634</v>
      </c>
      <c r="IM60" s="286">
        <f>AnnualAggregations!$Z52</f>
        <v>109067.13000005133</v>
      </c>
      <c r="IN60" s="442" t="s">
        <v>597</v>
      </c>
      <c r="IO60" s="286">
        <f>AnnualAggregations!$AC52</f>
        <v>5000.0000000019172</v>
      </c>
      <c r="IP60" s="442" t="s">
        <v>597</v>
      </c>
      <c r="IQ60" s="440" t="s">
        <v>628</v>
      </c>
      <c r="IR60" s="440" t="s">
        <v>628</v>
      </c>
      <c r="IS60" s="440" t="s">
        <v>628</v>
      </c>
      <c r="IT60" s="440" t="s">
        <v>628</v>
      </c>
      <c r="IU60" s="286">
        <f>AnnualDivReqs!$BG52</f>
        <v>12296.800000006155</v>
      </c>
      <c r="IW60" s="440" t="s">
        <v>628</v>
      </c>
      <c r="IX60" s="440" t="s">
        <v>628</v>
      </c>
      <c r="IY60" s="440" t="s">
        <v>628</v>
      </c>
      <c r="IZ60" s="442" t="s">
        <v>597</v>
      </c>
    </row>
    <row r="61" spans="1:260" ht="15.75" thickBot="1" x14ac:dyDescent="0.3">
      <c r="A61" s="480" t="str">
        <f>ADDRESS(ROW(SJRIPSummary!E53),COLUMN(SJRIPSummary!E53),4,1)</f>
        <v>E53</v>
      </c>
      <c r="B61" s="480" t="str">
        <f t="shared" si="57"/>
        <v>53</v>
      </c>
      <c r="C61" t="s">
        <v>121</v>
      </c>
      <c r="D61" s="404">
        <v>46</v>
      </c>
      <c r="E61" s="404">
        <v>107</v>
      </c>
      <c r="F61" s="404">
        <v>168</v>
      </c>
      <c r="G61" s="404">
        <v>229</v>
      </c>
      <c r="H61" s="397"/>
      <c r="I61" s="622"/>
      <c r="J61" s="623"/>
      <c r="K61" s="623"/>
      <c r="L61" s="204" t="s">
        <v>121</v>
      </c>
      <c r="M61" s="218">
        <f ca="1">ROUND(SJRIPSummaryRAW!B61,-2)</f>
        <v>5000</v>
      </c>
      <c r="N61" s="153"/>
      <c r="O61" s="223">
        <f ca="1">ROUND(SJRIPSummaryRAW!D61,-2)</f>
        <v>5000</v>
      </c>
      <c r="P61" s="224">
        <f ca="1">ROUND(SJRIPSummaryRAW!E61,-2)</f>
        <v>4900</v>
      </c>
      <c r="Q61" s="397"/>
      <c r="R61" s="21"/>
      <c r="S61" s="21"/>
      <c r="T61" s="282">
        <v>1974</v>
      </c>
      <c r="U61" s="286">
        <f>AnnualAggregations!$C53</f>
        <v>274373.59248602425</v>
      </c>
      <c r="V61" s="286">
        <f>AnnualDepletions!$BI53</f>
        <v>5362.6984779679897</v>
      </c>
      <c r="W61" s="286">
        <f>AnnualDepletions!$AM53</f>
        <v>12100</v>
      </c>
      <c r="X61" s="286">
        <f>AnnualDepletions!$AK53</f>
        <v>7969.9999999999991</v>
      </c>
      <c r="Y61" s="286">
        <f>AnnualDepletions!$L53</f>
        <v>900.00000000000034</v>
      </c>
      <c r="Z61" s="287">
        <f t="shared" si="58"/>
        <v>300706.29096399224</v>
      </c>
      <c r="AA61" s="286">
        <f>AnnualDepletions!$AO53</f>
        <v>1274.9999999998533</v>
      </c>
      <c r="AB61" s="286">
        <f>AnnualDepletions!$AY53</f>
        <v>1550.9999999998211</v>
      </c>
      <c r="AC61" s="286">
        <f>AnnualAggregations!$F53</f>
        <v>32660.508856900433</v>
      </c>
      <c r="AD61" s="286">
        <f>AnnualAggregations!$G53</f>
        <v>1584.0888521949842</v>
      </c>
      <c r="AE61" s="286">
        <f>AnnualAggregations!$H53</f>
        <v>13637.99999999843</v>
      </c>
      <c r="AF61" s="286">
        <f>AnnualDepletions!$AL53</f>
        <v>11576.999999998672</v>
      </c>
      <c r="AG61" s="286">
        <f>AnnualDepletions!$AG53</f>
        <v>8537.3996804203089</v>
      </c>
      <c r="AH61" s="286">
        <f>AnnualDepletions!$AN53</f>
        <v>3097.9999999996421</v>
      </c>
      <c r="AI61" s="287">
        <f t="shared" si="59"/>
        <v>72645.997389512282</v>
      </c>
      <c r="AJ61" s="287">
        <f t="shared" si="60"/>
        <v>374627.28835350438</v>
      </c>
      <c r="AK61" s="286">
        <f>AnnualDepletions!$AP53</f>
        <v>340.98999999997505</v>
      </c>
      <c r="AL61" s="286">
        <f>AnnualDepletions!$BH53</f>
        <v>27671.637473542603</v>
      </c>
      <c r="AM61" s="286">
        <f>AnnualDepletions!$AJ53</f>
        <v>38999.999998983854</v>
      </c>
      <c r="AN61" s="286">
        <f>AnnualDepletions!$BC53</f>
        <v>16199.99999897049</v>
      </c>
      <c r="AO61" s="286">
        <f>AnnualDepletions!$J53</f>
        <v>2499.9900000012672</v>
      </c>
      <c r="AP61" s="286">
        <f>AnnualAggregations!$I53</f>
        <v>11624.990000001573</v>
      </c>
      <c r="AQ61" s="287">
        <f t="shared" si="61"/>
        <v>69665.96999795716</v>
      </c>
      <c r="AR61" s="287">
        <f t="shared" si="62"/>
        <v>97337.607471499781</v>
      </c>
      <c r="AS61" s="287">
        <f t="shared" si="63"/>
        <v>471964.89582500415</v>
      </c>
      <c r="AU61" s="321">
        <f ca="1">StateModDepletions_ThisScenario!AC51</f>
        <v>33340.614945471287</v>
      </c>
      <c r="AV61" s="321">
        <f ca="1">StateModDepletions_ThisScenario!AD51</f>
        <v>17499.410822510719</v>
      </c>
      <c r="AW61" s="321">
        <f ca="1">StateModDepletions_ThisScenario!AE51</f>
        <v>105961.89480702579</v>
      </c>
      <c r="AX61" s="321">
        <f ca="1">StateModDepletions_ThisScenario!AB51</f>
        <v>24765.810481309891</v>
      </c>
      <c r="AY61" s="288">
        <f t="shared" ca="1" si="64"/>
        <v>181567.73105631769</v>
      </c>
      <c r="AZ61" s="321">
        <f ca="1">StateModDepletions_ThisScenario!AG51</f>
        <v>30668.06170418717</v>
      </c>
      <c r="BA61" s="321">
        <f ca="1">StateModDepletions_ThisScenario!AF51</f>
        <v>18698.482885621488</v>
      </c>
      <c r="BB61" s="321">
        <f ca="1">StateModDepletions_ThisScenario!AH51</f>
        <v>10178.583947170526</v>
      </c>
      <c r="BC61" s="321">
        <f ca="1">StateModDepletions_ThisScenario!AI51</f>
        <v>9853.2931241589031</v>
      </c>
      <c r="BD61" s="321">
        <f ca="1">StateModDepletions_ThisScenario!N51</f>
        <v>1326.6977829933167</v>
      </c>
      <c r="BE61" s="321">
        <f ca="1">StateModDepletions_ThisScenario!V51</f>
        <v>6907.3946990966797</v>
      </c>
      <c r="BF61" s="288">
        <f t="shared" ca="1" si="65"/>
        <v>77632.514143228094</v>
      </c>
      <c r="BG61" s="288">
        <f t="shared" ca="1" si="66"/>
        <v>259200.24519954578</v>
      </c>
      <c r="BI61" s="288">
        <f t="shared" ca="1" si="67"/>
        <v>731165.14102454996</v>
      </c>
      <c r="BK61" s="286">
        <f>AnnualAggregations!$D53</f>
        <v>35893.000000000051</v>
      </c>
      <c r="BL61" s="286">
        <f>AnnualAggregations!$B53</f>
        <v>57122.748191928134</v>
      </c>
      <c r="BM61" s="286">
        <f>AnnualDepletions!$BK53</f>
        <v>49696.202529396454</v>
      </c>
      <c r="BN61" s="286">
        <f>AnnualAggregations!$E53</f>
        <v>5000.0000000019172</v>
      </c>
      <c r="BO61" s="287">
        <f t="shared" si="68"/>
        <v>147711.95072132658</v>
      </c>
      <c r="BP61" s="321">
        <f ca="1">StateModDepletions_ThisScenario!Y51</f>
        <v>212.11356273293495</v>
      </c>
      <c r="BQ61" s="321">
        <f ca="1">StateModDepletions_ThisScenario!AJ51</f>
        <v>154064.38064952963</v>
      </c>
      <c r="BR61" s="321">
        <f ca="1">StateModDepletions_ThisScenario!Z51</f>
        <v>212606.75881898403</v>
      </c>
      <c r="BS61" s="321">
        <f ca="1">StateModDepletions_ThisScenario!AA51</f>
        <v>58330.264606721466</v>
      </c>
      <c r="BT61" s="286">
        <f>AnnualDepletions!$BG53</f>
        <v>12296.800000006155</v>
      </c>
      <c r="BV61" s="287">
        <f t="shared" ca="1" si="69"/>
        <v>891173.89174588269</v>
      </c>
      <c r="BW61" s="287">
        <f t="shared" ca="1" si="70"/>
        <v>832843.62713916122</v>
      </c>
      <c r="BX61" s="287">
        <f t="shared" ca="1" si="91"/>
        <v>847718.62713916122</v>
      </c>
      <c r="BY61" s="287">
        <f>SJRIPSummaryRAW!$B$79</f>
        <v>14875</v>
      </c>
      <c r="CC61" s="282">
        <v>1974</v>
      </c>
      <c r="CD61" s="286">
        <f>AnnualAggregations!K53</f>
        <v>274373.59248602425</v>
      </c>
      <c r="CE61" s="442" t="s">
        <v>597</v>
      </c>
      <c r="CF61" s="286">
        <f>AnnualDeplReqs!$AM53</f>
        <v>12100</v>
      </c>
      <c r="CG61" s="286">
        <f>AnnualDeplReqs!$AK53</f>
        <v>7969.9999999999991</v>
      </c>
      <c r="CH61" s="286">
        <f>AnnualDeplReqs!$L53</f>
        <v>900.00000000000034</v>
      </c>
      <c r="CI61" s="443">
        <f t="shared" si="71"/>
        <v>300706.29096399224</v>
      </c>
      <c r="CJ61" s="286">
        <f>AnnualDeplReqs!$AO53</f>
        <v>1274.9999999998533</v>
      </c>
      <c r="CK61" s="286">
        <f>AnnualDeplReqs!$AY53</f>
        <v>1550.9999999998211</v>
      </c>
      <c r="CL61" s="286">
        <f>AnnualAggregations!$N53</f>
        <v>32660.508856900433</v>
      </c>
      <c r="CM61" s="286">
        <f>AnnualAggregations!$O53</f>
        <v>11842.999999998639</v>
      </c>
      <c r="CN61" s="286">
        <f>AnnualAggregations!$P53</f>
        <v>13637.99999999843</v>
      </c>
      <c r="CO61" s="286">
        <f>AnnualDeplReqs!$AL53</f>
        <v>11576.999999998672</v>
      </c>
      <c r="CP61" s="286">
        <f>AnnualDeplReqs!$AG53</f>
        <v>9326.9999999989213</v>
      </c>
      <c r="CQ61" s="286">
        <f>AnnualDeplReqs!$AN53</f>
        <v>3097.9999999996421</v>
      </c>
      <c r="CR61" s="287">
        <f t="shared" si="72"/>
        <v>83694.50885689455</v>
      </c>
      <c r="CS61" s="287">
        <f t="shared" si="73"/>
        <v>385675.79982088663</v>
      </c>
      <c r="CT61" s="286">
        <f>AnnualDeplReqs!$AP53</f>
        <v>340.98999999997505</v>
      </c>
      <c r="CU61" s="442" t="s">
        <v>597</v>
      </c>
      <c r="CV61" s="286">
        <f>AnnualDeplReqs!$AJ53</f>
        <v>38999.999998983854</v>
      </c>
      <c r="CW61" s="286">
        <f>AnnualDeplReqs!$BC53</f>
        <v>16199.99999897049</v>
      </c>
      <c r="CX61" s="286">
        <f>AnnualDeplReqs!$J53</f>
        <v>2499.9900000012672</v>
      </c>
      <c r="CY61" s="286">
        <f>AnnualAggregations!$Q53</f>
        <v>11624.990000001573</v>
      </c>
      <c r="CZ61" s="287">
        <f t="shared" si="74"/>
        <v>69665.96999795716</v>
      </c>
      <c r="DA61" s="443">
        <f t="shared" si="75"/>
        <v>97337.607471499767</v>
      </c>
      <c r="DB61" s="287">
        <f t="shared" si="76"/>
        <v>483013.4072923864</v>
      </c>
      <c r="DD61" s="440" t="s">
        <v>628</v>
      </c>
      <c r="DE61" s="440" t="s">
        <v>628</v>
      </c>
      <c r="DF61" s="440" t="s">
        <v>628</v>
      </c>
      <c r="DG61" s="440" t="s">
        <v>628</v>
      </c>
      <c r="DH61" s="440" t="s">
        <v>628</v>
      </c>
      <c r="DI61" s="440" t="s">
        <v>628</v>
      </c>
      <c r="DJ61" s="440" t="s">
        <v>628</v>
      </c>
      <c r="DK61" s="440" t="s">
        <v>628</v>
      </c>
      <c r="DL61" s="440" t="s">
        <v>628</v>
      </c>
      <c r="DM61" s="440" t="s">
        <v>628</v>
      </c>
      <c r="DN61" s="440" t="s">
        <v>628</v>
      </c>
      <c r="DO61" s="440" t="s">
        <v>628</v>
      </c>
      <c r="DP61" s="440" t="s">
        <v>628</v>
      </c>
      <c r="DR61" s="440" t="s">
        <v>628</v>
      </c>
      <c r="DT61" s="286">
        <f>AnnualAggregations!$L53</f>
        <v>35893.000000000073</v>
      </c>
      <c r="DU61" s="443">
        <f>AnnualAggregations!$J53</f>
        <v>57392.849159670317</v>
      </c>
      <c r="DV61" s="442" t="s">
        <v>597</v>
      </c>
      <c r="DW61" s="286">
        <f>AnnualAggregations!$M53</f>
        <v>5000.0000000019172</v>
      </c>
      <c r="DX61" s="442" t="s">
        <v>597</v>
      </c>
      <c r="DY61" s="440" t="s">
        <v>628</v>
      </c>
      <c r="DZ61" s="440" t="s">
        <v>628</v>
      </c>
      <c r="EA61" s="440" t="s">
        <v>628</v>
      </c>
      <c r="EB61" s="440" t="s">
        <v>628</v>
      </c>
      <c r="EC61" s="286">
        <f>AnnualDeplReqs!$BG53</f>
        <v>12296.800000006155</v>
      </c>
      <c r="EE61" s="440" t="s">
        <v>628</v>
      </c>
      <c r="EF61" s="440" t="s">
        <v>628</v>
      </c>
      <c r="EG61" s="440" t="s">
        <v>628</v>
      </c>
      <c r="EH61" s="442" t="s">
        <v>597</v>
      </c>
      <c r="EL61" s="282">
        <v>1974</v>
      </c>
      <c r="EM61" s="286">
        <f>AnnualAggregations!S53</f>
        <v>342966.99060753011</v>
      </c>
      <c r="EN61" s="442" t="s">
        <v>597</v>
      </c>
      <c r="EO61" s="286">
        <f>AnnualDiversions!$AM53</f>
        <v>24160.880683190007</v>
      </c>
      <c r="EP61" s="286">
        <f>AnnualDiversions!$AK53</f>
        <v>15864.246446422732</v>
      </c>
      <c r="EQ61" s="286">
        <f>AnnualDiversions!$L53</f>
        <v>1800.0000000000007</v>
      </c>
      <c r="ER61" s="287">
        <f t="shared" si="77"/>
        <v>384792.11773714283</v>
      </c>
      <c r="ES61" s="286">
        <f>AnnualDiversions!$AO53</f>
        <v>2549.9999999997067</v>
      </c>
      <c r="ET61" s="286">
        <f>AnnualDiversions!$AY53</f>
        <v>2807.2398190041995</v>
      </c>
      <c r="EU61" s="286">
        <f>AnnualAggregations!$V53</f>
        <v>54824.982818567092</v>
      </c>
      <c r="EV61" s="286">
        <f>AnnualAggregations!$W53</f>
        <v>2805.697497706753</v>
      </c>
      <c r="EW61" s="286">
        <f>AnnualAggregations!$X53</f>
        <v>20905.137274737601</v>
      </c>
      <c r="EX61" s="286">
        <f>AnnualDiversions!$AL53</f>
        <v>13733.096085407666</v>
      </c>
      <c r="EY61" s="286">
        <f>AnnualDiversions!$AG53</f>
        <v>16180.042983834583</v>
      </c>
      <c r="EZ61" s="286">
        <f>AnnualDiversions!$AN53</f>
        <v>5824.9506439778906</v>
      </c>
      <c r="FA61" s="287">
        <f t="shared" si="78"/>
        <v>117081.14712323579</v>
      </c>
      <c r="FB61" s="287">
        <f t="shared" si="79"/>
        <v>504423.26486037835</v>
      </c>
      <c r="FC61" s="286">
        <f>AnnualDiversions!$AP53</f>
        <v>378.87777777775057</v>
      </c>
      <c r="FD61" s="442" t="s">
        <v>597</v>
      </c>
      <c r="FE61" s="286">
        <f>AnnualDiversions!$AJ53</f>
        <v>38999.999998983854</v>
      </c>
      <c r="FF61" s="286">
        <f>AnnualDiversions!$BC53</f>
        <v>16199.99999897049</v>
      </c>
      <c r="FG61" s="286">
        <f>AnnualDiversions!$J53</f>
        <v>4166.6500000021233</v>
      </c>
      <c r="FH61" s="286">
        <f>AnnualAggregations!$Y53</f>
        <v>19374.983333335964</v>
      </c>
      <c r="FI61" s="287">
        <f t="shared" si="80"/>
        <v>79120.511109070183</v>
      </c>
      <c r="FJ61" s="287">
        <f t="shared" si="81"/>
        <v>79120.511109070183</v>
      </c>
      <c r="FK61" s="287">
        <f t="shared" si="82"/>
        <v>583543.7759694485</v>
      </c>
      <c r="FM61" s="440" t="s">
        <v>628</v>
      </c>
      <c r="FN61" s="440" t="s">
        <v>628</v>
      </c>
      <c r="FO61" s="440" t="s">
        <v>628</v>
      </c>
      <c r="FP61" s="440" t="s">
        <v>628</v>
      </c>
      <c r="FQ61" s="440" t="s">
        <v>628</v>
      </c>
      <c r="FR61" s="440" t="s">
        <v>628</v>
      </c>
      <c r="FS61" s="440" t="s">
        <v>628</v>
      </c>
      <c r="FT61" s="440" t="s">
        <v>628</v>
      </c>
      <c r="FU61" s="440" t="s">
        <v>628</v>
      </c>
      <c r="FV61" s="440" t="s">
        <v>628</v>
      </c>
      <c r="FW61" s="440" t="s">
        <v>628</v>
      </c>
      <c r="FX61" s="440" t="s">
        <v>628</v>
      </c>
      <c r="FY61" s="440" t="s">
        <v>628</v>
      </c>
      <c r="GA61" s="440" t="s">
        <v>628</v>
      </c>
      <c r="GC61" s="286">
        <f>AnnualAggregations!$T53</f>
        <v>37764.238566617612</v>
      </c>
      <c r="GD61" s="286">
        <f>AnnualAggregations!$R53</f>
        <v>109067.13000005134</v>
      </c>
      <c r="GE61" s="443">
        <f t="shared" si="83"/>
        <v>49696.202529396454</v>
      </c>
      <c r="GF61" s="286">
        <f>AnnualAggregations!$U53</f>
        <v>5000.0000000019172</v>
      </c>
      <c r="GG61" s="287">
        <f t="shared" si="84"/>
        <v>201527.57109606732</v>
      </c>
      <c r="GH61" s="440" t="s">
        <v>628</v>
      </c>
      <c r="GI61" s="440" t="s">
        <v>628</v>
      </c>
      <c r="GJ61" s="440" t="s">
        <v>628</v>
      </c>
      <c r="GK61" s="440" t="s">
        <v>628</v>
      </c>
      <c r="GL61" s="286">
        <f>AnnualDiversions!$BG53</f>
        <v>12296.800000006155</v>
      </c>
      <c r="GN61" s="440" t="s">
        <v>628</v>
      </c>
      <c r="GO61" s="440" t="s">
        <v>628</v>
      </c>
      <c r="GP61" s="440" t="s">
        <v>628</v>
      </c>
      <c r="GQ61" s="442" t="s">
        <v>597</v>
      </c>
      <c r="GU61" s="282">
        <v>1974</v>
      </c>
      <c r="GV61" s="286">
        <f>AnnualAggregations!AA53</f>
        <v>342966.99060753011</v>
      </c>
      <c r="GW61" s="442" t="s">
        <v>597</v>
      </c>
      <c r="GX61" s="286">
        <f>AnnualDivReqs!$AM53</f>
        <v>24160.880683190007</v>
      </c>
      <c r="GY61" s="286">
        <f>AnnualDivReqs!$AK53</f>
        <v>15864.246446422732</v>
      </c>
      <c r="GZ61" s="286">
        <f>AnnualDivReqs!$L53</f>
        <v>1800.0000000000007</v>
      </c>
      <c r="HA61" s="287">
        <f t="shared" si="85"/>
        <v>384792.11773714283</v>
      </c>
      <c r="HB61" s="286">
        <f>AnnualDivReqs!$AO53</f>
        <v>2549.9999999997067</v>
      </c>
      <c r="HC61" s="286">
        <f>AnnualDivReqs!$AY53</f>
        <v>2807.2398190041995</v>
      </c>
      <c r="HD61" s="286">
        <f>AnnualAggregations!$AD53</f>
        <v>54824.982818567092</v>
      </c>
      <c r="HE61" s="286">
        <f>AnnualAggregations!$AE53</f>
        <v>21213.344844383813</v>
      </c>
      <c r="HF61" s="286">
        <f>AnnualAggregations!$AF53</f>
        <v>20905.137274737601</v>
      </c>
      <c r="HG61" s="286">
        <f>AnnualDivReqs!$AL53</f>
        <v>13733.096085407666</v>
      </c>
      <c r="HH61" s="286">
        <f>AnnualDivReqs!$AG53</f>
        <v>17676.490097600552</v>
      </c>
      <c r="HI61" s="286">
        <f>AnnualDivReqs!$AN53</f>
        <v>5824.9506439778906</v>
      </c>
      <c r="HJ61" s="287">
        <f t="shared" si="86"/>
        <v>136985.24158367881</v>
      </c>
      <c r="HK61" s="287">
        <f t="shared" si="87"/>
        <v>524327.35932082136</v>
      </c>
      <c r="HL61" s="286">
        <f>AnnualDivReqs!$AP53</f>
        <v>378.87777777775057</v>
      </c>
      <c r="HM61" s="442" t="s">
        <v>597</v>
      </c>
      <c r="HN61" s="286">
        <f>AnnualDivReqs!$AJ53</f>
        <v>38999.999998983854</v>
      </c>
      <c r="HO61" s="286">
        <f>AnnualDivReqs!$BC53</f>
        <v>16199.99999897049</v>
      </c>
      <c r="HP61" s="286">
        <f>AnnualDivReqs!$J53</f>
        <v>4166.6500000021233</v>
      </c>
      <c r="HQ61" s="286">
        <f>AnnualAggregations!$AG53</f>
        <v>19374.983333335964</v>
      </c>
      <c r="HR61" s="287">
        <f t="shared" si="88"/>
        <v>79120.511109070183</v>
      </c>
      <c r="HS61" s="287">
        <f t="shared" si="89"/>
        <v>79120.511109070183</v>
      </c>
      <c r="HT61" s="287">
        <f t="shared" si="90"/>
        <v>603447.87042989151</v>
      </c>
      <c r="HV61" s="440" t="s">
        <v>628</v>
      </c>
      <c r="HW61" s="440" t="s">
        <v>628</v>
      </c>
      <c r="HX61" s="440" t="s">
        <v>628</v>
      </c>
      <c r="HY61" s="440" t="s">
        <v>628</v>
      </c>
      <c r="HZ61" s="440" t="s">
        <v>628</v>
      </c>
      <c r="IA61" s="440" t="s">
        <v>628</v>
      </c>
      <c r="IB61" s="440" t="s">
        <v>628</v>
      </c>
      <c r="IC61" s="440" t="s">
        <v>628</v>
      </c>
      <c r="ID61" s="440" t="s">
        <v>628</v>
      </c>
      <c r="IE61" s="440" t="s">
        <v>628</v>
      </c>
      <c r="IF61" s="440" t="s">
        <v>628</v>
      </c>
      <c r="IG61" s="440" t="s">
        <v>628</v>
      </c>
      <c r="IH61" s="440" t="s">
        <v>628</v>
      </c>
      <c r="IJ61" s="440" t="s">
        <v>628</v>
      </c>
      <c r="IL61" s="286">
        <f>AnnualAggregations!$AB53</f>
        <v>37764.238566617634</v>
      </c>
      <c r="IM61" s="286">
        <f>AnnualAggregations!$Z53</f>
        <v>109607.33193553571</v>
      </c>
      <c r="IN61" s="442" t="s">
        <v>597</v>
      </c>
      <c r="IO61" s="286">
        <f>AnnualAggregations!$AC53</f>
        <v>5000.0000000019172</v>
      </c>
      <c r="IP61" s="442" t="s">
        <v>597</v>
      </c>
      <c r="IQ61" s="440" t="s">
        <v>628</v>
      </c>
      <c r="IR61" s="440" t="s">
        <v>628</v>
      </c>
      <c r="IS61" s="440" t="s">
        <v>628</v>
      </c>
      <c r="IT61" s="440" t="s">
        <v>628</v>
      </c>
      <c r="IU61" s="286">
        <f>AnnualDivReqs!$BG53</f>
        <v>12296.800000006155</v>
      </c>
      <c r="IW61" s="440" t="s">
        <v>628</v>
      </c>
      <c r="IX61" s="440" t="s">
        <v>628</v>
      </c>
      <c r="IY61" s="440" t="s">
        <v>628</v>
      </c>
      <c r="IZ61" s="442" t="s">
        <v>597</v>
      </c>
    </row>
    <row r="62" spans="1:260" ht="15.75" thickBot="1" x14ac:dyDescent="0.3">
      <c r="A62" s="480" t="str">
        <f>ADDRESS(ROW(SJRIPSummary!E54),COLUMN(SJRIPSummary!E54),4,1)</f>
        <v>E54</v>
      </c>
      <c r="B62" s="480" t="str">
        <f t="shared" si="57"/>
        <v>54</v>
      </c>
      <c r="C62" t="s">
        <v>122</v>
      </c>
      <c r="D62" s="404">
        <v>47</v>
      </c>
      <c r="E62" s="404">
        <v>108</v>
      </c>
      <c r="F62" s="404">
        <v>169</v>
      </c>
      <c r="G62" s="404">
        <v>230</v>
      </c>
      <c r="H62" s="387"/>
      <c r="I62" s="624" t="s">
        <v>122</v>
      </c>
      <c r="J62" s="625"/>
      <c r="K62" s="625"/>
      <c r="L62" s="626"/>
      <c r="M62" s="238">
        <f ca="1">SUM(M58:M61)</f>
        <v>203000</v>
      </c>
      <c r="N62" s="162"/>
      <c r="O62" s="179"/>
      <c r="P62" s="217"/>
      <c r="Q62" s="387"/>
      <c r="R62" s="21"/>
      <c r="S62" s="21"/>
      <c r="T62" s="282">
        <v>1975</v>
      </c>
      <c r="U62" s="286">
        <f>AnnualAggregations!$C54</f>
        <v>237918.98024197394</v>
      </c>
      <c r="V62" s="286">
        <f>AnnualDepletions!$BI54</f>
        <v>-1928.2239708419775</v>
      </c>
      <c r="W62" s="286">
        <f>AnnualDepletions!$AM54</f>
        <v>12099.999999999995</v>
      </c>
      <c r="X62" s="286">
        <f>AnnualDepletions!$AK54</f>
        <v>6524.0049023243746</v>
      </c>
      <c r="Y62" s="286">
        <f>AnnualDepletions!$L54</f>
        <v>899.99999999999977</v>
      </c>
      <c r="Z62" s="287">
        <f t="shared" si="58"/>
        <v>255514.76117345635</v>
      </c>
      <c r="AA62" s="286">
        <f>AnnualDepletions!$AO54</f>
        <v>959.99999999989029</v>
      </c>
      <c r="AB62" s="286">
        <f>AnnualDepletions!$AY54</f>
        <v>1365.9999999998438</v>
      </c>
      <c r="AC62" s="286">
        <f>AnnualAggregations!$F54</f>
        <v>29540.999999996591</v>
      </c>
      <c r="AD62" s="286">
        <f>AnnualAggregations!$G54</f>
        <v>5925.8132334129823</v>
      </c>
      <c r="AE62" s="286">
        <f>AnnualAggregations!$H54</f>
        <v>11911.999999998627</v>
      </c>
      <c r="AF62" s="286">
        <f>AnnualDepletions!$AL54</f>
        <v>10116.999999998839</v>
      </c>
      <c r="AG62" s="286">
        <f>AnnualDepletions!$AG54</f>
        <v>6718.9999999992287</v>
      </c>
      <c r="AH62" s="286">
        <f>AnnualDepletions!$AN54</f>
        <v>2270.9999999997381</v>
      </c>
      <c r="AI62" s="287">
        <f t="shared" si="59"/>
        <v>67851.813233405846</v>
      </c>
      <c r="AJ62" s="287">
        <f t="shared" si="60"/>
        <v>324326.57440686208</v>
      </c>
      <c r="AK62" s="286">
        <f>AnnualDepletions!$AP54</f>
        <v>340.98999999997505</v>
      </c>
      <c r="AL62" s="286">
        <f>AnnualDepletions!$BH54</f>
        <v>26485.663026552771</v>
      </c>
      <c r="AM62" s="286">
        <f>AnnualDepletions!$AJ54</f>
        <v>38999.999998983854</v>
      </c>
      <c r="AN62" s="286">
        <f>AnnualDepletions!$BC54</f>
        <v>16199.99999897049</v>
      </c>
      <c r="AO62" s="286">
        <f>AnnualDepletions!$J54</f>
        <v>2499.9900000012672</v>
      </c>
      <c r="AP62" s="286">
        <f>AnnualAggregations!$I54</f>
        <v>11624.990000001573</v>
      </c>
      <c r="AQ62" s="287">
        <f t="shared" si="61"/>
        <v>69665.96999795716</v>
      </c>
      <c r="AR62" s="287">
        <f t="shared" si="62"/>
        <v>96151.633024509938</v>
      </c>
      <c r="AS62" s="287">
        <f t="shared" si="63"/>
        <v>420478.20743137202</v>
      </c>
      <c r="AU62" s="321">
        <f ca="1">StateModDepletions_ThisScenario!AC52</f>
        <v>34965.489373229444</v>
      </c>
      <c r="AV62" s="321">
        <f ca="1">StateModDepletions_ThisScenario!AD52</f>
        <v>18501.20159752667</v>
      </c>
      <c r="AW62" s="321">
        <f ca="1">StateModDepletions_ThisScenario!AE52</f>
        <v>109395.54667283595</v>
      </c>
      <c r="AX62" s="321">
        <f ca="1">StateModDepletions_ThisScenario!AB52</f>
        <v>24765.810481309891</v>
      </c>
      <c r="AY62" s="288">
        <f t="shared" ca="1" si="64"/>
        <v>187628.04812490195</v>
      </c>
      <c r="AZ62" s="321">
        <f ca="1">StateModDepletions_ThisScenario!AG52</f>
        <v>49797.429077728171</v>
      </c>
      <c r="BA62" s="321">
        <f ca="1">StateModDepletions_ThisScenario!AF52</f>
        <v>19092.319467164565</v>
      </c>
      <c r="BB62" s="321">
        <f ca="1">StateModDepletions_ThisScenario!AH52</f>
        <v>22673.732889067382</v>
      </c>
      <c r="BC62" s="321">
        <f ca="1">StateModDepletions_ThisScenario!AI52</f>
        <v>28213.801593901942</v>
      </c>
      <c r="BD62" s="321">
        <f ca="1">StateModDepletions_ThisScenario!N52</f>
        <v>1326.6977829933167</v>
      </c>
      <c r="BE62" s="321">
        <f ca="1">StateModDepletions_ThisScenario!V52</f>
        <v>15913.491417884827</v>
      </c>
      <c r="BF62" s="288">
        <f t="shared" ca="1" si="65"/>
        <v>137017.4722287402</v>
      </c>
      <c r="BG62" s="288">
        <f t="shared" ca="1" si="66"/>
        <v>324645.52035364218</v>
      </c>
      <c r="BI62" s="288">
        <f t="shared" ca="1" si="67"/>
        <v>745123.7277850142</v>
      </c>
      <c r="BK62" s="286">
        <f>AnnualAggregations!$D54</f>
        <v>35893.000000000058</v>
      </c>
      <c r="BL62" s="286">
        <f>AnnualAggregations!$B54</f>
        <v>57127.399432821527</v>
      </c>
      <c r="BM62" s="286">
        <f>AnnualDepletions!$BK54</f>
        <v>151212.82656965507</v>
      </c>
      <c r="BN62" s="286">
        <f>AnnualAggregations!$E54</f>
        <v>5000.0000000019172</v>
      </c>
      <c r="BO62" s="287">
        <f t="shared" si="68"/>
        <v>249233.22600247856</v>
      </c>
      <c r="BP62" s="321">
        <f ca="1">StateModDepletions_ThisScenario!Y52</f>
        <v>212.11356273293495</v>
      </c>
      <c r="BQ62" s="321">
        <f ca="1">StateModDepletions_ThisScenario!AJ52</f>
        <v>128665.05941468074</v>
      </c>
      <c r="BR62" s="321">
        <f ca="1">StateModDepletions_ThisScenario!Z52</f>
        <v>242635.86738777161</v>
      </c>
      <c r="BS62" s="321">
        <f ca="1">StateModDepletions_ThisScenario!AA52</f>
        <v>113758.69441035793</v>
      </c>
      <c r="BT62" s="286">
        <f>AnnualDepletions!$BG54</f>
        <v>12296.800000006155</v>
      </c>
      <c r="BV62" s="287">
        <f t="shared" ca="1" si="69"/>
        <v>1006653.7537874989</v>
      </c>
      <c r="BW62" s="287">
        <f t="shared" ca="1" si="70"/>
        <v>892895.05937714095</v>
      </c>
      <c r="BX62" s="287">
        <f t="shared" ca="1" si="91"/>
        <v>907770.05937714095</v>
      </c>
      <c r="BY62" s="287">
        <f>SJRIPSummaryRAW!$B$79</f>
        <v>14875</v>
      </c>
      <c r="CC62" s="282">
        <v>1975</v>
      </c>
      <c r="CD62" s="286">
        <f>AnnualAggregations!K54</f>
        <v>237918.98024197394</v>
      </c>
      <c r="CE62" s="442" t="s">
        <v>597</v>
      </c>
      <c r="CF62" s="286">
        <f>AnnualDeplReqs!$AM54</f>
        <v>12099.999999999995</v>
      </c>
      <c r="CG62" s="286">
        <f>AnnualDeplReqs!$AK54</f>
        <v>6524.0049023243746</v>
      </c>
      <c r="CH62" s="286">
        <f>AnnualDeplReqs!$L54</f>
        <v>899.99999999999977</v>
      </c>
      <c r="CI62" s="443">
        <f t="shared" si="71"/>
        <v>255514.76117345635</v>
      </c>
      <c r="CJ62" s="286">
        <f>AnnualDeplReqs!$AO54</f>
        <v>959.99999999989029</v>
      </c>
      <c r="CK62" s="286">
        <f>AnnualDeplReqs!$AY54</f>
        <v>1365.9999999998438</v>
      </c>
      <c r="CL62" s="286">
        <f>AnnualAggregations!$N54</f>
        <v>29540.999999996591</v>
      </c>
      <c r="CM62" s="286">
        <f>AnnualAggregations!$O54</f>
        <v>10903.999999998749</v>
      </c>
      <c r="CN62" s="286">
        <f>AnnualAggregations!$P54</f>
        <v>11911.999999998627</v>
      </c>
      <c r="CO62" s="286">
        <f>AnnualDeplReqs!$AL54</f>
        <v>10116.999999998839</v>
      </c>
      <c r="CP62" s="286">
        <f>AnnualDeplReqs!$AG54</f>
        <v>6718.9999999992287</v>
      </c>
      <c r="CQ62" s="286">
        <f>AnnualDeplReqs!$AN54</f>
        <v>2270.9999999997381</v>
      </c>
      <c r="CR62" s="287">
        <f t="shared" si="72"/>
        <v>72829.999999991618</v>
      </c>
      <c r="CS62" s="287">
        <f t="shared" si="73"/>
        <v>329304.76117344783</v>
      </c>
      <c r="CT62" s="286">
        <f>AnnualDeplReqs!$AP54</f>
        <v>340.98999999997505</v>
      </c>
      <c r="CU62" s="442" t="s">
        <v>597</v>
      </c>
      <c r="CV62" s="286">
        <f>AnnualDeplReqs!$AJ54</f>
        <v>38999.999998983854</v>
      </c>
      <c r="CW62" s="286">
        <f>AnnualDeplReqs!$BC54</f>
        <v>16199.99999897049</v>
      </c>
      <c r="CX62" s="286">
        <f>AnnualDeplReqs!$J54</f>
        <v>2499.9900000012672</v>
      </c>
      <c r="CY62" s="286">
        <f>AnnualAggregations!$Q54</f>
        <v>11624.990000001573</v>
      </c>
      <c r="CZ62" s="287">
        <f t="shared" si="74"/>
        <v>69665.96999795716</v>
      </c>
      <c r="DA62" s="443">
        <f t="shared" si="75"/>
        <v>96151.633024509938</v>
      </c>
      <c r="DB62" s="287">
        <f t="shared" si="76"/>
        <v>425456.39419795776</v>
      </c>
      <c r="DD62" s="440" t="s">
        <v>628</v>
      </c>
      <c r="DE62" s="440" t="s">
        <v>628</v>
      </c>
      <c r="DF62" s="440" t="s">
        <v>628</v>
      </c>
      <c r="DG62" s="440" t="s">
        <v>628</v>
      </c>
      <c r="DH62" s="440" t="s">
        <v>628</v>
      </c>
      <c r="DI62" s="440" t="s">
        <v>628</v>
      </c>
      <c r="DJ62" s="440" t="s">
        <v>628</v>
      </c>
      <c r="DK62" s="440" t="s">
        <v>628</v>
      </c>
      <c r="DL62" s="440" t="s">
        <v>628</v>
      </c>
      <c r="DM62" s="440" t="s">
        <v>628</v>
      </c>
      <c r="DN62" s="440" t="s">
        <v>628</v>
      </c>
      <c r="DO62" s="440" t="s">
        <v>628</v>
      </c>
      <c r="DP62" s="440" t="s">
        <v>628</v>
      </c>
      <c r="DR62" s="440" t="s">
        <v>628</v>
      </c>
      <c r="DT62" s="286">
        <f>AnnualAggregations!$L54</f>
        <v>35893.000000000073</v>
      </c>
      <c r="DU62" s="443">
        <f>AnnualAggregations!$J54</f>
        <v>57127.399432821527</v>
      </c>
      <c r="DV62" s="442" t="s">
        <v>597</v>
      </c>
      <c r="DW62" s="286">
        <f>AnnualAggregations!$M54</f>
        <v>5000.0000000019172</v>
      </c>
      <c r="DX62" s="442" t="s">
        <v>597</v>
      </c>
      <c r="DY62" s="440" t="s">
        <v>628</v>
      </c>
      <c r="DZ62" s="440" t="s">
        <v>628</v>
      </c>
      <c r="EA62" s="440" t="s">
        <v>628</v>
      </c>
      <c r="EB62" s="440" t="s">
        <v>628</v>
      </c>
      <c r="EC62" s="286">
        <f>AnnualDeplReqs!$BG54</f>
        <v>12296.800000006155</v>
      </c>
      <c r="EE62" s="440" t="s">
        <v>628</v>
      </c>
      <c r="EF62" s="440" t="s">
        <v>628</v>
      </c>
      <c r="EG62" s="440" t="s">
        <v>628</v>
      </c>
      <c r="EH62" s="442" t="s">
        <v>597</v>
      </c>
      <c r="EL62" s="282">
        <v>1975</v>
      </c>
      <c r="EM62" s="286">
        <f>AnnualAggregations!S54</f>
        <v>297398.7253024684</v>
      </c>
      <c r="EN62" s="442" t="s">
        <v>597</v>
      </c>
      <c r="EO62" s="286">
        <f>AnnualDiversions!$AM54</f>
        <v>24160.880683189975</v>
      </c>
      <c r="EP62" s="286">
        <f>AnnualDiversions!$AK54</f>
        <v>12986.000199265252</v>
      </c>
      <c r="EQ62" s="286">
        <f>AnnualDiversions!$L54</f>
        <v>1799.9999999999995</v>
      </c>
      <c r="ER62" s="287">
        <f t="shared" si="77"/>
        <v>336345.60618492361</v>
      </c>
      <c r="ES62" s="286">
        <f>AnnualDiversions!$AO54</f>
        <v>1919.9999999997806</v>
      </c>
      <c r="ET62" s="286">
        <f>AnnualDiversions!$AY54</f>
        <v>2472.3981900449635</v>
      </c>
      <c r="EU62" s="286">
        <f>AnnualAggregations!$V54</f>
        <v>49605.572779594986</v>
      </c>
      <c r="EV62" s="286">
        <f>AnnualAggregations!$W54</f>
        <v>11773.312405639179</v>
      </c>
      <c r="EW62" s="286">
        <f>AnnualAggregations!$X54</f>
        <v>18259.803669480669</v>
      </c>
      <c r="EX62" s="286">
        <f>AnnualDiversions!$AL54</f>
        <v>12001.186239619021</v>
      </c>
      <c r="EY62" s="286">
        <f>AnnualDiversions!$AG54</f>
        <v>12733.819766889465</v>
      </c>
      <c r="EZ62" s="286">
        <f>AnnualDiversions!$AN54</f>
        <v>4270.0009401141979</v>
      </c>
      <c r="FA62" s="287">
        <f t="shared" si="78"/>
        <v>111116.09399138248</v>
      </c>
      <c r="FB62" s="287">
        <f t="shared" si="79"/>
        <v>449381.70017630584</v>
      </c>
      <c r="FC62" s="286">
        <f>AnnualDiversions!$AP54</f>
        <v>378.87777777775057</v>
      </c>
      <c r="FD62" s="442" t="s">
        <v>597</v>
      </c>
      <c r="FE62" s="286">
        <f>AnnualDiversions!$AJ54</f>
        <v>38999.999998983854</v>
      </c>
      <c r="FF62" s="286">
        <f>AnnualDiversions!$BC54</f>
        <v>16199.99999897049</v>
      </c>
      <c r="FG62" s="286">
        <f>AnnualDiversions!$J54</f>
        <v>4166.6500000021233</v>
      </c>
      <c r="FH62" s="286">
        <f>AnnualAggregations!$Y54</f>
        <v>19374.983333335964</v>
      </c>
      <c r="FI62" s="287">
        <f t="shared" si="80"/>
        <v>79120.511109070183</v>
      </c>
      <c r="FJ62" s="287">
        <f t="shared" si="81"/>
        <v>79120.511109070183</v>
      </c>
      <c r="FK62" s="287">
        <f t="shared" si="82"/>
        <v>528502.21128537599</v>
      </c>
      <c r="FM62" s="440" t="s">
        <v>628</v>
      </c>
      <c r="FN62" s="440" t="s">
        <v>628</v>
      </c>
      <c r="FO62" s="440" t="s">
        <v>628</v>
      </c>
      <c r="FP62" s="440" t="s">
        <v>628</v>
      </c>
      <c r="FQ62" s="440" t="s">
        <v>628</v>
      </c>
      <c r="FR62" s="440" t="s">
        <v>628</v>
      </c>
      <c r="FS62" s="440" t="s">
        <v>628</v>
      </c>
      <c r="FT62" s="440" t="s">
        <v>628</v>
      </c>
      <c r="FU62" s="440" t="s">
        <v>628</v>
      </c>
      <c r="FV62" s="440" t="s">
        <v>628</v>
      </c>
      <c r="FW62" s="440" t="s">
        <v>628</v>
      </c>
      <c r="FX62" s="440" t="s">
        <v>628</v>
      </c>
      <c r="FY62" s="440" t="s">
        <v>628</v>
      </c>
      <c r="GA62" s="440" t="s">
        <v>628</v>
      </c>
      <c r="GC62" s="286">
        <f>AnnualAggregations!$T54</f>
        <v>37764.23856661762</v>
      </c>
      <c r="GD62" s="286">
        <f>AnnualAggregations!$R54</f>
        <v>109067.13000005133</v>
      </c>
      <c r="GE62" s="443">
        <f t="shared" si="83"/>
        <v>151212.82656965507</v>
      </c>
      <c r="GF62" s="286">
        <f>AnnualAggregations!$U54</f>
        <v>5000.0000000019172</v>
      </c>
      <c r="GG62" s="287">
        <f t="shared" si="84"/>
        <v>303044.19513632596</v>
      </c>
      <c r="GH62" s="440" t="s">
        <v>628</v>
      </c>
      <c r="GI62" s="440" t="s">
        <v>628</v>
      </c>
      <c r="GJ62" s="440" t="s">
        <v>628</v>
      </c>
      <c r="GK62" s="440" t="s">
        <v>628</v>
      </c>
      <c r="GL62" s="286">
        <f>AnnualDiversions!$BG54</f>
        <v>12296.800000006155</v>
      </c>
      <c r="GN62" s="440" t="s">
        <v>628</v>
      </c>
      <c r="GO62" s="440" t="s">
        <v>628</v>
      </c>
      <c r="GP62" s="440" t="s">
        <v>628</v>
      </c>
      <c r="GQ62" s="442" t="s">
        <v>597</v>
      </c>
      <c r="GU62" s="282">
        <v>1975</v>
      </c>
      <c r="GV62" s="286">
        <f>AnnualAggregations!AA54</f>
        <v>297398.7253024684</v>
      </c>
      <c r="GW62" s="442" t="s">
        <v>597</v>
      </c>
      <c r="GX62" s="286">
        <f>AnnualDivReqs!$AM54</f>
        <v>24160.880683189975</v>
      </c>
      <c r="GY62" s="286">
        <f>AnnualDivReqs!$AK54</f>
        <v>12986.000199265252</v>
      </c>
      <c r="GZ62" s="286">
        <f>AnnualDivReqs!$L54</f>
        <v>1799.9999999999995</v>
      </c>
      <c r="HA62" s="287">
        <f t="shared" si="85"/>
        <v>336345.60618492361</v>
      </c>
      <c r="HB62" s="286">
        <f>AnnualDivReqs!$AO54</f>
        <v>1919.9999999997806</v>
      </c>
      <c r="HC62" s="286">
        <f>AnnualDivReqs!$AY54</f>
        <v>2472.3981900449635</v>
      </c>
      <c r="HD62" s="286">
        <f>AnnualAggregations!$AD54</f>
        <v>49605.572779594986</v>
      </c>
      <c r="HE62" s="286">
        <f>AnnualAggregations!$AE54</f>
        <v>19532.523575893731</v>
      </c>
      <c r="HF62" s="286">
        <f>AnnualAggregations!$AF54</f>
        <v>18259.803669480669</v>
      </c>
      <c r="HG62" s="286">
        <f>AnnualDivReqs!$AL54</f>
        <v>12001.186239619021</v>
      </c>
      <c r="HH62" s="286">
        <f>AnnualDivReqs!$AG54</f>
        <v>12733.819766889465</v>
      </c>
      <c r="HI62" s="286">
        <f>AnnualDivReqs!$AN54</f>
        <v>4270.0009401141979</v>
      </c>
      <c r="HJ62" s="287">
        <f t="shared" si="86"/>
        <v>118875.30516163705</v>
      </c>
      <c r="HK62" s="287">
        <f t="shared" si="87"/>
        <v>457140.91134656046</v>
      </c>
      <c r="HL62" s="286">
        <f>AnnualDivReqs!$AP54</f>
        <v>378.87777777775057</v>
      </c>
      <c r="HM62" s="442" t="s">
        <v>597</v>
      </c>
      <c r="HN62" s="286">
        <f>AnnualDivReqs!$AJ54</f>
        <v>38999.999998983854</v>
      </c>
      <c r="HO62" s="286">
        <f>AnnualDivReqs!$BC54</f>
        <v>16199.99999897049</v>
      </c>
      <c r="HP62" s="286">
        <f>AnnualDivReqs!$J54</f>
        <v>4166.6500000021233</v>
      </c>
      <c r="HQ62" s="286">
        <f>AnnualAggregations!$AG54</f>
        <v>19374.983333335964</v>
      </c>
      <c r="HR62" s="287">
        <f t="shared" si="88"/>
        <v>79120.511109070183</v>
      </c>
      <c r="HS62" s="287">
        <f t="shared" si="89"/>
        <v>79120.511109070183</v>
      </c>
      <c r="HT62" s="287">
        <f t="shared" si="90"/>
        <v>536261.42245563061</v>
      </c>
      <c r="HV62" s="440" t="s">
        <v>628</v>
      </c>
      <c r="HW62" s="440" t="s">
        <v>628</v>
      </c>
      <c r="HX62" s="440" t="s">
        <v>628</v>
      </c>
      <c r="HY62" s="440" t="s">
        <v>628</v>
      </c>
      <c r="HZ62" s="440" t="s">
        <v>628</v>
      </c>
      <c r="IA62" s="440" t="s">
        <v>628</v>
      </c>
      <c r="IB62" s="440" t="s">
        <v>628</v>
      </c>
      <c r="IC62" s="440" t="s">
        <v>628</v>
      </c>
      <c r="ID62" s="440" t="s">
        <v>628</v>
      </c>
      <c r="IE62" s="440" t="s">
        <v>628</v>
      </c>
      <c r="IF62" s="440" t="s">
        <v>628</v>
      </c>
      <c r="IG62" s="440" t="s">
        <v>628</v>
      </c>
      <c r="IH62" s="440" t="s">
        <v>628</v>
      </c>
      <c r="IJ62" s="440" t="s">
        <v>628</v>
      </c>
      <c r="IL62" s="286">
        <f>AnnualAggregations!$AB54</f>
        <v>37764.238566617634</v>
      </c>
      <c r="IM62" s="286">
        <f>AnnualAggregations!$Z54</f>
        <v>109067.13000005133</v>
      </c>
      <c r="IN62" s="442" t="s">
        <v>597</v>
      </c>
      <c r="IO62" s="286">
        <f>AnnualAggregations!$AC54</f>
        <v>5000.0000000019172</v>
      </c>
      <c r="IP62" s="442" t="s">
        <v>597</v>
      </c>
      <c r="IQ62" s="440" t="s">
        <v>628</v>
      </c>
      <c r="IR62" s="440" t="s">
        <v>628</v>
      </c>
      <c r="IS62" s="440" t="s">
        <v>628</v>
      </c>
      <c r="IT62" s="440" t="s">
        <v>628</v>
      </c>
      <c r="IU62" s="286">
        <f>AnnualDivReqs!$BG54</f>
        <v>12296.800000006155</v>
      </c>
      <c r="IW62" s="440" t="s">
        <v>628</v>
      </c>
      <c r="IX62" s="440" t="s">
        <v>628</v>
      </c>
      <c r="IY62" s="440" t="s">
        <v>628</v>
      </c>
      <c r="IZ62" s="442" t="s">
        <v>597</v>
      </c>
    </row>
    <row r="63" spans="1:260" x14ac:dyDescent="0.25">
      <c r="A63" s="480" t="str">
        <f>ADDRESS(ROW(SJRIPSummary!E55),COLUMN(SJRIPSummary!E55),4,1)</f>
        <v>E55</v>
      </c>
      <c r="B63" s="480" t="str">
        <f t="shared" si="57"/>
        <v>55</v>
      </c>
      <c r="C63" t="s">
        <v>626</v>
      </c>
      <c r="D63" s="404">
        <v>48</v>
      </c>
      <c r="E63" s="404">
        <v>109</v>
      </c>
      <c r="F63" s="404">
        <v>170</v>
      </c>
      <c r="G63" s="404">
        <v>231</v>
      </c>
      <c r="H63" s="398"/>
      <c r="I63" s="627" t="s">
        <v>123</v>
      </c>
      <c r="J63" s="628"/>
      <c r="K63" s="628"/>
      <c r="L63" s="188" t="s">
        <v>124</v>
      </c>
      <c r="M63" s="237">
        <f ca="1">ROUND(SJRIPSummaryRAW!B64,-1)</f>
        <v>210</v>
      </c>
      <c r="N63" s="205"/>
      <c r="O63" s="219">
        <f ca="1">ROUND(SJRIPSummaryRAW!D64,-1)</f>
        <v>210</v>
      </c>
      <c r="P63" s="220">
        <f ca="1">ROUND(SJRIPSummaryRAW!E64,-1)</f>
        <v>210</v>
      </c>
      <c r="Q63" s="398"/>
      <c r="R63" s="21"/>
      <c r="S63" s="21"/>
      <c r="T63" s="282">
        <v>1976</v>
      </c>
      <c r="U63" s="286">
        <f>AnnualAggregations!$C55</f>
        <v>248527.6841249415</v>
      </c>
      <c r="V63" s="286">
        <f>AnnualDepletions!$BI55</f>
        <v>57.867435835766727</v>
      </c>
      <c r="W63" s="286">
        <f>AnnualDepletions!$AM55</f>
        <v>12100.000000000007</v>
      </c>
      <c r="X63" s="286">
        <f>AnnualDepletions!$AK55</f>
        <v>7970</v>
      </c>
      <c r="Y63" s="286">
        <f>AnnualDepletions!$L55</f>
        <v>899.99999999999943</v>
      </c>
      <c r="Z63" s="287">
        <f t="shared" si="58"/>
        <v>269555.55156077724</v>
      </c>
      <c r="AA63" s="286">
        <f>AnnualDepletions!$AO55</f>
        <v>1107.9999999998727</v>
      </c>
      <c r="AB63" s="286">
        <f>AnnualDepletions!$AY55</f>
        <v>1438.9999999998342</v>
      </c>
      <c r="AC63" s="286">
        <f>AnnualAggregations!$F55</f>
        <v>31248.047115705558</v>
      </c>
      <c r="AD63" s="286">
        <f>AnnualAggregations!$G55</f>
        <v>3003.7977361228782</v>
      </c>
      <c r="AE63" s="286">
        <f>AnnualAggregations!$H55</f>
        <v>11992.999999998618</v>
      </c>
      <c r="AF63" s="286">
        <f>AnnualDepletions!$AL55</f>
        <v>10122.999999998834</v>
      </c>
      <c r="AG63" s="286">
        <f>AnnualDepletions!$AG55</f>
        <v>9349.9999999989286</v>
      </c>
      <c r="AH63" s="286">
        <f>AnnualDepletions!$AN55</f>
        <v>2921.999999999663</v>
      </c>
      <c r="AI63" s="287">
        <f t="shared" si="59"/>
        <v>70078.844851824309</v>
      </c>
      <c r="AJ63" s="287">
        <f t="shared" si="60"/>
        <v>340742.39641260146</v>
      </c>
      <c r="AK63" s="286">
        <f>AnnualDepletions!$AP55</f>
        <v>340.98999999997511</v>
      </c>
      <c r="AL63" s="286">
        <f>AnnualDepletions!$BH55</f>
        <v>28017.616617889638</v>
      </c>
      <c r="AM63" s="286">
        <f>AnnualDepletions!$AJ55</f>
        <v>38999.999998983862</v>
      </c>
      <c r="AN63" s="286">
        <f>AnnualDepletions!$BC55</f>
        <v>16199.999998970494</v>
      </c>
      <c r="AO63" s="286">
        <f>AnnualDepletions!$J55</f>
        <v>2499.9900000012672</v>
      </c>
      <c r="AP63" s="286">
        <f>AnnualAggregations!$I55</f>
        <v>11624.990000001573</v>
      </c>
      <c r="AQ63" s="287">
        <f t="shared" si="61"/>
        <v>69665.969997957174</v>
      </c>
      <c r="AR63" s="287">
        <f t="shared" si="62"/>
        <v>97683.586615846812</v>
      </c>
      <c r="AS63" s="287">
        <f t="shared" si="63"/>
        <v>438425.9830284483</v>
      </c>
      <c r="AU63" s="321">
        <f ca="1">StateModDepletions_ThisScenario!AC53</f>
        <v>33297.802141860127</v>
      </c>
      <c r="AV63" s="321">
        <f ca="1">StateModDepletions_ThisScenario!AD53</f>
        <v>17884.375206075609</v>
      </c>
      <c r="AW63" s="321">
        <f ca="1">StateModDepletions_ThisScenario!AE53</f>
        <v>101644.75976122916</v>
      </c>
      <c r="AX63" s="321">
        <f ca="1">StateModDepletions_ThisScenario!AB53</f>
        <v>24765.810481309891</v>
      </c>
      <c r="AY63" s="288">
        <f t="shared" ca="1" si="64"/>
        <v>177592.74759047478</v>
      </c>
      <c r="AZ63" s="321">
        <f ca="1">StateModDepletions_ThisScenario!AG53</f>
        <v>39894.474256091271</v>
      </c>
      <c r="BA63" s="321">
        <f ca="1">StateModDepletions_ThisScenario!AF53</f>
        <v>18036.754915401347</v>
      </c>
      <c r="BB63" s="321">
        <f ca="1">StateModDepletions_ThisScenario!AH53</f>
        <v>14061.494893088937</v>
      </c>
      <c r="BC63" s="321">
        <f ca="1">StateModDepletions_ThisScenario!AI53</f>
        <v>14143.247345783637</v>
      </c>
      <c r="BD63" s="321">
        <f ca="1">StateModDepletions_ThisScenario!N53</f>
        <v>1326.6977829933167</v>
      </c>
      <c r="BE63" s="321">
        <f ca="1">StateModDepletions_ThisScenario!V53</f>
        <v>10966.615132331848</v>
      </c>
      <c r="BF63" s="288">
        <f t="shared" ca="1" si="65"/>
        <v>98429.284325690358</v>
      </c>
      <c r="BG63" s="288">
        <f t="shared" ca="1" si="66"/>
        <v>276022.03191616514</v>
      </c>
      <c r="BI63" s="288">
        <f t="shared" ca="1" si="67"/>
        <v>714448.01494461345</v>
      </c>
      <c r="BK63" s="286">
        <f>AnnualAggregations!$D55</f>
        <v>35893.000000000058</v>
      </c>
      <c r="BL63" s="286">
        <f>AnnualAggregations!$B55</f>
        <v>57168.337839666019</v>
      </c>
      <c r="BM63" s="286">
        <f>AnnualDepletions!$BK55</f>
        <v>84684.114660778752</v>
      </c>
      <c r="BN63" s="286">
        <f>AnnualAggregations!$E55</f>
        <v>5000.0000000019463</v>
      </c>
      <c r="BO63" s="287">
        <f t="shared" si="68"/>
        <v>182745.45250044679</v>
      </c>
      <c r="BP63" s="321">
        <f ca="1">StateModDepletions_ThisScenario!Y53</f>
        <v>212.11356273293495</v>
      </c>
      <c r="BQ63" s="321">
        <f ca="1">StateModDepletions_ThisScenario!AJ53</f>
        <v>130440.31471897991</v>
      </c>
      <c r="BR63" s="321">
        <f ca="1">StateModDepletions_ThisScenario!Z53</f>
        <v>221127.03445386887</v>
      </c>
      <c r="BS63" s="321">
        <f ca="1">StateModDepletions_ThisScenario!AA53</f>
        <v>90474.606172156025</v>
      </c>
      <c r="BT63" s="286">
        <f>AnnualDepletions!$BG55</f>
        <v>12296.800000006155</v>
      </c>
      <c r="BV63" s="287">
        <f t="shared" ca="1" si="69"/>
        <v>909490.26744506636</v>
      </c>
      <c r="BW63" s="287">
        <f t="shared" ca="1" si="70"/>
        <v>819015.66127291031</v>
      </c>
      <c r="BX63" s="287">
        <f t="shared" ca="1" si="91"/>
        <v>833890.66127291031</v>
      </c>
      <c r="BY63" s="287">
        <f>SJRIPSummaryRAW!$B$79</f>
        <v>14875</v>
      </c>
      <c r="CC63" s="282">
        <v>1976</v>
      </c>
      <c r="CD63" s="286">
        <f>AnnualAggregations!K55</f>
        <v>248527.6841249415</v>
      </c>
      <c r="CE63" s="442" t="s">
        <v>597</v>
      </c>
      <c r="CF63" s="286">
        <f>AnnualDeplReqs!$AM55</f>
        <v>12100.000000000007</v>
      </c>
      <c r="CG63" s="286">
        <f>AnnualDeplReqs!$AK55</f>
        <v>7970</v>
      </c>
      <c r="CH63" s="286">
        <f>AnnualDeplReqs!$L55</f>
        <v>899.99999999999943</v>
      </c>
      <c r="CI63" s="443">
        <f t="shared" si="71"/>
        <v>269555.55156077724</v>
      </c>
      <c r="CJ63" s="286">
        <f>AnnualDeplReqs!$AO55</f>
        <v>1107.9999999998727</v>
      </c>
      <c r="CK63" s="286">
        <f>AnnualDeplReqs!$AY55</f>
        <v>1438.9999999998342</v>
      </c>
      <c r="CL63" s="286">
        <f>AnnualAggregations!$N55</f>
        <v>31248.047115705558</v>
      </c>
      <c r="CM63" s="286">
        <f>AnnualAggregations!$O55</f>
        <v>11425.999999998687</v>
      </c>
      <c r="CN63" s="286">
        <f>AnnualAggregations!$P55</f>
        <v>11992.999999998618</v>
      </c>
      <c r="CO63" s="286">
        <f>AnnualDeplReqs!$AL55</f>
        <v>10122.999999998834</v>
      </c>
      <c r="CP63" s="286">
        <f>AnnualDeplReqs!$AG55</f>
        <v>9349.9999999989286</v>
      </c>
      <c r="CQ63" s="286">
        <f>AnnualDeplReqs!$AN55</f>
        <v>2921.999999999663</v>
      </c>
      <c r="CR63" s="287">
        <f t="shared" si="72"/>
        <v>78501.047115700116</v>
      </c>
      <c r="CS63" s="287">
        <f t="shared" si="73"/>
        <v>349164.59867647721</v>
      </c>
      <c r="CT63" s="286">
        <f>AnnualDeplReqs!$AP55</f>
        <v>340.98999999997511</v>
      </c>
      <c r="CU63" s="442" t="s">
        <v>597</v>
      </c>
      <c r="CV63" s="286">
        <f>AnnualDeplReqs!$AJ55</f>
        <v>38999.999998983862</v>
      </c>
      <c r="CW63" s="286">
        <f>AnnualDeplReqs!$BC55</f>
        <v>16199.999998970494</v>
      </c>
      <c r="CX63" s="286">
        <f>AnnualDeplReqs!$J55</f>
        <v>2499.9900000012672</v>
      </c>
      <c r="CY63" s="286">
        <f>AnnualAggregations!$Q55</f>
        <v>11624.990000001573</v>
      </c>
      <c r="CZ63" s="287">
        <f t="shared" si="74"/>
        <v>69665.969997957174</v>
      </c>
      <c r="DA63" s="443">
        <f t="shared" si="75"/>
        <v>97683.586615846812</v>
      </c>
      <c r="DB63" s="287">
        <f t="shared" si="76"/>
        <v>446848.18529232405</v>
      </c>
      <c r="DD63" s="440" t="s">
        <v>628</v>
      </c>
      <c r="DE63" s="440" t="s">
        <v>628</v>
      </c>
      <c r="DF63" s="440" t="s">
        <v>628</v>
      </c>
      <c r="DG63" s="440" t="s">
        <v>628</v>
      </c>
      <c r="DH63" s="440" t="s">
        <v>628</v>
      </c>
      <c r="DI63" s="440" t="s">
        <v>628</v>
      </c>
      <c r="DJ63" s="440" t="s">
        <v>628</v>
      </c>
      <c r="DK63" s="440" t="s">
        <v>628</v>
      </c>
      <c r="DL63" s="440" t="s">
        <v>628</v>
      </c>
      <c r="DM63" s="440" t="s">
        <v>628</v>
      </c>
      <c r="DN63" s="440" t="s">
        <v>628</v>
      </c>
      <c r="DO63" s="440" t="s">
        <v>628</v>
      </c>
      <c r="DP63" s="440" t="s">
        <v>628</v>
      </c>
      <c r="DR63" s="440" t="s">
        <v>628</v>
      </c>
      <c r="DT63" s="286">
        <f>AnnualAggregations!$L55</f>
        <v>35893.000000000073</v>
      </c>
      <c r="DU63" s="443">
        <f>AnnualAggregations!$J55</f>
        <v>57168.337839666019</v>
      </c>
      <c r="DV63" s="442" t="s">
        <v>597</v>
      </c>
      <c r="DW63" s="286">
        <f>AnnualAggregations!$M55</f>
        <v>5000.0000000019463</v>
      </c>
      <c r="DX63" s="442" t="s">
        <v>597</v>
      </c>
      <c r="DY63" s="440" t="s">
        <v>628</v>
      </c>
      <c r="DZ63" s="440" t="s">
        <v>628</v>
      </c>
      <c r="EA63" s="440" t="s">
        <v>628</v>
      </c>
      <c r="EB63" s="440" t="s">
        <v>628</v>
      </c>
      <c r="EC63" s="286">
        <f>AnnualDeplReqs!$BG55</f>
        <v>12296.800000006155</v>
      </c>
      <c r="EE63" s="440" t="s">
        <v>628</v>
      </c>
      <c r="EF63" s="440" t="s">
        <v>628</v>
      </c>
      <c r="EG63" s="440" t="s">
        <v>628</v>
      </c>
      <c r="EH63" s="442" t="s">
        <v>597</v>
      </c>
      <c r="EL63" s="282">
        <v>1976</v>
      </c>
      <c r="EM63" s="286">
        <f>AnnualAggregations!S55</f>
        <v>310659.60515617736</v>
      </c>
      <c r="EN63" s="442" t="s">
        <v>597</v>
      </c>
      <c r="EO63" s="286">
        <f>AnnualDiversions!$AM55</f>
        <v>24160.880683189993</v>
      </c>
      <c r="EP63" s="286">
        <f>AnnualDiversions!$AK55</f>
        <v>15864.246446422738</v>
      </c>
      <c r="EQ63" s="286">
        <f>AnnualDiversions!$L55</f>
        <v>1799.9999999999989</v>
      </c>
      <c r="ER63" s="287">
        <f t="shared" si="77"/>
        <v>352484.73228579015</v>
      </c>
      <c r="ES63" s="286">
        <f>AnnualDiversions!$AO55</f>
        <v>2215.9999999997453</v>
      </c>
      <c r="ET63" s="286">
        <f>AnnualDiversions!$AY55</f>
        <v>2604.5248868775293</v>
      </c>
      <c r="EU63" s="286">
        <f>AnnualAggregations!$V55</f>
        <v>52460.616526899285</v>
      </c>
      <c r="EV63" s="286">
        <f>AnnualAggregations!$W55</f>
        <v>5584.8767325392064</v>
      </c>
      <c r="EW63" s="286">
        <f>AnnualAggregations!$X55</f>
        <v>18383.611249119036</v>
      </c>
      <c r="EX63" s="286">
        <f>AnnualDiversions!$AL55</f>
        <v>12008.303677341441</v>
      </c>
      <c r="EY63" s="286">
        <f>AnnualDiversions!$AG55</f>
        <v>17720.079598216485</v>
      </c>
      <c r="EZ63" s="286">
        <f>AnnualDiversions!$AN55</f>
        <v>5494.0302716925116</v>
      </c>
      <c r="FA63" s="287">
        <f t="shared" si="78"/>
        <v>114256.04294268548</v>
      </c>
      <c r="FB63" s="287">
        <f t="shared" si="79"/>
        <v>468956.7752284754</v>
      </c>
      <c r="FC63" s="286">
        <f>AnnualDiversions!$AP55</f>
        <v>378.87777777775057</v>
      </c>
      <c r="FD63" s="442" t="s">
        <v>597</v>
      </c>
      <c r="FE63" s="286">
        <f>AnnualDiversions!$AJ55</f>
        <v>38999.999998983862</v>
      </c>
      <c r="FF63" s="286">
        <f>AnnualDiversions!$BC55</f>
        <v>16199.999998970494</v>
      </c>
      <c r="FG63" s="286">
        <f>AnnualDiversions!$J55</f>
        <v>4166.6500000021233</v>
      </c>
      <c r="FH63" s="286">
        <f>AnnualAggregations!$Y55</f>
        <v>19374.983333335967</v>
      </c>
      <c r="FI63" s="287">
        <f t="shared" si="80"/>
        <v>79120.511109070212</v>
      </c>
      <c r="FJ63" s="287">
        <f t="shared" si="81"/>
        <v>79120.511109070198</v>
      </c>
      <c r="FK63" s="287">
        <f t="shared" si="82"/>
        <v>548077.28633754561</v>
      </c>
      <c r="FM63" s="440" t="s">
        <v>628</v>
      </c>
      <c r="FN63" s="440" t="s">
        <v>628</v>
      </c>
      <c r="FO63" s="440" t="s">
        <v>628</v>
      </c>
      <c r="FP63" s="440" t="s">
        <v>628</v>
      </c>
      <c r="FQ63" s="440" t="s">
        <v>628</v>
      </c>
      <c r="FR63" s="440" t="s">
        <v>628</v>
      </c>
      <c r="FS63" s="440" t="s">
        <v>628</v>
      </c>
      <c r="FT63" s="440" t="s">
        <v>628</v>
      </c>
      <c r="FU63" s="440" t="s">
        <v>628</v>
      </c>
      <c r="FV63" s="440" t="s">
        <v>628</v>
      </c>
      <c r="FW63" s="440" t="s">
        <v>628</v>
      </c>
      <c r="FX63" s="440" t="s">
        <v>628</v>
      </c>
      <c r="FY63" s="440" t="s">
        <v>628</v>
      </c>
      <c r="GA63" s="440" t="s">
        <v>628</v>
      </c>
      <c r="GC63" s="286">
        <f>AnnualAggregations!$T55</f>
        <v>37763.476493275433</v>
      </c>
      <c r="GD63" s="286">
        <f>AnnualAggregations!$R55</f>
        <v>109067.13000005131</v>
      </c>
      <c r="GE63" s="443">
        <f t="shared" si="83"/>
        <v>84684.114660778752</v>
      </c>
      <c r="GF63" s="286">
        <f>AnnualAggregations!$U55</f>
        <v>5000.0000000019463</v>
      </c>
      <c r="GG63" s="287">
        <f t="shared" si="84"/>
        <v>236514.72115410745</v>
      </c>
      <c r="GH63" s="440" t="s">
        <v>628</v>
      </c>
      <c r="GI63" s="440" t="s">
        <v>628</v>
      </c>
      <c r="GJ63" s="440" t="s">
        <v>628</v>
      </c>
      <c r="GK63" s="440" t="s">
        <v>628</v>
      </c>
      <c r="GL63" s="286">
        <f>AnnualDiversions!$BG55</f>
        <v>12296.800000006155</v>
      </c>
      <c r="GN63" s="440" t="s">
        <v>628</v>
      </c>
      <c r="GO63" s="440" t="s">
        <v>628</v>
      </c>
      <c r="GP63" s="440" t="s">
        <v>628</v>
      </c>
      <c r="GQ63" s="442" t="s">
        <v>597</v>
      </c>
      <c r="GU63" s="282">
        <v>1976</v>
      </c>
      <c r="GV63" s="286">
        <f>AnnualAggregations!AA55</f>
        <v>310659.60515617736</v>
      </c>
      <c r="GW63" s="442" t="s">
        <v>597</v>
      </c>
      <c r="GX63" s="286">
        <f>AnnualDivReqs!$AM55</f>
        <v>24160.880683189993</v>
      </c>
      <c r="GY63" s="286">
        <f>AnnualDivReqs!$AK55</f>
        <v>15864.246446422738</v>
      </c>
      <c r="GZ63" s="286">
        <f>AnnualDivReqs!$L55</f>
        <v>1799.9999999999989</v>
      </c>
      <c r="HA63" s="287">
        <f t="shared" si="85"/>
        <v>352484.73228579015</v>
      </c>
      <c r="HB63" s="286">
        <f>AnnualDivReqs!$AO55</f>
        <v>2215.9999999997453</v>
      </c>
      <c r="HC63" s="286">
        <f>AnnualDivReqs!$AY55</f>
        <v>2604.5248868775293</v>
      </c>
      <c r="HD63" s="286">
        <f>AnnualAggregations!$AD55</f>
        <v>52460.616526899285</v>
      </c>
      <c r="HE63" s="286">
        <f>AnnualAggregations!$AE55</f>
        <v>20466.412464444362</v>
      </c>
      <c r="HF63" s="286">
        <f>AnnualAggregations!$AF55</f>
        <v>18383.611249119036</v>
      </c>
      <c r="HG63" s="286">
        <f>AnnualDivReqs!$AL55</f>
        <v>12008.303677341441</v>
      </c>
      <c r="HH63" s="286">
        <f>AnnualDivReqs!$AG55</f>
        <v>17720.079598216485</v>
      </c>
      <c r="HI63" s="286">
        <f>AnnualDivReqs!$AN55</f>
        <v>5494.0302716925116</v>
      </c>
      <c r="HJ63" s="287">
        <f t="shared" si="86"/>
        <v>129137.57867459064</v>
      </c>
      <c r="HK63" s="287">
        <f t="shared" si="87"/>
        <v>483838.31096038054</v>
      </c>
      <c r="HL63" s="286">
        <f>AnnualDivReqs!$AP55</f>
        <v>378.87777777775057</v>
      </c>
      <c r="HM63" s="442" t="s">
        <v>597</v>
      </c>
      <c r="HN63" s="286">
        <f>AnnualDivReqs!$AJ55</f>
        <v>38999.999998983862</v>
      </c>
      <c r="HO63" s="286">
        <f>AnnualDivReqs!$BC55</f>
        <v>16199.999998970494</v>
      </c>
      <c r="HP63" s="286">
        <f>AnnualDivReqs!$J55</f>
        <v>4166.6500000021233</v>
      </c>
      <c r="HQ63" s="286">
        <f>AnnualAggregations!$AG55</f>
        <v>19374.983333335967</v>
      </c>
      <c r="HR63" s="287">
        <f t="shared" si="88"/>
        <v>79120.511109070212</v>
      </c>
      <c r="HS63" s="287">
        <f t="shared" si="89"/>
        <v>79120.511109070198</v>
      </c>
      <c r="HT63" s="287">
        <f t="shared" si="90"/>
        <v>562958.82206945075</v>
      </c>
      <c r="HV63" s="440" t="s">
        <v>628</v>
      </c>
      <c r="HW63" s="440" t="s">
        <v>628</v>
      </c>
      <c r="HX63" s="440" t="s">
        <v>628</v>
      </c>
      <c r="HY63" s="440" t="s">
        <v>628</v>
      </c>
      <c r="HZ63" s="440" t="s">
        <v>628</v>
      </c>
      <c r="IA63" s="440" t="s">
        <v>628</v>
      </c>
      <c r="IB63" s="440" t="s">
        <v>628</v>
      </c>
      <c r="IC63" s="440" t="s">
        <v>628</v>
      </c>
      <c r="ID63" s="440" t="s">
        <v>628</v>
      </c>
      <c r="IE63" s="440" t="s">
        <v>628</v>
      </c>
      <c r="IF63" s="440" t="s">
        <v>628</v>
      </c>
      <c r="IG63" s="440" t="s">
        <v>628</v>
      </c>
      <c r="IH63" s="440" t="s">
        <v>628</v>
      </c>
      <c r="IJ63" s="440" t="s">
        <v>628</v>
      </c>
      <c r="IL63" s="286">
        <f>AnnualAggregations!$AB55</f>
        <v>37763.476493275448</v>
      </c>
      <c r="IM63" s="286">
        <f>AnnualAggregations!$Z55</f>
        <v>109067.13000005131</v>
      </c>
      <c r="IN63" s="442" t="s">
        <v>597</v>
      </c>
      <c r="IO63" s="286">
        <f>AnnualAggregations!$AC55</f>
        <v>5000.0000000019463</v>
      </c>
      <c r="IP63" s="442" t="s">
        <v>597</v>
      </c>
      <c r="IQ63" s="440" t="s">
        <v>628</v>
      </c>
      <c r="IR63" s="440" t="s">
        <v>628</v>
      </c>
      <c r="IS63" s="440" t="s">
        <v>628</v>
      </c>
      <c r="IT63" s="440" t="s">
        <v>628</v>
      </c>
      <c r="IU63" s="286">
        <f>AnnualDivReqs!$BG55</f>
        <v>12296.800000006155</v>
      </c>
      <c r="IW63" s="440" t="s">
        <v>628</v>
      </c>
      <c r="IX63" s="440" t="s">
        <v>628</v>
      </c>
      <c r="IY63" s="440" t="s">
        <v>628</v>
      </c>
      <c r="IZ63" s="442" t="s">
        <v>597</v>
      </c>
    </row>
    <row r="64" spans="1:260" x14ac:dyDescent="0.25">
      <c r="A64" s="480" t="str">
        <f>ADDRESS(ROW(SJRIPSummary!E56),COLUMN(SJRIPSummary!E56),4,1)</f>
        <v>E56</v>
      </c>
      <c r="B64" s="480" t="str">
        <f t="shared" si="57"/>
        <v>56</v>
      </c>
      <c r="C64" t="s">
        <v>627</v>
      </c>
      <c r="D64" s="404">
        <v>49</v>
      </c>
      <c r="E64" s="404">
        <v>110</v>
      </c>
      <c r="F64" s="404">
        <v>171</v>
      </c>
      <c r="G64" s="404">
        <v>232</v>
      </c>
      <c r="H64" s="398"/>
      <c r="I64" s="629"/>
      <c r="J64" s="630"/>
      <c r="K64" s="630"/>
      <c r="L64" s="175" t="s">
        <v>125</v>
      </c>
      <c r="M64" s="174">
        <f ca="1">ROUND(SJRIPSummaryRAW!B65,-2)</f>
        <v>136300</v>
      </c>
      <c r="N64" s="205"/>
      <c r="O64" s="221">
        <f ca="1">ROUND(SJRIPSummaryRAW!D65,-2)</f>
        <v>168500</v>
      </c>
      <c r="P64" s="222">
        <f ca="1">ROUND(SJRIPSummaryRAW!E65,-2)</f>
        <v>84200</v>
      </c>
      <c r="Q64" s="398"/>
      <c r="R64" s="21"/>
      <c r="S64" s="21"/>
      <c r="T64" s="282">
        <v>1977</v>
      </c>
      <c r="U64" s="286">
        <f>AnnualAggregations!$C56</f>
        <v>269188.8569872044</v>
      </c>
      <c r="V64" s="286">
        <f>AnnualDepletions!$BI56</f>
        <v>4325.7513782039705</v>
      </c>
      <c r="W64" s="286">
        <f>AnnualDepletions!$AM56</f>
        <v>12100</v>
      </c>
      <c r="X64" s="286">
        <f>AnnualDepletions!$AK56</f>
        <v>7970.0000000000082</v>
      </c>
      <c r="Y64" s="286">
        <f>AnnualDepletions!$L56</f>
        <v>900</v>
      </c>
      <c r="Z64" s="287">
        <f t="shared" si="58"/>
        <v>294484.60836540838</v>
      </c>
      <c r="AA64" s="286">
        <f>AnnualDepletions!$AO56</f>
        <v>1016.999999999883</v>
      </c>
      <c r="AB64" s="286">
        <f>AnnualDepletions!$AY56</f>
        <v>1636.9999999998124</v>
      </c>
      <c r="AC64" s="286">
        <f>AnnualAggregations!$F56</f>
        <v>31460.082176340744</v>
      </c>
      <c r="AD64" s="286">
        <f>AnnualAggregations!$G56</f>
        <v>1850.6978263489827</v>
      </c>
      <c r="AE64" s="286">
        <f>AnnualAggregations!$H56</f>
        <v>13838.999999998412</v>
      </c>
      <c r="AF64" s="286">
        <f>AnnualDepletions!$AL56</f>
        <v>11754.999999998641</v>
      </c>
      <c r="AG64" s="286">
        <f>AnnualDepletions!$AG56</f>
        <v>9088.6226775465457</v>
      </c>
      <c r="AH64" s="286">
        <f>AnnualDepletions!$AN56</f>
        <v>3168.9999999996348</v>
      </c>
      <c r="AI64" s="287">
        <f t="shared" si="59"/>
        <v>72799.402680232772</v>
      </c>
      <c r="AJ64" s="287">
        <f t="shared" si="60"/>
        <v>368301.01104564103</v>
      </c>
      <c r="AK64" s="286">
        <f>AnnualDepletions!$AP56</f>
        <v>340.98999999997505</v>
      </c>
      <c r="AL64" s="286">
        <f>AnnualDepletions!$BH56</f>
        <v>23513.826943143973</v>
      </c>
      <c r="AM64" s="286">
        <f>AnnualDepletions!$AJ56</f>
        <v>38999.999998983854</v>
      </c>
      <c r="AN64" s="286">
        <f>AnnualDepletions!$BC56</f>
        <v>16199.99999897049</v>
      </c>
      <c r="AO64" s="286">
        <f>AnnualDepletions!$J56</f>
        <v>2499.9900000012672</v>
      </c>
      <c r="AP64" s="286">
        <f>AnnualAggregations!$I56</f>
        <v>11624.990000001573</v>
      </c>
      <c r="AQ64" s="287">
        <f t="shared" si="61"/>
        <v>69665.96999795716</v>
      </c>
      <c r="AR64" s="287">
        <f t="shared" si="62"/>
        <v>93179.796941101144</v>
      </c>
      <c r="AS64" s="287">
        <f t="shared" si="63"/>
        <v>461480.80798674218</v>
      </c>
      <c r="AU64" s="321">
        <f ca="1">StateModDepletions_ThisScenario!AC54</f>
        <v>30274.123107723892</v>
      </c>
      <c r="AV64" s="321">
        <f ca="1">StateModDepletions_ThisScenario!AD54</f>
        <v>16398.247053623199</v>
      </c>
      <c r="AW64" s="321">
        <f ca="1">StateModDepletions_ThisScenario!AE54</f>
        <v>85927.269499883056</v>
      </c>
      <c r="AX64" s="321">
        <f ca="1">StateModDepletions_ThisScenario!AB54</f>
        <v>24765.810481309891</v>
      </c>
      <c r="AY64" s="288">
        <f t="shared" ca="1" si="64"/>
        <v>157365.45014254004</v>
      </c>
      <c r="AZ64" s="321">
        <f ca="1">StateModDepletions_ThisScenario!AG54</f>
        <v>17031.543373330009</v>
      </c>
      <c r="BA64" s="321">
        <f ca="1">StateModDepletions_ThisScenario!AF54</f>
        <v>20221.255589790628</v>
      </c>
      <c r="BB64" s="321">
        <f ca="1">StateModDepletions_ThisScenario!AH54</f>
        <v>6731.8026738725603</v>
      </c>
      <c r="BC64" s="321">
        <f ca="1">StateModDepletions_ThisScenario!AI54</f>
        <v>5918.0475598617304</v>
      </c>
      <c r="BD64" s="321">
        <f ca="1">StateModDepletions_ThisScenario!N54</f>
        <v>1326.6977829933167</v>
      </c>
      <c r="BE64" s="321">
        <f ca="1">StateModDepletions_ThisScenario!V54</f>
        <v>4082.4014501571655</v>
      </c>
      <c r="BF64" s="288">
        <f t="shared" ca="1" si="65"/>
        <v>55311.748430005406</v>
      </c>
      <c r="BG64" s="288">
        <f t="shared" ca="1" si="66"/>
        <v>212677.19857254543</v>
      </c>
      <c r="BI64" s="288">
        <f t="shared" ca="1" si="67"/>
        <v>674158.00655928766</v>
      </c>
      <c r="BK64" s="286">
        <f>AnnualAggregations!$D56</f>
        <v>35893.000000000051</v>
      </c>
      <c r="BL64" s="286">
        <f>AnnualAggregations!$B56</f>
        <v>56994.510800552278</v>
      </c>
      <c r="BM64" s="286">
        <f>AnnualDepletions!$BK56</f>
        <v>20634.086462259918</v>
      </c>
      <c r="BN64" s="286">
        <f>AnnualAggregations!$E56</f>
        <v>5000.0000000019172</v>
      </c>
      <c r="BO64" s="287">
        <f t="shared" si="68"/>
        <v>118521.59726281416</v>
      </c>
      <c r="BP64" s="321">
        <f ca="1">StateModDepletions_ThisScenario!Y54</f>
        <v>212.11356273293495</v>
      </c>
      <c r="BQ64" s="321">
        <f ca="1">StateModDepletions_ThisScenario!AJ54</f>
        <v>130267.38285322829</v>
      </c>
      <c r="BR64" s="321">
        <f ca="1">StateModDepletions_ThisScenario!Z54</f>
        <v>197216.21497511864</v>
      </c>
      <c r="BS64" s="321">
        <f ca="1">StateModDepletions_ThisScenario!AA54</f>
        <v>66736.718559157409</v>
      </c>
      <c r="BT64" s="286">
        <f>AnnualDepletions!$BG56</f>
        <v>12296.800000006155</v>
      </c>
      <c r="BV64" s="287">
        <f t="shared" ca="1" si="69"/>
        <v>804976.40382210794</v>
      </c>
      <c r="BW64" s="287">
        <f t="shared" ca="1" si="70"/>
        <v>738239.68526295049</v>
      </c>
      <c r="BX64" s="287">
        <f t="shared" ca="1" si="91"/>
        <v>753114.68526295049</v>
      </c>
      <c r="BY64" s="287">
        <f>SJRIPSummaryRAW!$B$79</f>
        <v>14875</v>
      </c>
      <c r="CC64" s="282">
        <v>1977</v>
      </c>
      <c r="CD64" s="286">
        <f>AnnualAggregations!K56</f>
        <v>269188.8569872044</v>
      </c>
      <c r="CE64" s="442" t="s">
        <v>597</v>
      </c>
      <c r="CF64" s="286">
        <f>AnnualDeplReqs!$AM56</f>
        <v>12100</v>
      </c>
      <c r="CG64" s="286">
        <f>AnnualDeplReqs!$AK56</f>
        <v>7970.0000000000082</v>
      </c>
      <c r="CH64" s="286">
        <f>AnnualDeplReqs!$L56</f>
        <v>900</v>
      </c>
      <c r="CI64" s="443">
        <f t="shared" si="71"/>
        <v>294484.60836540838</v>
      </c>
      <c r="CJ64" s="286">
        <f>AnnualDeplReqs!$AO56</f>
        <v>1016.999999999883</v>
      </c>
      <c r="CK64" s="286">
        <f>AnnualDeplReqs!$AY56</f>
        <v>1636.9999999998124</v>
      </c>
      <c r="CL64" s="286">
        <f>AnnualAggregations!$N56</f>
        <v>31460.082176340744</v>
      </c>
      <c r="CM64" s="286">
        <f>AnnualAggregations!$O56</f>
        <v>11120.999999998714</v>
      </c>
      <c r="CN64" s="286">
        <f>AnnualAggregations!$P56</f>
        <v>13838.999999998412</v>
      </c>
      <c r="CO64" s="286">
        <f>AnnualDeplReqs!$AL56</f>
        <v>11754.999999998641</v>
      </c>
      <c r="CP64" s="286">
        <f>AnnualDeplReqs!$AG56</f>
        <v>9571.9999999988959</v>
      </c>
      <c r="CQ64" s="286">
        <f>AnnualDeplReqs!$AN56</f>
        <v>3168.9999999996348</v>
      </c>
      <c r="CR64" s="287">
        <f t="shared" si="72"/>
        <v>82553.08217633485</v>
      </c>
      <c r="CS64" s="287">
        <f t="shared" si="73"/>
        <v>378054.69054174313</v>
      </c>
      <c r="CT64" s="286">
        <f>AnnualDeplReqs!$AP56</f>
        <v>340.98999999997505</v>
      </c>
      <c r="CU64" s="442" t="s">
        <v>597</v>
      </c>
      <c r="CV64" s="286">
        <f>AnnualDeplReqs!$AJ56</f>
        <v>38999.999998983854</v>
      </c>
      <c r="CW64" s="286">
        <f>AnnualDeplReqs!$BC56</f>
        <v>16199.99999897049</v>
      </c>
      <c r="CX64" s="286">
        <f>AnnualDeplReqs!$J56</f>
        <v>2499.9900000012672</v>
      </c>
      <c r="CY64" s="286">
        <f>AnnualAggregations!$Q56</f>
        <v>11624.990000001573</v>
      </c>
      <c r="CZ64" s="287">
        <f t="shared" si="74"/>
        <v>69665.96999795716</v>
      </c>
      <c r="DA64" s="443">
        <f t="shared" si="75"/>
        <v>93179.796941101129</v>
      </c>
      <c r="DB64" s="287">
        <f t="shared" si="76"/>
        <v>471234.48748284427</v>
      </c>
      <c r="DD64" s="440" t="s">
        <v>628</v>
      </c>
      <c r="DE64" s="440" t="s">
        <v>628</v>
      </c>
      <c r="DF64" s="440" t="s">
        <v>628</v>
      </c>
      <c r="DG64" s="440" t="s">
        <v>628</v>
      </c>
      <c r="DH64" s="440" t="s">
        <v>628</v>
      </c>
      <c r="DI64" s="440" t="s">
        <v>628</v>
      </c>
      <c r="DJ64" s="440" t="s">
        <v>628</v>
      </c>
      <c r="DK64" s="440" t="s">
        <v>628</v>
      </c>
      <c r="DL64" s="440" t="s">
        <v>628</v>
      </c>
      <c r="DM64" s="440" t="s">
        <v>628</v>
      </c>
      <c r="DN64" s="440" t="s">
        <v>628</v>
      </c>
      <c r="DO64" s="440" t="s">
        <v>628</v>
      </c>
      <c r="DP64" s="440" t="s">
        <v>628</v>
      </c>
      <c r="DR64" s="440" t="s">
        <v>628</v>
      </c>
      <c r="DT64" s="286">
        <f>AnnualAggregations!$L56</f>
        <v>35893.000000000073</v>
      </c>
      <c r="DU64" s="443">
        <f>AnnualAggregations!$J56</f>
        <v>57288.451238755959</v>
      </c>
      <c r="DV64" s="442" t="s">
        <v>597</v>
      </c>
      <c r="DW64" s="286">
        <f>AnnualAggregations!$M56</f>
        <v>5000.0000000019172</v>
      </c>
      <c r="DX64" s="442" t="s">
        <v>597</v>
      </c>
      <c r="DY64" s="440" t="s">
        <v>628</v>
      </c>
      <c r="DZ64" s="440" t="s">
        <v>628</v>
      </c>
      <c r="EA64" s="440" t="s">
        <v>628</v>
      </c>
      <c r="EB64" s="440" t="s">
        <v>628</v>
      </c>
      <c r="EC64" s="286">
        <f>AnnualDeplReqs!$BG56</f>
        <v>12296.800000006155</v>
      </c>
      <c r="EE64" s="440" t="s">
        <v>628</v>
      </c>
      <c r="EF64" s="440" t="s">
        <v>628</v>
      </c>
      <c r="EG64" s="440" t="s">
        <v>628</v>
      </c>
      <c r="EH64" s="442" t="s">
        <v>597</v>
      </c>
      <c r="EL64" s="282">
        <v>1977</v>
      </c>
      <c r="EM64" s="286">
        <f>AnnualAggregations!S56</f>
        <v>336486.0712340055</v>
      </c>
      <c r="EN64" s="442" t="s">
        <v>597</v>
      </c>
      <c r="EO64" s="286">
        <f>AnnualDiversions!$AM56</f>
        <v>24160.880683189996</v>
      </c>
      <c r="EP64" s="286">
        <f>AnnualDiversions!$AK56</f>
        <v>15864.246446422747</v>
      </c>
      <c r="EQ64" s="286">
        <f>AnnualDiversions!$L56</f>
        <v>1800</v>
      </c>
      <c r="ER64" s="287">
        <f t="shared" si="77"/>
        <v>378311.19836361828</v>
      </c>
      <c r="ES64" s="286">
        <f>AnnualDiversions!$AO56</f>
        <v>2033.999999999766</v>
      </c>
      <c r="ET64" s="286">
        <f>AnnualDiversions!$AY56</f>
        <v>2962.8959276014675</v>
      </c>
      <c r="EU64" s="286">
        <f>AnnualAggregations!$V56</f>
        <v>52778.819181772487</v>
      </c>
      <c r="EV64" s="286">
        <f>AnnualAggregations!$W56</f>
        <v>3296.7288396575982</v>
      </c>
      <c r="EW64" s="286">
        <f>AnnualAggregations!$X56</f>
        <v>21214.335485625772</v>
      </c>
      <c r="EX64" s="286">
        <f>AnnualDiversions!$AL56</f>
        <v>13944.246737839436</v>
      </c>
      <c r="EY64" s="286">
        <f>AnnualDiversions!$AG56</f>
        <v>17224.718426128224</v>
      </c>
      <c r="EZ64" s="286">
        <f>AnnualDiversions!$AN56</f>
        <v>5958.4469305248404</v>
      </c>
      <c r="FA64" s="287">
        <f t="shared" si="78"/>
        <v>117380.19152914982</v>
      </c>
      <c r="FB64" s="287">
        <f t="shared" si="79"/>
        <v>497725.38989276788</v>
      </c>
      <c r="FC64" s="286">
        <f>AnnualDiversions!$AP56</f>
        <v>378.87777777775057</v>
      </c>
      <c r="FD64" s="442" t="s">
        <v>597</v>
      </c>
      <c r="FE64" s="286">
        <f>AnnualDiversions!$AJ56</f>
        <v>38999.999998983854</v>
      </c>
      <c r="FF64" s="286">
        <f>AnnualDiversions!$BC56</f>
        <v>16199.99999897049</v>
      </c>
      <c r="FG64" s="286">
        <f>AnnualDiversions!$J56</f>
        <v>4166.6500000021233</v>
      </c>
      <c r="FH64" s="286">
        <f>AnnualAggregations!$Y56</f>
        <v>19374.983333335964</v>
      </c>
      <c r="FI64" s="287">
        <f t="shared" si="80"/>
        <v>79120.511109070183</v>
      </c>
      <c r="FJ64" s="287">
        <f t="shared" si="81"/>
        <v>79120.511109070183</v>
      </c>
      <c r="FK64" s="287">
        <f t="shared" si="82"/>
        <v>576845.90100183804</v>
      </c>
      <c r="FM64" s="440" t="s">
        <v>628</v>
      </c>
      <c r="FN64" s="440" t="s">
        <v>628</v>
      </c>
      <c r="FO64" s="440" t="s">
        <v>628</v>
      </c>
      <c r="FP64" s="440" t="s">
        <v>628</v>
      </c>
      <c r="FQ64" s="440" t="s">
        <v>628</v>
      </c>
      <c r="FR64" s="440" t="s">
        <v>628</v>
      </c>
      <c r="FS64" s="440" t="s">
        <v>628</v>
      </c>
      <c r="FT64" s="440" t="s">
        <v>628</v>
      </c>
      <c r="FU64" s="440" t="s">
        <v>628</v>
      </c>
      <c r="FV64" s="440" t="s">
        <v>628</v>
      </c>
      <c r="FW64" s="440" t="s">
        <v>628</v>
      </c>
      <c r="FX64" s="440" t="s">
        <v>628</v>
      </c>
      <c r="FY64" s="440" t="s">
        <v>628</v>
      </c>
      <c r="GA64" s="440" t="s">
        <v>628</v>
      </c>
      <c r="GC64" s="286">
        <f>AnnualAggregations!$T56</f>
        <v>37764.238566617612</v>
      </c>
      <c r="GD64" s="286">
        <f>AnnualAggregations!$R56</f>
        <v>109065.29657506953</v>
      </c>
      <c r="GE64" s="443">
        <f t="shared" si="83"/>
        <v>20634.086462259918</v>
      </c>
      <c r="GF64" s="286">
        <f>AnnualAggregations!$U56</f>
        <v>5000.0000000019172</v>
      </c>
      <c r="GG64" s="287">
        <f t="shared" si="84"/>
        <v>172463.621603949</v>
      </c>
      <c r="GH64" s="440" t="s">
        <v>628</v>
      </c>
      <c r="GI64" s="440" t="s">
        <v>628</v>
      </c>
      <c r="GJ64" s="440" t="s">
        <v>628</v>
      </c>
      <c r="GK64" s="440" t="s">
        <v>628</v>
      </c>
      <c r="GL64" s="286">
        <f>AnnualDiversions!$BG56</f>
        <v>12296.800000006155</v>
      </c>
      <c r="GN64" s="440" t="s">
        <v>628</v>
      </c>
      <c r="GO64" s="440" t="s">
        <v>628</v>
      </c>
      <c r="GP64" s="440" t="s">
        <v>628</v>
      </c>
      <c r="GQ64" s="442" t="s">
        <v>597</v>
      </c>
      <c r="GU64" s="282">
        <v>1977</v>
      </c>
      <c r="GV64" s="286">
        <f>AnnualAggregations!AA56</f>
        <v>336486.0712340055</v>
      </c>
      <c r="GW64" s="442" t="s">
        <v>597</v>
      </c>
      <c r="GX64" s="286">
        <f>AnnualDivReqs!$AM56</f>
        <v>24160.880683189996</v>
      </c>
      <c r="GY64" s="286">
        <f>AnnualDivReqs!$AK56</f>
        <v>15864.246446422747</v>
      </c>
      <c r="GZ64" s="286">
        <f>AnnualDivReqs!$L56</f>
        <v>1800</v>
      </c>
      <c r="HA64" s="287">
        <f t="shared" si="85"/>
        <v>378311.19836361828</v>
      </c>
      <c r="HB64" s="286">
        <f>AnnualDivReqs!$AO56</f>
        <v>2033.999999999766</v>
      </c>
      <c r="HC64" s="286">
        <f>AnnualDivReqs!$AY56</f>
        <v>2962.8959276014675</v>
      </c>
      <c r="HD64" s="286">
        <f>AnnualAggregations!$AD56</f>
        <v>52778.819181772487</v>
      </c>
      <c r="HE64" s="286">
        <f>AnnualAggregations!$AE56</f>
        <v>19923.227583140477</v>
      </c>
      <c r="HF64" s="286">
        <f>AnnualAggregations!$AF56</f>
        <v>21214.335485625772</v>
      </c>
      <c r="HG64" s="286">
        <f>AnnualDivReqs!$AL56</f>
        <v>13944.246737839436</v>
      </c>
      <c r="HH64" s="286">
        <f>AnnualDivReqs!$AG56</f>
        <v>18140.813038944198</v>
      </c>
      <c r="HI64" s="286">
        <f>AnnualDivReqs!$AN56</f>
        <v>5958.4469305248404</v>
      </c>
      <c r="HJ64" s="287">
        <f t="shared" si="86"/>
        <v>134922.78488544867</v>
      </c>
      <c r="HK64" s="287">
        <f t="shared" si="87"/>
        <v>515267.98324906675</v>
      </c>
      <c r="HL64" s="286">
        <f>AnnualDivReqs!$AP56</f>
        <v>378.87777777775057</v>
      </c>
      <c r="HM64" s="442" t="s">
        <v>597</v>
      </c>
      <c r="HN64" s="286">
        <f>AnnualDivReqs!$AJ56</f>
        <v>38999.999998983854</v>
      </c>
      <c r="HO64" s="286">
        <f>AnnualDivReqs!$BC56</f>
        <v>16199.99999897049</v>
      </c>
      <c r="HP64" s="286">
        <f>AnnualDivReqs!$J56</f>
        <v>4166.6500000021233</v>
      </c>
      <c r="HQ64" s="286">
        <f>AnnualAggregations!$AG56</f>
        <v>19374.983333335964</v>
      </c>
      <c r="HR64" s="287">
        <f t="shared" si="88"/>
        <v>79120.511109070183</v>
      </c>
      <c r="HS64" s="287">
        <f t="shared" si="89"/>
        <v>79120.511109070183</v>
      </c>
      <c r="HT64" s="287">
        <f t="shared" si="90"/>
        <v>594388.4943581369</v>
      </c>
      <c r="HV64" s="440" t="s">
        <v>628</v>
      </c>
      <c r="HW64" s="440" t="s">
        <v>628</v>
      </c>
      <c r="HX64" s="440" t="s">
        <v>628</v>
      </c>
      <c r="HY64" s="440" t="s">
        <v>628</v>
      </c>
      <c r="HZ64" s="440" t="s">
        <v>628</v>
      </c>
      <c r="IA64" s="440" t="s">
        <v>628</v>
      </c>
      <c r="IB64" s="440" t="s">
        <v>628</v>
      </c>
      <c r="IC64" s="440" t="s">
        <v>628</v>
      </c>
      <c r="ID64" s="440" t="s">
        <v>628</v>
      </c>
      <c r="IE64" s="440" t="s">
        <v>628</v>
      </c>
      <c r="IF64" s="440" t="s">
        <v>628</v>
      </c>
      <c r="IG64" s="440" t="s">
        <v>628</v>
      </c>
      <c r="IH64" s="440" t="s">
        <v>628</v>
      </c>
      <c r="IJ64" s="440" t="s">
        <v>628</v>
      </c>
      <c r="IL64" s="286">
        <f>AnnualAggregations!$AB56</f>
        <v>37764.238566617634</v>
      </c>
      <c r="IM64" s="286">
        <f>AnnualAggregations!$Z56</f>
        <v>109653.17745147689</v>
      </c>
      <c r="IN64" s="442" t="s">
        <v>597</v>
      </c>
      <c r="IO64" s="286">
        <f>AnnualAggregations!$AC56</f>
        <v>5000.0000000019172</v>
      </c>
      <c r="IP64" s="442" t="s">
        <v>597</v>
      </c>
      <c r="IQ64" s="440" t="s">
        <v>628</v>
      </c>
      <c r="IR64" s="440" t="s">
        <v>628</v>
      </c>
      <c r="IS64" s="440" t="s">
        <v>628</v>
      </c>
      <c r="IT64" s="440" t="s">
        <v>628</v>
      </c>
      <c r="IU64" s="286">
        <f>AnnualDivReqs!$BG56</f>
        <v>12296.800000006155</v>
      </c>
      <c r="IW64" s="440" t="s">
        <v>628</v>
      </c>
      <c r="IX64" s="440" t="s">
        <v>628</v>
      </c>
      <c r="IY64" s="440" t="s">
        <v>628</v>
      </c>
      <c r="IZ64" s="442" t="s">
        <v>597</v>
      </c>
    </row>
    <row r="65" spans="1:260" x14ac:dyDescent="0.25">
      <c r="A65" s="480" t="str">
        <f>ADDRESS(ROW(SJRIPSummary!E57),COLUMN(SJRIPSummary!E57),4,1)</f>
        <v>E57</v>
      </c>
      <c r="B65" s="480" t="str">
        <f t="shared" si="57"/>
        <v>57</v>
      </c>
      <c r="C65" t="s">
        <v>126</v>
      </c>
      <c r="D65" s="404">
        <v>50</v>
      </c>
      <c r="E65" s="404">
        <v>111</v>
      </c>
      <c r="F65" s="404">
        <v>172</v>
      </c>
      <c r="G65" s="404">
        <v>233</v>
      </c>
      <c r="H65" s="398"/>
      <c r="I65" s="629"/>
      <c r="J65" s="630"/>
      <c r="K65" s="630"/>
      <c r="L65" s="175" t="s">
        <v>126</v>
      </c>
      <c r="M65" s="174">
        <f ca="1">ROUND(SJRIPSummaryRAW!B66,-2)</f>
        <v>214700</v>
      </c>
      <c r="N65" s="205"/>
      <c r="O65" s="221">
        <f ca="1">ROUND(SJRIPSummaryRAW!D66,-2)</f>
        <v>264000</v>
      </c>
      <c r="P65" s="222">
        <f ca="1">ROUND(SJRIPSummaryRAW!E66,-2)</f>
        <v>130300</v>
      </c>
      <c r="Q65" s="398"/>
      <c r="R65" s="21"/>
      <c r="S65" s="21"/>
      <c r="T65" s="282">
        <v>1978</v>
      </c>
      <c r="U65" s="286">
        <f>AnnualAggregations!$C57</f>
        <v>261356.73428463849</v>
      </c>
      <c r="V65" s="286">
        <f>AnnualDepletions!$BI57</f>
        <v>2759.3268376908804</v>
      </c>
      <c r="W65" s="286">
        <f>AnnualDepletions!$AM57</f>
        <v>12100.000000000005</v>
      </c>
      <c r="X65" s="286">
        <f>AnnualDepletions!$AK57</f>
        <v>7969.9999999999991</v>
      </c>
      <c r="Y65" s="286">
        <f>AnnualDepletions!$L57</f>
        <v>899.99999999999886</v>
      </c>
      <c r="Z65" s="287">
        <f t="shared" si="58"/>
        <v>285086.06112232938</v>
      </c>
      <c r="AA65" s="286">
        <f>AnnualDepletions!$AO57</f>
        <v>1085.9999999998745</v>
      </c>
      <c r="AB65" s="286">
        <f>AnnualDepletions!$AY57</f>
        <v>1666.9999999998081</v>
      </c>
      <c r="AC65" s="286">
        <f>AnnualAggregations!$F57</f>
        <v>30809.585033754451</v>
      </c>
      <c r="AD65" s="286">
        <f>AnnualAggregations!$G57</f>
        <v>3583.5021721409626</v>
      </c>
      <c r="AE65" s="286">
        <f>AnnualAggregations!$H57</f>
        <v>12670.999999998536</v>
      </c>
      <c r="AF65" s="286">
        <f>AnnualDepletions!$AL57</f>
        <v>10803.999999998758</v>
      </c>
      <c r="AG65" s="286">
        <f>AnnualDepletions!$AG57</f>
        <v>8575.9999999990105</v>
      </c>
      <c r="AH65" s="286">
        <f>AnnualDepletions!$AN57</f>
        <v>2938.9999999996626</v>
      </c>
      <c r="AI65" s="287">
        <f t="shared" si="59"/>
        <v>71050.087205891192</v>
      </c>
      <c r="AJ65" s="287">
        <f t="shared" si="60"/>
        <v>357222.14832822047</v>
      </c>
      <c r="AK65" s="286">
        <f>AnnualDepletions!$AP57</f>
        <v>340.98999999997505</v>
      </c>
      <c r="AL65" s="286">
        <f>AnnualDepletions!$BH57</f>
        <v>21556.514619555594</v>
      </c>
      <c r="AM65" s="286">
        <f>AnnualDepletions!$AJ57</f>
        <v>38999.999998983854</v>
      </c>
      <c r="AN65" s="286">
        <f>AnnualDepletions!$BC57</f>
        <v>16199.99999897049</v>
      </c>
      <c r="AO65" s="286">
        <f>AnnualDepletions!$J57</f>
        <v>2499.9900000012672</v>
      </c>
      <c r="AP65" s="286">
        <f>AnnualAggregations!$I57</f>
        <v>11624.990000001573</v>
      </c>
      <c r="AQ65" s="287">
        <f t="shared" si="61"/>
        <v>69665.96999795716</v>
      </c>
      <c r="AR65" s="287">
        <f t="shared" si="62"/>
        <v>91222.48461751276</v>
      </c>
      <c r="AS65" s="287">
        <f t="shared" si="63"/>
        <v>448444.63294573326</v>
      </c>
      <c r="AU65" s="321">
        <f ca="1">StateModDepletions_ThisScenario!AC55</f>
        <v>33689.970034062862</v>
      </c>
      <c r="AV65" s="321">
        <f ca="1">StateModDepletions_ThisScenario!AD55</f>
        <v>17794.256284072995</v>
      </c>
      <c r="AW65" s="321">
        <f ca="1">StateModDepletions_ThisScenario!AE55</f>
        <v>110153.90653657168</v>
      </c>
      <c r="AX65" s="321">
        <f ca="1">StateModDepletions_ThisScenario!AB55</f>
        <v>24765.810481309891</v>
      </c>
      <c r="AY65" s="288">
        <f t="shared" ca="1" si="64"/>
        <v>186403.94333601743</v>
      </c>
      <c r="AZ65" s="321">
        <f ca="1">StateModDepletions_ThisScenario!AG55</f>
        <v>30241.329227654707</v>
      </c>
      <c r="BA65" s="321">
        <f ca="1">StateModDepletions_ThisScenario!AF55</f>
        <v>18956.69071429217</v>
      </c>
      <c r="BB65" s="321">
        <f ca="1">StateModDepletions_ThisScenario!AH55</f>
        <v>15974.928571790457</v>
      </c>
      <c r="BC65" s="321">
        <f ca="1">StateModDepletions_ThisScenario!AI55</f>
        <v>20525.338316174064</v>
      </c>
      <c r="BD65" s="321">
        <f ca="1">StateModDepletions_ThisScenario!N55</f>
        <v>1326.6977829933167</v>
      </c>
      <c r="BE65" s="321">
        <f ca="1">StateModDepletions_ThisScenario!V55</f>
        <v>11504.302476882935</v>
      </c>
      <c r="BF65" s="288">
        <f t="shared" ca="1" si="65"/>
        <v>98529.287089787656</v>
      </c>
      <c r="BG65" s="288">
        <f t="shared" ca="1" si="66"/>
        <v>284933.23042580509</v>
      </c>
      <c r="BI65" s="288">
        <f t="shared" ca="1" si="67"/>
        <v>733377.86337153835</v>
      </c>
      <c r="BK65" s="286">
        <f>AnnualAggregations!$D57</f>
        <v>35893.000000000058</v>
      </c>
      <c r="BL65" s="286">
        <f>AnnualAggregations!$B57</f>
        <v>57084.202365798061</v>
      </c>
      <c r="BM65" s="286">
        <f>AnnualDepletions!$BK57</f>
        <v>102976.22427381485</v>
      </c>
      <c r="BN65" s="286">
        <f>AnnualAggregations!$E57</f>
        <v>5000.0000000019172</v>
      </c>
      <c r="BO65" s="287">
        <f t="shared" si="68"/>
        <v>200953.42663961489</v>
      </c>
      <c r="BP65" s="321">
        <f ca="1">StateModDepletions_ThisScenario!Y55</f>
        <v>212.11356273293495</v>
      </c>
      <c r="BQ65" s="321">
        <f ca="1">StateModDepletions_ThisScenario!AJ55</f>
        <v>136086.55884164854</v>
      </c>
      <c r="BR65" s="321">
        <f ca="1">StateModDepletions_ThisScenario!Z55</f>
        <v>223214.94013214111</v>
      </c>
      <c r="BS65" s="321">
        <f ca="1">StateModDepletions_ThisScenario!AA55</f>
        <v>86916.267727759638</v>
      </c>
      <c r="BT65" s="286">
        <f>AnnualDepletions!$BG57</f>
        <v>12296.800000006155</v>
      </c>
      <c r="BV65" s="287">
        <f t="shared" ca="1" si="69"/>
        <v>946628.09001115942</v>
      </c>
      <c r="BW65" s="287">
        <f t="shared" ca="1" si="70"/>
        <v>859711.82228339976</v>
      </c>
      <c r="BX65" s="287">
        <f t="shared" ca="1" si="91"/>
        <v>874586.82228339976</v>
      </c>
      <c r="BY65" s="287">
        <f>SJRIPSummaryRAW!$B$79</f>
        <v>14875</v>
      </c>
      <c r="CC65" s="282">
        <v>1978</v>
      </c>
      <c r="CD65" s="286">
        <f>AnnualAggregations!K57</f>
        <v>261356.73428463849</v>
      </c>
      <c r="CE65" s="442" t="s">
        <v>597</v>
      </c>
      <c r="CF65" s="286">
        <f>AnnualDeplReqs!$AM57</f>
        <v>12100.000000000005</v>
      </c>
      <c r="CG65" s="286">
        <f>AnnualDeplReqs!$AK57</f>
        <v>7969.9999999999991</v>
      </c>
      <c r="CH65" s="286">
        <f>AnnualDeplReqs!$L57</f>
        <v>899.99999999999886</v>
      </c>
      <c r="CI65" s="443">
        <f t="shared" si="71"/>
        <v>285086.06112232938</v>
      </c>
      <c r="CJ65" s="286">
        <f>AnnualDeplReqs!$AO57</f>
        <v>1085.9999999998745</v>
      </c>
      <c r="CK65" s="286">
        <f>AnnualDeplReqs!$AY57</f>
        <v>1666.9999999998081</v>
      </c>
      <c r="CL65" s="286">
        <f>AnnualAggregations!$N57</f>
        <v>30809.585033754451</v>
      </c>
      <c r="CM65" s="286">
        <f>AnnualAggregations!$O57</f>
        <v>11094.999999998723</v>
      </c>
      <c r="CN65" s="286">
        <f>AnnualAggregations!$P57</f>
        <v>12670.999999998536</v>
      </c>
      <c r="CO65" s="286">
        <f>AnnualDeplReqs!$AL57</f>
        <v>10803.999999998758</v>
      </c>
      <c r="CP65" s="286">
        <f>AnnualDeplReqs!$AG57</f>
        <v>8575.9999999990105</v>
      </c>
      <c r="CQ65" s="286">
        <f>AnnualDeplReqs!$AN57</f>
        <v>2938.9999999996626</v>
      </c>
      <c r="CR65" s="287">
        <f t="shared" si="72"/>
        <v>78561.585033748954</v>
      </c>
      <c r="CS65" s="287">
        <f t="shared" si="73"/>
        <v>364733.6461560782</v>
      </c>
      <c r="CT65" s="286">
        <f>AnnualDeplReqs!$AP57</f>
        <v>340.98999999997505</v>
      </c>
      <c r="CU65" s="442" t="s">
        <v>597</v>
      </c>
      <c r="CV65" s="286">
        <f>AnnualDeplReqs!$AJ57</f>
        <v>38999.999998983854</v>
      </c>
      <c r="CW65" s="286">
        <f>AnnualDeplReqs!$BC57</f>
        <v>16199.99999897049</v>
      </c>
      <c r="CX65" s="286">
        <f>AnnualDeplReqs!$J57</f>
        <v>2499.9900000012672</v>
      </c>
      <c r="CY65" s="286">
        <f>AnnualAggregations!$Q57</f>
        <v>11624.990000001573</v>
      </c>
      <c r="CZ65" s="287">
        <f t="shared" si="74"/>
        <v>69665.96999795716</v>
      </c>
      <c r="DA65" s="443">
        <f t="shared" si="75"/>
        <v>91222.48461751276</v>
      </c>
      <c r="DB65" s="287">
        <f t="shared" si="76"/>
        <v>455956.13077359099</v>
      </c>
      <c r="DD65" s="440" t="s">
        <v>628</v>
      </c>
      <c r="DE65" s="440" t="s">
        <v>628</v>
      </c>
      <c r="DF65" s="440" t="s">
        <v>628</v>
      </c>
      <c r="DG65" s="440" t="s">
        <v>628</v>
      </c>
      <c r="DH65" s="440" t="s">
        <v>628</v>
      </c>
      <c r="DI65" s="440" t="s">
        <v>628</v>
      </c>
      <c r="DJ65" s="440" t="s">
        <v>628</v>
      </c>
      <c r="DK65" s="440" t="s">
        <v>628</v>
      </c>
      <c r="DL65" s="440" t="s">
        <v>628</v>
      </c>
      <c r="DM65" s="440" t="s">
        <v>628</v>
      </c>
      <c r="DN65" s="440" t="s">
        <v>628</v>
      </c>
      <c r="DO65" s="440" t="s">
        <v>628</v>
      </c>
      <c r="DP65" s="440" t="s">
        <v>628</v>
      </c>
      <c r="DR65" s="440" t="s">
        <v>628</v>
      </c>
      <c r="DT65" s="286">
        <f>AnnualAggregations!$L57</f>
        <v>35893.000000000073</v>
      </c>
      <c r="DU65" s="443">
        <f>AnnualAggregations!$J57</f>
        <v>57285.471284840853</v>
      </c>
      <c r="DV65" s="442" t="s">
        <v>597</v>
      </c>
      <c r="DW65" s="286">
        <f>AnnualAggregations!$M57</f>
        <v>5000.0000000019172</v>
      </c>
      <c r="DX65" s="442" t="s">
        <v>597</v>
      </c>
      <c r="DY65" s="440" t="s">
        <v>628</v>
      </c>
      <c r="DZ65" s="440" t="s">
        <v>628</v>
      </c>
      <c r="EA65" s="440" t="s">
        <v>628</v>
      </c>
      <c r="EB65" s="440" t="s">
        <v>628</v>
      </c>
      <c r="EC65" s="286">
        <f>AnnualDeplReqs!$BG57</f>
        <v>12296.800000006155</v>
      </c>
      <c r="EE65" s="440" t="s">
        <v>628</v>
      </c>
      <c r="EF65" s="440" t="s">
        <v>628</v>
      </c>
      <c r="EG65" s="440" t="s">
        <v>628</v>
      </c>
      <c r="EH65" s="442" t="s">
        <v>597</v>
      </c>
      <c r="EL65" s="282">
        <v>1978</v>
      </c>
      <c r="EM65" s="286">
        <f>AnnualAggregations!S57</f>
        <v>326695.91785579844</v>
      </c>
      <c r="EN65" s="442" t="s">
        <v>597</v>
      </c>
      <c r="EO65" s="286">
        <f>AnnualDiversions!$AM57</f>
        <v>24160.880683189986</v>
      </c>
      <c r="EP65" s="286">
        <f>AnnualDiversions!$AK57</f>
        <v>15864.246446422747</v>
      </c>
      <c r="EQ65" s="286">
        <f>AnnualDiversions!$L57</f>
        <v>1799.9999999999977</v>
      </c>
      <c r="ER65" s="287">
        <f t="shared" si="77"/>
        <v>368521.04498541122</v>
      </c>
      <c r="ES65" s="286">
        <f>AnnualDiversions!$AO57</f>
        <v>2171.999999999749</v>
      </c>
      <c r="ET65" s="286">
        <f>AnnualDiversions!$AY57</f>
        <v>3017.1945701354007</v>
      </c>
      <c r="EU65" s="286">
        <f>AnnualAggregations!$V57</f>
        <v>51678.430305842172</v>
      </c>
      <c r="EV65" s="286">
        <f>AnnualAggregations!$W57</f>
        <v>6550.3115192668065</v>
      </c>
      <c r="EW65" s="286">
        <f>AnnualAggregations!$X57</f>
        <v>19424.736125719181</v>
      </c>
      <c r="EX65" s="286">
        <f>AnnualDiversions!$AL57</f>
        <v>12816.132858836007</v>
      </c>
      <c r="EY65" s="286">
        <f>AnnualDiversions!$AG57</f>
        <v>16253.198142706364</v>
      </c>
      <c r="EZ65" s="286">
        <f>AnnualDiversions!$AN57</f>
        <v>5525.9941712882628</v>
      </c>
      <c r="FA65" s="287">
        <f t="shared" si="78"/>
        <v>115265.99769379418</v>
      </c>
      <c r="FB65" s="287">
        <f t="shared" si="79"/>
        <v>485959.04267920519</v>
      </c>
      <c r="FC65" s="286">
        <f>AnnualDiversions!$AP57</f>
        <v>378.87777777775057</v>
      </c>
      <c r="FD65" s="442" t="s">
        <v>597</v>
      </c>
      <c r="FE65" s="286">
        <f>AnnualDiversions!$AJ57</f>
        <v>38999.999998983854</v>
      </c>
      <c r="FF65" s="286">
        <f>AnnualDiversions!$BC57</f>
        <v>16199.99999897049</v>
      </c>
      <c r="FG65" s="286">
        <f>AnnualDiversions!$J57</f>
        <v>4166.6500000021233</v>
      </c>
      <c r="FH65" s="286">
        <f>AnnualAggregations!$Y57</f>
        <v>19374.983333335964</v>
      </c>
      <c r="FI65" s="287">
        <f t="shared" si="80"/>
        <v>79120.511109070183</v>
      </c>
      <c r="FJ65" s="287">
        <f t="shared" si="81"/>
        <v>79120.511109070183</v>
      </c>
      <c r="FK65" s="287">
        <f t="shared" si="82"/>
        <v>565079.55378827534</v>
      </c>
      <c r="FM65" s="440" t="s">
        <v>628</v>
      </c>
      <c r="FN65" s="440" t="s">
        <v>628</v>
      </c>
      <c r="FO65" s="440" t="s">
        <v>628</v>
      </c>
      <c r="FP65" s="440" t="s">
        <v>628</v>
      </c>
      <c r="FQ65" s="440" t="s">
        <v>628</v>
      </c>
      <c r="FR65" s="440" t="s">
        <v>628</v>
      </c>
      <c r="FS65" s="440" t="s">
        <v>628</v>
      </c>
      <c r="FT65" s="440" t="s">
        <v>628</v>
      </c>
      <c r="FU65" s="440" t="s">
        <v>628</v>
      </c>
      <c r="FV65" s="440" t="s">
        <v>628</v>
      </c>
      <c r="FW65" s="440" t="s">
        <v>628</v>
      </c>
      <c r="FX65" s="440" t="s">
        <v>628</v>
      </c>
      <c r="FY65" s="440" t="s">
        <v>628</v>
      </c>
      <c r="GA65" s="440" t="s">
        <v>628</v>
      </c>
      <c r="GC65" s="286">
        <f>AnnualAggregations!$T57</f>
        <v>37764.23856661762</v>
      </c>
      <c r="GD65" s="286">
        <f>AnnualAggregations!$R57</f>
        <v>109067.13000005134</v>
      </c>
      <c r="GE65" s="443">
        <f t="shared" si="83"/>
        <v>102976.22427381485</v>
      </c>
      <c r="GF65" s="286">
        <f>AnnualAggregations!$U57</f>
        <v>5000.0000000019172</v>
      </c>
      <c r="GG65" s="287">
        <f t="shared" si="84"/>
        <v>254807.59284048574</v>
      </c>
      <c r="GH65" s="440" t="s">
        <v>628</v>
      </c>
      <c r="GI65" s="440" t="s">
        <v>628</v>
      </c>
      <c r="GJ65" s="440" t="s">
        <v>628</v>
      </c>
      <c r="GK65" s="440" t="s">
        <v>628</v>
      </c>
      <c r="GL65" s="286">
        <f>AnnualDiversions!$BG57</f>
        <v>12296.800000006155</v>
      </c>
      <c r="GN65" s="440" t="s">
        <v>628</v>
      </c>
      <c r="GO65" s="440" t="s">
        <v>628</v>
      </c>
      <c r="GP65" s="440" t="s">
        <v>628</v>
      </c>
      <c r="GQ65" s="442" t="s">
        <v>597</v>
      </c>
      <c r="GU65" s="282">
        <v>1978</v>
      </c>
      <c r="GV65" s="286">
        <f>AnnualAggregations!AA57</f>
        <v>326695.91785579844</v>
      </c>
      <c r="GW65" s="442" t="s">
        <v>597</v>
      </c>
      <c r="GX65" s="286">
        <f>AnnualDivReqs!$AM57</f>
        <v>24160.880683189986</v>
      </c>
      <c r="GY65" s="286">
        <f>AnnualDivReqs!$AK57</f>
        <v>15864.246446422747</v>
      </c>
      <c r="GZ65" s="286">
        <f>AnnualDivReqs!$L57</f>
        <v>1799.9999999999977</v>
      </c>
      <c r="HA65" s="287">
        <f t="shared" si="85"/>
        <v>368521.04498541122</v>
      </c>
      <c r="HB65" s="286">
        <f>AnnualDivReqs!$AO57</f>
        <v>2171.999999999749</v>
      </c>
      <c r="HC65" s="286">
        <f>AnnualDivReqs!$AY57</f>
        <v>3017.1945701354007</v>
      </c>
      <c r="HD65" s="286">
        <f>AnnualAggregations!$AD57</f>
        <v>51678.430305842172</v>
      </c>
      <c r="HE65" s="286">
        <f>AnnualAggregations!$AE57</f>
        <v>19874.914863831596</v>
      </c>
      <c r="HF65" s="286">
        <f>AnnualAggregations!$AF57</f>
        <v>19424.736125719181</v>
      </c>
      <c r="HG65" s="286">
        <f>AnnualDivReqs!$AL57</f>
        <v>12816.132858836007</v>
      </c>
      <c r="HH65" s="286">
        <f>AnnualDivReqs!$AG57</f>
        <v>16253.198142706364</v>
      </c>
      <c r="HI65" s="286">
        <f>AnnualDivReqs!$AN57</f>
        <v>5525.9941712882628</v>
      </c>
      <c r="HJ65" s="287">
        <f t="shared" si="86"/>
        <v>128590.60103835897</v>
      </c>
      <c r="HK65" s="287">
        <f t="shared" si="87"/>
        <v>499283.64602376998</v>
      </c>
      <c r="HL65" s="286">
        <f>AnnualDivReqs!$AP57</f>
        <v>378.87777777775057</v>
      </c>
      <c r="HM65" s="442" t="s">
        <v>597</v>
      </c>
      <c r="HN65" s="286">
        <f>AnnualDivReqs!$AJ57</f>
        <v>38999.999998983854</v>
      </c>
      <c r="HO65" s="286">
        <f>AnnualDivReqs!$BC57</f>
        <v>16199.99999897049</v>
      </c>
      <c r="HP65" s="286">
        <f>AnnualDivReqs!$J57</f>
        <v>4166.6500000021233</v>
      </c>
      <c r="HQ65" s="286">
        <f>AnnualAggregations!$AG57</f>
        <v>19374.983333335964</v>
      </c>
      <c r="HR65" s="287">
        <f t="shared" si="88"/>
        <v>79120.511109070183</v>
      </c>
      <c r="HS65" s="287">
        <f t="shared" si="89"/>
        <v>79120.511109070183</v>
      </c>
      <c r="HT65" s="287">
        <f t="shared" si="90"/>
        <v>578404.15713284013</v>
      </c>
      <c r="HV65" s="440" t="s">
        <v>628</v>
      </c>
      <c r="HW65" s="440" t="s">
        <v>628</v>
      </c>
      <c r="HX65" s="440" t="s">
        <v>628</v>
      </c>
      <c r="HY65" s="440" t="s">
        <v>628</v>
      </c>
      <c r="HZ65" s="440" t="s">
        <v>628</v>
      </c>
      <c r="IA65" s="440" t="s">
        <v>628</v>
      </c>
      <c r="IB65" s="440" t="s">
        <v>628</v>
      </c>
      <c r="IC65" s="440" t="s">
        <v>628</v>
      </c>
      <c r="ID65" s="440" t="s">
        <v>628</v>
      </c>
      <c r="IE65" s="440" t="s">
        <v>628</v>
      </c>
      <c r="IF65" s="440" t="s">
        <v>628</v>
      </c>
      <c r="IG65" s="440" t="s">
        <v>628</v>
      </c>
      <c r="IH65" s="440" t="s">
        <v>628</v>
      </c>
      <c r="IJ65" s="440" t="s">
        <v>628</v>
      </c>
      <c r="IL65" s="286">
        <f>AnnualAggregations!$AB57</f>
        <v>37764.238566617634</v>
      </c>
      <c r="IM65" s="286">
        <f>AnnualAggregations!$Z57</f>
        <v>109469.66783813693</v>
      </c>
      <c r="IN65" s="442" t="s">
        <v>597</v>
      </c>
      <c r="IO65" s="286">
        <f>AnnualAggregations!$AC57</f>
        <v>5000.0000000019172</v>
      </c>
      <c r="IP65" s="442" t="s">
        <v>597</v>
      </c>
      <c r="IQ65" s="440" t="s">
        <v>628</v>
      </c>
      <c r="IR65" s="440" t="s">
        <v>628</v>
      </c>
      <c r="IS65" s="440" t="s">
        <v>628</v>
      </c>
      <c r="IT65" s="440" t="s">
        <v>628</v>
      </c>
      <c r="IU65" s="286">
        <f>AnnualDivReqs!$BG57</f>
        <v>12296.800000006155</v>
      </c>
      <c r="IW65" s="440" t="s">
        <v>628</v>
      </c>
      <c r="IX65" s="440" t="s">
        <v>628</v>
      </c>
      <c r="IY65" s="440" t="s">
        <v>628</v>
      </c>
      <c r="IZ65" s="442" t="s">
        <v>597</v>
      </c>
    </row>
    <row r="66" spans="1:260" ht="15.75" thickBot="1" x14ac:dyDescent="0.3">
      <c r="A66" s="480" t="str">
        <f>ADDRESS(ROW(SJRIPSummary!E58),COLUMN(SJRIPSummary!E58),4,1)</f>
        <v>E58</v>
      </c>
      <c r="B66" s="480" t="str">
        <f t="shared" si="57"/>
        <v>58</v>
      </c>
      <c r="C66" t="s">
        <v>355</v>
      </c>
      <c r="D66" s="404">
        <v>51</v>
      </c>
      <c r="E66" s="404">
        <v>112</v>
      </c>
      <c r="F66" s="404">
        <v>173</v>
      </c>
      <c r="G66" s="404">
        <v>234</v>
      </c>
      <c r="H66" s="399"/>
      <c r="I66" s="629"/>
      <c r="J66" s="630"/>
      <c r="K66" s="630"/>
      <c r="L66" s="204" t="s">
        <v>355</v>
      </c>
      <c r="M66" s="174">
        <f ca="1">ROUND(SJRIPSummaryRAW!B67,-2)</f>
        <v>78200</v>
      </c>
      <c r="N66" s="154"/>
      <c r="O66" s="223">
        <f ca="1">ROUND(SJRIPSummaryRAW!D67,-2)</f>
        <v>129100</v>
      </c>
      <c r="P66" s="224">
        <f ca="1">ROUND(SJRIPSummaryRAW!E67,-2)</f>
        <v>35800</v>
      </c>
      <c r="Q66" s="399"/>
      <c r="R66" s="21"/>
      <c r="S66" s="21"/>
      <c r="T66" s="282">
        <v>1979</v>
      </c>
      <c r="U66" s="286">
        <f>AnnualAggregations!$C58</f>
        <v>250262.96118933489</v>
      </c>
      <c r="V66" s="286">
        <f>AnnualDepletions!$BI58</f>
        <v>540.57221863014831</v>
      </c>
      <c r="W66" s="286">
        <f>AnnualDepletions!$AM58</f>
        <v>12100.000000000009</v>
      </c>
      <c r="X66" s="286">
        <f>AnnualDepletions!$AK58</f>
        <v>7969.9999999999955</v>
      </c>
      <c r="Y66" s="286">
        <f>AnnualDepletions!$L58</f>
        <v>899.99999999999886</v>
      </c>
      <c r="Z66" s="287">
        <f t="shared" si="58"/>
        <v>271773.53340796503</v>
      </c>
      <c r="AA66" s="286">
        <f>AnnualDepletions!$AO58</f>
        <v>1157.9999999998672</v>
      </c>
      <c r="AB66" s="286">
        <f>AnnualDepletions!$AY58</f>
        <v>1620.9999999998131</v>
      </c>
      <c r="AC66" s="286">
        <f>AnnualAggregations!$F58</f>
        <v>33043.999999996209</v>
      </c>
      <c r="AD66" s="286">
        <f>AnnualAggregations!$G58</f>
        <v>5927.5916292350985</v>
      </c>
      <c r="AE66" s="286">
        <f>AnnualAggregations!$H58</f>
        <v>11741.999999998639</v>
      </c>
      <c r="AF66" s="286">
        <f>AnnualDepletions!$AL58</f>
        <v>9951.9999999988559</v>
      </c>
      <c r="AG66" s="286">
        <f>AnnualDepletions!$AG58</f>
        <v>9216.9999999989395</v>
      </c>
      <c r="AH66" s="286">
        <f>AnnualDepletions!$AN58</f>
        <v>2959.999999999658</v>
      </c>
      <c r="AI66" s="287">
        <f t="shared" si="59"/>
        <v>74463.591629227216</v>
      </c>
      <c r="AJ66" s="287">
        <f t="shared" si="60"/>
        <v>347395.12503719213</v>
      </c>
      <c r="AK66" s="286">
        <f>AnnualDepletions!$AP58</f>
        <v>340.98999999997505</v>
      </c>
      <c r="AL66" s="286">
        <f>AnnualDepletions!$BH58</f>
        <v>26405.676147171027</v>
      </c>
      <c r="AM66" s="286">
        <f>AnnualDepletions!$AJ58</f>
        <v>38999.999998983854</v>
      </c>
      <c r="AN66" s="286">
        <f>AnnualDepletions!$BC58</f>
        <v>16199.99999897049</v>
      </c>
      <c r="AO66" s="286">
        <f>AnnualDepletions!$J58</f>
        <v>2499.9900000012672</v>
      </c>
      <c r="AP66" s="286">
        <f>AnnualAggregations!$I58</f>
        <v>11624.990000001573</v>
      </c>
      <c r="AQ66" s="287">
        <f t="shared" si="61"/>
        <v>69665.96999795716</v>
      </c>
      <c r="AR66" s="287">
        <f t="shared" si="62"/>
        <v>96071.646145128208</v>
      </c>
      <c r="AS66" s="287">
        <f t="shared" si="63"/>
        <v>443466.77118232031</v>
      </c>
      <c r="AU66" s="321">
        <f ca="1">StateModDepletions_ThisScenario!AC56</f>
        <v>35844.43586102128</v>
      </c>
      <c r="AV66" s="321">
        <f ca="1">StateModDepletions_ThisScenario!AD56</f>
        <v>19078.122883461416</v>
      </c>
      <c r="AW66" s="321">
        <f ca="1">StateModDepletions_ThisScenario!AE56</f>
        <v>117493.66254176199</v>
      </c>
      <c r="AX66" s="321">
        <f ca="1">StateModDepletions_ThisScenario!AB56</f>
        <v>24765.810481309891</v>
      </c>
      <c r="AY66" s="288">
        <f t="shared" ca="1" si="64"/>
        <v>197182.03176755458</v>
      </c>
      <c r="AZ66" s="321">
        <f ca="1">StateModDepletions_ThisScenario!AG56</f>
        <v>52287.211341945906</v>
      </c>
      <c r="BA66" s="321">
        <f ca="1">StateModDepletions_ThisScenario!AF56</f>
        <v>19641.361422157377</v>
      </c>
      <c r="BB66" s="321">
        <f ca="1">StateModDepletions_ThisScenario!AH56</f>
        <v>22542.500738590956</v>
      </c>
      <c r="BC66" s="321">
        <f ca="1">StateModDepletions_ThisScenario!AI56</f>
        <v>25437.403102135693</v>
      </c>
      <c r="BD66" s="321">
        <f ca="1">StateModDepletions_ThisScenario!N56</f>
        <v>1326.6977829933167</v>
      </c>
      <c r="BE66" s="321">
        <f ca="1">StateModDepletions_ThisScenario!V56</f>
        <v>14958.229292869568</v>
      </c>
      <c r="BF66" s="288">
        <f t="shared" ca="1" si="65"/>
        <v>136193.40368069283</v>
      </c>
      <c r="BG66" s="288">
        <f t="shared" ca="1" si="66"/>
        <v>333375.43544824742</v>
      </c>
      <c r="BI66" s="288">
        <f t="shared" ca="1" si="67"/>
        <v>776842.20663056779</v>
      </c>
      <c r="BK66" s="286">
        <f>AnnualAggregations!$D58</f>
        <v>35893.000000000058</v>
      </c>
      <c r="BL66" s="286">
        <f>AnnualAggregations!$B58</f>
        <v>57156.18257810369</v>
      </c>
      <c r="BM66" s="286">
        <f>AnnualDepletions!$BK58</f>
        <v>167149.64098318416</v>
      </c>
      <c r="BN66" s="286">
        <f>AnnualAggregations!$E58</f>
        <v>5000.0000000019172</v>
      </c>
      <c r="BO66" s="287">
        <f t="shared" si="68"/>
        <v>265198.82356128981</v>
      </c>
      <c r="BP66" s="321">
        <f ca="1">StateModDepletions_ThisScenario!Y56</f>
        <v>212.11356273293495</v>
      </c>
      <c r="BQ66" s="321">
        <f ca="1">StateModDepletions_ThisScenario!AJ56</f>
        <v>138931.34892040174</v>
      </c>
      <c r="BR66" s="321">
        <f ca="1">StateModDepletions_ThisScenario!Z56</f>
        <v>235127.42077720165</v>
      </c>
      <c r="BS66" s="321">
        <f ca="1">StateModDepletions_ThisScenario!AA56</f>
        <v>95983.958294066993</v>
      </c>
      <c r="BT66" s="286">
        <f>AnnualDepletions!$BG58</f>
        <v>12296.800000006155</v>
      </c>
      <c r="BV66" s="287">
        <f t="shared" ca="1" si="69"/>
        <v>1054337.8301918637</v>
      </c>
      <c r="BW66" s="287">
        <f t="shared" ca="1" si="70"/>
        <v>958353.87189779675</v>
      </c>
      <c r="BX66" s="287">
        <f t="shared" ca="1" si="91"/>
        <v>973228.87189779675</v>
      </c>
      <c r="BY66" s="287">
        <f>SJRIPSummaryRAW!$B$79</f>
        <v>14875</v>
      </c>
      <c r="CC66" s="282">
        <v>1979</v>
      </c>
      <c r="CD66" s="286">
        <f>AnnualAggregations!K58</f>
        <v>250262.96118933489</v>
      </c>
      <c r="CE66" s="442" t="s">
        <v>597</v>
      </c>
      <c r="CF66" s="286">
        <f>AnnualDeplReqs!$AM58</f>
        <v>12100.000000000009</v>
      </c>
      <c r="CG66" s="286">
        <f>AnnualDeplReqs!$AK58</f>
        <v>7969.9999999999955</v>
      </c>
      <c r="CH66" s="286">
        <f>AnnualDeplReqs!$L58</f>
        <v>899.99999999999886</v>
      </c>
      <c r="CI66" s="443">
        <f t="shared" si="71"/>
        <v>271773.53340796509</v>
      </c>
      <c r="CJ66" s="286">
        <f>AnnualDeplReqs!$AO58</f>
        <v>1157.9999999998672</v>
      </c>
      <c r="CK66" s="286">
        <f>AnnualDeplReqs!$AY58</f>
        <v>1620.9999999998131</v>
      </c>
      <c r="CL66" s="286">
        <f>AnnualAggregations!$N58</f>
        <v>33043.999999996209</v>
      </c>
      <c r="CM66" s="286">
        <f>AnnualAggregations!$O58</f>
        <v>12273.999999998592</v>
      </c>
      <c r="CN66" s="286">
        <f>AnnualAggregations!$P58</f>
        <v>11741.999999998639</v>
      </c>
      <c r="CO66" s="286">
        <f>AnnualDeplReqs!$AL58</f>
        <v>9951.9999999988559</v>
      </c>
      <c r="CP66" s="286">
        <f>AnnualDeplReqs!$AG58</f>
        <v>9216.9999999989395</v>
      </c>
      <c r="CQ66" s="286">
        <f>AnnualDeplReqs!$AN58</f>
        <v>2959.999999999658</v>
      </c>
      <c r="CR66" s="287">
        <f t="shared" si="72"/>
        <v>80809.999999990716</v>
      </c>
      <c r="CS66" s="287">
        <f t="shared" si="73"/>
        <v>353741.53340795566</v>
      </c>
      <c r="CT66" s="286">
        <f>AnnualDeplReqs!$AP58</f>
        <v>340.98999999997505</v>
      </c>
      <c r="CU66" s="442" t="s">
        <v>597</v>
      </c>
      <c r="CV66" s="286">
        <f>AnnualDeplReqs!$AJ58</f>
        <v>38999.999998983854</v>
      </c>
      <c r="CW66" s="286">
        <f>AnnualDeplReqs!$BC58</f>
        <v>16199.99999897049</v>
      </c>
      <c r="CX66" s="286">
        <f>AnnualDeplReqs!$J58</f>
        <v>2499.9900000012672</v>
      </c>
      <c r="CY66" s="286">
        <f>AnnualAggregations!$Q58</f>
        <v>11624.990000001573</v>
      </c>
      <c r="CZ66" s="287">
        <f t="shared" si="74"/>
        <v>69665.96999795716</v>
      </c>
      <c r="DA66" s="443">
        <f t="shared" si="75"/>
        <v>96071.646145128179</v>
      </c>
      <c r="DB66" s="287">
        <f t="shared" si="76"/>
        <v>449813.17955308384</v>
      </c>
      <c r="DD66" s="440" t="s">
        <v>628</v>
      </c>
      <c r="DE66" s="440" t="s">
        <v>628</v>
      </c>
      <c r="DF66" s="440" t="s">
        <v>628</v>
      </c>
      <c r="DG66" s="440" t="s">
        <v>628</v>
      </c>
      <c r="DH66" s="440" t="s">
        <v>628</v>
      </c>
      <c r="DI66" s="440" t="s">
        <v>628</v>
      </c>
      <c r="DJ66" s="440" t="s">
        <v>628</v>
      </c>
      <c r="DK66" s="440" t="s">
        <v>628</v>
      </c>
      <c r="DL66" s="440" t="s">
        <v>628</v>
      </c>
      <c r="DM66" s="440" t="s">
        <v>628</v>
      </c>
      <c r="DN66" s="440" t="s">
        <v>628</v>
      </c>
      <c r="DO66" s="440" t="s">
        <v>628</v>
      </c>
      <c r="DP66" s="440" t="s">
        <v>628</v>
      </c>
      <c r="DR66" s="440" t="s">
        <v>628</v>
      </c>
      <c r="DT66" s="286">
        <f>AnnualAggregations!$L58</f>
        <v>35893.000000000073</v>
      </c>
      <c r="DU66" s="443">
        <f>AnnualAggregations!$J58</f>
        <v>57192.1644745097</v>
      </c>
      <c r="DV66" s="442" t="s">
        <v>597</v>
      </c>
      <c r="DW66" s="286">
        <f>AnnualAggregations!$M58</f>
        <v>5000.0000000019172</v>
      </c>
      <c r="DX66" s="442" t="s">
        <v>597</v>
      </c>
      <c r="DY66" s="440" t="s">
        <v>628</v>
      </c>
      <c r="DZ66" s="440" t="s">
        <v>628</v>
      </c>
      <c r="EA66" s="440" t="s">
        <v>628</v>
      </c>
      <c r="EB66" s="440" t="s">
        <v>628</v>
      </c>
      <c r="EC66" s="286">
        <f>AnnualDeplReqs!$BG58</f>
        <v>12296.800000006155</v>
      </c>
      <c r="EE66" s="440" t="s">
        <v>628</v>
      </c>
      <c r="EF66" s="440" t="s">
        <v>628</v>
      </c>
      <c r="EG66" s="440" t="s">
        <v>628</v>
      </c>
      <c r="EH66" s="442" t="s">
        <v>597</v>
      </c>
      <c r="EL66" s="282">
        <v>1979</v>
      </c>
      <c r="EM66" s="286">
        <f>AnnualAggregations!S58</f>
        <v>312828.70148666896</v>
      </c>
      <c r="EN66" s="442" t="s">
        <v>597</v>
      </c>
      <c r="EO66" s="286">
        <f>AnnualDiversions!$AM58</f>
        <v>24160.880683190033</v>
      </c>
      <c r="EP66" s="286">
        <f>AnnualDiversions!$AK58</f>
        <v>15864.246446422723</v>
      </c>
      <c r="EQ66" s="286">
        <f>AnnualDiversions!$L58</f>
        <v>1799.9999999999977</v>
      </c>
      <c r="ER66" s="287">
        <f t="shared" si="77"/>
        <v>354653.82861628168</v>
      </c>
      <c r="ES66" s="286">
        <f>AnnualDiversions!$AO58</f>
        <v>2315.9999999997344</v>
      </c>
      <c r="ET66" s="286">
        <f>AnnualDiversions!$AY58</f>
        <v>2933.9366515833735</v>
      </c>
      <c r="EU66" s="286">
        <f>AnnualAggregations!$V58</f>
        <v>55479.49721429011</v>
      </c>
      <c r="EV66" s="286">
        <f>AnnualAggregations!$W58</f>
        <v>10527.773238684495</v>
      </c>
      <c r="EW66" s="286">
        <f>AnnualAggregations!$X58</f>
        <v>17998.522450330624</v>
      </c>
      <c r="EX66" s="286">
        <f>AnnualDiversions!$AL58</f>
        <v>11805.456702252497</v>
      </c>
      <c r="EY66" s="286">
        <f>AnnualDiversions!$AG58</f>
        <v>17468.018572915647</v>
      </c>
      <c r="EZ66" s="286">
        <f>AnnualDiversions!$AN58</f>
        <v>5565.4789884359507</v>
      </c>
      <c r="FA66" s="287">
        <f t="shared" si="78"/>
        <v>121778.6838184927</v>
      </c>
      <c r="FB66" s="287">
        <f t="shared" si="79"/>
        <v>478748.51243477408</v>
      </c>
      <c r="FC66" s="286">
        <f>AnnualDiversions!$AP58</f>
        <v>378.87777777775057</v>
      </c>
      <c r="FD66" s="442" t="s">
        <v>597</v>
      </c>
      <c r="FE66" s="286">
        <f>AnnualDiversions!$AJ58</f>
        <v>38999.999998983854</v>
      </c>
      <c r="FF66" s="286">
        <f>AnnualDiversions!$BC58</f>
        <v>16199.99999897049</v>
      </c>
      <c r="FG66" s="286">
        <f>AnnualDiversions!$J58</f>
        <v>4166.6500000021233</v>
      </c>
      <c r="FH66" s="286">
        <f>AnnualAggregations!$Y58</f>
        <v>19374.983333335964</v>
      </c>
      <c r="FI66" s="287">
        <f t="shared" si="80"/>
        <v>79120.511109070183</v>
      </c>
      <c r="FJ66" s="287">
        <f t="shared" si="81"/>
        <v>79120.511109070183</v>
      </c>
      <c r="FK66" s="287">
        <f t="shared" si="82"/>
        <v>557869.02354384423</v>
      </c>
      <c r="FM66" s="440" t="s">
        <v>628</v>
      </c>
      <c r="FN66" s="440" t="s">
        <v>628</v>
      </c>
      <c r="FO66" s="440" t="s">
        <v>628</v>
      </c>
      <c r="FP66" s="440" t="s">
        <v>628</v>
      </c>
      <c r="FQ66" s="440" t="s">
        <v>628</v>
      </c>
      <c r="FR66" s="440" t="s">
        <v>628</v>
      </c>
      <c r="FS66" s="440" t="s">
        <v>628</v>
      </c>
      <c r="FT66" s="440" t="s">
        <v>628</v>
      </c>
      <c r="FU66" s="440" t="s">
        <v>628</v>
      </c>
      <c r="FV66" s="440" t="s">
        <v>628</v>
      </c>
      <c r="FW66" s="440" t="s">
        <v>628</v>
      </c>
      <c r="FX66" s="440" t="s">
        <v>628</v>
      </c>
      <c r="FY66" s="440" t="s">
        <v>628</v>
      </c>
      <c r="GA66" s="440" t="s">
        <v>628</v>
      </c>
      <c r="GC66" s="286">
        <f>AnnualAggregations!$T58</f>
        <v>37764.23856661762</v>
      </c>
      <c r="GD66" s="286">
        <f>AnnualAggregations!$R58</f>
        <v>109067.13000005134</v>
      </c>
      <c r="GE66" s="443">
        <f t="shared" si="83"/>
        <v>167149.64098318416</v>
      </c>
      <c r="GF66" s="286">
        <f>AnnualAggregations!$U58</f>
        <v>5000.0000000019172</v>
      </c>
      <c r="GG66" s="287">
        <f t="shared" si="84"/>
        <v>318981.00954985508</v>
      </c>
      <c r="GH66" s="440" t="s">
        <v>628</v>
      </c>
      <c r="GI66" s="440" t="s">
        <v>628</v>
      </c>
      <c r="GJ66" s="440" t="s">
        <v>628</v>
      </c>
      <c r="GK66" s="440" t="s">
        <v>628</v>
      </c>
      <c r="GL66" s="286">
        <f>AnnualDiversions!$BG58</f>
        <v>12296.800000006155</v>
      </c>
      <c r="GN66" s="440" t="s">
        <v>628</v>
      </c>
      <c r="GO66" s="440" t="s">
        <v>628</v>
      </c>
      <c r="GP66" s="440" t="s">
        <v>628</v>
      </c>
      <c r="GQ66" s="442" t="s">
        <v>597</v>
      </c>
      <c r="GU66" s="282">
        <v>1979</v>
      </c>
      <c r="GV66" s="286">
        <f>AnnualAggregations!AA58</f>
        <v>312828.70148666896</v>
      </c>
      <c r="GW66" s="442" t="s">
        <v>597</v>
      </c>
      <c r="GX66" s="286">
        <f>AnnualDivReqs!$AM58</f>
        <v>24160.880683190033</v>
      </c>
      <c r="GY66" s="286">
        <f>AnnualDivReqs!$AK58</f>
        <v>15864.246446422723</v>
      </c>
      <c r="GZ66" s="286">
        <f>AnnualDivReqs!$L58</f>
        <v>1799.9999999999977</v>
      </c>
      <c r="HA66" s="287">
        <f t="shared" si="85"/>
        <v>354653.82861628168</v>
      </c>
      <c r="HB66" s="286">
        <f>AnnualDivReqs!$AO58</f>
        <v>2315.9999999997344</v>
      </c>
      <c r="HC66" s="286">
        <f>AnnualDivReqs!$AY58</f>
        <v>2933.9366515833735</v>
      </c>
      <c r="HD66" s="286">
        <f>AnnualAggregations!$AD58</f>
        <v>55479.49721429011</v>
      </c>
      <c r="HE66" s="286">
        <f>AnnualAggregations!$AE58</f>
        <v>21983.210179552931</v>
      </c>
      <c r="HF66" s="286">
        <f>AnnualAggregations!$AF58</f>
        <v>17998.522450330624</v>
      </c>
      <c r="HG66" s="286">
        <f>AnnualDivReqs!$AL58</f>
        <v>11805.456702252497</v>
      </c>
      <c r="HH66" s="286">
        <f>AnnualDivReqs!$AG58</f>
        <v>17468.018572915647</v>
      </c>
      <c r="HI66" s="286">
        <f>AnnualDivReqs!$AN58</f>
        <v>5565.4789884359507</v>
      </c>
      <c r="HJ66" s="287">
        <f t="shared" si="86"/>
        <v>133234.12075936116</v>
      </c>
      <c r="HK66" s="287">
        <f t="shared" si="87"/>
        <v>490203.94937564258</v>
      </c>
      <c r="HL66" s="286">
        <f>AnnualDivReqs!$AP58</f>
        <v>378.87777777775057</v>
      </c>
      <c r="HM66" s="442" t="s">
        <v>597</v>
      </c>
      <c r="HN66" s="286">
        <f>AnnualDivReqs!$AJ58</f>
        <v>38999.999998983854</v>
      </c>
      <c r="HO66" s="286">
        <f>AnnualDivReqs!$BC58</f>
        <v>16199.99999897049</v>
      </c>
      <c r="HP66" s="286">
        <f>AnnualDivReqs!$J58</f>
        <v>4166.6500000021233</v>
      </c>
      <c r="HQ66" s="286">
        <f>AnnualAggregations!$AG58</f>
        <v>19374.983333335964</v>
      </c>
      <c r="HR66" s="287">
        <f t="shared" si="88"/>
        <v>79120.511109070183</v>
      </c>
      <c r="HS66" s="287">
        <f t="shared" si="89"/>
        <v>79120.511109070183</v>
      </c>
      <c r="HT66" s="287">
        <f t="shared" si="90"/>
        <v>569324.46048471273</v>
      </c>
      <c r="HV66" s="440" t="s">
        <v>628</v>
      </c>
      <c r="HW66" s="440" t="s">
        <v>628</v>
      </c>
      <c r="HX66" s="440" t="s">
        <v>628</v>
      </c>
      <c r="HY66" s="440" t="s">
        <v>628</v>
      </c>
      <c r="HZ66" s="440" t="s">
        <v>628</v>
      </c>
      <c r="IA66" s="440" t="s">
        <v>628</v>
      </c>
      <c r="IB66" s="440" t="s">
        <v>628</v>
      </c>
      <c r="IC66" s="440" t="s">
        <v>628</v>
      </c>
      <c r="ID66" s="440" t="s">
        <v>628</v>
      </c>
      <c r="IE66" s="440" t="s">
        <v>628</v>
      </c>
      <c r="IF66" s="440" t="s">
        <v>628</v>
      </c>
      <c r="IG66" s="440" t="s">
        <v>628</v>
      </c>
      <c r="IH66" s="440" t="s">
        <v>628</v>
      </c>
      <c r="IJ66" s="440" t="s">
        <v>628</v>
      </c>
      <c r="IL66" s="286">
        <f>AnnualAggregations!$AB58</f>
        <v>37764.238566617634</v>
      </c>
      <c r="IM66" s="286">
        <f>AnnualAggregations!$Z58</f>
        <v>109139.09379286336</v>
      </c>
      <c r="IN66" s="442" t="s">
        <v>597</v>
      </c>
      <c r="IO66" s="286">
        <f>AnnualAggregations!$AC58</f>
        <v>5000.0000000019172</v>
      </c>
      <c r="IP66" s="442" t="s">
        <v>597</v>
      </c>
      <c r="IQ66" s="440" t="s">
        <v>628</v>
      </c>
      <c r="IR66" s="440" t="s">
        <v>628</v>
      </c>
      <c r="IS66" s="440" t="s">
        <v>628</v>
      </c>
      <c r="IT66" s="440" t="s">
        <v>628</v>
      </c>
      <c r="IU66" s="286">
        <f>AnnualDivReqs!$BG58</f>
        <v>12296.800000006155</v>
      </c>
      <c r="IW66" s="440" t="s">
        <v>628</v>
      </c>
      <c r="IX66" s="440" t="s">
        <v>628</v>
      </c>
      <c r="IY66" s="440" t="s">
        <v>628</v>
      </c>
      <c r="IZ66" s="442" t="s">
        <v>597</v>
      </c>
    </row>
    <row r="67" spans="1:260" ht="15.75" thickBot="1" x14ac:dyDescent="0.3">
      <c r="A67" s="480" t="str">
        <f>ADDRESS(ROW(SJRIPSummary!E59),COLUMN(SJRIPSummary!E59),4,1)</f>
        <v>E59</v>
      </c>
      <c r="B67" s="480" t="str">
        <f t="shared" si="57"/>
        <v>59</v>
      </c>
      <c r="C67" t="s">
        <v>127</v>
      </c>
      <c r="D67" s="404">
        <v>52</v>
      </c>
      <c r="E67" s="404">
        <v>113</v>
      </c>
      <c r="F67" s="404">
        <v>174</v>
      </c>
      <c r="G67" s="404">
        <v>235</v>
      </c>
      <c r="H67" s="396"/>
      <c r="I67" s="633" t="s">
        <v>127</v>
      </c>
      <c r="J67" s="634"/>
      <c r="K67" s="634"/>
      <c r="L67" s="635"/>
      <c r="M67" s="206">
        <f ca="1">ROUND(SJRIPSummaryRAW!B68,-2)</f>
        <v>12300</v>
      </c>
      <c r="N67" s="149"/>
      <c r="O67" s="225">
        <f ca="1">ROUND(SJRIPSummaryRAW!D68,-2)</f>
        <v>12300</v>
      </c>
      <c r="P67" s="226">
        <f ca="1">ROUND(SJRIPSummaryRAW!E68,-2)</f>
        <v>12300</v>
      </c>
      <c r="Q67" s="396"/>
      <c r="R67" s="21"/>
      <c r="S67" s="21"/>
      <c r="T67" s="282">
        <v>1980</v>
      </c>
      <c r="U67" s="286">
        <f>AnnualAggregations!$C59</f>
        <v>260914.80817889789</v>
      </c>
      <c r="V67" s="286">
        <f>AnnualDepletions!$BI59</f>
        <v>2535.2922466270061</v>
      </c>
      <c r="W67" s="286">
        <f>AnnualDepletions!$AM59</f>
        <v>12099.999999999991</v>
      </c>
      <c r="X67" s="286">
        <f>AnnualDepletions!$AK59</f>
        <v>7970.0000000000064</v>
      </c>
      <c r="Y67" s="286">
        <f>AnnualDepletions!$L59</f>
        <v>899.99999999999977</v>
      </c>
      <c r="Z67" s="287">
        <f t="shared" si="58"/>
        <v>284420.10042552487</v>
      </c>
      <c r="AA67" s="286">
        <f>AnnualDepletions!$AO59</f>
        <v>1191.9999999998633</v>
      </c>
      <c r="AB67" s="286">
        <f>AnnualDepletions!$AY59</f>
        <v>1555.9999999998213</v>
      </c>
      <c r="AC67" s="286">
        <f>AnnualAggregations!$F59</f>
        <v>32958.841156008748</v>
      </c>
      <c r="AD67" s="286">
        <f>AnnualAggregations!$G59</f>
        <v>6888.3584600542345</v>
      </c>
      <c r="AE67" s="286">
        <f>AnnualAggregations!$H59</f>
        <v>12466.999999998561</v>
      </c>
      <c r="AF67" s="286">
        <f>AnnualDepletions!$AL59</f>
        <v>10536.999999998785</v>
      </c>
      <c r="AG67" s="286">
        <f>AnnualDepletions!$AG59</f>
        <v>9545.9999999988959</v>
      </c>
      <c r="AH67" s="286">
        <f>AnnualDepletions!$AN59</f>
        <v>2854.9999999996699</v>
      </c>
      <c r="AI67" s="287">
        <f t="shared" si="59"/>
        <v>76808.199616058715</v>
      </c>
      <c r="AJ67" s="287">
        <f t="shared" si="60"/>
        <v>362420.30004158348</v>
      </c>
      <c r="AK67" s="286">
        <f>AnnualDepletions!$AP59</f>
        <v>340.98999999997511</v>
      </c>
      <c r="AL67" s="286">
        <f>AnnualDepletions!$BH59</f>
        <v>29948.051705948783</v>
      </c>
      <c r="AM67" s="286">
        <f>AnnualDepletions!$AJ59</f>
        <v>38999.999998983862</v>
      </c>
      <c r="AN67" s="286">
        <f>AnnualDepletions!$BC59</f>
        <v>16199.999998970494</v>
      </c>
      <c r="AO67" s="286">
        <f>AnnualDepletions!$J59</f>
        <v>2499.9900000012672</v>
      </c>
      <c r="AP67" s="286">
        <f>AnnualAggregations!$I59</f>
        <v>11624.990000001573</v>
      </c>
      <c r="AQ67" s="287">
        <f t="shared" si="61"/>
        <v>69665.969997957174</v>
      </c>
      <c r="AR67" s="287">
        <f t="shared" si="62"/>
        <v>99614.021703905964</v>
      </c>
      <c r="AS67" s="287">
        <f t="shared" si="63"/>
        <v>462034.32174548943</v>
      </c>
      <c r="AU67" s="321">
        <f ca="1">StateModDepletions_ThisScenario!AC57</f>
        <v>35675.477632004768</v>
      </c>
      <c r="AV67" s="321">
        <f ca="1">StateModDepletions_ThisScenario!AD57</f>
        <v>19127.147109925747</v>
      </c>
      <c r="AW67" s="321">
        <f ca="1">StateModDepletions_ThisScenario!AE57</f>
        <v>110967.35085114837</v>
      </c>
      <c r="AX67" s="321">
        <f ca="1">StateModDepletions_ThisScenario!AB57</f>
        <v>24765.810481309891</v>
      </c>
      <c r="AY67" s="288">
        <f t="shared" ca="1" si="64"/>
        <v>190535.78607438877</v>
      </c>
      <c r="AZ67" s="321">
        <f ca="1">StateModDepletions_ThisScenario!AG57</f>
        <v>51143.796728520174</v>
      </c>
      <c r="BA67" s="321">
        <f ca="1">StateModDepletions_ThisScenario!AF57</f>
        <v>19438.698303885762</v>
      </c>
      <c r="BB67" s="321">
        <f ca="1">StateModDepletions_ThisScenario!AH57</f>
        <v>22848.76539696008</v>
      </c>
      <c r="BC67" s="321">
        <f ca="1">StateModDepletions_ThisScenario!AI57</f>
        <v>25906.322677636348</v>
      </c>
      <c r="BD67" s="321">
        <f ca="1">StateModDepletions_ThisScenario!N57</f>
        <v>1326.6977829933167</v>
      </c>
      <c r="BE67" s="321">
        <f ca="1">StateModDepletions_ThisScenario!V57</f>
        <v>15539.443257331848</v>
      </c>
      <c r="BF67" s="288">
        <f t="shared" ca="1" si="65"/>
        <v>136203.72414732754</v>
      </c>
      <c r="BG67" s="288">
        <f t="shared" ca="1" si="66"/>
        <v>326739.51022171631</v>
      </c>
      <c r="BI67" s="288">
        <f t="shared" ca="1" si="67"/>
        <v>788773.83196720574</v>
      </c>
      <c r="BK67" s="286">
        <f>AnnualAggregations!$D59</f>
        <v>35893.000000000058</v>
      </c>
      <c r="BL67" s="286">
        <f>AnnualAggregations!$B59</f>
        <v>57162.623688016683</v>
      </c>
      <c r="BM67" s="286">
        <f>AnnualDepletions!$BK59</f>
        <v>146340.02421289741</v>
      </c>
      <c r="BN67" s="286">
        <f>AnnualAggregations!$E59</f>
        <v>5000.0000000019463</v>
      </c>
      <c r="BO67" s="287">
        <f t="shared" si="68"/>
        <v>244395.64790091608</v>
      </c>
      <c r="BP67" s="321">
        <f ca="1">StateModDepletions_ThisScenario!Y57</f>
        <v>212.11356273293495</v>
      </c>
      <c r="BQ67" s="321">
        <f ca="1">StateModDepletions_ThisScenario!AJ57</f>
        <v>142027.13993466095</v>
      </c>
      <c r="BR67" s="321">
        <f ca="1">StateModDepletions_ThisScenario!Z57</f>
        <v>252202.05038642883</v>
      </c>
      <c r="BS67" s="321">
        <f ca="1">StateModDepletions_ThisScenario!AA57</f>
        <v>109962.79688903494</v>
      </c>
      <c r="BT67" s="286">
        <f>AnnualDepletions!$BG59</f>
        <v>12296.800000006155</v>
      </c>
      <c r="BV67" s="287">
        <f t="shared" ca="1" si="69"/>
        <v>1045466.279868128</v>
      </c>
      <c r="BW67" s="287">
        <f t="shared" ca="1" si="70"/>
        <v>935503.4829790931</v>
      </c>
      <c r="BX67" s="287">
        <f t="shared" ca="1" si="91"/>
        <v>950378.4829790931</v>
      </c>
      <c r="BY67" s="287">
        <f>SJRIPSummaryRAW!$B$79</f>
        <v>14875</v>
      </c>
      <c r="CC67" s="282">
        <v>1980</v>
      </c>
      <c r="CD67" s="286">
        <f>AnnualAggregations!K59</f>
        <v>260914.80817889789</v>
      </c>
      <c r="CE67" s="442" t="s">
        <v>597</v>
      </c>
      <c r="CF67" s="286">
        <f>AnnualDeplReqs!$AM59</f>
        <v>12099.999999999991</v>
      </c>
      <c r="CG67" s="286">
        <f>AnnualDeplReqs!$AK59</f>
        <v>7970.0000000000064</v>
      </c>
      <c r="CH67" s="286">
        <f>AnnualDeplReqs!$L59</f>
        <v>899.99999999999977</v>
      </c>
      <c r="CI67" s="443">
        <f t="shared" si="71"/>
        <v>284420.10042552487</v>
      </c>
      <c r="CJ67" s="286">
        <f>AnnualDeplReqs!$AO59</f>
        <v>1191.9999999998633</v>
      </c>
      <c r="CK67" s="286">
        <f>AnnualDeplReqs!$AY59</f>
        <v>1555.9999999998213</v>
      </c>
      <c r="CL67" s="286">
        <f>AnnualAggregations!$N59</f>
        <v>32958.841156008748</v>
      </c>
      <c r="CM67" s="286">
        <f>AnnualAggregations!$O59</f>
        <v>12224.99999999859</v>
      </c>
      <c r="CN67" s="286">
        <f>AnnualAggregations!$P59</f>
        <v>12466.999999998561</v>
      </c>
      <c r="CO67" s="286">
        <f>AnnualDeplReqs!$AL59</f>
        <v>10536.999999998785</v>
      </c>
      <c r="CP67" s="286">
        <f>AnnualDeplReqs!$AG59</f>
        <v>9545.9999999988959</v>
      </c>
      <c r="CQ67" s="286">
        <f>AnnualDeplReqs!$AN59</f>
        <v>2854.9999999996699</v>
      </c>
      <c r="CR67" s="287">
        <f t="shared" si="72"/>
        <v>82144.841156003051</v>
      </c>
      <c r="CS67" s="287">
        <f t="shared" si="73"/>
        <v>367756.94158152782</v>
      </c>
      <c r="CT67" s="286">
        <f>AnnualDeplReqs!$AP59</f>
        <v>340.98999999997511</v>
      </c>
      <c r="CU67" s="442" t="s">
        <v>597</v>
      </c>
      <c r="CV67" s="286">
        <f>AnnualDeplReqs!$AJ59</f>
        <v>38999.999998983862</v>
      </c>
      <c r="CW67" s="286">
        <f>AnnualDeplReqs!$BC59</f>
        <v>16199.999998970494</v>
      </c>
      <c r="CX67" s="286">
        <f>AnnualDeplReqs!$J59</f>
        <v>2499.9900000012672</v>
      </c>
      <c r="CY67" s="286">
        <f>AnnualAggregations!$Q59</f>
        <v>11624.990000001573</v>
      </c>
      <c r="CZ67" s="287">
        <f t="shared" si="74"/>
        <v>69665.969997957174</v>
      </c>
      <c r="DA67" s="443">
        <f t="shared" si="75"/>
        <v>99614.02170390595</v>
      </c>
      <c r="DB67" s="287">
        <f t="shared" si="76"/>
        <v>467370.96328543377</v>
      </c>
      <c r="DD67" s="440" t="s">
        <v>628</v>
      </c>
      <c r="DE67" s="440" t="s">
        <v>628</v>
      </c>
      <c r="DF67" s="440" t="s">
        <v>628</v>
      </c>
      <c r="DG67" s="440" t="s">
        <v>628</v>
      </c>
      <c r="DH67" s="440" t="s">
        <v>628</v>
      </c>
      <c r="DI67" s="440" t="s">
        <v>628</v>
      </c>
      <c r="DJ67" s="440" t="s">
        <v>628</v>
      </c>
      <c r="DK67" s="440" t="s">
        <v>628</v>
      </c>
      <c r="DL67" s="440" t="s">
        <v>628</v>
      </c>
      <c r="DM67" s="440" t="s">
        <v>628</v>
      </c>
      <c r="DN67" s="440" t="s">
        <v>628</v>
      </c>
      <c r="DO67" s="440" t="s">
        <v>628</v>
      </c>
      <c r="DP67" s="440" t="s">
        <v>628</v>
      </c>
      <c r="DR67" s="440" t="s">
        <v>628</v>
      </c>
      <c r="DT67" s="286">
        <f>AnnualAggregations!$L59</f>
        <v>35893.000000000073</v>
      </c>
      <c r="DU67" s="443">
        <f>AnnualAggregations!$J59</f>
        <v>57162.623688016683</v>
      </c>
      <c r="DV67" s="442" t="s">
        <v>597</v>
      </c>
      <c r="DW67" s="286">
        <f>AnnualAggregations!$M59</f>
        <v>5000.0000000019463</v>
      </c>
      <c r="DX67" s="442" t="s">
        <v>597</v>
      </c>
      <c r="DY67" s="440" t="s">
        <v>628</v>
      </c>
      <c r="DZ67" s="440" t="s">
        <v>628</v>
      </c>
      <c r="EA67" s="440" t="s">
        <v>628</v>
      </c>
      <c r="EB67" s="440" t="s">
        <v>628</v>
      </c>
      <c r="EC67" s="286">
        <f>AnnualDeplReqs!$BG59</f>
        <v>12296.800000006155</v>
      </c>
      <c r="EE67" s="440" t="s">
        <v>628</v>
      </c>
      <c r="EF67" s="440" t="s">
        <v>628</v>
      </c>
      <c r="EG67" s="440" t="s">
        <v>628</v>
      </c>
      <c r="EH67" s="442" t="s">
        <v>597</v>
      </c>
      <c r="EL67" s="282">
        <v>1980</v>
      </c>
      <c r="EM67" s="286">
        <f>AnnualAggregations!S59</f>
        <v>326143.51022362133</v>
      </c>
      <c r="EN67" s="442" t="s">
        <v>597</v>
      </c>
      <c r="EO67" s="286">
        <f>AnnualDiversions!$AM59</f>
        <v>24160.880683189971</v>
      </c>
      <c r="EP67" s="286">
        <f>AnnualDiversions!$AK59</f>
        <v>15864.246446422732</v>
      </c>
      <c r="EQ67" s="286">
        <f>AnnualDiversions!$L59</f>
        <v>1799.9999999999995</v>
      </c>
      <c r="ER67" s="287">
        <f t="shared" si="77"/>
        <v>367968.63735323399</v>
      </c>
      <c r="ES67" s="286">
        <f>AnnualDiversions!$AO59</f>
        <v>2383.9999999997267</v>
      </c>
      <c r="ET67" s="286">
        <f>AnnualDiversions!$AY59</f>
        <v>2816.2895927598584</v>
      </c>
      <c r="EU67" s="286">
        <f>AnnualAggregations!$V59</f>
        <v>55310.693063848492</v>
      </c>
      <c r="EV67" s="286">
        <f>AnnualAggregations!$W59</f>
        <v>12495.398655686013</v>
      </c>
      <c r="EW67" s="286">
        <f>AnnualAggregations!$X59</f>
        <v>19109.614652978893</v>
      </c>
      <c r="EX67" s="286">
        <f>AnnualDiversions!$AL59</f>
        <v>12499.406880188359</v>
      </c>
      <c r="EY67" s="286">
        <f>AnnualDiversions!$AG59</f>
        <v>18091.537951291393</v>
      </c>
      <c r="EZ67" s="286">
        <f>AnnualDiversions!$AN59</f>
        <v>5368.0549026975114</v>
      </c>
      <c r="FA67" s="287">
        <f t="shared" si="78"/>
        <v>125690.99569945052</v>
      </c>
      <c r="FB67" s="287">
        <f t="shared" si="79"/>
        <v>496043.63305268425</v>
      </c>
      <c r="FC67" s="286">
        <f>AnnualDiversions!$AP59</f>
        <v>378.87777777775057</v>
      </c>
      <c r="FD67" s="442" t="s">
        <v>597</v>
      </c>
      <c r="FE67" s="286">
        <f>AnnualDiversions!$AJ59</f>
        <v>38999.999998983862</v>
      </c>
      <c r="FF67" s="286">
        <f>AnnualDiversions!$BC59</f>
        <v>16199.999998970494</v>
      </c>
      <c r="FG67" s="286">
        <f>AnnualDiversions!$J59</f>
        <v>4166.6500000021233</v>
      </c>
      <c r="FH67" s="286">
        <f>AnnualAggregations!$Y59</f>
        <v>19374.983333335967</v>
      </c>
      <c r="FI67" s="287">
        <f t="shared" si="80"/>
        <v>79120.511109070212</v>
      </c>
      <c r="FJ67" s="287">
        <f t="shared" si="81"/>
        <v>79120.511109070198</v>
      </c>
      <c r="FK67" s="287">
        <f t="shared" si="82"/>
        <v>575164.1441617544</v>
      </c>
      <c r="FM67" s="440" t="s">
        <v>628</v>
      </c>
      <c r="FN67" s="440" t="s">
        <v>628</v>
      </c>
      <c r="FO67" s="440" t="s">
        <v>628</v>
      </c>
      <c r="FP67" s="440" t="s">
        <v>628</v>
      </c>
      <c r="FQ67" s="440" t="s">
        <v>628</v>
      </c>
      <c r="FR67" s="440" t="s">
        <v>628</v>
      </c>
      <c r="FS67" s="440" t="s">
        <v>628</v>
      </c>
      <c r="FT67" s="440" t="s">
        <v>628</v>
      </c>
      <c r="FU67" s="440" t="s">
        <v>628</v>
      </c>
      <c r="FV67" s="440" t="s">
        <v>628</v>
      </c>
      <c r="FW67" s="440" t="s">
        <v>628</v>
      </c>
      <c r="FX67" s="440" t="s">
        <v>628</v>
      </c>
      <c r="FY67" s="440" t="s">
        <v>628</v>
      </c>
      <c r="GA67" s="440" t="s">
        <v>628</v>
      </c>
      <c r="GC67" s="286">
        <f>AnnualAggregations!$T59</f>
        <v>37763.476493275433</v>
      </c>
      <c r="GD67" s="286">
        <f>AnnualAggregations!$R59</f>
        <v>109067.13000005131</v>
      </c>
      <c r="GE67" s="443">
        <f t="shared" si="83"/>
        <v>146340.02421289741</v>
      </c>
      <c r="GF67" s="286">
        <f>AnnualAggregations!$U59</f>
        <v>5000.0000000019463</v>
      </c>
      <c r="GG67" s="287">
        <f t="shared" si="84"/>
        <v>298170.63070622605</v>
      </c>
      <c r="GH67" s="440" t="s">
        <v>628</v>
      </c>
      <c r="GI67" s="440" t="s">
        <v>628</v>
      </c>
      <c r="GJ67" s="440" t="s">
        <v>628</v>
      </c>
      <c r="GK67" s="440" t="s">
        <v>628</v>
      </c>
      <c r="GL67" s="286">
        <f>AnnualDiversions!$BG59</f>
        <v>12296.800000006155</v>
      </c>
      <c r="GN67" s="440" t="s">
        <v>628</v>
      </c>
      <c r="GO67" s="440" t="s">
        <v>628</v>
      </c>
      <c r="GP67" s="440" t="s">
        <v>628</v>
      </c>
      <c r="GQ67" s="442" t="s">
        <v>597</v>
      </c>
      <c r="GU67" s="282">
        <v>1980</v>
      </c>
      <c r="GV67" s="286">
        <f>AnnualAggregations!AA59</f>
        <v>326143.51022362133</v>
      </c>
      <c r="GW67" s="442" t="s">
        <v>597</v>
      </c>
      <c r="GX67" s="286">
        <f>AnnualDivReqs!$AM59</f>
        <v>24160.880683189971</v>
      </c>
      <c r="GY67" s="286">
        <f>AnnualDivReqs!$AK59</f>
        <v>15864.246446422732</v>
      </c>
      <c r="GZ67" s="286">
        <f>AnnualDivReqs!$L59</f>
        <v>1799.9999999999995</v>
      </c>
      <c r="HA67" s="287">
        <f t="shared" si="85"/>
        <v>367968.63735323399</v>
      </c>
      <c r="HB67" s="286">
        <f>AnnualDivReqs!$AO59</f>
        <v>2383.9999999997267</v>
      </c>
      <c r="HC67" s="286">
        <f>AnnualDivReqs!$AY59</f>
        <v>2816.2895927598584</v>
      </c>
      <c r="HD67" s="286">
        <f>AnnualAggregations!$AD59</f>
        <v>55310.693063848492</v>
      </c>
      <c r="HE67" s="286">
        <f>AnnualAggregations!$AE59</f>
        <v>21896.099034579696</v>
      </c>
      <c r="HF67" s="286">
        <f>AnnualAggregations!$AF59</f>
        <v>19109.614652978893</v>
      </c>
      <c r="HG67" s="286">
        <f>AnnualDivReqs!$AL59</f>
        <v>12499.406880188359</v>
      </c>
      <c r="HH67" s="286">
        <f>AnnualDivReqs!$AG59</f>
        <v>18091.537951291393</v>
      </c>
      <c r="HI67" s="286">
        <f>AnnualDivReqs!$AN59</f>
        <v>5368.0549026975114</v>
      </c>
      <c r="HJ67" s="287">
        <f t="shared" si="86"/>
        <v>135091.69607834419</v>
      </c>
      <c r="HK67" s="287">
        <f t="shared" si="87"/>
        <v>505444.33343157789</v>
      </c>
      <c r="HL67" s="286">
        <f>AnnualDivReqs!$AP59</f>
        <v>378.87777777775057</v>
      </c>
      <c r="HM67" s="442" t="s">
        <v>597</v>
      </c>
      <c r="HN67" s="286">
        <f>AnnualDivReqs!$AJ59</f>
        <v>38999.999998983862</v>
      </c>
      <c r="HO67" s="286">
        <f>AnnualDivReqs!$BC59</f>
        <v>16199.999998970494</v>
      </c>
      <c r="HP67" s="286">
        <f>AnnualDivReqs!$J59</f>
        <v>4166.6500000021233</v>
      </c>
      <c r="HQ67" s="286">
        <f>AnnualAggregations!$AG59</f>
        <v>19374.983333335967</v>
      </c>
      <c r="HR67" s="287">
        <f t="shared" si="88"/>
        <v>79120.511109070212</v>
      </c>
      <c r="HS67" s="287">
        <f t="shared" si="89"/>
        <v>79120.511109070198</v>
      </c>
      <c r="HT67" s="287">
        <f t="shared" si="90"/>
        <v>584564.84454064805</v>
      </c>
      <c r="HV67" s="440" t="s">
        <v>628</v>
      </c>
      <c r="HW67" s="440" t="s">
        <v>628</v>
      </c>
      <c r="HX67" s="440" t="s">
        <v>628</v>
      </c>
      <c r="HY67" s="440" t="s">
        <v>628</v>
      </c>
      <c r="HZ67" s="440" t="s">
        <v>628</v>
      </c>
      <c r="IA67" s="440" t="s">
        <v>628</v>
      </c>
      <c r="IB67" s="440" t="s">
        <v>628</v>
      </c>
      <c r="IC67" s="440" t="s">
        <v>628</v>
      </c>
      <c r="ID67" s="440" t="s">
        <v>628</v>
      </c>
      <c r="IE67" s="440" t="s">
        <v>628</v>
      </c>
      <c r="IF67" s="440" t="s">
        <v>628</v>
      </c>
      <c r="IG67" s="440" t="s">
        <v>628</v>
      </c>
      <c r="IH67" s="440" t="s">
        <v>628</v>
      </c>
      <c r="IJ67" s="440" t="s">
        <v>628</v>
      </c>
      <c r="IL67" s="286">
        <f>AnnualAggregations!$AB59</f>
        <v>37763.476493275448</v>
      </c>
      <c r="IM67" s="286">
        <f>AnnualAggregations!$Z59</f>
        <v>109067.13000005131</v>
      </c>
      <c r="IN67" s="442" t="s">
        <v>597</v>
      </c>
      <c r="IO67" s="286">
        <f>AnnualAggregations!$AC59</f>
        <v>5000.0000000019463</v>
      </c>
      <c r="IP67" s="442" t="s">
        <v>597</v>
      </c>
      <c r="IQ67" s="440" t="s">
        <v>628</v>
      </c>
      <c r="IR67" s="440" t="s">
        <v>628</v>
      </c>
      <c r="IS67" s="440" t="s">
        <v>628</v>
      </c>
      <c r="IT67" s="440" t="s">
        <v>628</v>
      </c>
      <c r="IU67" s="286">
        <f>AnnualDivReqs!$BG59</f>
        <v>12296.800000006155</v>
      </c>
      <c r="IW67" s="440" t="s">
        <v>628</v>
      </c>
      <c r="IX67" s="440" t="s">
        <v>628</v>
      </c>
      <c r="IY67" s="440" t="s">
        <v>628</v>
      </c>
      <c r="IZ67" s="442" t="s">
        <v>597</v>
      </c>
    </row>
    <row r="68" spans="1:260" ht="15.75" thickBot="1" x14ac:dyDescent="0.3">
      <c r="A68" s="480" t="str">
        <f>ADDRESS(ROW(SJRIPSummary!E60),COLUMN(SJRIPSummary!E60),4,1)</f>
        <v>E60</v>
      </c>
      <c r="B68" s="480" t="str">
        <f t="shared" si="57"/>
        <v>60</v>
      </c>
      <c r="C68"/>
      <c r="D68" s="404">
        <v>53</v>
      </c>
      <c r="E68" s="404">
        <v>114</v>
      </c>
      <c r="F68" s="404">
        <v>175</v>
      </c>
      <c r="G68" s="404">
        <v>236</v>
      </c>
      <c r="H68" s="394"/>
      <c r="I68" s="193"/>
      <c r="J68" s="194"/>
      <c r="K68" s="194"/>
      <c r="L68" s="194"/>
      <c r="M68" s="203"/>
      <c r="N68" s="167"/>
      <c r="O68" s="260"/>
      <c r="P68" s="261"/>
      <c r="Q68" s="394"/>
      <c r="R68" s="21"/>
      <c r="S68" s="21"/>
      <c r="T68" s="282">
        <v>1981</v>
      </c>
      <c r="U68" s="286">
        <f>AnnualAggregations!$C60</f>
        <v>251435.42933175038</v>
      </c>
      <c r="V68" s="286">
        <f>AnnualDepletions!$BI60</f>
        <v>775.06584711329481</v>
      </c>
      <c r="W68" s="286">
        <f>AnnualDepletions!$AM60</f>
        <v>12100.000000000013</v>
      </c>
      <c r="X68" s="286">
        <f>AnnualDepletions!$AK60</f>
        <v>7970.0000000000109</v>
      </c>
      <c r="Y68" s="286">
        <f>AnnualDepletions!$L60</f>
        <v>899.99999999999955</v>
      </c>
      <c r="Z68" s="287">
        <f t="shared" si="58"/>
        <v>273180.4951788637</v>
      </c>
      <c r="AA68" s="286">
        <f>AnnualDepletions!$AO60</f>
        <v>986.99999999988597</v>
      </c>
      <c r="AB68" s="286">
        <f>AnnualDepletions!$AY60</f>
        <v>1608.9999999998145</v>
      </c>
      <c r="AC68" s="286">
        <f>AnnualAggregations!$F60</f>
        <v>34653.457937709689</v>
      </c>
      <c r="AD68" s="286">
        <f>AnnualAggregations!$G60</f>
        <v>4514.8865059182199</v>
      </c>
      <c r="AE68" s="286">
        <f>AnnualAggregations!$H60</f>
        <v>12360.999999998588</v>
      </c>
      <c r="AF68" s="286">
        <f>AnnualDepletions!$AL60</f>
        <v>10522.99999999879</v>
      </c>
      <c r="AG68" s="286">
        <f>AnnualDepletions!$AG60</f>
        <v>9500.999999998905</v>
      </c>
      <c r="AH68" s="286">
        <f>AnnualDepletions!$AN60</f>
        <v>3184.9999999996312</v>
      </c>
      <c r="AI68" s="287">
        <f t="shared" si="59"/>
        <v>76347.344443623646</v>
      </c>
      <c r="AJ68" s="287">
        <f t="shared" si="60"/>
        <v>350514.8396224872</v>
      </c>
      <c r="AK68" s="286">
        <f>AnnualDepletions!$AP60</f>
        <v>340.98999999997505</v>
      </c>
      <c r="AL68" s="286">
        <f>AnnualDepletions!$BH60</f>
        <v>27518.622386412808</v>
      </c>
      <c r="AM68" s="286">
        <f>AnnualDepletions!$AJ60</f>
        <v>38999.999998983854</v>
      </c>
      <c r="AN68" s="286">
        <f>AnnualDepletions!$BC60</f>
        <v>16199.99999897049</v>
      </c>
      <c r="AO68" s="286">
        <f>AnnualDepletions!$J60</f>
        <v>2499.9900000012672</v>
      </c>
      <c r="AP68" s="286">
        <f>AnnualAggregations!$I60</f>
        <v>11624.990000001573</v>
      </c>
      <c r="AQ68" s="287">
        <f t="shared" si="61"/>
        <v>69665.96999795716</v>
      </c>
      <c r="AR68" s="287">
        <f t="shared" si="62"/>
        <v>97184.592384369986</v>
      </c>
      <c r="AS68" s="287">
        <f t="shared" si="63"/>
        <v>447699.43200685718</v>
      </c>
      <c r="AU68" s="321">
        <f ca="1">StateModDepletions_ThisScenario!AC58</f>
        <v>30373.42035645619</v>
      </c>
      <c r="AV68" s="321">
        <f ca="1">StateModDepletions_ThisScenario!AD58</f>
        <v>16504.925005599856</v>
      </c>
      <c r="AW68" s="321">
        <f ca="1">StateModDepletions_ThisScenario!AE58</f>
        <v>109867.69932273775</v>
      </c>
      <c r="AX68" s="321">
        <f ca="1">StateModDepletions_ThisScenario!AB58</f>
        <v>24765.810481309891</v>
      </c>
      <c r="AY68" s="288">
        <f t="shared" ca="1" si="64"/>
        <v>181511.85516610369</v>
      </c>
      <c r="AZ68" s="321">
        <f ca="1">StateModDepletions_ThisScenario!AG58</f>
        <v>37645.788313402314</v>
      </c>
      <c r="BA68" s="321">
        <f ca="1">StateModDepletions_ThisScenario!AF58</f>
        <v>17743.343525558703</v>
      </c>
      <c r="BB68" s="321">
        <f ca="1">StateModDepletions_ThisScenario!AH58</f>
        <v>14281.374617815018</v>
      </c>
      <c r="BC68" s="321">
        <f ca="1">StateModDepletions_ThisScenario!AI58</f>
        <v>12126.250037167369</v>
      </c>
      <c r="BD68" s="321">
        <f ca="1">StateModDepletions_ThisScenario!N58</f>
        <v>1326.6977829933167</v>
      </c>
      <c r="BE68" s="321">
        <f ca="1">StateModDepletions_ThisScenario!V58</f>
        <v>10904.005724906921</v>
      </c>
      <c r="BF68" s="288">
        <f t="shared" ca="1" si="65"/>
        <v>94027.460001843632</v>
      </c>
      <c r="BG68" s="288">
        <f t="shared" ca="1" si="66"/>
        <v>275539.31516794732</v>
      </c>
      <c r="BI68" s="288">
        <f t="shared" ca="1" si="67"/>
        <v>723238.74717480456</v>
      </c>
      <c r="BK68" s="286">
        <f>AnnualAggregations!$D60</f>
        <v>35893.000000000044</v>
      </c>
      <c r="BL68" s="286">
        <f>AnnualAggregations!$B60</f>
        <v>57155.298609804282</v>
      </c>
      <c r="BM68" s="286">
        <f>AnnualDepletions!$BK60</f>
        <v>60998.6220347614</v>
      </c>
      <c r="BN68" s="286">
        <f>AnnualAggregations!$E60</f>
        <v>5000.0000000019172</v>
      </c>
      <c r="BO68" s="287">
        <f t="shared" si="68"/>
        <v>159046.92064456764</v>
      </c>
      <c r="BP68" s="321">
        <f ca="1">StateModDepletions_ThisScenario!Y58</f>
        <v>212.11356273293495</v>
      </c>
      <c r="BQ68" s="321">
        <f ca="1">StateModDepletions_ThisScenario!AJ58</f>
        <v>130070.4288319756</v>
      </c>
      <c r="BR68" s="321">
        <f ca="1">StateModDepletions_ThisScenario!Z58</f>
        <v>246454.71502113342</v>
      </c>
      <c r="BS68" s="321">
        <f ca="1">StateModDepletions_ThisScenario!AA58</f>
        <v>116172.17262642489</v>
      </c>
      <c r="BT68" s="286">
        <f>AnnualDepletions!$BG60</f>
        <v>12296.800000006155</v>
      </c>
      <c r="BV68" s="287">
        <f t="shared" ca="1" si="69"/>
        <v>894582.46781937836</v>
      </c>
      <c r="BW68" s="287">
        <f t="shared" ca="1" si="70"/>
        <v>778410.29519295343</v>
      </c>
      <c r="BX68" s="287">
        <f t="shared" ca="1" si="91"/>
        <v>793285.29519295343</v>
      </c>
      <c r="BY68" s="287">
        <f>SJRIPSummaryRAW!$B$79</f>
        <v>14875</v>
      </c>
      <c r="CC68" s="282">
        <v>1981</v>
      </c>
      <c r="CD68" s="286">
        <f>AnnualAggregations!K60</f>
        <v>251435.42933175038</v>
      </c>
      <c r="CE68" s="442" t="s">
        <v>597</v>
      </c>
      <c r="CF68" s="286">
        <f>AnnualDeplReqs!$AM60</f>
        <v>12100.000000000013</v>
      </c>
      <c r="CG68" s="286">
        <f>AnnualDeplReqs!$AK60</f>
        <v>7970.0000000000109</v>
      </c>
      <c r="CH68" s="286">
        <f>AnnualDeplReqs!$L60</f>
        <v>899.99999999999955</v>
      </c>
      <c r="CI68" s="443">
        <f t="shared" si="71"/>
        <v>273180.4951788637</v>
      </c>
      <c r="CJ68" s="286">
        <f>AnnualDeplReqs!$AO60</f>
        <v>986.99999999988597</v>
      </c>
      <c r="CK68" s="286">
        <f>AnnualDeplReqs!$AY60</f>
        <v>1608.9999999998145</v>
      </c>
      <c r="CL68" s="286">
        <f>AnnualAggregations!$N60</f>
        <v>34653.457937709689</v>
      </c>
      <c r="CM68" s="286">
        <f>AnnualAggregations!$O60</f>
        <v>12982.999999998505</v>
      </c>
      <c r="CN68" s="286">
        <f>AnnualAggregations!$P60</f>
        <v>12360.999999998588</v>
      </c>
      <c r="CO68" s="286">
        <f>AnnualDeplReqs!$AL60</f>
        <v>10522.99999999879</v>
      </c>
      <c r="CP68" s="286">
        <f>AnnualDeplReqs!$AG60</f>
        <v>9500.999999998905</v>
      </c>
      <c r="CQ68" s="286">
        <f>AnnualDeplReqs!$AN60</f>
        <v>3184.9999999996312</v>
      </c>
      <c r="CR68" s="287">
        <f t="shared" si="72"/>
        <v>84815.457937703934</v>
      </c>
      <c r="CS68" s="287">
        <f t="shared" si="73"/>
        <v>358982.95311656751</v>
      </c>
      <c r="CT68" s="286">
        <f>AnnualDeplReqs!$AP60</f>
        <v>340.98999999997505</v>
      </c>
      <c r="CU68" s="442" t="s">
        <v>597</v>
      </c>
      <c r="CV68" s="286">
        <f>AnnualDeplReqs!$AJ60</f>
        <v>38999.999998983854</v>
      </c>
      <c r="CW68" s="286">
        <f>AnnualDeplReqs!$BC60</f>
        <v>16199.99999897049</v>
      </c>
      <c r="CX68" s="286">
        <f>AnnualDeplReqs!$J60</f>
        <v>2499.9900000012672</v>
      </c>
      <c r="CY68" s="286">
        <f>AnnualAggregations!$Q60</f>
        <v>11624.990000001573</v>
      </c>
      <c r="CZ68" s="287">
        <f t="shared" si="74"/>
        <v>69665.96999795716</v>
      </c>
      <c r="DA68" s="443">
        <f t="shared" si="75"/>
        <v>97184.592384369971</v>
      </c>
      <c r="DB68" s="287">
        <f t="shared" si="76"/>
        <v>456167.5455009375</v>
      </c>
      <c r="DD68" s="440" t="s">
        <v>628</v>
      </c>
      <c r="DE68" s="440" t="s">
        <v>628</v>
      </c>
      <c r="DF68" s="440" t="s">
        <v>628</v>
      </c>
      <c r="DG68" s="440" t="s">
        <v>628</v>
      </c>
      <c r="DH68" s="440" t="s">
        <v>628</v>
      </c>
      <c r="DI68" s="440" t="s">
        <v>628</v>
      </c>
      <c r="DJ68" s="440" t="s">
        <v>628</v>
      </c>
      <c r="DK68" s="440" t="s">
        <v>628</v>
      </c>
      <c r="DL68" s="440" t="s">
        <v>628</v>
      </c>
      <c r="DM68" s="440" t="s">
        <v>628</v>
      </c>
      <c r="DN68" s="440" t="s">
        <v>628</v>
      </c>
      <c r="DO68" s="440" t="s">
        <v>628</v>
      </c>
      <c r="DP68" s="440" t="s">
        <v>628</v>
      </c>
      <c r="DR68" s="440" t="s">
        <v>628</v>
      </c>
      <c r="DT68" s="286">
        <f>AnnualAggregations!$L60</f>
        <v>35893.000000000073</v>
      </c>
      <c r="DU68" s="443">
        <f>AnnualAggregations!$J60</f>
        <v>57169.54560980427</v>
      </c>
      <c r="DV68" s="442" t="s">
        <v>597</v>
      </c>
      <c r="DW68" s="286">
        <f>AnnualAggregations!$M60</f>
        <v>5000.0000000019172</v>
      </c>
      <c r="DX68" s="442" t="s">
        <v>597</v>
      </c>
      <c r="DY68" s="440" t="s">
        <v>628</v>
      </c>
      <c r="DZ68" s="440" t="s">
        <v>628</v>
      </c>
      <c r="EA68" s="440" t="s">
        <v>628</v>
      </c>
      <c r="EB68" s="440" t="s">
        <v>628</v>
      </c>
      <c r="EC68" s="286">
        <f>AnnualDeplReqs!$BG60</f>
        <v>12296.800000006155</v>
      </c>
      <c r="EE68" s="440" t="s">
        <v>628</v>
      </c>
      <c r="EF68" s="440" t="s">
        <v>628</v>
      </c>
      <c r="EG68" s="440" t="s">
        <v>628</v>
      </c>
      <c r="EH68" s="442" t="s">
        <v>597</v>
      </c>
      <c r="EL68" s="282">
        <v>1981</v>
      </c>
      <c r="EM68" s="286">
        <f>AnnualAggregations!S60</f>
        <v>314294.28666468861</v>
      </c>
      <c r="EN68" s="442" t="s">
        <v>597</v>
      </c>
      <c r="EO68" s="286">
        <f>AnnualDiversions!$AM60</f>
        <v>24160.880683190007</v>
      </c>
      <c r="EP68" s="286">
        <f>AnnualDiversions!$AK60</f>
        <v>15864.246446422736</v>
      </c>
      <c r="EQ68" s="286">
        <f>AnnualDiversions!$L60</f>
        <v>1799.9999999999991</v>
      </c>
      <c r="ER68" s="287">
        <f t="shared" si="77"/>
        <v>356119.41379430133</v>
      </c>
      <c r="ES68" s="286">
        <f>AnnualDiversions!$AO60</f>
        <v>1973.9999999997719</v>
      </c>
      <c r="ET68" s="286">
        <f>AnnualDiversions!$AY60</f>
        <v>2912.2171945698005</v>
      </c>
      <c r="EU68" s="286">
        <f>AnnualAggregations!$V60</f>
        <v>58187.266391707555</v>
      </c>
      <c r="EV68" s="286">
        <f>AnnualAggregations!$W60</f>
        <v>8073.3910422379868</v>
      </c>
      <c r="EW68" s="286">
        <f>AnnualAggregations!$X60</f>
        <v>18948.664900589662</v>
      </c>
      <c r="EX68" s="286">
        <f>AnnualDiversions!$AL60</f>
        <v>12482.799525502709</v>
      </c>
      <c r="EY68" s="286">
        <f>AnnualDiversions!$AG60</f>
        <v>18006.254145738498</v>
      </c>
      <c r="EZ68" s="286">
        <f>AnnualDiversions!$AN60</f>
        <v>5988.5306007325971</v>
      </c>
      <c r="FA68" s="287">
        <f t="shared" si="78"/>
        <v>124599.12380107881</v>
      </c>
      <c r="FB68" s="287">
        <f t="shared" si="79"/>
        <v>482692.53759537992</v>
      </c>
      <c r="FC68" s="286">
        <f>AnnualDiversions!$AP60</f>
        <v>378.87777777775057</v>
      </c>
      <c r="FD68" s="442" t="s">
        <v>597</v>
      </c>
      <c r="FE68" s="286">
        <f>AnnualDiversions!$AJ60</f>
        <v>38999.999998983854</v>
      </c>
      <c r="FF68" s="286">
        <f>AnnualDiversions!$BC60</f>
        <v>16199.99999897049</v>
      </c>
      <c r="FG68" s="286">
        <f>AnnualDiversions!$J60</f>
        <v>4166.6500000021233</v>
      </c>
      <c r="FH68" s="286">
        <f>AnnualAggregations!$Y60</f>
        <v>19374.983333335964</v>
      </c>
      <c r="FI68" s="287">
        <f t="shared" si="80"/>
        <v>79120.511109070183</v>
      </c>
      <c r="FJ68" s="287">
        <f t="shared" si="81"/>
        <v>79120.511109070183</v>
      </c>
      <c r="FK68" s="287">
        <f t="shared" si="82"/>
        <v>561813.04870445014</v>
      </c>
      <c r="FM68" s="440" t="s">
        <v>628</v>
      </c>
      <c r="FN68" s="440" t="s">
        <v>628</v>
      </c>
      <c r="FO68" s="440" t="s">
        <v>628</v>
      </c>
      <c r="FP68" s="440" t="s">
        <v>628</v>
      </c>
      <c r="FQ68" s="440" t="s">
        <v>628</v>
      </c>
      <c r="FR68" s="440" t="s">
        <v>628</v>
      </c>
      <c r="FS68" s="440" t="s">
        <v>628</v>
      </c>
      <c r="FT68" s="440" t="s">
        <v>628</v>
      </c>
      <c r="FU68" s="440" t="s">
        <v>628</v>
      </c>
      <c r="FV68" s="440" t="s">
        <v>628</v>
      </c>
      <c r="FW68" s="440" t="s">
        <v>628</v>
      </c>
      <c r="FX68" s="440" t="s">
        <v>628</v>
      </c>
      <c r="FY68" s="440" t="s">
        <v>628</v>
      </c>
      <c r="GA68" s="440" t="s">
        <v>628</v>
      </c>
      <c r="GC68" s="286">
        <f>AnnualAggregations!$T60</f>
        <v>37764.238566617605</v>
      </c>
      <c r="GD68" s="286">
        <f>AnnualAggregations!$R60</f>
        <v>109067.13000005134</v>
      </c>
      <c r="GE68" s="443">
        <f t="shared" si="83"/>
        <v>60998.6220347614</v>
      </c>
      <c r="GF68" s="286">
        <f>AnnualAggregations!$U60</f>
        <v>5000.0000000019172</v>
      </c>
      <c r="GG68" s="287">
        <f t="shared" si="84"/>
        <v>212829.99060143228</v>
      </c>
      <c r="GH68" s="440" t="s">
        <v>628</v>
      </c>
      <c r="GI68" s="440" t="s">
        <v>628</v>
      </c>
      <c r="GJ68" s="440" t="s">
        <v>628</v>
      </c>
      <c r="GK68" s="440" t="s">
        <v>628</v>
      </c>
      <c r="GL68" s="286">
        <f>AnnualDiversions!$BG60</f>
        <v>12296.800000006155</v>
      </c>
      <c r="GN68" s="440" t="s">
        <v>628</v>
      </c>
      <c r="GO68" s="440" t="s">
        <v>628</v>
      </c>
      <c r="GP68" s="440" t="s">
        <v>628</v>
      </c>
      <c r="GQ68" s="442" t="s">
        <v>597</v>
      </c>
      <c r="GU68" s="282">
        <v>1981</v>
      </c>
      <c r="GV68" s="286">
        <f>AnnualAggregations!AA60</f>
        <v>314294.28666468861</v>
      </c>
      <c r="GW68" s="442" t="s">
        <v>597</v>
      </c>
      <c r="GX68" s="286">
        <f>AnnualDivReqs!$AM60</f>
        <v>24160.880683190007</v>
      </c>
      <c r="GY68" s="286">
        <f>AnnualDivReqs!$AK60</f>
        <v>15864.246446422736</v>
      </c>
      <c r="GZ68" s="286">
        <f>AnnualDivReqs!$L60</f>
        <v>1799.9999999999991</v>
      </c>
      <c r="HA68" s="287">
        <f t="shared" si="85"/>
        <v>356119.41379430133</v>
      </c>
      <c r="HB68" s="286">
        <f>AnnualDivReqs!$AO60</f>
        <v>1973.9999999997719</v>
      </c>
      <c r="HC68" s="286">
        <f>AnnualDivReqs!$AY60</f>
        <v>2912.2171945698005</v>
      </c>
      <c r="HD68" s="286">
        <f>AnnualAggregations!$AD60</f>
        <v>58187.266391707555</v>
      </c>
      <c r="HE68" s="286">
        <f>AnnualAggregations!$AE60</f>
        <v>23252.2136596616</v>
      </c>
      <c r="HF68" s="286">
        <f>AnnualAggregations!$AF60</f>
        <v>18948.664900589662</v>
      </c>
      <c r="HG68" s="286">
        <f>AnnualDivReqs!$AL60</f>
        <v>12482.799525502709</v>
      </c>
      <c r="HH68" s="286">
        <f>AnnualDivReqs!$AG60</f>
        <v>18006.254145738498</v>
      </c>
      <c r="HI68" s="286">
        <f>AnnualDivReqs!$AN60</f>
        <v>5988.5306007325971</v>
      </c>
      <c r="HJ68" s="287">
        <f t="shared" si="86"/>
        <v>139777.94641850243</v>
      </c>
      <c r="HK68" s="287">
        <f t="shared" si="87"/>
        <v>497871.36021280353</v>
      </c>
      <c r="HL68" s="286">
        <f>AnnualDivReqs!$AP60</f>
        <v>378.87777777775057</v>
      </c>
      <c r="HM68" s="442" t="s">
        <v>597</v>
      </c>
      <c r="HN68" s="286">
        <f>AnnualDivReqs!$AJ60</f>
        <v>38999.999998983854</v>
      </c>
      <c r="HO68" s="286">
        <f>AnnualDivReqs!$BC60</f>
        <v>16199.99999897049</v>
      </c>
      <c r="HP68" s="286">
        <f>AnnualDivReqs!$J60</f>
        <v>4166.6500000021233</v>
      </c>
      <c r="HQ68" s="286">
        <f>AnnualAggregations!$AG60</f>
        <v>19374.983333335964</v>
      </c>
      <c r="HR68" s="287">
        <f t="shared" si="88"/>
        <v>79120.511109070183</v>
      </c>
      <c r="HS68" s="287">
        <f t="shared" si="89"/>
        <v>79120.511109070183</v>
      </c>
      <c r="HT68" s="287">
        <f t="shared" si="90"/>
        <v>576991.87132187374</v>
      </c>
      <c r="HV68" s="440" t="s">
        <v>628</v>
      </c>
      <c r="HW68" s="440" t="s">
        <v>628</v>
      </c>
      <c r="HX68" s="440" t="s">
        <v>628</v>
      </c>
      <c r="HY68" s="440" t="s">
        <v>628</v>
      </c>
      <c r="HZ68" s="440" t="s">
        <v>628</v>
      </c>
      <c r="IA68" s="440" t="s">
        <v>628</v>
      </c>
      <c r="IB68" s="440" t="s">
        <v>628</v>
      </c>
      <c r="IC68" s="440" t="s">
        <v>628</v>
      </c>
      <c r="ID68" s="440" t="s">
        <v>628</v>
      </c>
      <c r="IE68" s="440" t="s">
        <v>628</v>
      </c>
      <c r="IF68" s="440" t="s">
        <v>628</v>
      </c>
      <c r="IG68" s="440" t="s">
        <v>628</v>
      </c>
      <c r="IH68" s="440" t="s">
        <v>628</v>
      </c>
      <c r="IJ68" s="440" t="s">
        <v>628</v>
      </c>
      <c r="IL68" s="286">
        <f>AnnualAggregations!$AB60</f>
        <v>37764.238566617634</v>
      </c>
      <c r="IM68" s="286">
        <f>AnnualAggregations!$Z60</f>
        <v>109095.62400005132</v>
      </c>
      <c r="IN68" s="442" t="s">
        <v>597</v>
      </c>
      <c r="IO68" s="286">
        <f>AnnualAggregations!$AC60</f>
        <v>5000.0000000019172</v>
      </c>
      <c r="IP68" s="442" t="s">
        <v>597</v>
      </c>
      <c r="IQ68" s="440" t="s">
        <v>628</v>
      </c>
      <c r="IR68" s="440" t="s">
        <v>628</v>
      </c>
      <c r="IS68" s="440" t="s">
        <v>628</v>
      </c>
      <c r="IT68" s="440" t="s">
        <v>628</v>
      </c>
      <c r="IU68" s="286">
        <f>AnnualDivReqs!$BG60</f>
        <v>12296.800000006155</v>
      </c>
      <c r="IW68" s="440" t="s">
        <v>628</v>
      </c>
      <c r="IX68" s="440" t="s">
        <v>628</v>
      </c>
      <c r="IY68" s="440" t="s">
        <v>628</v>
      </c>
      <c r="IZ68" s="442" t="s">
        <v>597</v>
      </c>
    </row>
    <row r="69" spans="1:260" ht="15.75" thickBot="1" x14ac:dyDescent="0.3">
      <c r="A69" s="480" t="str">
        <f>ADDRESS(ROW(SJRIPSummary!E61),COLUMN(SJRIPSummary!E61),4,1)</f>
        <v>E61</v>
      </c>
      <c r="B69" s="480" t="str">
        <f t="shared" si="57"/>
        <v>61</v>
      </c>
      <c r="C69" t="s">
        <v>579</v>
      </c>
      <c r="D69" s="404">
        <v>54</v>
      </c>
      <c r="E69" s="404">
        <v>115</v>
      </c>
      <c r="F69" s="404">
        <v>176</v>
      </c>
      <c r="G69" s="404">
        <v>237</v>
      </c>
      <c r="H69" s="8"/>
      <c r="I69" s="642" t="s">
        <v>579</v>
      </c>
      <c r="J69" s="643"/>
      <c r="K69" s="643"/>
      <c r="L69" s="643"/>
      <c r="M69" s="207">
        <f ca="1">ROUND(SJRIPSummaryRAW!B69,-2)</f>
        <v>939200</v>
      </c>
      <c r="N69" s="167"/>
      <c r="O69" s="168"/>
      <c r="P69" s="169"/>
      <c r="Q69" s="8"/>
      <c r="R69" s="21"/>
      <c r="S69" s="21"/>
      <c r="T69" s="282">
        <v>1982</v>
      </c>
      <c r="U69" s="286">
        <f>AnnualAggregations!$C61</f>
        <v>217663.57837595366</v>
      </c>
      <c r="V69" s="286">
        <f>AnnualDepletions!$BI61</f>
        <v>-5979.3043440461424</v>
      </c>
      <c r="W69" s="286">
        <f>AnnualDepletions!$AM61</f>
        <v>12099.999999999991</v>
      </c>
      <c r="X69" s="286">
        <f>AnnualDepletions!$AK61</f>
        <v>7969.9999999999991</v>
      </c>
      <c r="Y69" s="286">
        <f>AnnualDepletions!$L61</f>
        <v>900.00000000000057</v>
      </c>
      <c r="Z69" s="287">
        <f t="shared" si="58"/>
        <v>232654.27403190752</v>
      </c>
      <c r="AA69" s="286">
        <f>AnnualDepletions!$AO61</f>
        <v>902.99999999989575</v>
      </c>
      <c r="AB69" s="286">
        <f>AnnualDepletions!$AY61</f>
        <v>1364.9999999998427</v>
      </c>
      <c r="AC69" s="286">
        <f>AnnualAggregations!$F61</f>
        <v>31703.999999996351</v>
      </c>
      <c r="AD69" s="286">
        <f>AnnualAggregations!$G61</f>
        <v>7815.8520819312189</v>
      </c>
      <c r="AE69" s="286">
        <f>AnnualAggregations!$H61</f>
        <v>11117.999999998716</v>
      </c>
      <c r="AF69" s="286">
        <f>AnnualDepletions!$AL61</f>
        <v>9360.9999999989268</v>
      </c>
      <c r="AG69" s="286">
        <f>AnnualDepletions!$AG61</f>
        <v>8652.9999999990068</v>
      </c>
      <c r="AH69" s="286">
        <f>AnnualDepletions!$AN61</f>
        <v>2830.9999999996749</v>
      </c>
      <c r="AI69" s="287">
        <f t="shared" si="59"/>
        <v>72847.852081923746</v>
      </c>
      <c r="AJ69" s="287">
        <f t="shared" si="60"/>
        <v>306405.12611383118</v>
      </c>
      <c r="AK69" s="286">
        <f>AnnualDepletions!$AP61</f>
        <v>340.98999999997505</v>
      </c>
      <c r="AL69" s="286">
        <f>AnnualDepletions!$BH61</f>
        <v>26093.72158033483</v>
      </c>
      <c r="AM69" s="286">
        <f>AnnualDepletions!$AJ61</f>
        <v>38999.999998983854</v>
      </c>
      <c r="AN69" s="286">
        <f>AnnualDepletions!$BC61</f>
        <v>16199.99999897049</v>
      </c>
      <c r="AO69" s="286">
        <f>AnnualDepletions!$J61</f>
        <v>2499.9900000012672</v>
      </c>
      <c r="AP69" s="286">
        <f>AnnualAggregations!$I61</f>
        <v>11624.990000001573</v>
      </c>
      <c r="AQ69" s="287">
        <f t="shared" si="61"/>
        <v>69665.96999795716</v>
      </c>
      <c r="AR69" s="287">
        <f t="shared" si="62"/>
        <v>95759.691578291997</v>
      </c>
      <c r="AS69" s="287">
        <f t="shared" si="63"/>
        <v>402164.81769212318</v>
      </c>
      <c r="AU69" s="321">
        <f ca="1">StateModDepletions_ThisScenario!AC59</f>
        <v>33468.303692743182</v>
      </c>
      <c r="AV69" s="321">
        <f ca="1">StateModDepletions_ThisScenario!AD59</f>
        <v>17403.865701541305</v>
      </c>
      <c r="AW69" s="321">
        <f ca="1">StateModDepletions_ThisScenario!AE59</f>
        <v>98762.613340586424</v>
      </c>
      <c r="AX69" s="321">
        <f ca="1">StateModDepletions_ThisScenario!AB59</f>
        <v>24765.810481309891</v>
      </c>
      <c r="AY69" s="288">
        <f t="shared" ca="1" si="64"/>
        <v>174400.5932161808</v>
      </c>
      <c r="AZ69" s="321">
        <f ca="1">StateModDepletions_ThisScenario!AG59</f>
        <v>45142.753558902521</v>
      </c>
      <c r="BA69" s="321">
        <f ca="1">StateModDepletions_ThisScenario!AF59</f>
        <v>17599.6236186102</v>
      </c>
      <c r="BB69" s="321">
        <f ca="1">StateModDepletions_ThisScenario!AH59</f>
        <v>19952.901892185211</v>
      </c>
      <c r="BC69" s="321">
        <f ca="1">StateModDepletions_ThisScenario!AI59</f>
        <v>22451.81098052589</v>
      </c>
      <c r="BD69" s="321">
        <f ca="1">StateModDepletions_ThisScenario!N59</f>
        <v>1326.6977829933167</v>
      </c>
      <c r="BE69" s="321">
        <f ca="1">StateModDepletions_ThisScenario!V59</f>
        <v>15734.206692695618</v>
      </c>
      <c r="BF69" s="288">
        <f t="shared" ca="1" si="65"/>
        <v>122207.99452591276</v>
      </c>
      <c r="BG69" s="288">
        <f t="shared" ca="1" si="66"/>
        <v>296608.58774209354</v>
      </c>
      <c r="BI69" s="288">
        <f t="shared" ca="1" si="67"/>
        <v>698773.40543421672</v>
      </c>
      <c r="BK69" s="286">
        <f>AnnualAggregations!$D61</f>
        <v>35893.000000000058</v>
      </c>
      <c r="BL69" s="286">
        <f>AnnualAggregations!$B61</f>
        <v>57173.99867530651</v>
      </c>
      <c r="BM69" s="286">
        <f>AnnualDepletions!$BK61</f>
        <v>176286.75453377253</v>
      </c>
      <c r="BN69" s="286">
        <f>AnnualAggregations!$E61</f>
        <v>5000.0000000019172</v>
      </c>
      <c r="BO69" s="287">
        <f t="shared" si="68"/>
        <v>274353.75320908101</v>
      </c>
      <c r="BP69" s="321">
        <f ca="1">StateModDepletions_ThisScenario!Y59</f>
        <v>212.11356273293495</v>
      </c>
      <c r="BQ69" s="321">
        <f ca="1">StateModDepletions_ThisScenario!AJ59</f>
        <v>120643.5857511495</v>
      </c>
      <c r="BR69" s="321">
        <f ca="1">StateModDepletions_ThisScenario!Z59</f>
        <v>193716.12626743317</v>
      </c>
      <c r="BS69" s="321">
        <f ca="1">StateModDepletions_ThisScenario!AA59</f>
        <v>72860.426953550734</v>
      </c>
      <c r="BT69" s="286">
        <f>AnnualDepletions!$BG61</f>
        <v>12296.800000006155</v>
      </c>
      <c r="BV69" s="287">
        <f t="shared" ca="1" si="69"/>
        <v>985423.95864330395</v>
      </c>
      <c r="BW69" s="287">
        <f t="shared" ca="1" si="70"/>
        <v>912563.53168975317</v>
      </c>
      <c r="BX69" s="287">
        <f t="shared" ca="1" si="91"/>
        <v>927438.53168975317</v>
      </c>
      <c r="BY69" s="287">
        <f>SJRIPSummaryRAW!$B$79</f>
        <v>14875</v>
      </c>
      <c r="CC69" s="282">
        <v>1982</v>
      </c>
      <c r="CD69" s="286">
        <f>AnnualAggregations!K61</f>
        <v>217663.57837595366</v>
      </c>
      <c r="CE69" s="442" t="s">
        <v>597</v>
      </c>
      <c r="CF69" s="286">
        <f>AnnualDeplReqs!$AM61</f>
        <v>12099.999999999991</v>
      </c>
      <c r="CG69" s="286">
        <f>AnnualDeplReqs!$AK61</f>
        <v>7969.9999999999991</v>
      </c>
      <c r="CH69" s="286">
        <f>AnnualDeplReqs!$L61</f>
        <v>900.00000000000057</v>
      </c>
      <c r="CI69" s="443">
        <f t="shared" si="71"/>
        <v>232654.27403190752</v>
      </c>
      <c r="CJ69" s="286">
        <f>AnnualDeplReqs!$AO61</f>
        <v>902.99999999989575</v>
      </c>
      <c r="CK69" s="286">
        <f>AnnualDeplReqs!$AY61</f>
        <v>1364.9999999998427</v>
      </c>
      <c r="CL69" s="286">
        <f>AnnualAggregations!$N61</f>
        <v>31703.999999996351</v>
      </c>
      <c r="CM69" s="286">
        <f>AnnualAggregations!$O61</f>
        <v>11974.999999998625</v>
      </c>
      <c r="CN69" s="286">
        <f>AnnualAggregations!$P61</f>
        <v>11117.999999998716</v>
      </c>
      <c r="CO69" s="286">
        <f>AnnualDeplReqs!$AL61</f>
        <v>9360.9999999989268</v>
      </c>
      <c r="CP69" s="286">
        <f>AnnualDeplReqs!$AG61</f>
        <v>8652.9999999990068</v>
      </c>
      <c r="CQ69" s="286">
        <f>AnnualDeplReqs!$AN61</f>
        <v>2830.9999999996749</v>
      </c>
      <c r="CR69" s="287">
        <f t="shared" si="72"/>
        <v>77006.999999991152</v>
      </c>
      <c r="CS69" s="287">
        <f t="shared" si="73"/>
        <v>310564.27403189859</v>
      </c>
      <c r="CT69" s="286">
        <f>AnnualDeplReqs!$AP61</f>
        <v>340.98999999997505</v>
      </c>
      <c r="CU69" s="442" t="s">
        <v>597</v>
      </c>
      <c r="CV69" s="286">
        <f>AnnualDeplReqs!$AJ61</f>
        <v>38999.999998983854</v>
      </c>
      <c r="CW69" s="286">
        <f>AnnualDeplReqs!$BC61</f>
        <v>16199.99999897049</v>
      </c>
      <c r="CX69" s="286">
        <f>AnnualDeplReqs!$J61</f>
        <v>2499.9900000012672</v>
      </c>
      <c r="CY69" s="286">
        <f>AnnualAggregations!$Q61</f>
        <v>11624.990000001573</v>
      </c>
      <c r="CZ69" s="287">
        <f t="shared" si="74"/>
        <v>69665.96999795716</v>
      </c>
      <c r="DA69" s="443">
        <f t="shared" si="75"/>
        <v>95759.691578291997</v>
      </c>
      <c r="DB69" s="287">
        <f t="shared" si="76"/>
        <v>406323.96561019059</v>
      </c>
      <c r="DD69" s="440" t="s">
        <v>628</v>
      </c>
      <c r="DE69" s="440" t="s">
        <v>628</v>
      </c>
      <c r="DF69" s="440" t="s">
        <v>628</v>
      </c>
      <c r="DG69" s="440" t="s">
        <v>628</v>
      </c>
      <c r="DH69" s="440" t="s">
        <v>628</v>
      </c>
      <c r="DI69" s="440" t="s">
        <v>628</v>
      </c>
      <c r="DJ69" s="440" t="s">
        <v>628</v>
      </c>
      <c r="DK69" s="440" t="s">
        <v>628</v>
      </c>
      <c r="DL69" s="440" t="s">
        <v>628</v>
      </c>
      <c r="DM69" s="440" t="s">
        <v>628</v>
      </c>
      <c r="DN69" s="440" t="s">
        <v>628</v>
      </c>
      <c r="DO69" s="440" t="s">
        <v>628</v>
      </c>
      <c r="DP69" s="440" t="s">
        <v>628</v>
      </c>
      <c r="DR69" s="440" t="s">
        <v>628</v>
      </c>
      <c r="DT69" s="286">
        <f>AnnualAggregations!$L61</f>
        <v>35893.000000000073</v>
      </c>
      <c r="DU69" s="443">
        <f>AnnualAggregations!$J61</f>
        <v>57173.99867530651</v>
      </c>
      <c r="DV69" s="442" t="s">
        <v>597</v>
      </c>
      <c r="DW69" s="286">
        <f>AnnualAggregations!$M61</f>
        <v>5000.0000000019172</v>
      </c>
      <c r="DX69" s="442" t="s">
        <v>597</v>
      </c>
      <c r="DY69" s="440" t="s">
        <v>628</v>
      </c>
      <c r="DZ69" s="440" t="s">
        <v>628</v>
      </c>
      <c r="EA69" s="440" t="s">
        <v>628</v>
      </c>
      <c r="EB69" s="440" t="s">
        <v>628</v>
      </c>
      <c r="EC69" s="286">
        <f>AnnualDeplReqs!$BG61</f>
        <v>12296.800000006155</v>
      </c>
      <c r="EE69" s="440" t="s">
        <v>628</v>
      </c>
      <c r="EF69" s="440" t="s">
        <v>628</v>
      </c>
      <c r="EG69" s="440" t="s">
        <v>628</v>
      </c>
      <c r="EH69" s="442" t="s">
        <v>597</v>
      </c>
      <c r="EL69" s="282">
        <v>1982</v>
      </c>
      <c r="EM69" s="286">
        <f>AnnualAggregations!S61</f>
        <v>272079.47296994139</v>
      </c>
      <c r="EN69" s="442" t="s">
        <v>597</v>
      </c>
      <c r="EO69" s="286">
        <f>AnnualDiversions!$AM61</f>
        <v>24160.880683189986</v>
      </c>
      <c r="EP69" s="286">
        <f>AnnualDiversions!$AK61</f>
        <v>15864.246446422736</v>
      </c>
      <c r="EQ69" s="286">
        <f>AnnualDiversions!$L61</f>
        <v>1800.0000000000011</v>
      </c>
      <c r="ER69" s="287">
        <f t="shared" si="77"/>
        <v>313904.60009955411</v>
      </c>
      <c r="ES69" s="286">
        <f>AnnualDiversions!$AO61</f>
        <v>1805.9999999997915</v>
      </c>
      <c r="ET69" s="286">
        <f>AnnualDiversions!$AY61</f>
        <v>2470.5882352938324</v>
      </c>
      <c r="EU69" s="286">
        <f>AnnualAggregations!$V61</f>
        <v>53266.466956524397</v>
      </c>
      <c r="EV69" s="286">
        <f>AnnualAggregations!$W61</f>
        <v>14433.283188500523</v>
      </c>
      <c r="EW69" s="286">
        <f>AnnualAggregations!$X61</f>
        <v>17041.785644915184</v>
      </c>
      <c r="EX69" s="286">
        <f>AnnualDiversions!$AL61</f>
        <v>11104.389086594208</v>
      </c>
      <c r="EY69" s="286">
        <f>AnnualDiversions!$AG61</f>
        <v>16399.128209985804</v>
      </c>
      <c r="EZ69" s="286">
        <f>AnnualDiversions!$AN61</f>
        <v>5322.9293973858667</v>
      </c>
      <c r="FA69" s="287">
        <f t="shared" si="78"/>
        <v>120038.57071919984</v>
      </c>
      <c r="FB69" s="287">
        <f t="shared" si="79"/>
        <v>435749.17081875372</v>
      </c>
      <c r="FC69" s="286">
        <f>AnnualDiversions!$AP61</f>
        <v>378.87777777775057</v>
      </c>
      <c r="FD69" s="442" t="s">
        <v>597</v>
      </c>
      <c r="FE69" s="286">
        <f>AnnualDiversions!$AJ61</f>
        <v>38999.999998983854</v>
      </c>
      <c r="FF69" s="286">
        <f>AnnualDiversions!$BC61</f>
        <v>16199.99999897049</v>
      </c>
      <c r="FG69" s="286">
        <f>AnnualDiversions!$J61</f>
        <v>4166.6500000021233</v>
      </c>
      <c r="FH69" s="286">
        <f>AnnualAggregations!$Y61</f>
        <v>19374.983333335964</v>
      </c>
      <c r="FI69" s="287">
        <f t="shared" si="80"/>
        <v>79120.511109070183</v>
      </c>
      <c r="FJ69" s="287">
        <f t="shared" si="81"/>
        <v>79120.511109070183</v>
      </c>
      <c r="FK69" s="287">
        <f t="shared" si="82"/>
        <v>514869.68192782393</v>
      </c>
      <c r="FM69" s="440" t="s">
        <v>628</v>
      </c>
      <c r="FN69" s="440" t="s">
        <v>628</v>
      </c>
      <c r="FO69" s="440" t="s">
        <v>628</v>
      </c>
      <c r="FP69" s="440" t="s">
        <v>628</v>
      </c>
      <c r="FQ69" s="440" t="s">
        <v>628</v>
      </c>
      <c r="FR69" s="440" t="s">
        <v>628</v>
      </c>
      <c r="FS69" s="440" t="s">
        <v>628</v>
      </c>
      <c r="FT69" s="440" t="s">
        <v>628</v>
      </c>
      <c r="FU69" s="440" t="s">
        <v>628</v>
      </c>
      <c r="FV69" s="440" t="s">
        <v>628</v>
      </c>
      <c r="FW69" s="440" t="s">
        <v>628</v>
      </c>
      <c r="FX69" s="440" t="s">
        <v>628</v>
      </c>
      <c r="FY69" s="440" t="s">
        <v>628</v>
      </c>
      <c r="GA69" s="440" t="s">
        <v>628</v>
      </c>
      <c r="GC69" s="286">
        <f>AnnualAggregations!$T61</f>
        <v>37764.23856661762</v>
      </c>
      <c r="GD69" s="286">
        <f>AnnualAggregations!$R61</f>
        <v>109067.13000005133</v>
      </c>
      <c r="GE69" s="443">
        <f t="shared" si="83"/>
        <v>176286.75453377253</v>
      </c>
      <c r="GF69" s="286">
        <f>AnnualAggregations!$U61</f>
        <v>5000.0000000019172</v>
      </c>
      <c r="GG69" s="287">
        <f t="shared" si="84"/>
        <v>328118.12310044339</v>
      </c>
      <c r="GH69" s="440" t="s">
        <v>628</v>
      </c>
      <c r="GI69" s="440" t="s">
        <v>628</v>
      </c>
      <c r="GJ69" s="440" t="s">
        <v>628</v>
      </c>
      <c r="GK69" s="440" t="s">
        <v>628</v>
      </c>
      <c r="GL69" s="286">
        <f>AnnualDiversions!$BG61</f>
        <v>12296.800000006155</v>
      </c>
      <c r="GN69" s="440" t="s">
        <v>628</v>
      </c>
      <c r="GO69" s="440" t="s">
        <v>628</v>
      </c>
      <c r="GP69" s="440" t="s">
        <v>628</v>
      </c>
      <c r="GQ69" s="442" t="s">
        <v>597</v>
      </c>
      <c r="GU69" s="282">
        <v>1982</v>
      </c>
      <c r="GV69" s="286">
        <f>AnnualAggregations!AA61</f>
        <v>272079.47296994139</v>
      </c>
      <c r="GW69" s="442" t="s">
        <v>597</v>
      </c>
      <c r="GX69" s="286">
        <f>AnnualDivReqs!$AM61</f>
        <v>24160.880683189986</v>
      </c>
      <c r="GY69" s="286">
        <f>AnnualDivReqs!$AK61</f>
        <v>15864.246446422736</v>
      </c>
      <c r="GZ69" s="286">
        <f>AnnualDivReqs!$L61</f>
        <v>1800.0000000000011</v>
      </c>
      <c r="HA69" s="287">
        <f t="shared" si="85"/>
        <v>313904.60009955411</v>
      </c>
      <c r="HB69" s="286">
        <f>AnnualDivReqs!$AO61</f>
        <v>1805.9999999997915</v>
      </c>
      <c r="HC69" s="286">
        <f>AnnualDivReqs!$AY61</f>
        <v>2470.5882352938324</v>
      </c>
      <c r="HD69" s="286">
        <f>AnnualAggregations!$AD61</f>
        <v>53266.466956524397</v>
      </c>
      <c r="HE69" s="286">
        <f>AnnualAggregations!$AE61</f>
        <v>21449.419053558926</v>
      </c>
      <c r="HF69" s="286">
        <f>AnnualAggregations!$AF61</f>
        <v>17041.785644915184</v>
      </c>
      <c r="HG69" s="286">
        <f>AnnualDivReqs!$AL61</f>
        <v>11104.389086594208</v>
      </c>
      <c r="HH69" s="286">
        <f>AnnualDivReqs!$AG61</f>
        <v>16399.128209985804</v>
      </c>
      <c r="HI69" s="286">
        <f>AnnualDivReqs!$AN61</f>
        <v>5322.9293973858667</v>
      </c>
      <c r="HJ69" s="287">
        <f t="shared" si="86"/>
        <v>127054.70658425824</v>
      </c>
      <c r="HK69" s="287">
        <f t="shared" si="87"/>
        <v>442765.30668381212</v>
      </c>
      <c r="HL69" s="286">
        <f>AnnualDivReqs!$AP61</f>
        <v>378.87777777775057</v>
      </c>
      <c r="HM69" s="442" t="s">
        <v>597</v>
      </c>
      <c r="HN69" s="286">
        <f>AnnualDivReqs!$AJ61</f>
        <v>38999.999998983854</v>
      </c>
      <c r="HO69" s="286">
        <f>AnnualDivReqs!$BC61</f>
        <v>16199.99999897049</v>
      </c>
      <c r="HP69" s="286">
        <f>AnnualDivReqs!$J61</f>
        <v>4166.6500000021233</v>
      </c>
      <c r="HQ69" s="286">
        <f>AnnualAggregations!$AG61</f>
        <v>19374.983333335964</v>
      </c>
      <c r="HR69" s="287">
        <f t="shared" si="88"/>
        <v>79120.511109070183</v>
      </c>
      <c r="HS69" s="287">
        <f t="shared" si="89"/>
        <v>79120.511109070183</v>
      </c>
      <c r="HT69" s="287">
        <f t="shared" si="90"/>
        <v>521885.81779288233</v>
      </c>
      <c r="HV69" s="440" t="s">
        <v>628</v>
      </c>
      <c r="HW69" s="440" t="s">
        <v>628</v>
      </c>
      <c r="HX69" s="440" t="s">
        <v>628</v>
      </c>
      <c r="HY69" s="440" t="s">
        <v>628</v>
      </c>
      <c r="HZ69" s="440" t="s">
        <v>628</v>
      </c>
      <c r="IA69" s="440" t="s">
        <v>628</v>
      </c>
      <c r="IB69" s="440" t="s">
        <v>628</v>
      </c>
      <c r="IC69" s="440" t="s">
        <v>628</v>
      </c>
      <c r="ID69" s="440" t="s">
        <v>628</v>
      </c>
      <c r="IE69" s="440" t="s">
        <v>628</v>
      </c>
      <c r="IF69" s="440" t="s">
        <v>628</v>
      </c>
      <c r="IG69" s="440" t="s">
        <v>628</v>
      </c>
      <c r="IH69" s="440" t="s">
        <v>628</v>
      </c>
      <c r="IJ69" s="440" t="s">
        <v>628</v>
      </c>
      <c r="IL69" s="286">
        <f>AnnualAggregations!$AB61</f>
        <v>37764.238566617634</v>
      </c>
      <c r="IM69" s="286">
        <f>AnnualAggregations!$Z61</f>
        <v>109067.13000005133</v>
      </c>
      <c r="IN69" s="442" t="s">
        <v>597</v>
      </c>
      <c r="IO69" s="286">
        <f>AnnualAggregations!$AC61</f>
        <v>5000.0000000019172</v>
      </c>
      <c r="IP69" s="442" t="s">
        <v>597</v>
      </c>
      <c r="IQ69" s="440" t="s">
        <v>628</v>
      </c>
      <c r="IR69" s="440" t="s">
        <v>628</v>
      </c>
      <c r="IS69" s="440" t="s">
        <v>628</v>
      </c>
      <c r="IT69" s="440" t="s">
        <v>628</v>
      </c>
      <c r="IU69" s="286">
        <f>AnnualDivReqs!$BG61</f>
        <v>12296.800000006155</v>
      </c>
      <c r="IW69" s="440" t="s">
        <v>628</v>
      </c>
      <c r="IX69" s="440" t="s">
        <v>628</v>
      </c>
      <c r="IY69" s="440" t="s">
        <v>628</v>
      </c>
      <c r="IZ69" s="442" t="s">
        <v>597</v>
      </c>
    </row>
    <row r="70" spans="1:260" customFormat="1" ht="15.75" thickBot="1" x14ac:dyDescent="0.3">
      <c r="A70" s="480" t="str">
        <f>ADDRESS(ROW(SJRIPSummary!E62),COLUMN(SJRIPSummary!E62),4,1)</f>
        <v>E62</v>
      </c>
      <c r="B70" s="480" t="str">
        <f t="shared" si="57"/>
        <v>62</v>
      </c>
      <c r="C70" t="s">
        <v>580</v>
      </c>
      <c r="D70" s="404">
        <v>55</v>
      </c>
      <c r="E70" s="404">
        <v>116</v>
      </c>
      <c r="F70" s="404">
        <v>177</v>
      </c>
      <c r="G70" s="404">
        <v>238</v>
      </c>
      <c r="H70" s="8"/>
      <c r="I70" s="642" t="s">
        <v>580</v>
      </c>
      <c r="J70" s="643"/>
      <c r="K70" s="643"/>
      <c r="L70" s="643"/>
      <c r="M70" s="207">
        <f ca="1">ROUND(SJRIPSummaryRAW!B70,-2)</f>
        <v>861000</v>
      </c>
      <c r="N70" s="167"/>
      <c r="O70" s="168"/>
      <c r="P70" s="169"/>
      <c r="Q70" s="8"/>
      <c r="T70" s="282">
        <v>1983</v>
      </c>
      <c r="U70" s="286">
        <f>AnnualAggregations!$C62</f>
        <v>241668.02715715033</v>
      </c>
      <c r="V70" s="286">
        <f>AnnualDepletions!$BI62</f>
        <v>-1178.4145878067845</v>
      </c>
      <c r="W70" s="286">
        <f>AnnualDepletions!$AM62</f>
        <v>12099.999999999989</v>
      </c>
      <c r="X70" s="286">
        <f>AnnualDepletions!$AK62</f>
        <v>7969.9999999999927</v>
      </c>
      <c r="Y70" s="286">
        <f>AnnualDepletions!$L62</f>
        <v>900.00000000000011</v>
      </c>
      <c r="Z70" s="287">
        <f t="shared" si="58"/>
        <v>261459.61256934353</v>
      </c>
      <c r="AA70" s="286">
        <f>AnnualDepletions!$AO62</f>
        <v>875.99999999989916</v>
      </c>
      <c r="AB70" s="286">
        <f>AnnualDepletions!$AY62</f>
        <v>1476.9999999998306</v>
      </c>
      <c r="AC70" s="286">
        <f>AnnualAggregations!$F62</f>
        <v>31552.999999996395</v>
      </c>
      <c r="AD70" s="286">
        <f>AnnualAggregations!$G62</f>
        <v>7978.95884168468</v>
      </c>
      <c r="AE70" s="286">
        <f>AnnualAggregations!$H62</f>
        <v>11497.999999998685</v>
      </c>
      <c r="AF70" s="286">
        <f>AnnualDepletions!$AL62</f>
        <v>9776.9999999988704</v>
      </c>
      <c r="AG70" s="286">
        <f>AnnualDepletions!$AG62</f>
        <v>8879.9999999989814</v>
      </c>
      <c r="AH70" s="286">
        <f>AnnualDepletions!$AN62</f>
        <v>2966.9999999996594</v>
      </c>
      <c r="AI70" s="287">
        <f t="shared" si="59"/>
        <v>74130.9588416771</v>
      </c>
      <c r="AJ70" s="287">
        <f t="shared" si="60"/>
        <v>336466.57141102053</v>
      </c>
      <c r="AK70" s="286">
        <f>AnnualDepletions!$AP62</f>
        <v>340.98999999997505</v>
      </c>
      <c r="AL70" s="286">
        <f>AnnualDepletions!$BH62</f>
        <v>29738.8051667605</v>
      </c>
      <c r="AM70" s="286">
        <f>AnnualDepletions!$AJ62</f>
        <v>38999.999998983854</v>
      </c>
      <c r="AN70" s="286">
        <f>AnnualDepletions!$BC62</f>
        <v>16199.99999897049</v>
      </c>
      <c r="AO70" s="286">
        <f>AnnualDepletions!$J62</f>
        <v>2499.9900000012672</v>
      </c>
      <c r="AP70" s="286">
        <f>AnnualAggregations!$I62</f>
        <v>11624.990000001573</v>
      </c>
      <c r="AQ70" s="287">
        <f t="shared" si="61"/>
        <v>69665.96999795716</v>
      </c>
      <c r="AR70" s="287">
        <f t="shared" si="62"/>
        <v>99404.775164717677</v>
      </c>
      <c r="AS70" s="287">
        <f t="shared" si="63"/>
        <v>435871.34657573822</v>
      </c>
      <c r="AT70" s="291"/>
      <c r="AU70" s="321">
        <f ca="1">StateModDepletions_ThisScenario!AC60</f>
        <v>34064.021550983191</v>
      </c>
      <c r="AV70" s="321">
        <f ca="1">StateModDepletions_ThisScenario!AD60</f>
        <v>18001.706180542707</v>
      </c>
      <c r="AW70" s="321">
        <f ca="1">StateModDepletions_ThisScenario!AE60</f>
        <v>117572.51014709473</v>
      </c>
      <c r="AX70" s="321">
        <f ca="1">StateModDepletions_ThisScenario!AB60</f>
        <v>24765.810481309891</v>
      </c>
      <c r="AY70" s="288">
        <f t="shared" ca="1" si="64"/>
        <v>194404.04835993052</v>
      </c>
      <c r="AZ70" s="321">
        <f ca="1">StateModDepletions_ThisScenario!AG60</f>
        <v>49956.303148923893</v>
      </c>
      <c r="BA70" s="321">
        <f ca="1">StateModDepletions_ThisScenario!AF60</f>
        <v>19393.379353523243</v>
      </c>
      <c r="BB70" s="321">
        <f ca="1">StateModDepletions_ThisScenario!AH60</f>
        <v>23333.451344382018</v>
      </c>
      <c r="BC70" s="321">
        <f ca="1">StateModDepletions_ThisScenario!AI60</f>
        <v>26706.12235054401</v>
      </c>
      <c r="BD70" s="321">
        <f ca="1">StateModDepletions_ThisScenario!N60</f>
        <v>1326.6977829933167</v>
      </c>
      <c r="BE70" s="321">
        <f ca="1">StateModDepletions_ThisScenario!V60</f>
        <v>16524.236939430237</v>
      </c>
      <c r="BF70" s="288">
        <f t="shared" ca="1" si="65"/>
        <v>137240.1909197967</v>
      </c>
      <c r="BG70" s="288">
        <f t="shared" ca="1" si="66"/>
        <v>331644.23927972722</v>
      </c>
      <c r="BH70" s="291"/>
      <c r="BI70" s="288">
        <f t="shared" ca="1" si="67"/>
        <v>767515.58585546538</v>
      </c>
      <c r="BJ70" s="291"/>
      <c r="BK70" s="286">
        <f>AnnualAggregations!$D62</f>
        <v>35893.000000000073</v>
      </c>
      <c r="BL70" s="286">
        <f>AnnualAggregations!$B62</f>
        <v>57173.295461349851</v>
      </c>
      <c r="BM70" s="286">
        <f>AnnualDepletions!$BK62</f>
        <v>155691.45955409191</v>
      </c>
      <c r="BN70" s="286">
        <f>AnnualAggregations!$E62</f>
        <v>5000.0000000019172</v>
      </c>
      <c r="BO70" s="287">
        <f t="shared" si="68"/>
        <v>253757.75501544375</v>
      </c>
      <c r="BP70" s="321">
        <f ca="1">StateModDepletions_ThisScenario!Y60</f>
        <v>212.11356273293495</v>
      </c>
      <c r="BQ70" s="321">
        <f ca="1">StateModDepletions_ThisScenario!AJ60</f>
        <v>120083.81056869372</v>
      </c>
      <c r="BR70" s="321">
        <f ca="1">StateModDepletions_ThisScenario!Z60</f>
        <v>189667.6123085022</v>
      </c>
      <c r="BS70" s="321">
        <f ca="1">StateModDepletions_ThisScenario!AA60</f>
        <v>69371.688177075543</v>
      </c>
      <c r="BT70" s="286">
        <f>AnnualDepletions!$BG62</f>
        <v>12296.800000006155</v>
      </c>
      <c r="BU70" s="291"/>
      <c r="BV70" s="287">
        <f t="shared" ca="1" si="69"/>
        <v>1033570.1408709153</v>
      </c>
      <c r="BW70" s="287">
        <f t="shared" ca="1" si="70"/>
        <v>964198.45269383967</v>
      </c>
      <c r="BX70" s="287">
        <f t="shared" ca="1" si="91"/>
        <v>979073.45269383967</v>
      </c>
      <c r="BY70" s="287">
        <f>SJRIPSummaryRAW!$B$79</f>
        <v>14875</v>
      </c>
      <c r="CA70" s="291"/>
      <c r="CC70" s="282">
        <v>1983</v>
      </c>
      <c r="CD70" s="286">
        <f>AnnualAggregations!K62</f>
        <v>241668.02715715033</v>
      </c>
      <c r="CE70" s="442" t="s">
        <v>597</v>
      </c>
      <c r="CF70" s="286">
        <f>AnnualDeplReqs!$AM62</f>
        <v>12099.999999999989</v>
      </c>
      <c r="CG70" s="286">
        <f>AnnualDeplReqs!$AK62</f>
        <v>7969.9999999999927</v>
      </c>
      <c r="CH70" s="286">
        <f>AnnualDeplReqs!$L62</f>
        <v>900.00000000000011</v>
      </c>
      <c r="CI70" s="443">
        <f t="shared" si="71"/>
        <v>261459.61256934353</v>
      </c>
      <c r="CJ70" s="286">
        <f>AnnualDeplReqs!$AO62</f>
        <v>875.99999999989916</v>
      </c>
      <c r="CK70" s="286">
        <f>AnnualDeplReqs!$AY62</f>
        <v>1476.9999999998306</v>
      </c>
      <c r="CL70" s="286">
        <f>AnnualAggregations!$N62</f>
        <v>31552.999999996395</v>
      </c>
      <c r="CM70" s="286">
        <f>AnnualAggregations!$O62</f>
        <v>11770.999999998645</v>
      </c>
      <c r="CN70" s="286">
        <f>AnnualAggregations!$P62</f>
        <v>11497.999999998685</v>
      </c>
      <c r="CO70" s="286">
        <f>AnnualDeplReqs!$AL62</f>
        <v>9776.9999999988704</v>
      </c>
      <c r="CP70" s="286">
        <f>AnnualDeplReqs!$AG62</f>
        <v>8879.9999999989814</v>
      </c>
      <c r="CQ70" s="286">
        <f>AnnualDeplReqs!$AN62</f>
        <v>2966.9999999996594</v>
      </c>
      <c r="CR70" s="287">
        <f t="shared" si="72"/>
        <v>77922.999999991065</v>
      </c>
      <c r="CS70" s="287">
        <f t="shared" si="73"/>
        <v>340258.61256933445</v>
      </c>
      <c r="CT70" s="286">
        <f>AnnualDeplReqs!$AP62</f>
        <v>340.98999999997505</v>
      </c>
      <c r="CU70" s="442" t="s">
        <v>597</v>
      </c>
      <c r="CV70" s="286">
        <f>AnnualDeplReqs!$AJ62</f>
        <v>38999.999998983854</v>
      </c>
      <c r="CW70" s="286">
        <f>AnnualDeplReqs!$BC62</f>
        <v>16199.99999897049</v>
      </c>
      <c r="CX70" s="286">
        <f>AnnualDeplReqs!$J62</f>
        <v>2499.9900000012672</v>
      </c>
      <c r="CY70" s="286">
        <f>AnnualAggregations!$Q62</f>
        <v>11624.990000001573</v>
      </c>
      <c r="CZ70" s="287">
        <f t="shared" si="74"/>
        <v>69665.96999795716</v>
      </c>
      <c r="DA70" s="443">
        <f t="shared" si="75"/>
        <v>99404.775164717663</v>
      </c>
      <c r="DB70" s="287">
        <f t="shared" si="76"/>
        <v>439663.38773405214</v>
      </c>
      <c r="DC70" s="291"/>
      <c r="DD70" s="440" t="s">
        <v>628</v>
      </c>
      <c r="DE70" s="440" t="s">
        <v>628</v>
      </c>
      <c r="DF70" s="440" t="s">
        <v>628</v>
      </c>
      <c r="DG70" s="440" t="s">
        <v>628</v>
      </c>
      <c r="DH70" s="440" t="s">
        <v>628</v>
      </c>
      <c r="DI70" s="440" t="s">
        <v>628</v>
      </c>
      <c r="DJ70" s="440" t="s">
        <v>628</v>
      </c>
      <c r="DK70" s="440" t="s">
        <v>628</v>
      </c>
      <c r="DL70" s="440" t="s">
        <v>628</v>
      </c>
      <c r="DM70" s="440" t="s">
        <v>628</v>
      </c>
      <c r="DN70" s="440" t="s">
        <v>628</v>
      </c>
      <c r="DO70" s="440" t="s">
        <v>628</v>
      </c>
      <c r="DP70" s="440" t="s">
        <v>628</v>
      </c>
      <c r="DQ70" s="291"/>
      <c r="DR70" s="440" t="s">
        <v>628</v>
      </c>
      <c r="DS70" s="291"/>
      <c r="DT70" s="286">
        <f>AnnualAggregations!$L62</f>
        <v>35893.000000000073</v>
      </c>
      <c r="DU70" s="443">
        <f>AnnualAggregations!$J62</f>
        <v>57173.295461349851</v>
      </c>
      <c r="DV70" s="442" t="s">
        <v>597</v>
      </c>
      <c r="DW70" s="286">
        <f>AnnualAggregations!$M62</f>
        <v>5000.0000000019172</v>
      </c>
      <c r="DX70" s="442" t="s">
        <v>597</v>
      </c>
      <c r="DY70" s="440" t="s">
        <v>628</v>
      </c>
      <c r="DZ70" s="440" t="s">
        <v>628</v>
      </c>
      <c r="EA70" s="440" t="s">
        <v>628</v>
      </c>
      <c r="EB70" s="440" t="s">
        <v>628</v>
      </c>
      <c r="EC70" s="286">
        <f>AnnualDeplReqs!$BG62</f>
        <v>12296.800000006155</v>
      </c>
      <c r="ED70" s="291"/>
      <c r="EE70" s="440" t="s">
        <v>628</v>
      </c>
      <c r="EF70" s="440" t="s">
        <v>628</v>
      </c>
      <c r="EG70" s="440" t="s">
        <v>628</v>
      </c>
      <c r="EH70" s="442" t="s">
        <v>597</v>
      </c>
      <c r="EJ70" s="291"/>
      <c r="EL70" s="282">
        <v>1983</v>
      </c>
      <c r="EM70" s="286">
        <f>AnnualAggregations!S62</f>
        <v>302085.03394643811</v>
      </c>
      <c r="EN70" s="442" t="s">
        <v>597</v>
      </c>
      <c r="EO70" s="286">
        <f>AnnualDiversions!$AM62</f>
        <v>24160.880683189993</v>
      </c>
      <c r="EP70" s="286">
        <f>AnnualDiversions!$AK62</f>
        <v>15864.246446422738</v>
      </c>
      <c r="EQ70" s="286">
        <f>AnnualDiversions!$L62</f>
        <v>1800.0000000000002</v>
      </c>
      <c r="ER70" s="287">
        <f t="shared" si="77"/>
        <v>343910.16107605083</v>
      </c>
      <c r="ES70" s="286">
        <f>AnnualDiversions!$AO62</f>
        <v>1751.9999999997983</v>
      </c>
      <c r="ET70" s="286">
        <f>AnnualDiversions!$AY62</f>
        <v>2673.3031674205054</v>
      </c>
      <c r="EU70" s="286">
        <f>AnnualAggregations!$V62</f>
        <v>52968.626370423008</v>
      </c>
      <c r="EV70" s="286">
        <f>AnnualAggregations!$W62</f>
        <v>15270.236766008826</v>
      </c>
      <c r="EW70" s="286">
        <f>AnnualAggregations!$X62</f>
        <v>17625.787725392925</v>
      </c>
      <c r="EX70" s="286">
        <f>AnnualDiversions!$AL62</f>
        <v>11597.864768681937</v>
      </c>
      <c r="EY70" s="286">
        <f>AnnualDiversions!$AG62</f>
        <v>16829.337629108264</v>
      </c>
      <c r="EZ70" s="286">
        <f>AnnualDiversions!$AN62</f>
        <v>5578.6405941518415</v>
      </c>
      <c r="FA70" s="287">
        <f t="shared" si="78"/>
        <v>122543.79702118732</v>
      </c>
      <c r="FB70" s="287">
        <f t="shared" si="79"/>
        <v>468205.95809723798</v>
      </c>
      <c r="FC70" s="286">
        <f>AnnualDiversions!$AP62</f>
        <v>378.87777777775057</v>
      </c>
      <c r="FD70" s="442" t="s">
        <v>597</v>
      </c>
      <c r="FE70" s="286">
        <f>AnnualDiversions!$AJ62</f>
        <v>38999.999998983854</v>
      </c>
      <c r="FF70" s="286">
        <f>AnnualDiversions!$BC62</f>
        <v>16199.99999897049</v>
      </c>
      <c r="FG70" s="286">
        <f>AnnualDiversions!$J62</f>
        <v>4166.6500000021233</v>
      </c>
      <c r="FH70" s="286">
        <f>AnnualAggregations!$Y62</f>
        <v>19374.983333335964</v>
      </c>
      <c r="FI70" s="287">
        <f t="shared" si="80"/>
        <v>79120.511109070183</v>
      </c>
      <c r="FJ70" s="287">
        <f t="shared" si="81"/>
        <v>79120.511109070183</v>
      </c>
      <c r="FK70" s="287">
        <f t="shared" si="82"/>
        <v>547326.46920630813</v>
      </c>
      <c r="FL70" s="291"/>
      <c r="FM70" s="440" t="s">
        <v>628</v>
      </c>
      <c r="FN70" s="440" t="s">
        <v>628</v>
      </c>
      <c r="FO70" s="440" t="s">
        <v>628</v>
      </c>
      <c r="FP70" s="440" t="s">
        <v>628</v>
      </c>
      <c r="FQ70" s="440" t="s">
        <v>628</v>
      </c>
      <c r="FR70" s="440" t="s">
        <v>628</v>
      </c>
      <c r="FS70" s="440" t="s">
        <v>628</v>
      </c>
      <c r="FT70" s="440" t="s">
        <v>628</v>
      </c>
      <c r="FU70" s="440" t="s">
        <v>628</v>
      </c>
      <c r="FV70" s="440" t="s">
        <v>628</v>
      </c>
      <c r="FW70" s="440" t="s">
        <v>628</v>
      </c>
      <c r="FX70" s="440" t="s">
        <v>628</v>
      </c>
      <c r="FY70" s="440" t="s">
        <v>628</v>
      </c>
      <c r="FZ70" s="291"/>
      <c r="GA70" s="440" t="s">
        <v>628</v>
      </c>
      <c r="GB70" s="291"/>
      <c r="GC70" s="286">
        <f>AnnualAggregations!$T62</f>
        <v>37764.238566617634</v>
      </c>
      <c r="GD70" s="286">
        <f>AnnualAggregations!$R62</f>
        <v>109067.13000005133</v>
      </c>
      <c r="GE70" s="443">
        <f t="shared" si="83"/>
        <v>155691.45955409191</v>
      </c>
      <c r="GF70" s="286">
        <f>AnnualAggregations!$U62</f>
        <v>5000.0000000019172</v>
      </c>
      <c r="GG70" s="287">
        <f t="shared" si="84"/>
        <v>307522.82812076277</v>
      </c>
      <c r="GH70" s="440" t="s">
        <v>628</v>
      </c>
      <c r="GI70" s="440" t="s">
        <v>628</v>
      </c>
      <c r="GJ70" s="440" t="s">
        <v>628</v>
      </c>
      <c r="GK70" s="440" t="s">
        <v>628</v>
      </c>
      <c r="GL70" s="286">
        <f>AnnualDiversions!$BG62</f>
        <v>12296.800000006155</v>
      </c>
      <c r="GM70" s="291"/>
      <c r="GN70" s="440" t="s">
        <v>628</v>
      </c>
      <c r="GO70" s="440" t="s">
        <v>628</v>
      </c>
      <c r="GP70" s="440" t="s">
        <v>628</v>
      </c>
      <c r="GQ70" s="442" t="s">
        <v>597</v>
      </c>
      <c r="GS70" s="291"/>
      <c r="GU70" s="282">
        <v>1983</v>
      </c>
      <c r="GV70" s="286">
        <f>AnnualAggregations!AA62</f>
        <v>302085.03394643811</v>
      </c>
      <c r="GW70" s="442" t="s">
        <v>597</v>
      </c>
      <c r="GX70" s="286">
        <f>AnnualDivReqs!$AM62</f>
        <v>24160.880683189993</v>
      </c>
      <c r="GY70" s="286">
        <f>AnnualDivReqs!$AK62</f>
        <v>15864.246446422738</v>
      </c>
      <c r="GZ70" s="286">
        <f>AnnualDivReqs!$L62</f>
        <v>1800.0000000000002</v>
      </c>
      <c r="HA70" s="287">
        <f t="shared" si="85"/>
        <v>343910.16107605083</v>
      </c>
      <c r="HB70" s="286">
        <f>AnnualDivReqs!$AO62</f>
        <v>1751.9999999997983</v>
      </c>
      <c r="HC70" s="286">
        <f>AnnualDivReqs!$AY62</f>
        <v>2673.3031674205054</v>
      </c>
      <c r="HD70" s="286">
        <f>AnnualAggregations!$AD62</f>
        <v>52968.626370423008</v>
      </c>
      <c r="HE70" s="286">
        <f>AnnualAggregations!$AE62</f>
        <v>21082.871405966605</v>
      </c>
      <c r="HF70" s="286">
        <f>AnnualAggregations!$AF62</f>
        <v>17625.787725392925</v>
      </c>
      <c r="HG70" s="286">
        <f>AnnualDivReqs!$AL62</f>
        <v>11597.864768681937</v>
      </c>
      <c r="HH70" s="286">
        <f>AnnualDivReqs!$AG62</f>
        <v>16829.337629108264</v>
      </c>
      <c r="HI70" s="286">
        <f>AnnualDivReqs!$AN62</f>
        <v>5578.6405941518415</v>
      </c>
      <c r="HJ70" s="287">
        <f t="shared" si="86"/>
        <v>128356.43166114509</v>
      </c>
      <c r="HK70" s="287">
        <f t="shared" si="87"/>
        <v>474018.59273719578</v>
      </c>
      <c r="HL70" s="286">
        <f>AnnualDivReqs!$AP62</f>
        <v>378.87777777775057</v>
      </c>
      <c r="HM70" s="442" t="s">
        <v>597</v>
      </c>
      <c r="HN70" s="286">
        <f>AnnualDivReqs!$AJ62</f>
        <v>38999.999998983854</v>
      </c>
      <c r="HO70" s="286">
        <f>AnnualDivReqs!$BC62</f>
        <v>16199.99999897049</v>
      </c>
      <c r="HP70" s="286">
        <f>AnnualDivReqs!$J62</f>
        <v>4166.6500000021233</v>
      </c>
      <c r="HQ70" s="286">
        <f>AnnualAggregations!$AG62</f>
        <v>19374.983333335964</v>
      </c>
      <c r="HR70" s="287">
        <f t="shared" si="88"/>
        <v>79120.511109070183</v>
      </c>
      <c r="HS70" s="287">
        <f t="shared" si="89"/>
        <v>79120.511109070183</v>
      </c>
      <c r="HT70" s="287">
        <f t="shared" si="90"/>
        <v>553139.10384626593</v>
      </c>
      <c r="HU70" s="291"/>
      <c r="HV70" s="440" t="s">
        <v>628</v>
      </c>
      <c r="HW70" s="440" t="s">
        <v>628</v>
      </c>
      <c r="HX70" s="440" t="s">
        <v>628</v>
      </c>
      <c r="HY70" s="440" t="s">
        <v>628</v>
      </c>
      <c r="HZ70" s="440" t="s">
        <v>628</v>
      </c>
      <c r="IA70" s="440" t="s">
        <v>628</v>
      </c>
      <c r="IB70" s="440" t="s">
        <v>628</v>
      </c>
      <c r="IC70" s="440" t="s">
        <v>628</v>
      </c>
      <c r="ID70" s="440" t="s">
        <v>628</v>
      </c>
      <c r="IE70" s="440" t="s">
        <v>628</v>
      </c>
      <c r="IF70" s="440" t="s">
        <v>628</v>
      </c>
      <c r="IG70" s="440" t="s">
        <v>628</v>
      </c>
      <c r="IH70" s="440" t="s">
        <v>628</v>
      </c>
      <c r="II70" s="291"/>
      <c r="IJ70" s="440" t="s">
        <v>628</v>
      </c>
      <c r="IK70" s="291"/>
      <c r="IL70" s="286">
        <f>AnnualAggregations!$AB62</f>
        <v>37764.238566617634</v>
      </c>
      <c r="IM70" s="286">
        <f>AnnualAggregations!$Z62</f>
        <v>109067.13000005133</v>
      </c>
      <c r="IN70" s="442" t="s">
        <v>597</v>
      </c>
      <c r="IO70" s="286">
        <f>AnnualAggregations!$AC62</f>
        <v>5000.0000000019172</v>
      </c>
      <c r="IP70" s="442" t="s">
        <v>597</v>
      </c>
      <c r="IQ70" s="440" t="s">
        <v>628</v>
      </c>
      <c r="IR70" s="440" t="s">
        <v>628</v>
      </c>
      <c r="IS70" s="440" t="s">
        <v>628</v>
      </c>
      <c r="IT70" s="440" t="s">
        <v>628</v>
      </c>
      <c r="IU70" s="286">
        <f>AnnualDivReqs!$BG62</f>
        <v>12296.800000006155</v>
      </c>
      <c r="IV70" s="291"/>
      <c r="IW70" s="440" t="s">
        <v>628</v>
      </c>
      <c r="IX70" s="440" t="s">
        <v>628</v>
      </c>
      <c r="IY70" s="440" t="s">
        <v>628</v>
      </c>
      <c r="IZ70" s="442" t="s">
        <v>597</v>
      </c>
    </row>
    <row r="71" spans="1:260" customFormat="1" ht="15.75" thickBot="1" x14ac:dyDescent="0.3">
      <c r="A71" s="480" t="str">
        <f>ADDRESS(ROW(SJRIPSummary!E63),COLUMN(SJRIPSummary!E63),4,1)</f>
        <v>E63</v>
      </c>
      <c r="B71" s="480" t="str">
        <f t="shared" si="57"/>
        <v>63</v>
      </c>
      <c r="C71" t="s">
        <v>594</v>
      </c>
      <c r="D71" s="404">
        <v>56</v>
      </c>
      <c r="E71" s="404">
        <v>117</v>
      </c>
      <c r="F71" s="404">
        <v>178</v>
      </c>
      <c r="G71" s="404">
        <v>239</v>
      </c>
      <c r="H71" s="8"/>
      <c r="I71" s="642" t="s">
        <v>582</v>
      </c>
      <c r="J71" s="643"/>
      <c r="K71" s="643"/>
      <c r="L71" s="644"/>
      <c r="M71" s="207">
        <f ca="1">ROUND(SJRIPSummaryRAW!B71,-2)</f>
        <v>875900</v>
      </c>
      <c r="N71" s="167"/>
      <c r="O71" s="168"/>
      <c r="P71" s="169"/>
      <c r="Q71" s="8"/>
      <c r="T71" s="282">
        <v>1984</v>
      </c>
      <c r="U71" s="286">
        <f>AnnualAggregations!$C63</f>
        <v>218474.14087278556</v>
      </c>
      <c r="V71" s="286">
        <f>AnnualDepletions!$BI63</f>
        <v>-5952.8412145953471</v>
      </c>
      <c r="W71" s="286">
        <f>AnnualDepletions!$AM63</f>
        <v>12099.999999999998</v>
      </c>
      <c r="X71" s="286">
        <f>AnnualDepletions!$AK63</f>
        <v>7969.9999999999945</v>
      </c>
      <c r="Y71" s="286">
        <f>AnnualDepletions!$L63</f>
        <v>900.00000000000011</v>
      </c>
      <c r="Z71" s="287">
        <f t="shared" si="58"/>
        <v>233491.29965819023</v>
      </c>
      <c r="AA71" s="286">
        <f>AnnualDepletions!$AO63</f>
        <v>1102.9999999998734</v>
      </c>
      <c r="AB71" s="286">
        <f>AnnualDepletions!$AY63</f>
        <v>1566.9999999998195</v>
      </c>
      <c r="AC71" s="286">
        <f>AnnualAggregations!$F63</f>
        <v>32322.318318451507</v>
      </c>
      <c r="AD71" s="286">
        <f>AnnualAggregations!$G63</f>
        <v>5782.8078972136145</v>
      </c>
      <c r="AE71" s="286">
        <f>AnnualAggregations!$H63</f>
        <v>12068.999999998607</v>
      </c>
      <c r="AF71" s="286">
        <f>AnnualDepletions!$AL63</f>
        <v>10284.999999998819</v>
      </c>
      <c r="AG71" s="286">
        <f>AnnualDepletions!$AG63</f>
        <v>9282.9999999989268</v>
      </c>
      <c r="AH71" s="286">
        <f>AnnualDepletions!$AN63</f>
        <v>3118.9999999996407</v>
      </c>
      <c r="AI71" s="287">
        <f t="shared" si="59"/>
        <v>74428.12621566093</v>
      </c>
      <c r="AJ71" s="287">
        <f t="shared" si="60"/>
        <v>309022.42587385105</v>
      </c>
      <c r="AK71" s="286">
        <f>AnnualDepletions!$AP63</f>
        <v>340.98999999997511</v>
      </c>
      <c r="AL71" s="286">
        <f>AnnualDepletions!$BH63</f>
        <v>28284.220703589635</v>
      </c>
      <c r="AM71" s="286">
        <f>AnnualDepletions!$AJ63</f>
        <v>38999.999998983862</v>
      </c>
      <c r="AN71" s="286">
        <f>AnnualDepletions!$BC63</f>
        <v>16199.999998970494</v>
      </c>
      <c r="AO71" s="286">
        <f>AnnualDepletions!$J63</f>
        <v>2499.9900000012672</v>
      </c>
      <c r="AP71" s="286">
        <f>AnnualAggregations!$I63</f>
        <v>11624.990000001573</v>
      </c>
      <c r="AQ71" s="287">
        <f t="shared" si="61"/>
        <v>69665.969997957174</v>
      </c>
      <c r="AR71" s="287">
        <f t="shared" si="62"/>
        <v>97950.190701546817</v>
      </c>
      <c r="AS71" s="287">
        <f t="shared" si="63"/>
        <v>406972.6165753979</v>
      </c>
      <c r="AT71" s="291"/>
      <c r="AU71" s="321">
        <f ca="1">StateModDepletions_ThisScenario!AC61</f>
        <v>32307.827491298318</v>
      </c>
      <c r="AV71" s="321">
        <f ca="1">StateModDepletions_ThisScenario!AD61</f>
        <v>18087.026425763965</v>
      </c>
      <c r="AW71" s="321">
        <f ca="1">StateModDepletions_ThisScenario!AE61</f>
        <v>114292.06345762312</v>
      </c>
      <c r="AX71" s="321">
        <f ca="1">StateModDepletions_ThisScenario!AB61</f>
        <v>24765.810481309891</v>
      </c>
      <c r="AY71" s="288">
        <f t="shared" ca="1" si="64"/>
        <v>189452.7278559953</v>
      </c>
      <c r="AZ71" s="321">
        <f ca="1">StateModDepletions_ThisScenario!AG61</f>
        <v>48142.747410102267</v>
      </c>
      <c r="BA71" s="321">
        <f ca="1">StateModDepletions_ThisScenario!AF61</f>
        <v>18771.662317655959</v>
      </c>
      <c r="BB71" s="321">
        <f ca="1">StateModDepletions_ThisScenario!AH61</f>
        <v>19136.694625489414</v>
      </c>
      <c r="BC71" s="321">
        <f ca="1">StateModDepletions_ThisScenario!AI61</f>
        <v>19935.578980687598</v>
      </c>
      <c r="BD71" s="321">
        <f ca="1">StateModDepletions_ThisScenario!N61</f>
        <v>1326.6977829933167</v>
      </c>
      <c r="BE71" s="321">
        <f ca="1">StateModDepletions_ThisScenario!V61</f>
        <v>13387.382218360901</v>
      </c>
      <c r="BF71" s="288">
        <f t="shared" ca="1" si="65"/>
        <v>120700.76333528946</v>
      </c>
      <c r="BG71" s="288">
        <f t="shared" ca="1" si="66"/>
        <v>310153.49119128473</v>
      </c>
      <c r="BH71" s="291"/>
      <c r="BI71" s="288">
        <f t="shared" ca="1" si="67"/>
        <v>717126.10776668263</v>
      </c>
      <c r="BJ71" s="291"/>
      <c r="BK71" s="286">
        <f>AnnualAggregations!$D63</f>
        <v>35893.000000000051</v>
      </c>
      <c r="BL71" s="286">
        <f>AnnualAggregations!$B63</f>
        <v>57174.022949505095</v>
      </c>
      <c r="BM71" s="286">
        <f>AnnualDepletions!$BK63</f>
        <v>150207.42380208799</v>
      </c>
      <c r="BN71" s="286">
        <f>AnnualAggregations!$E63</f>
        <v>5000.0000000019463</v>
      </c>
      <c r="BO71" s="287">
        <f t="shared" si="68"/>
        <v>248274.4467515951</v>
      </c>
      <c r="BP71" s="321">
        <f ca="1">StateModDepletions_ThisScenario!Y61</f>
        <v>212.11356273293495</v>
      </c>
      <c r="BQ71" s="321">
        <f ca="1">StateModDepletions_ThisScenario!AJ61</f>
        <v>120777.7235966806</v>
      </c>
      <c r="BR71" s="321">
        <f ca="1">StateModDepletions_ThisScenario!Z61</f>
        <v>210806.35505843163</v>
      </c>
      <c r="BS71" s="321">
        <f ca="1">StateModDepletions_ThisScenario!AA61</f>
        <v>89816.517899018087</v>
      </c>
      <c r="BT71" s="286">
        <f>AnnualDepletions!$BG63</f>
        <v>12296.800000006155</v>
      </c>
      <c r="BU71" s="291"/>
      <c r="BV71" s="287">
        <f t="shared" ca="1" si="69"/>
        <v>977697.35451828386</v>
      </c>
      <c r="BW71" s="287">
        <f t="shared" ca="1" si="70"/>
        <v>887880.83661926573</v>
      </c>
      <c r="BX71" s="287">
        <f t="shared" ca="1" si="91"/>
        <v>902755.83661926573</v>
      </c>
      <c r="BY71" s="287">
        <f>SJRIPSummaryRAW!$B$79</f>
        <v>14875</v>
      </c>
      <c r="CA71" s="291"/>
      <c r="CC71" s="282">
        <v>1984</v>
      </c>
      <c r="CD71" s="286">
        <f>AnnualAggregations!K63</f>
        <v>218474.14087278556</v>
      </c>
      <c r="CE71" s="442" t="s">
        <v>597</v>
      </c>
      <c r="CF71" s="286">
        <f>AnnualDeplReqs!$AM63</f>
        <v>12099.999999999998</v>
      </c>
      <c r="CG71" s="286">
        <f>AnnualDeplReqs!$AK63</f>
        <v>7969.9999999999945</v>
      </c>
      <c r="CH71" s="286">
        <f>AnnualDeplReqs!$L63</f>
        <v>900.00000000000011</v>
      </c>
      <c r="CI71" s="443">
        <f t="shared" si="71"/>
        <v>233491.29965819023</v>
      </c>
      <c r="CJ71" s="286">
        <f>AnnualDeplReqs!$AO63</f>
        <v>1102.9999999998734</v>
      </c>
      <c r="CK71" s="286">
        <f>AnnualDeplReqs!$AY63</f>
        <v>1566.9999999998195</v>
      </c>
      <c r="CL71" s="286">
        <f>AnnualAggregations!$N63</f>
        <v>32322.318318451507</v>
      </c>
      <c r="CM71" s="286">
        <f>AnnualAggregations!$O63</f>
        <v>12033.999999998623</v>
      </c>
      <c r="CN71" s="286">
        <f>AnnualAggregations!$P63</f>
        <v>12068.999999998607</v>
      </c>
      <c r="CO71" s="286">
        <f>AnnualDeplReqs!$AL63</f>
        <v>10284.999999998819</v>
      </c>
      <c r="CP71" s="286">
        <f>AnnualDeplReqs!$AG63</f>
        <v>9282.9999999989268</v>
      </c>
      <c r="CQ71" s="286">
        <f>AnnualDeplReqs!$AN63</f>
        <v>3118.9999999996407</v>
      </c>
      <c r="CR71" s="287">
        <f t="shared" si="72"/>
        <v>80679.318318445934</v>
      </c>
      <c r="CS71" s="287">
        <f t="shared" si="73"/>
        <v>315273.61797663604</v>
      </c>
      <c r="CT71" s="286">
        <f>AnnualDeplReqs!$AP63</f>
        <v>340.98999999997511</v>
      </c>
      <c r="CU71" s="442" t="s">
        <v>597</v>
      </c>
      <c r="CV71" s="286">
        <f>AnnualDeplReqs!$AJ63</f>
        <v>38999.999998983862</v>
      </c>
      <c r="CW71" s="286">
        <f>AnnualDeplReqs!$BC63</f>
        <v>16199.999998970494</v>
      </c>
      <c r="CX71" s="286">
        <f>AnnualDeplReqs!$J63</f>
        <v>2499.9900000012672</v>
      </c>
      <c r="CY71" s="286">
        <f>AnnualAggregations!$Q63</f>
        <v>11624.990000001573</v>
      </c>
      <c r="CZ71" s="287">
        <f t="shared" si="74"/>
        <v>69665.969997957174</v>
      </c>
      <c r="DA71" s="443">
        <f t="shared" si="75"/>
        <v>97950.190701546817</v>
      </c>
      <c r="DB71" s="287">
        <f t="shared" si="76"/>
        <v>413223.80867818289</v>
      </c>
      <c r="DC71" s="291"/>
      <c r="DD71" s="440" t="s">
        <v>628</v>
      </c>
      <c r="DE71" s="440" t="s">
        <v>628</v>
      </c>
      <c r="DF71" s="440" t="s">
        <v>628</v>
      </c>
      <c r="DG71" s="440" t="s">
        <v>628</v>
      </c>
      <c r="DH71" s="440" t="s">
        <v>628</v>
      </c>
      <c r="DI71" s="440" t="s">
        <v>628</v>
      </c>
      <c r="DJ71" s="440" t="s">
        <v>628</v>
      </c>
      <c r="DK71" s="440" t="s">
        <v>628</v>
      </c>
      <c r="DL71" s="440" t="s">
        <v>628</v>
      </c>
      <c r="DM71" s="440" t="s">
        <v>628</v>
      </c>
      <c r="DN71" s="440" t="s">
        <v>628</v>
      </c>
      <c r="DO71" s="440" t="s">
        <v>628</v>
      </c>
      <c r="DP71" s="440" t="s">
        <v>628</v>
      </c>
      <c r="DQ71" s="291"/>
      <c r="DR71" s="440" t="s">
        <v>628</v>
      </c>
      <c r="DS71" s="291"/>
      <c r="DT71" s="286">
        <f>AnnualAggregations!$L63</f>
        <v>35893.000000000073</v>
      </c>
      <c r="DU71" s="443">
        <f>AnnualAggregations!$J63</f>
        <v>57174.022949505095</v>
      </c>
      <c r="DV71" s="442" t="s">
        <v>597</v>
      </c>
      <c r="DW71" s="286">
        <f>AnnualAggregations!$M63</f>
        <v>5000.0000000019463</v>
      </c>
      <c r="DX71" s="442" t="s">
        <v>597</v>
      </c>
      <c r="DY71" s="440" t="s">
        <v>628</v>
      </c>
      <c r="DZ71" s="440" t="s">
        <v>628</v>
      </c>
      <c r="EA71" s="440" t="s">
        <v>628</v>
      </c>
      <c r="EB71" s="440" t="s">
        <v>628</v>
      </c>
      <c r="EC71" s="286">
        <f>AnnualDeplReqs!$BG63</f>
        <v>12296.800000006155</v>
      </c>
      <c r="ED71" s="291"/>
      <c r="EE71" s="440" t="s">
        <v>628</v>
      </c>
      <c r="EF71" s="440" t="s">
        <v>628</v>
      </c>
      <c r="EG71" s="440" t="s">
        <v>628</v>
      </c>
      <c r="EH71" s="442" t="s">
        <v>597</v>
      </c>
      <c r="EJ71" s="291"/>
      <c r="EL71" s="282">
        <v>1984</v>
      </c>
      <c r="EM71" s="286">
        <f>AnnualAggregations!S63</f>
        <v>273092.67609098158</v>
      </c>
      <c r="EN71" s="442" t="s">
        <v>597</v>
      </c>
      <c r="EO71" s="286">
        <f>AnnualDiversions!$AM63</f>
        <v>24160.880683189986</v>
      </c>
      <c r="EP71" s="286">
        <f>AnnualDiversions!$AK63</f>
        <v>15864.246446422727</v>
      </c>
      <c r="EQ71" s="286">
        <f>AnnualDiversions!$L63</f>
        <v>1800.0000000000002</v>
      </c>
      <c r="ER71" s="287">
        <f t="shared" si="77"/>
        <v>314917.80322059424</v>
      </c>
      <c r="ES71" s="286">
        <f>AnnualDiversions!$AO63</f>
        <v>2205.9999999997467</v>
      </c>
      <c r="ET71" s="286">
        <f>AnnualDiversions!$AY63</f>
        <v>2836.1990950222976</v>
      </c>
      <c r="EU71" s="286">
        <f>AnnualAggregations!$V63</f>
        <v>54253.718141996833</v>
      </c>
      <c r="EV71" s="286">
        <f>AnnualAggregations!$W63</f>
        <v>10812.341803849049</v>
      </c>
      <c r="EW71" s="286">
        <f>AnnualAggregations!$X63</f>
        <v>18500.136459623631</v>
      </c>
      <c r="EX71" s="286">
        <f>AnnualDiversions!$AL63</f>
        <v>12200.474495846764</v>
      </c>
      <c r="EY71" s="286">
        <f>AnnualDiversions!$AG63</f>
        <v>17593.101487726592</v>
      </c>
      <c r="EZ71" s="286">
        <f>AnnualDiversions!$AN63</f>
        <v>5864.4354611255812</v>
      </c>
      <c r="FA71" s="287">
        <f t="shared" si="78"/>
        <v>122060.40694519076</v>
      </c>
      <c r="FB71" s="287">
        <f t="shared" si="79"/>
        <v>439184.21016578475</v>
      </c>
      <c r="FC71" s="286">
        <f>AnnualDiversions!$AP63</f>
        <v>378.87777777775057</v>
      </c>
      <c r="FD71" s="442" t="s">
        <v>597</v>
      </c>
      <c r="FE71" s="286">
        <f>AnnualDiversions!$AJ63</f>
        <v>38999.999998983862</v>
      </c>
      <c r="FF71" s="286">
        <f>AnnualDiversions!$BC63</f>
        <v>16199.999998970494</v>
      </c>
      <c r="FG71" s="286">
        <f>AnnualDiversions!$J63</f>
        <v>4166.6500000021233</v>
      </c>
      <c r="FH71" s="286">
        <f>AnnualAggregations!$Y63</f>
        <v>19374.983333335967</v>
      </c>
      <c r="FI71" s="287">
        <f t="shared" si="80"/>
        <v>79120.511109070212</v>
      </c>
      <c r="FJ71" s="287">
        <f t="shared" si="81"/>
        <v>79120.511109070198</v>
      </c>
      <c r="FK71" s="287">
        <f t="shared" si="82"/>
        <v>518304.72127485496</v>
      </c>
      <c r="FL71" s="291"/>
      <c r="FM71" s="440" t="s">
        <v>628</v>
      </c>
      <c r="FN71" s="440" t="s">
        <v>628</v>
      </c>
      <c r="FO71" s="440" t="s">
        <v>628</v>
      </c>
      <c r="FP71" s="440" t="s">
        <v>628</v>
      </c>
      <c r="FQ71" s="440" t="s">
        <v>628</v>
      </c>
      <c r="FR71" s="440" t="s">
        <v>628</v>
      </c>
      <c r="FS71" s="440" t="s">
        <v>628</v>
      </c>
      <c r="FT71" s="440" t="s">
        <v>628</v>
      </c>
      <c r="FU71" s="440" t="s">
        <v>628</v>
      </c>
      <c r="FV71" s="440" t="s">
        <v>628</v>
      </c>
      <c r="FW71" s="440" t="s">
        <v>628</v>
      </c>
      <c r="FX71" s="440" t="s">
        <v>628</v>
      </c>
      <c r="FY71" s="440" t="s">
        <v>628</v>
      </c>
      <c r="FZ71" s="291"/>
      <c r="GA71" s="440" t="s">
        <v>628</v>
      </c>
      <c r="GB71" s="291"/>
      <c r="GC71" s="286">
        <f>AnnualAggregations!$T63</f>
        <v>37763.476493275426</v>
      </c>
      <c r="GD71" s="286">
        <f>AnnualAggregations!$R63</f>
        <v>109067.13000005131</v>
      </c>
      <c r="GE71" s="443">
        <f t="shared" si="83"/>
        <v>150207.42380208799</v>
      </c>
      <c r="GF71" s="286">
        <f>AnnualAggregations!$U63</f>
        <v>5000.0000000019463</v>
      </c>
      <c r="GG71" s="287">
        <f t="shared" si="84"/>
        <v>302038.03029541665</v>
      </c>
      <c r="GH71" s="440" t="s">
        <v>628</v>
      </c>
      <c r="GI71" s="440" t="s">
        <v>628</v>
      </c>
      <c r="GJ71" s="440" t="s">
        <v>628</v>
      </c>
      <c r="GK71" s="440" t="s">
        <v>628</v>
      </c>
      <c r="GL71" s="286">
        <f>AnnualDiversions!$BG63</f>
        <v>12296.800000006155</v>
      </c>
      <c r="GM71" s="291"/>
      <c r="GN71" s="440" t="s">
        <v>628</v>
      </c>
      <c r="GO71" s="440" t="s">
        <v>628</v>
      </c>
      <c r="GP71" s="440" t="s">
        <v>628</v>
      </c>
      <c r="GQ71" s="442" t="s">
        <v>597</v>
      </c>
      <c r="GS71" s="291"/>
      <c r="GU71" s="282">
        <v>1984</v>
      </c>
      <c r="GV71" s="286">
        <f>AnnualAggregations!AA63</f>
        <v>273092.67609098158</v>
      </c>
      <c r="GW71" s="442" t="s">
        <v>597</v>
      </c>
      <c r="GX71" s="286">
        <f>AnnualDivReqs!$AM63</f>
        <v>24160.880683189986</v>
      </c>
      <c r="GY71" s="286">
        <f>AnnualDivReqs!$AK63</f>
        <v>15864.246446422727</v>
      </c>
      <c r="GZ71" s="286">
        <f>AnnualDivReqs!$L63</f>
        <v>1800.0000000000002</v>
      </c>
      <c r="HA71" s="287">
        <f t="shared" si="85"/>
        <v>314917.80322059424</v>
      </c>
      <c r="HB71" s="286">
        <f>AnnualDivReqs!$AO63</f>
        <v>2205.9999999997467</v>
      </c>
      <c r="HC71" s="286">
        <f>AnnualDivReqs!$AY63</f>
        <v>2836.1990950222976</v>
      </c>
      <c r="HD71" s="286">
        <f>AnnualAggregations!$AD63</f>
        <v>54253.718141996833</v>
      </c>
      <c r="HE71" s="286">
        <f>AnnualAggregations!$AE63</f>
        <v>21552.69355380191</v>
      </c>
      <c r="HF71" s="286">
        <f>AnnualAggregations!$AF63</f>
        <v>18500.136459623631</v>
      </c>
      <c r="HG71" s="286">
        <f>AnnualDivReqs!$AL63</f>
        <v>12200.474495846764</v>
      </c>
      <c r="HH71" s="286">
        <f>AnnualDivReqs!$AG63</f>
        <v>17593.101487726592</v>
      </c>
      <c r="HI71" s="286">
        <f>AnnualDivReqs!$AN63</f>
        <v>5864.4354611255812</v>
      </c>
      <c r="HJ71" s="287">
        <f t="shared" si="86"/>
        <v>132800.7586951436</v>
      </c>
      <c r="HK71" s="287">
        <f t="shared" si="87"/>
        <v>449924.56191573758</v>
      </c>
      <c r="HL71" s="286">
        <f>AnnualDivReqs!$AP63</f>
        <v>378.87777777775057</v>
      </c>
      <c r="HM71" s="442" t="s">
        <v>597</v>
      </c>
      <c r="HN71" s="286">
        <f>AnnualDivReqs!$AJ63</f>
        <v>38999.999998983862</v>
      </c>
      <c r="HO71" s="286">
        <f>AnnualDivReqs!$BC63</f>
        <v>16199.999998970494</v>
      </c>
      <c r="HP71" s="286">
        <f>AnnualDivReqs!$J63</f>
        <v>4166.6500000021233</v>
      </c>
      <c r="HQ71" s="286">
        <f>AnnualAggregations!$AG63</f>
        <v>19374.983333335967</v>
      </c>
      <c r="HR71" s="287">
        <f t="shared" si="88"/>
        <v>79120.511109070212</v>
      </c>
      <c r="HS71" s="287">
        <f t="shared" si="89"/>
        <v>79120.511109070198</v>
      </c>
      <c r="HT71" s="287">
        <f t="shared" si="90"/>
        <v>529045.07302480773</v>
      </c>
      <c r="HU71" s="291"/>
      <c r="HV71" s="440" t="s">
        <v>628</v>
      </c>
      <c r="HW71" s="440" t="s">
        <v>628</v>
      </c>
      <c r="HX71" s="440" t="s">
        <v>628</v>
      </c>
      <c r="HY71" s="440" t="s">
        <v>628</v>
      </c>
      <c r="HZ71" s="440" t="s">
        <v>628</v>
      </c>
      <c r="IA71" s="440" t="s">
        <v>628</v>
      </c>
      <c r="IB71" s="440" t="s">
        <v>628</v>
      </c>
      <c r="IC71" s="440" t="s">
        <v>628</v>
      </c>
      <c r="ID71" s="440" t="s">
        <v>628</v>
      </c>
      <c r="IE71" s="440" t="s">
        <v>628</v>
      </c>
      <c r="IF71" s="440" t="s">
        <v>628</v>
      </c>
      <c r="IG71" s="440" t="s">
        <v>628</v>
      </c>
      <c r="IH71" s="440" t="s">
        <v>628</v>
      </c>
      <c r="II71" s="291"/>
      <c r="IJ71" s="440" t="s">
        <v>628</v>
      </c>
      <c r="IK71" s="291"/>
      <c r="IL71" s="286">
        <f>AnnualAggregations!$AB63</f>
        <v>37763.476493275448</v>
      </c>
      <c r="IM71" s="286">
        <f>AnnualAggregations!$Z63</f>
        <v>109067.13000005131</v>
      </c>
      <c r="IN71" s="442" t="s">
        <v>597</v>
      </c>
      <c r="IO71" s="286">
        <f>AnnualAggregations!$AC63</f>
        <v>5000.0000000019463</v>
      </c>
      <c r="IP71" s="442" t="s">
        <v>597</v>
      </c>
      <c r="IQ71" s="440" t="s">
        <v>628</v>
      </c>
      <c r="IR71" s="440" t="s">
        <v>628</v>
      </c>
      <c r="IS71" s="440" t="s">
        <v>628</v>
      </c>
      <c r="IT71" s="440" t="s">
        <v>628</v>
      </c>
      <c r="IU71" s="286">
        <f>AnnualDivReqs!$BG63</f>
        <v>12296.800000006155</v>
      </c>
      <c r="IV71" s="291"/>
      <c r="IW71" s="440" t="s">
        <v>628</v>
      </c>
      <c r="IX71" s="440" t="s">
        <v>628</v>
      </c>
      <c r="IY71" s="440" t="s">
        <v>628</v>
      </c>
      <c r="IZ71" s="442" t="s">
        <v>597</v>
      </c>
    </row>
    <row r="72" spans="1:260" customFormat="1" x14ac:dyDescent="0.25">
      <c r="A72" s="400"/>
      <c r="B72" s="400"/>
      <c r="D72" s="400"/>
      <c r="E72" s="400"/>
      <c r="F72" s="400"/>
      <c r="G72" s="400"/>
      <c r="T72" s="282">
        <v>1985</v>
      </c>
      <c r="U72" s="286">
        <f>AnnualAggregations!$C64</f>
        <v>249695.28810707264</v>
      </c>
      <c r="V72" s="286">
        <f>AnnualDepletions!$BI64</f>
        <v>427.03760217771497</v>
      </c>
      <c r="W72" s="286">
        <f>AnnualDepletions!$AM64</f>
        <v>12099.999999999995</v>
      </c>
      <c r="X72" s="286">
        <f>AnnualDepletions!$AK64</f>
        <v>7969.9999999999991</v>
      </c>
      <c r="Y72" s="286">
        <f>AnnualDepletions!$L64</f>
        <v>899.99999999999955</v>
      </c>
      <c r="Z72" s="287">
        <f t="shared" si="58"/>
        <v>271092.32570925035</v>
      </c>
      <c r="AA72" s="286">
        <f>AnnualDepletions!$AO64</f>
        <v>950.99999999989006</v>
      </c>
      <c r="AB72" s="286">
        <f>AnnualDepletions!$AY64</f>
        <v>1558.9999999998204</v>
      </c>
      <c r="AC72" s="286">
        <f>AnnualAggregations!$F64</f>
        <v>32672.55337840804</v>
      </c>
      <c r="AD72" s="286">
        <f>AnnualAggregations!$G64</f>
        <v>6189.4031566024496</v>
      </c>
      <c r="AE72" s="286">
        <f>AnnualAggregations!$H64</f>
        <v>12235.999999998594</v>
      </c>
      <c r="AF72" s="286">
        <f>AnnualDepletions!$AL64</f>
        <v>10487.99999999879</v>
      </c>
      <c r="AG72" s="286">
        <f>AnnualDepletions!$AG64</f>
        <v>9145.9999999989413</v>
      </c>
      <c r="AH72" s="286">
        <f>AnnualDepletions!$AN64</f>
        <v>2941.9999999996603</v>
      </c>
      <c r="AI72" s="287">
        <f t="shared" si="59"/>
        <v>75232.956535006306</v>
      </c>
      <c r="AJ72" s="287">
        <f t="shared" si="60"/>
        <v>347276.28224425652</v>
      </c>
      <c r="AK72" s="286">
        <f>AnnualDepletions!$AP64</f>
        <v>340.98999999997505</v>
      </c>
      <c r="AL72" s="286">
        <f>AnnualDepletions!$BH64</f>
        <v>29454.930147178286</v>
      </c>
      <c r="AM72" s="286">
        <f>AnnualDepletions!$AJ64</f>
        <v>38999.999998983854</v>
      </c>
      <c r="AN72" s="286">
        <f>AnnualDepletions!$BC64</f>
        <v>16199.99999897049</v>
      </c>
      <c r="AO72" s="286">
        <f>AnnualDepletions!$J64</f>
        <v>2499.9900000012672</v>
      </c>
      <c r="AP72" s="286">
        <f>AnnualAggregations!$I64</f>
        <v>11624.990000001573</v>
      </c>
      <c r="AQ72" s="287">
        <f t="shared" si="61"/>
        <v>69665.96999795716</v>
      </c>
      <c r="AR72" s="287">
        <f t="shared" si="62"/>
        <v>99120.900145135456</v>
      </c>
      <c r="AS72" s="287">
        <f t="shared" si="63"/>
        <v>446397.18238939199</v>
      </c>
      <c r="AT72" s="291"/>
      <c r="AU72" s="321">
        <f ca="1">StateModDepletions_ThisScenario!AC62</f>
        <v>32476.843607448041</v>
      </c>
      <c r="AV72" s="321">
        <f ca="1">StateModDepletions_ThisScenario!AD62</f>
        <v>17145.630445286632</v>
      </c>
      <c r="AW72" s="321">
        <f ca="1">StateModDepletions_ThisScenario!AE62</f>
        <v>116527.26935391128</v>
      </c>
      <c r="AX72" s="321">
        <f ca="1">StateModDepletions_ThisScenario!AB62</f>
        <v>24765.810481309891</v>
      </c>
      <c r="AY72" s="288">
        <f t="shared" ca="1" si="64"/>
        <v>190915.55388795584</v>
      </c>
      <c r="AZ72" s="321">
        <f ca="1">StateModDepletions_ThisScenario!AG62</f>
        <v>51323.072930722017</v>
      </c>
      <c r="BA72" s="321">
        <f ca="1">StateModDepletions_ThisScenario!AF62</f>
        <v>19602.531889423732</v>
      </c>
      <c r="BB72" s="321">
        <f ca="1">StateModDepletions_ThisScenario!AH62</f>
        <v>22288.427311584353</v>
      </c>
      <c r="BC72" s="321">
        <f ca="1">StateModDepletions_ThisScenario!AI62</f>
        <v>22956.222553299976</v>
      </c>
      <c r="BD72" s="321">
        <f ca="1">StateModDepletions_ThisScenario!N62</f>
        <v>1326.6977829933167</v>
      </c>
      <c r="BE72" s="321">
        <f ca="1">StateModDepletions_ThisScenario!V62</f>
        <v>14434.693634986877</v>
      </c>
      <c r="BF72" s="288">
        <f t="shared" ca="1" si="65"/>
        <v>131931.64610301028</v>
      </c>
      <c r="BG72" s="288">
        <f t="shared" ca="1" si="66"/>
        <v>322847.19999096612</v>
      </c>
      <c r="BH72" s="291"/>
      <c r="BI72" s="288">
        <f t="shared" ca="1" si="67"/>
        <v>769244.38238035818</v>
      </c>
      <c r="BJ72" s="291"/>
      <c r="BK72" s="286">
        <f>AnnualAggregations!$D64</f>
        <v>35893.000000000051</v>
      </c>
      <c r="BL72" s="286">
        <f>AnnualAggregations!$B64</f>
        <v>57172.793560968457</v>
      </c>
      <c r="BM72" s="286">
        <f>AnnualDepletions!$BK64</f>
        <v>215995.83302172733</v>
      </c>
      <c r="BN72" s="286">
        <f>AnnualAggregations!$E64</f>
        <v>5000.0000000019172</v>
      </c>
      <c r="BO72" s="287">
        <f t="shared" si="68"/>
        <v>314061.62658269779</v>
      </c>
      <c r="BP72" s="321">
        <f ca="1">StateModDepletions_ThisScenario!Y62</f>
        <v>212.11356273293495</v>
      </c>
      <c r="BQ72" s="321">
        <f ca="1">StateModDepletions_ThisScenario!AJ62</f>
        <v>129903.60119961546</v>
      </c>
      <c r="BR72" s="321">
        <f ca="1">StateModDepletions_ThisScenario!Z62</f>
        <v>190549.91597175598</v>
      </c>
      <c r="BS72" s="321">
        <f ca="1">StateModDepletions_ThisScenario!AA62</f>
        <v>60434.201209407591</v>
      </c>
      <c r="BT72" s="286">
        <f>AnnualDepletions!$BG64</f>
        <v>12296.800000006155</v>
      </c>
      <c r="BU72" s="291"/>
      <c r="BV72" s="287">
        <f t="shared" ca="1" si="69"/>
        <v>1095602.8089630622</v>
      </c>
      <c r="BW72" s="287">
        <f t="shared" ca="1" si="70"/>
        <v>1035168.6077536547</v>
      </c>
      <c r="BX72" s="287">
        <f t="shared" ca="1" si="91"/>
        <v>1050043.6077536547</v>
      </c>
      <c r="BY72" s="287">
        <f>SJRIPSummaryRAW!$B$79</f>
        <v>14875</v>
      </c>
      <c r="CA72" s="291"/>
      <c r="CC72" s="282">
        <v>1985</v>
      </c>
      <c r="CD72" s="286">
        <f>AnnualAggregations!K64</f>
        <v>249695.28810707264</v>
      </c>
      <c r="CE72" s="442" t="s">
        <v>597</v>
      </c>
      <c r="CF72" s="286">
        <f>AnnualDeplReqs!$AM64</f>
        <v>12099.999999999995</v>
      </c>
      <c r="CG72" s="286">
        <f>AnnualDeplReqs!$AK64</f>
        <v>7969.9999999999991</v>
      </c>
      <c r="CH72" s="286">
        <f>AnnualDeplReqs!$L64</f>
        <v>899.99999999999955</v>
      </c>
      <c r="CI72" s="443">
        <f t="shared" si="71"/>
        <v>271092.32570925035</v>
      </c>
      <c r="CJ72" s="286">
        <f>AnnualDeplReqs!$AO64</f>
        <v>950.99999999989006</v>
      </c>
      <c r="CK72" s="286">
        <f>AnnualDeplReqs!$AY64</f>
        <v>1558.9999999998204</v>
      </c>
      <c r="CL72" s="286">
        <f>AnnualAggregations!$N64</f>
        <v>32672.55337840804</v>
      </c>
      <c r="CM72" s="286">
        <f>AnnualAggregations!$O64</f>
        <v>12060.999999998621</v>
      </c>
      <c r="CN72" s="286">
        <f>AnnualAggregations!$P64</f>
        <v>12235.999999998594</v>
      </c>
      <c r="CO72" s="286">
        <f>AnnualDeplReqs!$AL64</f>
        <v>10487.99999999879</v>
      </c>
      <c r="CP72" s="286">
        <f>AnnualDeplReqs!$AG64</f>
        <v>9145.9999999989413</v>
      </c>
      <c r="CQ72" s="286">
        <f>AnnualDeplReqs!$AN64</f>
        <v>2941.9999999996603</v>
      </c>
      <c r="CR72" s="287">
        <f t="shared" si="72"/>
        <v>81104.553378402459</v>
      </c>
      <c r="CS72" s="287">
        <f t="shared" si="73"/>
        <v>353147.87908765266</v>
      </c>
      <c r="CT72" s="286">
        <f>AnnualDeplReqs!$AP64</f>
        <v>340.98999999997505</v>
      </c>
      <c r="CU72" s="442" t="s">
        <v>597</v>
      </c>
      <c r="CV72" s="286">
        <f>AnnualDeplReqs!$AJ64</f>
        <v>38999.999998983854</v>
      </c>
      <c r="CW72" s="286">
        <f>AnnualDeplReqs!$BC64</f>
        <v>16199.99999897049</v>
      </c>
      <c r="CX72" s="286">
        <f>AnnualDeplReqs!$J64</f>
        <v>2499.9900000012672</v>
      </c>
      <c r="CY72" s="286">
        <f>AnnualAggregations!$Q64</f>
        <v>11624.990000001573</v>
      </c>
      <c r="CZ72" s="287">
        <f t="shared" si="74"/>
        <v>69665.96999795716</v>
      </c>
      <c r="DA72" s="443">
        <f t="shared" si="75"/>
        <v>99120.900145135442</v>
      </c>
      <c r="DB72" s="287">
        <f t="shared" si="76"/>
        <v>452268.77923278813</v>
      </c>
      <c r="DC72" s="291"/>
      <c r="DD72" s="440" t="s">
        <v>628</v>
      </c>
      <c r="DE72" s="440" t="s">
        <v>628</v>
      </c>
      <c r="DF72" s="440" t="s">
        <v>628</v>
      </c>
      <c r="DG72" s="440" t="s">
        <v>628</v>
      </c>
      <c r="DH72" s="440" t="s">
        <v>628</v>
      </c>
      <c r="DI72" s="440" t="s">
        <v>628</v>
      </c>
      <c r="DJ72" s="440" t="s">
        <v>628</v>
      </c>
      <c r="DK72" s="440" t="s">
        <v>628</v>
      </c>
      <c r="DL72" s="440" t="s">
        <v>628</v>
      </c>
      <c r="DM72" s="440" t="s">
        <v>628</v>
      </c>
      <c r="DN72" s="440" t="s">
        <v>628</v>
      </c>
      <c r="DO72" s="440" t="s">
        <v>628</v>
      </c>
      <c r="DP72" s="440" t="s">
        <v>628</v>
      </c>
      <c r="DQ72" s="291"/>
      <c r="DR72" s="440" t="s">
        <v>628</v>
      </c>
      <c r="DS72" s="291"/>
      <c r="DT72" s="286">
        <f>AnnualAggregations!$L64</f>
        <v>35893.000000000073</v>
      </c>
      <c r="DU72" s="443">
        <f>AnnualAggregations!$J64</f>
        <v>57172.793560968457</v>
      </c>
      <c r="DV72" s="442" t="s">
        <v>597</v>
      </c>
      <c r="DW72" s="286">
        <f>AnnualAggregations!$M64</f>
        <v>5000.0000000019172</v>
      </c>
      <c r="DX72" s="442" t="s">
        <v>597</v>
      </c>
      <c r="DY72" s="440" t="s">
        <v>628</v>
      </c>
      <c r="DZ72" s="440" t="s">
        <v>628</v>
      </c>
      <c r="EA72" s="440" t="s">
        <v>628</v>
      </c>
      <c r="EB72" s="440" t="s">
        <v>628</v>
      </c>
      <c r="EC72" s="286">
        <f>AnnualDeplReqs!$BG64</f>
        <v>12296.800000006155</v>
      </c>
      <c r="ED72" s="291"/>
      <c r="EE72" s="440" t="s">
        <v>628</v>
      </c>
      <c r="EF72" s="440" t="s">
        <v>628</v>
      </c>
      <c r="EG72" s="440" t="s">
        <v>628</v>
      </c>
      <c r="EH72" s="442" t="s">
        <v>597</v>
      </c>
      <c r="EJ72" s="291"/>
      <c r="EL72" s="282">
        <v>1985</v>
      </c>
      <c r="EM72" s="286">
        <f>AnnualAggregations!S64</f>
        <v>312119.1101338414</v>
      </c>
      <c r="EN72" s="442" t="s">
        <v>597</v>
      </c>
      <c r="EO72" s="286">
        <f>AnnualDiversions!$AM64</f>
        <v>24160.88068319</v>
      </c>
      <c r="EP72" s="286">
        <f>AnnualDiversions!$AK64</f>
        <v>15864.246446422736</v>
      </c>
      <c r="EQ72" s="286">
        <f>AnnualDiversions!$L64</f>
        <v>1799.9999999999991</v>
      </c>
      <c r="ER72" s="287">
        <f t="shared" si="77"/>
        <v>353944.23726345412</v>
      </c>
      <c r="ES72" s="286">
        <f>AnnualDiversions!$AO64</f>
        <v>1901.9999999997801</v>
      </c>
      <c r="ET72" s="286">
        <f>AnnualDiversions!$AY64</f>
        <v>2821.7194570132501</v>
      </c>
      <c r="EU72" s="286">
        <f>AnnualAggregations!$V64</f>
        <v>54844.662114769955</v>
      </c>
      <c r="EV72" s="286">
        <f>AnnualAggregations!$W64</f>
        <v>11425.000710999801</v>
      </c>
      <c r="EW72" s="286">
        <f>AnnualAggregations!$X64</f>
        <v>18756.83339047926</v>
      </c>
      <c r="EX72" s="286">
        <f>AnnualDiversions!$AL64</f>
        <v>12441.281138788599</v>
      </c>
      <c r="EY72" s="286">
        <f>AnnualDiversions!$AG64</f>
        <v>17333.459679709933</v>
      </c>
      <c r="EZ72" s="286">
        <f>AnnualDiversions!$AN64</f>
        <v>5531.6348594522196</v>
      </c>
      <c r="FA72" s="287">
        <f t="shared" si="78"/>
        <v>123154.59135121301</v>
      </c>
      <c r="FB72" s="287">
        <f t="shared" si="79"/>
        <v>479000.82861466688</v>
      </c>
      <c r="FC72" s="286">
        <f>AnnualDiversions!$AP64</f>
        <v>378.87777777775057</v>
      </c>
      <c r="FD72" s="442" t="s">
        <v>597</v>
      </c>
      <c r="FE72" s="286">
        <f>AnnualDiversions!$AJ64</f>
        <v>38999.999998983854</v>
      </c>
      <c r="FF72" s="286">
        <f>AnnualDiversions!$BC64</f>
        <v>16199.99999897049</v>
      </c>
      <c r="FG72" s="286">
        <f>AnnualDiversions!$J64</f>
        <v>4166.6500000021233</v>
      </c>
      <c r="FH72" s="286">
        <f>AnnualAggregations!$Y64</f>
        <v>19374.983333335964</v>
      </c>
      <c r="FI72" s="287">
        <f t="shared" si="80"/>
        <v>79120.511109070183</v>
      </c>
      <c r="FJ72" s="287">
        <f t="shared" si="81"/>
        <v>79120.511109070183</v>
      </c>
      <c r="FK72" s="287">
        <f t="shared" si="82"/>
        <v>558121.3397237371</v>
      </c>
      <c r="FL72" s="291"/>
      <c r="FM72" s="440" t="s">
        <v>628</v>
      </c>
      <c r="FN72" s="440" t="s">
        <v>628</v>
      </c>
      <c r="FO72" s="440" t="s">
        <v>628</v>
      </c>
      <c r="FP72" s="440" t="s">
        <v>628</v>
      </c>
      <c r="FQ72" s="440" t="s">
        <v>628</v>
      </c>
      <c r="FR72" s="440" t="s">
        <v>628</v>
      </c>
      <c r="FS72" s="440" t="s">
        <v>628</v>
      </c>
      <c r="FT72" s="440" t="s">
        <v>628</v>
      </c>
      <c r="FU72" s="440" t="s">
        <v>628</v>
      </c>
      <c r="FV72" s="440" t="s">
        <v>628</v>
      </c>
      <c r="FW72" s="440" t="s">
        <v>628</v>
      </c>
      <c r="FX72" s="440" t="s">
        <v>628</v>
      </c>
      <c r="FY72" s="440" t="s">
        <v>628</v>
      </c>
      <c r="FZ72" s="291"/>
      <c r="GA72" s="440" t="s">
        <v>628</v>
      </c>
      <c r="GB72" s="291"/>
      <c r="GC72" s="286">
        <f>AnnualAggregations!$T64</f>
        <v>37764.238566617612</v>
      </c>
      <c r="GD72" s="286">
        <f>AnnualAggregations!$R64</f>
        <v>109067.13000005133</v>
      </c>
      <c r="GE72" s="443">
        <f t="shared" si="83"/>
        <v>215995.83302172733</v>
      </c>
      <c r="GF72" s="286">
        <f>AnnualAggregations!$U64</f>
        <v>5000.0000000019172</v>
      </c>
      <c r="GG72" s="287">
        <f t="shared" si="84"/>
        <v>367827.20158839819</v>
      </c>
      <c r="GH72" s="440" t="s">
        <v>628</v>
      </c>
      <c r="GI72" s="440" t="s">
        <v>628</v>
      </c>
      <c r="GJ72" s="440" t="s">
        <v>628</v>
      </c>
      <c r="GK72" s="440" t="s">
        <v>628</v>
      </c>
      <c r="GL72" s="286">
        <f>AnnualDiversions!$BG64</f>
        <v>12296.800000006155</v>
      </c>
      <c r="GM72" s="291"/>
      <c r="GN72" s="440" t="s">
        <v>628</v>
      </c>
      <c r="GO72" s="440" t="s">
        <v>628</v>
      </c>
      <c r="GP72" s="440" t="s">
        <v>628</v>
      </c>
      <c r="GQ72" s="442" t="s">
        <v>597</v>
      </c>
      <c r="GS72" s="291"/>
      <c r="GU72" s="282">
        <v>1985</v>
      </c>
      <c r="GV72" s="286">
        <f>AnnualAggregations!AA64</f>
        <v>312119.1101338414</v>
      </c>
      <c r="GW72" s="442" t="s">
        <v>597</v>
      </c>
      <c r="GX72" s="286">
        <f>AnnualDivReqs!$AM64</f>
        <v>24160.88068319</v>
      </c>
      <c r="GY72" s="286">
        <f>AnnualDivReqs!$AK64</f>
        <v>15864.246446422736</v>
      </c>
      <c r="GZ72" s="286">
        <f>AnnualDivReqs!$L64</f>
        <v>1799.9999999999991</v>
      </c>
      <c r="HA72" s="287">
        <f t="shared" si="85"/>
        <v>353944.23726345412</v>
      </c>
      <c r="HB72" s="286">
        <f>AnnualDivReqs!$AO64</f>
        <v>1901.9999999997801</v>
      </c>
      <c r="HC72" s="286">
        <f>AnnualDivReqs!$AY64</f>
        <v>2821.7194570132501</v>
      </c>
      <c r="HD72" s="286">
        <f>AnnualAggregations!$AD64</f>
        <v>54844.662114769955</v>
      </c>
      <c r="HE72" s="286">
        <f>AnnualAggregations!$AE64</f>
        <v>21601.811254365861</v>
      </c>
      <c r="HF72" s="286">
        <f>AnnualAggregations!$AF64</f>
        <v>18756.83339047926</v>
      </c>
      <c r="HG72" s="286">
        <f>AnnualDivReqs!$AL64</f>
        <v>12441.281138788599</v>
      </c>
      <c r="HH72" s="286">
        <f>AnnualDivReqs!$AG64</f>
        <v>17333.459679709933</v>
      </c>
      <c r="HI72" s="286">
        <f>AnnualDivReqs!$AN64</f>
        <v>5531.6348594522196</v>
      </c>
      <c r="HJ72" s="287">
        <f t="shared" si="86"/>
        <v>133331.40189457909</v>
      </c>
      <c r="HK72" s="287">
        <f t="shared" si="87"/>
        <v>489177.63915803295</v>
      </c>
      <c r="HL72" s="286">
        <f>AnnualDivReqs!$AP64</f>
        <v>378.87777777775057</v>
      </c>
      <c r="HM72" s="442" t="s">
        <v>597</v>
      </c>
      <c r="HN72" s="286">
        <f>AnnualDivReqs!$AJ64</f>
        <v>38999.999998983854</v>
      </c>
      <c r="HO72" s="286">
        <f>AnnualDivReqs!$BC64</f>
        <v>16199.99999897049</v>
      </c>
      <c r="HP72" s="286">
        <f>AnnualDivReqs!$J64</f>
        <v>4166.6500000021233</v>
      </c>
      <c r="HQ72" s="286">
        <f>AnnualAggregations!$AG64</f>
        <v>19374.983333335964</v>
      </c>
      <c r="HR72" s="287">
        <f t="shared" si="88"/>
        <v>79120.511109070183</v>
      </c>
      <c r="HS72" s="287">
        <f t="shared" si="89"/>
        <v>79120.511109070183</v>
      </c>
      <c r="HT72" s="287">
        <f t="shared" si="90"/>
        <v>568298.1502671031</v>
      </c>
      <c r="HU72" s="291"/>
      <c r="HV72" s="440" t="s">
        <v>628</v>
      </c>
      <c r="HW72" s="440" t="s">
        <v>628</v>
      </c>
      <c r="HX72" s="440" t="s">
        <v>628</v>
      </c>
      <c r="HY72" s="440" t="s">
        <v>628</v>
      </c>
      <c r="HZ72" s="440" t="s">
        <v>628</v>
      </c>
      <c r="IA72" s="440" t="s">
        <v>628</v>
      </c>
      <c r="IB72" s="440" t="s">
        <v>628</v>
      </c>
      <c r="IC72" s="440" t="s">
        <v>628</v>
      </c>
      <c r="ID72" s="440" t="s">
        <v>628</v>
      </c>
      <c r="IE72" s="440" t="s">
        <v>628</v>
      </c>
      <c r="IF72" s="440" t="s">
        <v>628</v>
      </c>
      <c r="IG72" s="440" t="s">
        <v>628</v>
      </c>
      <c r="IH72" s="440" t="s">
        <v>628</v>
      </c>
      <c r="II72" s="291"/>
      <c r="IJ72" s="440" t="s">
        <v>628</v>
      </c>
      <c r="IK72" s="291"/>
      <c r="IL72" s="286">
        <f>AnnualAggregations!$AB64</f>
        <v>37764.238566617634</v>
      </c>
      <c r="IM72" s="286">
        <f>AnnualAggregations!$Z64</f>
        <v>109067.13000005133</v>
      </c>
      <c r="IN72" s="442" t="s">
        <v>597</v>
      </c>
      <c r="IO72" s="286">
        <f>AnnualAggregations!$AC64</f>
        <v>5000.0000000019172</v>
      </c>
      <c r="IP72" s="442" t="s">
        <v>597</v>
      </c>
      <c r="IQ72" s="440" t="s">
        <v>628</v>
      </c>
      <c r="IR72" s="440" t="s">
        <v>628</v>
      </c>
      <c r="IS72" s="440" t="s">
        <v>628</v>
      </c>
      <c r="IT72" s="440" t="s">
        <v>628</v>
      </c>
      <c r="IU72" s="286">
        <f>AnnualDivReqs!$BG64</f>
        <v>12296.800000006155</v>
      </c>
      <c r="IV72" s="291"/>
      <c r="IW72" s="440" t="s">
        <v>628</v>
      </c>
      <c r="IX72" s="440" t="s">
        <v>628</v>
      </c>
      <c r="IY72" s="440" t="s">
        <v>628</v>
      </c>
      <c r="IZ72" s="442" t="s">
        <v>597</v>
      </c>
    </row>
    <row r="73" spans="1:260" x14ac:dyDescent="0.25">
      <c r="T73" s="282">
        <v>1986</v>
      </c>
      <c r="U73" s="286">
        <f>AnnualAggregations!$C65</f>
        <v>207797.03008561779</v>
      </c>
      <c r="V73" s="286">
        <f>AnnualDepletions!$BI65</f>
        <v>-7952.6140021133169</v>
      </c>
      <c r="W73" s="286">
        <f>AnnualDepletions!$AM65</f>
        <v>12099.999999999996</v>
      </c>
      <c r="X73" s="286">
        <f>AnnualDepletions!$AK65</f>
        <v>7820.0034710919263</v>
      </c>
      <c r="Y73" s="286">
        <f>AnnualDepletions!$L65</f>
        <v>899.99999999999841</v>
      </c>
      <c r="Z73" s="287">
        <f t="shared" si="58"/>
        <v>220664.41955459639</v>
      </c>
      <c r="AA73" s="286">
        <f>AnnualDepletions!$AO65</f>
        <v>1112.999999999872</v>
      </c>
      <c r="AB73" s="286">
        <f>AnnualDepletions!$AY65</f>
        <v>1353.9999999998431</v>
      </c>
      <c r="AC73" s="286">
        <f>AnnualAggregations!$F65</f>
        <v>26360.999999996944</v>
      </c>
      <c r="AD73" s="286">
        <f>AnnualAggregations!$G65</f>
        <v>8965.8565144055046</v>
      </c>
      <c r="AE73" s="286">
        <f>AnnualAggregations!$H65</f>
        <v>10570.999999998776</v>
      </c>
      <c r="AF73" s="286">
        <f>AnnualDepletions!$AL65</f>
        <v>9007.9999999989632</v>
      </c>
      <c r="AG73" s="286">
        <f>AnnualDepletions!$AG65</f>
        <v>7793.9999999991051</v>
      </c>
      <c r="AH73" s="286">
        <f>AnnualDepletions!$AN65</f>
        <v>2645.9999999996958</v>
      </c>
      <c r="AI73" s="287">
        <f t="shared" si="59"/>
        <v>66699.856514398838</v>
      </c>
      <c r="AJ73" s="287">
        <f t="shared" si="60"/>
        <v>288477.27606899512</v>
      </c>
      <c r="AK73" s="286">
        <f>AnnualDepletions!$AP65</f>
        <v>340.98999999997505</v>
      </c>
      <c r="AL73" s="286">
        <f>AnnualDepletions!$BH65</f>
        <v>28671.719147677515</v>
      </c>
      <c r="AM73" s="286">
        <f>AnnualDepletions!$AJ65</f>
        <v>38999.999998983854</v>
      </c>
      <c r="AN73" s="286">
        <f>AnnualDepletions!$BC65</f>
        <v>16199.99999897049</v>
      </c>
      <c r="AO73" s="286">
        <f>AnnualDepletions!$J65</f>
        <v>2499.9900000012672</v>
      </c>
      <c r="AP73" s="286">
        <f>AnnualAggregations!$I65</f>
        <v>11624.990000001573</v>
      </c>
      <c r="AQ73" s="287">
        <f t="shared" si="61"/>
        <v>69665.96999795716</v>
      </c>
      <c r="AR73" s="287">
        <f t="shared" si="62"/>
        <v>98337.689145634693</v>
      </c>
      <c r="AS73" s="287">
        <f t="shared" si="63"/>
        <v>386814.96521462983</v>
      </c>
      <c r="AU73" s="321">
        <f ca="1">StateModDepletions_ThisScenario!AC63</f>
        <v>29282.853666007519</v>
      </c>
      <c r="AV73" s="321">
        <f ca="1">StateModDepletions_ThisScenario!AD63</f>
        <v>16178.618482753634</v>
      </c>
      <c r="AW73" s="321">
        <f ca="1">StateModDepletions_ThisScenario!AE63</f>
        <v>92134.841502614319</v>
      </c>
      <c r="AX73" s="321">
        <f ca="1">StateModDepletions_ThisScenario!AB63</f>
        <v>24765.810481309891</v>
      </c>
      <c r="AY73" s="288">
        <f t="shared" ca="1" si="64"/>
        <v>162362.12413268536</v>
      </c>
      <c r="AZ73" s="321">
        <f ca="1">StateModDepletions_ThisScenario!AG63</f>
        <v>41496.105138777275</v>
      </c>
      <c r="BA73" s="321">
        <f ca="1">StateModDepletions_ThisScenario!AF63</f>
        <v>16434.559387624256</v>
      </c>
      <c r="BB73" s="321">
        <f ca="1">StateModDepletions_ThisScenario!AH63</f>
        <v>19467.981129698455</v>
      </c>
      <c r="BC73" s="321">
        <f ca="1">StateModDepletions_ThisScenario!AI63</f>
        <v>22345.182042882963</v>
      </c>
      <c r="BD73" s="321">
        <f ca="1">StateModDepletions_ThisScenario!N63</f>
        <v>1326.6977829933167</v>
      </c>
      <c r="BE73" s="321">
        <f ca="1">StateModDepletions_ThisScenario!V63</f>
        <v>15846.953511238098</v>
      </c>
      <c r="BF73" s="288">
        <f t="shared" ca="1" si="65"/>
        <v>116917.47899321436</v>
      </c>
      <c r="BG73" s="288">
        <f t="shared" ca="1" si="66"/>
        <v>279279.60312589974</v>
      </c>
      <c r="BI73" s="288">
        <f t="shared" ca="1" si="67"/>
        <v>666094.56834052957</v>
      </c>
      <c r="BK73" s="286">
        <f>AnnualAggregations!$D65</f>
        <v>35893.000000000044</v>
      </c>
      <c r="BL73" s="286">
        <f>AnnualAggregations!$B65</f>
        <v>57174.024543631749</v>
      </c>
      <c r="BM73" s="286">
        <f>AnnualDepletions!$BK65</f>
        <v>129968.25089895114</v>
      </c>
      <c r="BN73" s="286">
        <f>AnnualAggregations!$E65</f>
        <v>5000.0000000019172</v>
      </c>
      <c r="BO73" s="287">
        <f t="shared" si="68"/>
        <v>228035.27544258485</v>
      </c>
      <c r="BP73" s="321">
        <f ca="1">StateModDepletions_ThisScenario!Y63</f>
        <v>212.11356273293495</v>
      </c>
      <c r="BQ73" s="321">
        <f ca="1">StateModDepletions_ThisScenario!AJ63</f>
        <v>111936.52133897044</v>
      </c>
      <c r="BR73" s="321">
        <f ca="1">StateModDepletions_ThisScenario!Z63</f>
        <v>187832.17130088806</v>
      </c>
      <c r="BS73" s="321">
        <f ca="1">StateModDepletions_ThisScenario!AA63</f>
        <v>75683.536399184683</v>
      </c>
      <c r="BT73" s="286">
        <f>AnnualDepletions!$BG65</f>
        <v>12296.800000006155</v>
      </c>
      <c r="BV73" s="287">
        <f t="shared" ca="1" si="69"/>
        <v>906426.64378312055</v>
      </c>
      <c r="BW73" s="287">
        <f t="shared" ca="1" si="70"/>
        <v>830743.10738393583</v>
      </c>
      <c r="BX73" s="287">
        <f t="shared" ca="1" si="91"/>
        <v>845618.10738393583</v>
      </c>
      <c r="BY73" s="287">
        <f>SJRIPSummaryRAW!$B$79</f>
        <v>14875</v>
      </c>
      <c r="CC73" s="282">
        <v>1986</v>
      </c>
      <c r="CD73" s="286">
        <f>AnnualAggregations!K65</f>
        <v>207797.03008561779</v>
      </c>
      <c r="CE73" s="442" t="s">
        <v>597</v>
      </c>
      <c r="CF73" s="286">
        <f>AnnualDeplReqs!$AM65</f>
        <v>12099.999999999996</v>
      </c>
      <c r="CG73" s="286">
        <f>AnnualDeplReqs!$AK65</f>
        <v>7820.0034710919263</v>
      </c>
      <c r="CH73" s="286">
        <f>AnnualDeplReqs!$L65</f>
        <v>899.99999999999841</v>
      </c>
      <c r="CI73" s="443">
        <f t="shared" si="71"/>
        <v>220664.41955459639</v>
      </c>
      <c r="CJ73" s="286">
        <f>AnnualDeplReqs!$AO65</f>
        <v>1112.999999999872</v>
      </c>
      <c r="CK73" s="286">
        <f>AnnualDeplReqs!$AY65</f>
        <v>1353.9999999998431</v>
      </c>
      <c r="CL73" s="286">
        <f>AnnualAggregations!$N65</f>
        <v>26360.999999996944</v>
      </c>
      <c r="CM73" s="286">
        <f>AnnualAggregations!$O65</f>
        <v>9617.9999999988886</v>
      </c>
      <c r="CN73" s="286">
        <f>AnnualAggregations!$P65</f>
        <v>10570.999999998776</v>
      </c>
      <c r="CO73" s="286">
        <f>AnnualDeplReqs!$AL65</f>
        <v>9007.9999999989632</v>
      </c>
      <c r="CP73" s="286">
        <f>AnnualDeplReqs!$AG65</f>
        <v>7793.9999999991051</v>
      </c>
      <c r="CQ73" s="286">
        <f>AnnualDeplReqs!$AN65</f>
        <v>2645.9999999996958</v>
      </c>
      <c r="CR73" s="287">
        <f t="shared" si="72"/>
        <v>67351.999999992229</v>
      </c>
      <c r="CS73" s="287">
        <f t="shared" si="73"/>
        <v>289129.4195545885</v>
      </c>
      <c r="CT73" s="286">
        <f>AnnualDeplReqs!$AP65</f>
        <v>340.98999999997505</v>
      </c>
      <c r="CU73" s="442" t="s">
        <v>597</v>
      </c>
      <c r="CV73" s="286">
        <f>AnnualDeplReqs!$AJ65</f>
        <v>38999.999998983854</v>
      </c>
      <c r="CW73" s="286">
        <f>AnnualDeplReqs!$BC65</f>
        <v>16199.99999897049</v>
      </c>
      <c r="CX73" s="286">
        <f>AnnualDeplReqs!$J65</f>
        <v>2499.9900000012672</v>
      </c>
      <c r="CY73" s="286">
        <f>AnnualAggregations!$Q65</f>
        <v>11624.990000001573</v>
      </c>
      <c r="CZ73" s="287">
        <f t="shared" si="74"/>
        <v>69665.96999795716</v>
      </c>
      <c r="DA73" s="443">
        <f t="shared" si="75"/>
        <v>98337.689145634678</v>
      </c>
      <c r="DB73" s="287">
        <f t="shared" si="76"/>
        <v>387467.10870022315</v>
      </c>
      <c r="DD73" s="440" t="s">
        <v>628</v>
      </c>
      <c r="DE73" s="440" t="s">
        <v>628</v>
      </c>
      <c r="DF73" s="440" t="s">
        <v>628</v>
      </c>
      <c r="DG73" s="440" t="s">
        <v>628</v>
      </c>
      <c r="DH73" s="440" t="s">
        <v>628</v>
      </c>
      <c r="DI73" s="440" t="s">
        <v>628</v>
      </c>
      <c r="DJ73" s="440" t="s">
        <v>628</v>
      </c>
      <c r="DK73" s="440" t="s">
        <v>628</v>
      </c>
      <c r="DL73" s="440" t="s">
        <v>628</v>
      </c>
      <c r="DM73" s="440" t="s">
        <v>628</v>
      </c>
      <c r="DN73" s="440" t="s">
        <v>628</v>
      </c>
      <c r="DO73" s="440" t="s">
        <v>628</v>
      </c>
      <c r="DP73" s="440" t="s">
        <v>628</v>
      </c>
      <c r="DR73" s="440" t="s">
        <v>628</v>
      </c>
      <c r="DT73" s="286">
        <f>AnnualAggregations!$L65</f>
        <v>35893.000000000073</v>
      </c>
      <c r="DU73" s="443">
        <f>AnnualAggregations!$J65</f>
        <v>57174.024543631749</v>
      </c>
      <c r="DV73" s="442" t="s">
        <v>597</v>
      </c>
      <c r="DW73" s="286">
        <f>AnnualAggregations!$M65</f>
        <v>5000.0000000019172</v>
      </c>
      <c r="DX73" s="442" t="s">
        <v>597</v>
      </c>
      <c r="DY73" s="440" t="s">
        <v>628</v>
      </c>
      <c r="DZ73" s="440" t="s">
        <v>628</v>
      </c>
      <c r="EA73" s="440" t="s">
        <v>628</v>
      </c>
      <c r="EB73" s="440" t="s">
        <v>628</v>
      </c>
      <c r="EC73" s="286">
        <f>AnnualDeplReqs!$BG65</f>
        <v>12296.800000006155</v>
      </c>
      <c r="EE73" s="440" t="s">
        <v>628</v>
      </c>
      <c r="EF73" s="440" t="s">
        <v>628</v>
      </c>
      <c r="EG73" s="440" t="s">
        <v>628</v>
      </c>
      <c r="EH73" s="442" t="s">
        <v>597</v>
      </c>
      <c r="EL73" s="282">
        <v>1986</v>
      </c>
      <c r="EM73" s="286">
        <f>AnnualAggregations!S65</f>
        <v>259746.28760702224</v>
      </c>
      <c r="EN73" s="442" t="s">
        <v>597</v>
      </c>
      <c r="EO73" s="286">
        <f>AnnualDiversions!$AM65</f>
        <v>24160.880683189982</v>
      </c>
      <c r="EP73" s="286">
        <f>AnnualDiversions!$AK65</f>
        <v>15565.679081214977</v>
      </c>
      <c r="EQ73" s="286">
        <f>AnnualDiversions!$L65</f>
        <v>1799.9999999999968</v>
      </c>
      <c r="ER73" s="287">
        <f t="shared" si="77"/>
        <v>301272.84737142723</v>
      </c>
      <c r="ES73" s="286">
        <f>AnnualDiversions!$AO65</f>
        <v>2225.999999999744</v>
      </c>
      <c r="ET73" s="286">
        <f>AnnualDiversions!$AY65</f>
        <v>2450.6787330313923</v>
      </c>
      <c r="EU73" s="286">
        <f>AnnualAggregations!$V65</f>
        <v>44249.607068876925</v>
      </c>
      <c r="EV73" s="286">
        <f>AnnualAggregations!$W65</f>
        <v>16506.172143616677</v>
      </c>
      <c r="EW73" s="286">
        <f>AnnualAggregations!$X65</f>
        <v>16204.071533288843</v>
      </c>
      <c r="EX73" s="286">
        <f>AnnualDiversions!$AL65</f>
        <v>10685.646500591884</v>
      </c>
      <c r="EY73" s="286">
        <f>AnnualDiversions!$AG65</f>
        <v>14771.155121764625</v>
      </c>
      <c r="EZ73" s="286">
        <f>AnnualDiversions!$AN65</f>
        <v>4975.0869606086162</v>
      </c>
      <c r="FA73" s="287">
        <f t="shared" si="78"/>
        <v>109842.41806177897</v>
      </c>
      <c r="FB73" s="287">
        <f t="shared" si="79"/>
        <v>413341.26543320599</v>
      </c>
      <c r="FC73" s="286">
        <f>AnnualDiversions!$AP65</f>
        <v>378.87777777775057</v>
      </c>
      <c r="FD73" s="442" t="s">
        <v>597</v>
      </c>
      <c r="FE73" s="286">
        <f>AnnualDiversions!$AJ65</f>
        <v>38999.999998983854</v>
      </c>
      <c r="FF73" s="286">
        <f>AnnualDiversions!$BC65</f>
        <v>16199.99999897049</v>
      </c>
      <c r="FG73" s="286">
        <f>AnnualDiversions!$J65</f>
        <v>4166.6500000021233</v>
      </c>
      <c r="FH73" s="286">
        <f>AnnualAggregations!$Y65</f>
        <v>19374.983333335964</v>
      </c>
      <c r="FI73" s="287">
        <f t="shared" si="80"/>
        <v>79120.511109070183</v>
      </c>
      <c r="FJ73" s="287">
        <f t="shared" si="81"/>
        <v>79120.511109070183</v>
      </c>
      <c r="FK73" s="287">
        <f t="shared" si="82"/>
        <v>492461.77654227614</v>
      </c>
      <c r="FM73" s="440" t="s">
        <v>628</v>
      </c>
      <c r="FN73" s="440" t="s">
        <v>628</v>
      </c>
      <c r="FO73" s="440" t="s">
        <v>628</v>
      </c>
      <c r="FP73" s="440" t="s">
        <v>628</v>
      </c>
      <c r="FQ73" s="440" t="s">
        <v>628</v>
      </c>
      <c r="FR73" s="440" t="s">
        <v>628</v>
      </c>
      <c r="FS73" s="440" t="s">
        <v>628</v>
      </c>
      <c r="FT73" s="440" t="s">
        <v>628</v>
      </c>
      <c r="FU73" s="440" t="s">
        <v>628</v>
      </c>
      <c r="FV73" s="440" t="s">
        <v>628</v>
      </c>
      <c r="FW73" s="440" t="s">
        <v>628</v>
      </c>
      <c r="FX73" s="440" t="s">
        <v>628</v>
      </c>
      <c r="FY73" s="440" t="s">
        <v>628</v>
      </c>
      <c r="GA73" s="440" t="s">
        <v>628</v>
      </c>
      <c r="GC73" s="286">
        <f>AnnualAggregations!$T65</f>
        <v>37764.238566617605</v>
      </c>
      <c r="GD73" s="286">
        <f>AnnualAggregations!$R65</f>
        <v>109067.13000005133</v>
      </c>
      <c r="GE73" s="443">
        <f t="shared" si="83"/>
        <v>129968.25089895114</v>
      </c>
      <c r="GF73" s="286">
        <f>AnnualAggregations!$U65</f>
        <v>5000.0000000019172</v>
      </c>
      <c r="GG73" s="287">
        <f t="shared" si="84"/>
        <v>281799.619465622</v>
      </c>
      <c r="GH73" s="440" t="s">
        <v>628</v>
      </c>
      <c r="GI73" s="440" t="s">
        <v>628</v>
      </c>
      <c r="GJ73" s="440" t="s">
        <v>628</v>
      </c>
      <c r="GK73" s="440" t="s">
        <v>628</v>
      </c>
      <c r="GL73" s="286">
        <f>AnnualDiversions!$BG65</f>
        <v>12296.800000006155</v>
      </c>
      <c r="GN73" s="440" t="s">
        <v>628</v>
      </c>
      <c r="GO73" s="440" t="s">
        <v>628</v>
      </c>
      <c r="GP73" s="440" t="s">
        <v>628</v>
      </c>
      <c r="GQ73" s="442" t="s">
        <v>597</v>
      </c>
      <c r="GU73" s="282">
        <v>1986</v>
      </c>
      <c r="GV73" s="286">
        <f>AnnualAggregations!AA65</f>
        <v>259746.28760702224</v>
      </c>
      <c r="GW73" s="442" t="s">
        <v>597</v>
      </c>
      <c r="GX73" s="286">
        <f>AnnualDivReqs!$AM65</f>
        <v>24160.880683189982</v>
      </c>
      <c r="GY73" s="286">
        <f>AnnualDivReqs!$AK65</f>
        <v>15565.679081214977</v>
      </c>
      <c r="GZ73" s="286">
        <f>AnnualDivReqs!$L65</f>
        <v>1799.9999999999968</v>
      </c>
      <c r="HA73" s="287">
        <f t="shared" si="85"/>
        <v>301272.84737142723</v>
      </c>
      <c r="HB73" s="286">
        <f>AnnualDivReqs!$AO65</f>
        <v>2225.999999999744</v>
      </c>
      <c r="HC73" s="286">
        <f>AnnualDivReqs!$AY65</f>
        <v>2450.6787330313923</v>
      </c>
      <c r="HD73" s="286">
        <f>AnnualAggregations!$AD65</f>
        <v>44249.607068876925</v>
      </c>
      <c r="HE73" s="286">
        <f>AnnualAggregations!$AE65</f>
        <v>17223.998571391996</v>
      </c>
      <c r="HF73" s="286">
        <f>AnnualAggregations!$AF65</f>
        <v>16204.071533288843</v>
      </c>
      <c r="HG73" s="286">
        <f>AnnualDivReqs!$AL65</f>
        <v>10685.646500591884</v>
      </c>
      <c r="HH73" s="286">
        <f>AnnualDivReqs!$AG65</f>
        <v>14771.155121764625</v>
      </c>
      <c r="HI73" s="286">
        <f>AnnualDivReqs!$AN65</f>
        <v>4975.0869606086162</v>
      </c>
      <c r="HJ73" s="287">
        <f t="shared" si="86"/>
        <v>110560.24448955429</v>
      </c>
      <c r="HK73" s="287">
        <f t="shared" si="87"/>
        <v>414059.09186098131</v>
      </c>
      <c r="HL73" s="286">
        <f>AnnualDivReqs!$AP65</f>
        <v>378.87777777775057</v>
      </c>
      <c r="HM73" s="442" t="s">
        <v>597</v>
      </c>
      <c r="HN73" s="286">
        <f>AnnualDivReqs!$AJ65</f>
        <v>38999.999998983854</v>
      </c>
      <c r="HO73" s="286">
        <f>AnnualDivReqs!$BC65</f>
        <v>16199.99999897049</v>
      </c>
      <c r="HP73" s="286">
        <f>AnnualDivReqs!$J65</f>
        <v>4166.6500000021233</v>
      </c>
      <c r="HQ73" s="286">
        <f>AnnualAggregations!$AG65</f>
        <v>19374.983333335964</v>
      </c>
      <c r="HR73" s="287">
        <f t="shared" si="88"/>
        <v>79120.511109070183</v>
      </c>
      <c r="HS73" s="287">
        <f t="shared" si="89"/>
        <v>79120.511109070183</v>
      </c>
      <c r="HT73" s="287">
        <f t="shared" si="90"/>
        <v>493179.60297005146</v>
      </c>
      <c r="HV73" s="440" t="s">
        <v>628</v>
      </c>
      <c r="HW73" s="440" t="s">
        <v>628</v>
      </c>
      <c r="HX73" s="440" t="s">
        <v>628</v>
      </c>
      <c r="HY73" s="440" t="s">
        <v>628</v>
      </c>
      <c r="HZ73" s="440" t="s">
        <v>628</v>
      </c>
      <c r="IA73" s="440" t="s">
        <v>628</v>
      </c>
      <c r="IB73" s="440" t="s">
        <v>628</v>
      </c>
      <c r="IC73" s="440" t="s">
        <v>628</v>
      </c>
      <c r="ID73" s="440" t="s">
        <v>628</v>
      </c>
      <c r="IE73" s="440" t="s">
        <v>628</v>
      </c>
      <c r="IF73" s="440" t="s">
        <v>628</v>
      </c>
      <c r="IG73" s="440" t="s">
        <v>628</v>
      </c>
      <c r="IH73" s="440" t="s">
        <v>628</v>
      </c>
      <c r="IJ73" s="440" t="s">
        <v>628</v>
      </c>
      <c r="IL73" s="286">
        <f>AnnualAggregations!$AB65</f>
        <v>37764.238566617634</v>
      </c>
      <c r="IM73" s="286">
        <f>AnnualAggregations!$Z65</f>
        <v>109067.13000005133</v>
      </c>
      <c r="IN73" s="442" t="s">
        <v>597</v>
      </c>
      <c r="IO73" s="286">
        <f>AnnualAggregations!$AC65</f>
        <v>5000.0000000019172</v>
      </c>
      <c r="IP73" s="442" t="s">
        <v>597</v>
      </c>
      <c r="IQ73" s="440" t="s">
        <v>628</v>
      </c>
      <c r="IR73" s="440" t="s">
        <v>628</v>
      </c>
      <c r="IS73" s="440" t="s">
        <v>628</v>
      </c>
      <c r="IT73" s="440" t="s">
        <v>628</v>
      </c>
      <c r="IU73" s="286">
        <f>AnnualDivReqs!$BG65</f>
        <v>12296.800000006155</v>
      </c>
      <c r="IW73" s="440" t="s">
        <v>628</v>
      </c>
      <c r="IX73" s="440" t="s">
        <v>628</v>
      </c>
      <c r="IY73" s="440" t="s">
        <v>628</v>
      </c>
      <c r="IZ73" s="442" t="s">
        <v>597</v>
      </c>
    </row>
    <row r="74" spans="1:260" x14ac:dyDescent="0.25">
      <c r="T74" s="282">
        <v>1987</v>
      </c>
      <c r="U74" s="286">
        <f>AnnualAggregations!$C66</f>
        <v>254390.78611477971</v>
      </c>
      <c r="V74" s="286">
        <f>AnnualDepletions!$BI66</f>
        <v>1366.1372037191627</v>
      </c>
      <c r="W74" s="286">
        <f>AnnualDepletions!$AM66</f>
        <v>12099.999999999993</v>
      </c>
      <c r="X74" s="286">
        <f>AnnualDepletions!$AK66</f>
        <v>7970.0000000000045</v>
      </c>
      <c r="Y74" s="286">
        <f>AnnualDepletions!$L66</f>
        <v>899.99999999999898</v>
      </c>
      <c r="Z74" s="287">
        <f t="shared" si="58"/>
        <v>276726.92331849888</v>
      </c>
      <c r="AA74" s="286">
        <f>AnnualDepletions!$AO66</f>
        <v>1262.9999999998547</v>
      </c>
      <c r="AB74" s="286">
        <f>AnnualDepletions!$AY66</f>
        <v>1773.9999999997951</v>
      </c>
      <c r="AC74" s="286">
        <f>AnnualAggregations!$F66</f>
        <v>32686.015783555093</v>
      </c>
      <c r="AD74" s="286">
        <f>AnnualAggregations!$G66</f>
        <v>6821.8007601757281</v>
      </c>
      <c r="AE74" s="286">
        <f>AnnualAggregations!$H66</f>
        <v>12251.999999998588</v>
      </c>
      <c r="AF74" s="286">
        <f>AnnualDepletions!$AL66</f>
        <v>10445.999999998801</v>
      </c>
      <c r="AG74" s="286">
        <f>AnnualDepletions!$AG66</f>
        <v>8978.9999999989741</v>
      </c>
      <c r="AH74" s="286">
        <f>AnnualDepletions!$AN66</f>
        <v>2935.999999999663</v>
      </c>
      <c r="AI74" s="287">
        <f t="shared" si="59"/>
        <v>75894.816543726643</v>
      </c>
      <c r="AJ74" s="287">
        <f t="shared" si="60"/>
        <v>353884.73986222543</v>
      </c>
      <c r="AK74" s="286">
        <f>AnnualDepletions!$AP66</f>
        <v>340.98999999997505</v>
      </c>
      <c r="AL74" s="286">
        <f>AnnualDepletions!$BH66</f>
        <v>29559.913756059403</v>
      </c>
      <c r="AM74" s="286">
        <f>AnnualDepletions!$AJ66</f>
        <v>38999.999998983854</v>
      </c>
      <c r="AN74" s="286">
        <f>AnnualDepletions!$BC66</f>
        <v>16199.99999897049</v>
      </c>
      <c r="AO74" s="286">
        <f>AnnualDepletions!$J66</f>
        <v>2499.9900000012672</v>
      </c>
      <c r="AP74" s="286">
        <f>AnnualAggregations!$I66</f>
        <v>11624.990000001573</v>
      </c>
      <c r="AQ74" s="287">
        <f t="shared" si="61"/>
        <v>69665.96999795716</v>
      </c>
      <c r="AR74" s="287">
        <f t="shared" si="62"/>
        <v>99225.88375401657</v>
      </c>
      <c r="AS74" s="287">
        <f t="shared" si="63"/>
        <v>453110.62361624197</v>
      </c>
      <c r="AU74" s="321">
        <f ca="1">StateModDepletions_ThisScenario!AC64</f>
        <v>33319.077633671463</v>
      </c>
      <c r="AV74" s="321">
        <f ca="1">StateModDepletions_ThisScenario!AD64</f>
        <v>18291.184624627233</v>
      </c>
      <c r="AW74" s="321">
        <f ca="1">StateModDepletions_ThisScenario!AE64</f>
        <v>105451.68347095698</v>
      </c>
      <c r="AX74" s="321">
        <f ca="1">StateModDepletions_ThisScenario!AB64</f>
        <v>24765.810481309891</v>
      </c>
      <c r="AY74" s="288">
        <f t="shared" ca="1" si="64"/>
        <v>181827.75621056557</v>
      </c>
      <c r="AZ74" s="321">
        <f ca="1">StateModDepletions_ThisScenario!AG64</f>
        <v>47269.375296740312</v>
      </c>
      <c r="BA74" s="321">
        <f ca="1">StateModDepletions_ThisScenario!AF64</f>
        <v>18841.334682837118</v>
      </c>
      <c r="BB74" s="321">
        <f ca="1">StateModDepletions_ThisScenario!AH64</f>
        <v>22393.131459727883</v>
      </c>
      <c r="BC74" s="321">
        <f ca="1">StateModDepletions_ThisScenario!AI64</f>
        <v>24736.037831365989</v>
      </c>
      <c r="BD74" s="321">
        <f ca="1">StateModDepletions_ThisScenario!N64</f>
        <v>1326.6977829933167</v>
      </c>
      <c r="BE74" s="321">
        <f ca="1">StateModDepletions_ThisScenario!V64</f>
        <v>14501.540280342102</v>
      </c>
      <c r="BF74" s="288">
        <f t="shared" ca="1" si="65"/>
        <v>129068.11733400672</v>
      </c>
      <c r="BG74" s="288">
        <f t="shared" ca="1" si="66"/>
        <v>310895.87354457227</v>
      </c>
      <c r="BI74" s="288">
        <f t="shared" ca="1" si="67"/>
        <v>764006.49716081424</v>
      </c>
      <c r="BK74" s="286">
        <f>AnnualAggregations!$D66</f>
        <v>35893.000000000073</v>
      </c>
      <c r="BL74" s="286">
        <f>AnnualAggregations!$B66</f>
        <v>57171.682722238453</v>
      </c>
      <c r="BM74" s="286">
        <f>AnnualDepletions!$BK66</f>
        <v>44385.766685397852</v>
      </c>
      <c r="BN74" s="286">
        <f>AnnualAggregations!$E66</f>
        <v>5000.0000000019172</v>
      </c>
      <c r="BO74" s="287">
        <f t="shared" si="68"/>
        <v>142450.44940763831</v>
      </c>
      <c r="BP74" s="321">
        <f ca="1">StateModDepletions_ThisScenario!Y64</f>
        <v>212.11356273293495</v>
      </c>
      <c r="BQ74" s="321">
        <f ca="1">StateModDepletions_ThisScenario!AJ64</f>
        <v>128741.15731156214</v>
      </c>
      <c r="BR74" s="321">
        <f ca="1">StateModDepletions_ThisScenario!Z64</f>
        <v>194907.67035710812</v>
      </c>
      <c r="BS74" s="321">
        <f ca="1">StateModDepletions_ThisScenario!AA64</f>
        <v>65954.399482813038</v>
      </c>
      <c r="BT74" s="286">
        <f>AnnualDepletions!$BG66</f>
        <v>12296.800000006155</v>
      </c>
      <c r="BV74" s="287">
        <f t="shared" ca="1" si="69"/>
        <v>918753.74656845874</v>
      </c>
      <c r="BW74" s="287">
        <f t="shared" ca="1" si="70"/>
        <v>852799.34708564566</v>
      </c>
      <c r="BX74" s="287">
        <f t="shared" ca="1" si="91"/>
        <v>867674.34708564566</v>
      </c>
      <c r="BY74" s="287">
        <f>SJRIPSummaryRAW!$B$79</f>
        <v>14875</v>
      </c>
      <c r="CC74" s="282">
        <v>1987</v>
      </c>
      <c r="CD74" s="286">
        <f>AnnualAggregations!K66</f>
        <v>254390.78611477971</v>
      </c>
      <c r="CE74" s="442" t="s">
        <v>597</v>
      </c>
      <c r="CF74" s="286">
        <f>AnnualDeplReqs!$AM66</f>
        <v>12099.999999999993</v>
      </c>
      <c r="CG74" s="286">
        <f>AnnualDeplReqs!$AK66</f>
        <v>7970.0000000000045</v>
      </c>
      <c r="CH74" s="286">
        <f>AnnualDeplReqs!$L66</f>
        <v>899.99999999999898</v>
      </c>
      <c r="CI74" s="443">
        <f t="shared" si="71"/>
        <v>276726.92331849888</v>
      </c>
      <c r="CJ74" s="286">
        <f>AnnualDeplReqs!$AO66</f>
        <v>1262.9999999998547</v>
      </c>
      <c r="CK74" s="286">
        <f>AnnualDeplReqs!$AY66</f>
        <v>1773.9999999997951</v>
      </c>
      <c r="CL74" s="286">
        <f>AnnualAggregations!$N66</f>
        <v>32686.015783555093</v>
      </c>
      <c r="CM74" s="286">
        <f>AnnualAggregations!$O66</f>
        <v>11992.999999998619</v>
      </c>
      <c r="CN74" s="286">
        <f>AnnualAggregations!$P66</f>
        <v>12251.999999998588</v>
      </c>
      <c r="CO74" s="286">
        <f>AnnualDeplReqs!$AL66</f>
        <v>10445.999999998801</v>
      </c>
      <c r="CP74" s="286">
        <f>AnnualDeplReqs!$AG66</f>
        <v>8978.9999999989741</v>
      </c>
      <c r="CQ74" s="286">
        <f>AnnualDeplReqs!$AN66</f>
        <v>2935.999999999663</v>
      </c>
      <c r="CR74" s="287">
        <f t="shared" si="72"/>
        <v>81066.015783549534</v>
      </c>
      <c r="CS74" s="287">
        <f t="shared" si="73"/>
        <v>359055.93910204829</v>
      </c>
      <c r="CT74" s="286">
        <f>AnnualDeplReqs!$AP66</f>
        <v>340.98999999997505</v>
      </c>
      <c r="CU74" s="442" t="s">
        <v>597</v>
      </c>
      <c r="CV74" s="286">
        <f>AnnualDeplReqs!$AJ66</f>
        <v>38999.999998983854</v>
      </c>
      <c r="CW74" s="286">
        <f>AnnualDeplReqs!$BC66</f>
        <v>16199.99999897049</v>
      </c>
      <c r="CX74" s="286">
        <f>AnnualDeplReqs!$J66</f>
        <v>2499.9900000012672</v>
      </c>
      <c r="CY74" s="286">
        <f>AnnualAggregations!$Q66</f>
        <v>11624.990000001573</v>
      </c>
      <c r="CZ74" s="287">
        <f t="shared" si="74"/>
        <v>69665.96999795716</v>
      </c>
      <c r="DA74" s="443">
        <f t="shared" si="75"/>
        <v>99225.88375401657</v>
      </c>
      <c r="DB74" s="287">
        <f t="shared" si="76"/>
        <v>458281.82285606489</v>
      </c>
      <c r="DD74" s="440" t="s">
        <v>628</v>
      </c>
      <c r="DE74" s="440" t="s">
        <v>628</v>
      </c>
      <c r="DF74" s="440" t="s">
        <v>628</v>
      </c>
      <c r="DG74" s="440" t="s">
        <v>628</v>
      </c>
      <c r="DH74" s="440" t="s">
        <v>628</v>
      </c>
      <c r="DI74" s="440" t="s">
        <v>628</v>
      </c>
      <c r="DJ74" s="440" t="s">
        <v>628</v>
      </c>
      <c r="DK74" s="440" t="s">
        <v>628</v>
      </c>
      <c r="DL74" s="440" t="s">
        <v>628</v>
      </c>
      <c r="DM74" s="440" t="s">
        <v>628</v>
      </c>
      <c r="DN74" s="440" t="s">
        <v>628</v>
      </c>
      <c r="DO74" s="440" t="s">
        <v>628</v>
      </c>
      <c r="DP74" s="440" t="s">
        <v>628</v>
      </c>
      <c r="DR74" s="440" t="s">
        <v>628</v>
      </c>
      <c r="DT74" s="286">
        <f>AnnualAggregations!$L66</f>
        <v>35893.000000000073</v>
      </c>
      <c r="DU74" s="443">
        <f>AnnualAggregations!$J66</f>
        <v>57171.682722238453</v>
      </c>
      <c r="DV74" s="442" t="s">
        <v>597</v>
      </c>
      <c r="DW74" s="286">
        <f>AnnualAggregations!$M66</f>
        <v>5000.0000000019172</v>
      </c>
      <c r="DX74" s="442" t="s">
        <v>597</v>
      </c>
      <c r="DY74" s="440" t="s">
        <v>628</v>
      </c>
      <c r="DZ74" s="440" t="s">
        <v>628</v>
      </c>
      <c r="EA74" s="440" t="s">
        <v>628</v>
      </c>
      <c r="EB74" s="440" t="s">
        <v>628</v>
      </c>
      <c r="EC74" s="286">
        <f>AnnualDeplReqs!$BG66</f>
        <v>12296.800000006155</v>
      </c>
      <c r="EE74" s="440" t="s">
        <v>628</v>
      </c>
      <c r="EF74" s="440" t="s">
        <v>628</v>
      </c>
      <c r="EG74" s="440" t="s">
        <v>628</v>
      </c>
      <c r="EH74" s="442" t="s">
        <v>597</v>
      </c>
      <c r="EL74" s="282">
        <v>1987</v>
      </c>
      <c r="EM74" s="286">
        <f>AnnualAggregations!S66</f>
        <v>317988.48264347471</v>
      </c>
      <c r="EN74" s="442" t="s">
        <v>597</v>
      </c>
      <c r="EO74" s="286">
        <f>AnnualDiversions!$AM66</f>
        <v>24160.880683189986</v>
      </c>
      <c r="EP74" s="286">
        <f>AnnualDiversions!$AK66</f>
        <v>15864.246446422754</v>
      </c>
      <c r="EQ74" s="286">
        <f>AnnualDiversions!$L66</f>
        <v>1799.999999999998</v>
      </c>
      <c r="ER74" s="287">
        <f t="shared" si="77"/>
        <v>359813.60977308743</v>
      </c>
      <c r="ES74" s="286">
        <f>AnnualDiversions!$AO66</f>
        <v>2525.9999999997094</v>
      </c>
      <c r="ET74" s="286">
        <f>AnnualDiversions!$AY66</f>
        <v>3210.859728506417</v>
      </c>
      <c r="EU74" s="286">
        <f>AnnualAggregations!$V66</f>
        <v>54850.528379843316</v>
      </c>
      <c r="EV74" s="286">
        <f>AnnualAggregations!$W66</f>
        <v>12330.319481168117</v>
      </c>
      <c r="EW74" s="286">
        <f>AnnualAggregations!$X66</f>
        <v>18780.452912790632</v>
      </c>
      <c r="EX74" s="286">
        <f>AnnualDiversions!$AL66</f>
        <v>12391.459074731667</v>
      </c>
      <c r="EY74" s="286">
        <f>AnnualDiversions!$AG66</f>
        <v>17016.962001324679</v>
      </c>
      <c r="EZ74" s="286">
        <f>AnnualDiversions!$AN66</f>
        <v>5520.3534831243041</v>
      </c>
      <c r="FA74" s="287">
        <f t="shared" si="78"/>
        <v>124100.93506148912</v>
      </c>
      <c r="FB74" s="287">
        <f t="shared" si="79"/>
        <v>486440.54483457626</v>
      </c>
      <c r="FC74" s="286">
        <f>AnnualDiversions!$AP66</f>
        <v>378.87777777775057</v>
      </c>
      <c r="FD74" s="442" t="s">
        <v>597</v>
      </c>
      <c r="FE74" s="286">
        <f>AnnualDiversions!$AJ66</f>
        <v>38999.999998983854</v>
      </c>
      <c r="FF74" s="286">
        <f>AnnualDiversions!$BC66</f>
        <v>16199.99999897049</v>
      </c>
      <c r="FG74" s="286">
        <f>AnnualDiversions!$J66</f>
        <v>4166.6500000021233</v>
      </c>
      <c r="FH74" s="286">
        <f>AnnualAggregations!$Y66</f>
        <v>19374.983333335964</v>
      </c>
      <c r="FI74" s="287">
        <f t="shared" si="80"/>
        <v>79120.511109070183</v>
      </c>
      <c r="FJ74" s="287">
        <f t="shared" si="81"/>
        <v>79120.511109070183</v>
      </c>
      <c r="FK74" s="287">
        <f t="shared" si="82"/>
        <v>565561.05594364647</v>
      </c>
      <c r="FM74" s="440" t="s">
        <v>628</v>
      </c>
      <c r="FN74" s="440" t="s">
        <v>628</v>
      </c>
      <c r="FO74" s="440" t="s">
        <v>628</v>
      </c>
      <c r="FP74" s="440" t="s">
        <v>628</v>
      </c>
      <c r="FQ74" s="440" t="s">
        <v>628</v>
      </c>
      <c r="FR74" s="440" t="s">
        <v>628</v>
      </c>
      <c r="FS74" s="440" t="s">
        <v>628</v>
      </c>
      <c r="FT74" s="440" t="s">
        <v>628</v>
      </c>
      <c r="FU74" s="440" t="s">
        <v>628</v>
      </c>
      <c r="FV74" s="440" t="s">
        <v>628</v>
      </c>
      <c r="FW74" s="440" t="s">
        <v>628</v>
      </c>
      <c r="FX74" s="440" t="s">
        <v>628</v>
      </c>
      <c r="FY74" s="440" t="s">
        <v>628</v>
      </c>
      <c r="GA74" s="440" t="s">
        <v>628</v>
      </c>
      <c r="GC74" s="286">
        <f>AnnualAggregations!$T66</f>
        <v>37764.238566617634</v>
      </c>
      <c r="GD74" s="286">
        <f>AnnualAggregations!$R66</f>
        <v>109067.13000005133</v>
      </c>
      <c r="GE74" s="443">
        <f t="shared" si="83"/>
        <v>44385.766685397852</v>
      </c>
      <c r="GF74" s="286">
        <f>AnnualAggregations!$U66</f>
        <v>5000.0000000019172</v>
      </c>
      <c r="GG74" s="287">
        <f t="shared" si="84"/>
        <v>196217.13525206875</v>
      </c>
      <c r="GH74" s="440" t="s">
        <v>628</v>
      </c>
      <c r="GI74" s="440" t="s">
        <v>628</v>
      </c>
      <c r="GJ74" s="440" t="s">
        <v>628</v>
      </c>
      <c r="GK74" s="440" t="s">
        <v>628</v>
      </c>
      <c r="GL74" s="286">
        <f>AnnualDiversions!$BG66</f>
        <v>12296.800000006155</v>
      </c>
      <c r="GN74" s="440" t="s">
        <v>628</v>
      </c>
      <c r="GO74" s="440" t="s">
        <v>628</v>
      </c>
      <c r="GP74" s="440" t="s">
        <v>628</v>
      </c>
      <c r="GQ74" s="442" t="s">
        <v>597</v>
      </c>
      <c r="GU74" s="282">
        <v>1987</v>
      </c>
      <c r="GV74" s="286">
        <f>AnnualAggregations!AA66</f>
        <v>317988.48264347471</v>
      </c>
      <c r="GW74" s="442" t="s">
        <v>597</v>
      </c>
      <c r="GX74" s="286">
        <f>AnnualDivReqs!$AM66</f>
        <v>24160.880683189986</v>
      </c>
      <c r="GY74" s="286">
        <f>AnnualDivReqs!$AK66</f>
        <v>15864.246446422754</v>
      </c>
      <c r="GZ74" s="286">
        <f>AnnualDivReqs!$L66</f>
        <v>1799.999999999998</v>
      </c>
      <c r="HA74" s="287">
        <f t="shared" si="85"/>
        <v>359813.60977308743</v>
      </c>
      <c r="HB74" s="286">
        <f>AnnualDivReqs!$AO66</f>
        <v>2525.9999999997094</v>
      </c>
      <c r="HC74" s="286">
        <f>AnnualDivReqs!$AY66</f>
        <v>3210.859728506417</v>
      </c>
      <c r="HD74" s="286">
        <f>AnnualAggregations!$AD66</f>
        <v>54850.528379843316</v>
      </c>
      <c r="HE74" s="286">
        <f>AnnualAggregations!$AE66</f>
        <v>21479.628705168419</v>
      </c>
      <c r="HF74" s="286">
        <f>AnnualAggregations!$AF66</f>
        <v>18780.452912790632</v>
      </c>
      <c r="HG74" s="286">
        <f>AnnualDivReqs!$AL66</f>
        <v>12391.459074731667</v>
      </c>
      <c r="HH74" s="286">
        <f>AnnualDivReqs!$AG66</f>
        <v>17016.962001324679</v>
      </c>
      <c r="HI74" s="286">
        <f>AnnualDivReqs!$AN66</f>
        <v>5520.3534831243041</v>
      </c>
      <c r="HJ74" s="287">
        <f t="shared" si="86"/>
        <v>133250.24428548943</v>
      </c>
      <c r="HK74" s="287">
        <f t="shared" si="87"/>
        <v>495589.85405857657</v>
      </c>
      <c r="HL74" s="286">
        <f>AnnualDivReqs!$AP66</f>
        <v>378.87777777775057</v>
      </c>
      <c r="HM74" s="442" t="s">
        <v>597</v>
      </c>
      <c r="HN74" s="286">
        <f>AnnualDivReqs!$AJ66</f>
        <v>38999.999998983854</v>
      </c>
      <c r="HO74" s="286">
        <f>AnnualDivReqs!$BC66</f>
        <v>16199.99999897049</v>
      </c>
      <c r="HP74" s="286">
        <f>AnnualDivReqs!$J66</f>
        <v>4166.6500000021233</v>
      </c>
      <c r="HQ74" s="286">
        <f>AnnualAggregations!$AG66</f>
        <v>19374.983333335964</v>
      </c>
      <c r="HR74" s="287">
        <f t="shared" si="88"/>
        <v>79120.511109070183</v>
      </c>
      <c r="HS74" s="287">
        <f t="shared" si="89"/>
        <v>79120.511109070183</v>
      </c>
      <c r="HT74" s="287">
        <f t="shared" si="90"/>
        <v>574710.36516764679</v>
      </c>
      <c r="HV74" s="440" t="s">
        <v>628</v>
      </c>
      <c r="HW74" s="440" t="s">
        <v>628</v>
      </c>
      <c r="HX74" s="440" t="s">
        <v>628</v>
      </c>
      <c r="HY74" s="440" t="s">
        <v>628</v>
      </c>
      <c r="HZ74" s="440" t="s">
        <v>628</v>
      </c>
      <c r="IA74" s="440" t="s">
        <v>628</v>
      </c>
      <c r="IB74" s="440" t="s">
        <v>628</v>
      </c>
      <c r="IC74" s="440" t="s">
        <v>628</v>
      </c>
      <c r="ID74" s="440" t="s">
        <v>628</v>
      </c>
      <c r="IE74" s="440" t="s">
        <v>628</v>
      </c>
      <c r="IF74" s="440" t="s">
        <v>628</v>
      </c>
      <c r="IG74" s="440" t="s">
        <v>628</v>
      </c>
      <c r="IH74" s="440" t="s">
        <v>628</v>
      </c>
      <c r="IJ74" s="440" t="s">
        <v>628</v>
      </c>
      <c r="IL74" s="286">
        <f>AnnualAggregations!$AB66</f>
        <v>37764.238566617634</v>
      </c>
      <c r="IM74" s="286">
        <f>AnnualAggregations!$Z66</f>
        <v>109067.13000005133</v>
      </c>
      <c r="IN74" s="442" t="s">
        <v>597</v>
      </c>
      <c r="IO74" s="286">
        <f>AnnualAggregations!$AC66</f>
        <v>5000.0000000019172</v>
      </c>
      <c r="IP74" s="442" t="s">
        <v>597</v>
      </c>
      <c r="IQ74" s="440" t="s">
        <v>628</v>
      </c>
      <c r="IR74" s="440" t="s">
        <v>628</v>
      </c>
      <c r="IS74" s="440" t="s">
        <v>628</v>
      </c>
      <c r="IT74" s="440" t="s">
        <v>628</v>
      </c>
      <c r="IU74" s="286">
        <f>AnnualDivReqs!$BG66</f>
        <v>12296.800000006155</v>
      </c>
      <c r="IW74" s="440" t="s">
        <v>628</v>
      </c>
      <c r="IX74" s="440" t="s">
        <v>628</v>
      </c>
      <c r="IY74" s="440" t="s">
        <v>628</v>
      </c>
      <c r="IZ74" s="442" t="s">
        <v>597</v>
      </c>
    </row>
    <row r="75" spans="1:260" x14ac:dyDescent="0.25">
      <c r="T75" s="282">
        <v>1988</v>
      </c>
      <c r="U75" s="286">
        <f>AnnualAggregations!$C67</f>
        <v>246916.31337557448</v>
      </c>
      <c r="V75" s="286">
        <f>AnnualDepletions!$BI67</f>
        <v>-264.40671403773342</v>
      </c>
      <c r="W75" s="286">
        <f>AnnualDepletions!$AM67</f>
        <v>12099.999999999995</v>
      </c>
      <c r="X75" s="286">
        <f>AnnualDepletions!$AK67</f>
        <v>7969.9999999999882</v>
      </c>
      <c r="Y75" s="286">
        <f>AnnualDepletions!$L67</f>
        <v>900.00000000000011</v>
      </c>
      <c r="Z75" s="287">
        <f t="shared" si="58"/>
        <v>267621.90666153672</v>
      </c>
      <c r="AA75" s="286">
        <f>AnnualDepletions!$AO67</f>
        <v>1133.9999999998697</v>
      </c>
      <c r="AB75" s="286">
        <f>AnnualDepletions!$AY67</f>
        <v>1646.9999999998106</v>
      </c>
      <c r="AC75" s="286">
        <f>AnnualAggregations!$F67</f>
        <v>31986.63451409098</v>
      </c>
      <c r="AD75" s="286">
        <f>AnnualAggregations!$G67</f>
        <v>3842.5794974173041</v>
      </c>
      <c r="AE75" s="286">
        <f>AnnualAggregations!$H67</f>
        <v>12510.999999998561</v>
      </c>
      <c r="AF75" s="286">
        <f>AnnualDepletions!$AL67</f>
        <v>10629.999999998783</v>
      </c>
      <c r="AG75" s="286">
        <f>AnnualDepletions!$AG67</f>
        <v>9820.999999998874</v>
      </c>
      <c r="AH75" s="286">
        <f>AnnualDepletions!$AN67</f>
        <v>3358.9999999996144</v>
      </c>
      <c r="AI75" s="287">
        <f t="shared" si="59"/>
        <v>73797.214011503936</v>
      </c>
      <c r="AJ75" s="287">
        <f t="shared" si="60"/>
        <v>342553.12067304051</v>
      </c>
      <c r="AK75" s="286">
        <f>AnnualDepletions!$AP67</f>
        <v>340.98999999997511</v>
      </c>
      <c r="AL75" s="286">
        <f>AnnualDepletions!$BH67</f>
        <v>27455.584021549599</v>
      </c>
      <c r="AM75" s="286">
        <f>AnnualDepletions!$AJ67</f>
        <v>38999.999998983862</v>
      </c>
      <c r="AN75" s="286">
        <f>AnnualDepletions!$BC67</f>
        <v>16199.999998970494</v>
      </c>
      <c r="AO75" s="286">
        <f>AnnualDepletions!$J67</f>
        <v>2499.9900000012672</v>
      </c>
      <c r="AP75" s="286">
        <f>AnnualAggregations!$I67</f>
        <v>11624.990000001573</v>
      </c>
      <c r="AQ75" s="287">
        <f t="shared" si="61"/>
        <v>69665.969997957174</v>
      </c>
      <c r="AR75" s="287">
        <f t="shared" si="62"/>
        <v>97121.554019506788</v>
      </c>
      <c r="AS75" s="287">
        <f t="shared" si="63"/>
        <v>439674.6746925473</v>
      </c>
      <c r="AU75" s="321">
        <f ca="1">StateModDepletions_ThisScenario!AC65</f>
        <v>33162.167046539485</v>
      </c>
      <c r="AV75" s="321">
        <f ca="1">StateModDepletions_ThisScenario!AD65</f>
        <v>18013.480510722846</v>
      </c>
      <c r="AW75" s="321">
        <f ca="1">StateModDepletions_ThisScenario!AE65</f>
        <v>108340.07904819772</v>
      </c>
      <c r="AX75" s="321">
        <f ca="1">StateModDepletions_ThisScenario!AB65</f>
        <v>24765.810481309891</v>
      </c>
      <c r="AY75" s="288">
        <f t="shared" ca="1" si="64"/>
        <v>184281.53708676994</v>
      </c>
      <c r="AZ75" s="321">
        <f ca="1">StateModDepletions_ThisScenario!AG65</f>
        <v>44057.703655792851</v>
      </c>
      <c r="BA75" s="321">
        <f ca="1">StateModDepletions_ThisScenario!AF65</f>
        <v>20182.539884135127</v>
      </c>
      <c r="BB75" s="321">
        <f ca="1">StateModDepletions_ThisScenario!AH65</f>
        <v>19777.462430104613</v>
      </c>
      <c r="BC75" s="321">
        <f ca="1">StateModDepletions_ThisScenario!AI65</f>
        <v>16232.357031355032</v>
      </c>
      <c r="BD75" s="321">
        <f ca="1">StateModDepletions_ThisScenario!N65</f>
        <v>1326.6977829933167</v>
      </c>
      <c r="BE75" s="321">
        <f ca="1">StateModDepletions_ThisScenario!V65</f>
        <v>12880.180867195129</v>
      </c>
      <c r="BF75" s="288">
        <f t="shared" ca="1" si="65"/>
        <v>114456.94165157607</v>
      </c>
      <c r="BG75" s="288">
        <f t="shared" ca="1" si="66"/>
        <v>298738.47873834602</v>
      </c>
      <c r="BI75" s="288">
        <f t="shared" ca="1" si="67"/>
        <v>738413.15343089332</v>
      </c>
      <c r="BK75" s="286">
        <f>AnnualAggregations!$D67</f>
        <v>35893.000000000051</v>
      </c>
      <c r="BL75" s="286">
        <f>AnnualAggregations!$B67</f>
        <v>57173.18719713694</v>
      </c>
      <c r="BM75" s="286">
        <f>AnnualDepletions!$BK67</f>
        <v>70663.846675062887</v>
      </c>
      <c r="BN75" s="286">
        <f>AnnualAggregations!$E67</f>
        <v>5000.0000000019463</v>
      </c>
      <c r="BO75" s="287">
        <f t="shared" si="68"/>
        <v>168730.03387220184</v>
      </c>
      <c r="BP75" s="321">
        <f ca="1">StateModDepletions_ThisScenario!Y65</f>
        <v>212.11356273293495</v>
      </c>
      <c r="BQ75" s="321">
        <f ca="1">StateModDepletions_ThisScenario!AJ65</f>
        <v>122930.27039052888</v>
      </c>
      <c r="BR75" s="321">
        <f ca="1">StateModDepletions_ThisScenario!Z65</f>
        <v>189478.57684993744</v>
      </c>
      <c r="BS75" s="321">
        <f ca="1">StateModDepletions_ThisScenario!AA65</f>
        <v>66336.192896675624</v>
      </c>
      <c r="BT75" s="286">
        <f>AnnualDepletions!$BG67</f>
        <v>12296.800000006155</v>
      </c>
      <c r="BV75" s="287">
        <f t="shared" ca="1" si="69"/>
        <v>919439.98730310134</v>
      </c>
      <c r="BW75" s="287">
        <f t="shared" ca="1" si="70"/>
        <v>853103.79440642567</v>
      </c>
      <c r="BX75" s="287">
        <f t="shared" ca="1" si="91"/>
        <v>867978.79440642567</v>
      </c>
      <c r="BY75" s="287">
        <f>SJRIPSummaryRAW!$B$79</f>
        <v>14875</v>
      </c>
      <c r="CC75" s="282">
        <v>1988</v>
      </c>
      <c r="CD75" s="286">
        <f>AnnualAggregations!K67</f>
        <v>246916.31337557448</v>
      </c>
      <c r="CE75" s="442" t="s">
        <v>597</v>
      </c>
      <c r="CF75" s="286">
        <f>AnnualDeplReqs!$AM67</f>
        <v>12099.999999999995</v>
      </c>
      <c r="CG75" s="286">
        <f>AnnualDeplReqs!$AK67</f>
        <v>7969.9999999999882</v>
      </c>
      <c r="CH75" s="286">
        <f>AnnualDeplReqs!$L67</f>
        <v>900.00000000000011</v>
      </c>
      <c r="CI75" s="443">
        <f t="shared" si="71"/>
        <v>267621.90666153672</v>
      </c>
      <c r="CJ75" s="286">
        <f>AnnualDeplReqs!$AO67</f>
        <v>1133.9999999998697</v>
      </c>
      <c r="CK75" s="286">
        <f>AnnualDeplReqs!$AY67</f>
        <v>1646.9999999998106</v>
      </c>
      <c r="CL75" s="286">
        <f>AnnualAggregations!$N67</f>
        <v>31986.63451409098</v>
      </c>
      <c r="CM75" s="286">
        <f>AnnualAggregations!$O67</f>
        <v>11755.99999999865</v>
      </c>
      <c r="CN75" s="286">
        <f>AnnualAggregations!$P67</f>
        <v>12510.999999998561</v>
      </c>
      <c r="CO75" s="286">
        <f>AnnualDeplReqs!$AL67</f>
        <v>10629.999999998783</v>
      </c>
      <c r="CP75" s="286">
        <f>AnnualDeplReqs!$AG67</f>
        <v>9820.999999998874</v>
      </c>
      <c r="CQ75" s="286">
        <f>AnnualDeplReqs!$AN67</f>
        <v>3358.9999999996144</v>
      </c>
      <c r="CR75" s="287">
        <f t="shared" si="72"/>
        <v>81710.634514085279</v>
      </c>
      <c r="CS75" s="287">
        <f t="shared" si="73"/>
        <v>350466.54117562191</v>
      </c>
      <c r="CT75" s="286">
        <f>AnnualDeplReqs!$AP67</f>
        <v>340.98999999997511</v>
      </c>
      <c r="CU75" s="442" t="s">
        <v>597</v>
      </c>
      <c r="CV75" s="286">
        <f>AnnualDeplReqs!$AJ67</f>
        <v>38999.999998983862</v>
      </c>
      <c r="CW75" s="286">
        <f>AnnualDeplReqs!$BC67</f>
        <v>16199.999998970494</v>
      </c>
      <c r="CX75" s="286">
        <f>AnnualDeplReqs!$J67</f>
        <v>2499.9900000012672</v>
      </c>
      <c r="CY75" s="286">
        <f>AnnualAggregations!$Q67</f>
        <v>11624.990000001573</v>
      </c>
      <c r="CZ75" s="287">
        <f t="shared" si="74"/>
        <v>69665.969997957174</v>
      </c>
      <c r="DA75" s="443">
        <f t="shared" si="75"/>
        <v>97121.554019506773</v>
      </c>
      <c r="DB75" s="287">
        <f t="shared" si="76"/>
        <v>447588.0951951287</v>
      </c>
      <c r="DD75" s="440" t="s">
        <v>628</v>
      </c>
      <c r="DE75" s="440" t="s">
        <v>628</v>
      </c>
      <c r="DF75" s="440" t="s">
        <v>628</v>
      </c>
      <c r="DG75" s="440" t="s">
        <v>628</v>
      </c>
      <c r="DH75" s="440" t="s">
        <v>628</v>
      </c>
      <c r="DI75" s="440" t="s">
        <v>628</v>
      </c>
      <c r="DJ75" s="440" t="s">
        <v>628</v>
      </c>
      <c r="DK75" s="440" t="s">
        <v>628</v>
      </c>
      <c r="DL75" s="440" t="s">
        <v>628</v>
      </c>
      <c r="DM75" s="440" t="s">
        <v>628</v>
      </c>
      <c r="DN75" s="440" t="s">
        <v>628</v>
      </c>
      <c r="DO75" s="440" t="s">
        <v>628</v>
      </c>
      <c r="DP75" s="440" t="s">
        <v>628</v>
      </c>
      <c r="DR75" s="440" t="s">
        <v>628</v>
      </c>
      <c r="DT75" s="286">
        <f>AnnualAggregations!$L67</f>
        <v>35893.000000000073</v>
      </c>
      <c r="DU75" s="443">
        <f>AnnualAggregations!$J67</f>
        <v>57173.18719713694</v>
      </c>
      <c r="DV75" s="442" t="s">
        <v>597</v>
      </c>
      <c r="DW75" s="286">
        <f>AnnualAggregations!$M67</f>
        <v>5000.0000000019463</v>
      </c>
      <c r="DX75" s="442" t="s">
        <v>597</v>
      </c>
      <c r="DY75" s="440" t="s">
        <v>628</v>
      </c>
      <c r="DZ75" s="440" t="s">
        <v>628</v>
      </c>
      <c r="EA75" s="440" t="s">
        <v>628</v>
      </c>
      <c r="EB75" s="440" t="s">
        <v>628</v>
      </c>
      <c r="EC75" s="286">
        <f>AnnualDeplReqs!$BG67</f>
        <v>12296.800000006155</v>
      </c>
      <c r="EE75" s="440" t="s">
        <v>628</v>
      </c>
      <c r="EF75" s="440" t="s">
        <v>628</v>
      </c>
      <c r="EG75" s="440" t="s">
        <v>628</v>
      </c>
      <c r="EH75" s="442" t="s">
        <v>597</v>
      </c>
      <c r="EL75" s="282">
        <v>1988</v>
      </c>
      <c r="EM75" s="286">
        <f>AnnualAggregations!S67</f>
        <v>308645.39171946753</v>
      </c>
      <c r="EN75" s="442" t="s">
        <v>597</v>
      </c>
      <c r="EO75" s="286">
        <f>AnnualDiversions!$AM67</f>
        <v>24160.880683189975</v>
      </c>
      <c r="EP75" s="286">
        <f>AnnualDiversions!$AK67</f>
        <v>15864.246446422701</v>
      </c>
      <c r="EQ75" s="286">
        <f>AnnualDiversions!$L67</f>
        <v>1800.0000000000002</v>
      </c>
      <c r="ER75" s="287">
        <f t="shared" si="77"/>
        <v>350470.5188490802</v>
      </c>
      <c r="ES75" s="286">
        <f>AnnualDiversions!$AO67</f>
        <v>2267.9999999997394</v>
      </c>
      <c r="ET75" s="286">
        <f>AnnualDiversions!$AY67</f>
        <v>2980.9954751127784</v>
      </c>
      <c r="EU75" s="286">
        <f>AnnualAggregations!$V67</f>
        <v>53662.573381863862</v>
      </c>
      <c r="EV75" s="286">
        <f>AnnualAggregations!$W67</f>
        <v>7565.252483168304</v>
      </c>
      <c r="EW75" s="286">
        <f>AnnualAggregations!$X67</f>
        <v>19177.561845303018</v>
      </c>
      <c r="EX75" s="286">
        <f>AnnualDiversions!$AL67</f>
        <v>12609.727164885857</v>
      </c>
      <c r="EY75" s="286">
        <f>AnnualDiversions!$AG67</f>
        <v>18612.716763003631</v>
      </c>
      <c r="EZ75" s="286">
        <f>AnnualDiversions!$AN67</f>
        <v>6315.6905142420119</v>
      </c>
      <c r="FA75" s="287">
        <f t="shared" si="78"/>
        <v>120924.51762757947</v>
      </c>
      <c r="FB75" s="287">
        <f t="shared" si="79"/>
        <v>473663.03647665941</v>
      </c>
      <c r="FC75" s="286">
        <f>AnnualDiversions!$AP67</f>
        <v>378.87777777775057</v>
      </c>
      <c r="FD75" s="442" t="s">
        <v>597</v>
      </c>
      <c r="FE75" s="286">
        <f>AnnualDiversions!$AJ67</f>
        <v>38999.999998983862</v>
      </c>
      <c r="FF75" s="286">
        <f>AnnualDiversions!$BC67</f>
        <v>16199.999998970494</v>
      </c>
      <c r="FG75" s="286">
        <f>AnnualDiversions!$J67</f>
        <v>4166.6500000021233</v>
      </c>
      <c r="FH75" s="286">
        <f>AnnualAggregations!$Y67</f>
        <v>19374.983333335967</v>
      </c>
      <c r="FI75" s="287">
        <f t="shared" si="80"/>
        <v>79120.511109070212</v>
      </c>
      <c r="FJ75" s="287">
        <f t="shared" si="81"/>
        <v>79120.511109070198</v>
      </c>
      <c r="FK75" s="287">
        <f t="shared" si="82"/>
        <v>552783.54758572963</v>
      </c>
      <c r="FM75" s="440" t="s">
        <v>628</v>
      </c>
      <c r="FN75" s="440" t="s">
        <v>628</v>
      </c>
      <c r="FO75" s="440" t="s">
        <v>628</v>
      </c>
      <c r="FP75" s="440" t="s">
        <v>628</v>
      </c>
      <c r="FQ75" s="440" t="s">
        <v>628</v>
      </c>
      <c r="FR75" s="440" t="s">
        <v>628</v>
      </c>
      <c r="FS75" s="440" t="s">
        <v>628</v>
      </c>
      <c r="FT75" s="440" t="s">
        <v>628</v>
      </c>
      <c r="FU75" s="440" t="s">
        <v>628</v>
      </c>
      <c r="FV75" s="440" t="s">
        <v>628</v>
      </c>
      <c r="FW75" s="440" t="s">
        <v>628</v>
      </c>
      <c r="FX75" s="440" t="s">
        <v>628</v>
      </c>
      <c r="FY75" s="440" t="s">
        <v>628</v>
      </c>
      <c r="GA75" s="440" t="s">
        <v>628</v>
      </c>
      <c r="GC75" s="286">
        <f>AnnualAggregations!$T67</f>
        <v>37763.476493275426</v>
      </c>
      <c r="GD75" s="286">
        <f>AnnualAggregations!$R67</f>
        <v>109067.13000005131</v>
      </c>
      <c r="GE75" s="443">
        <f t="shared" si="83"/>
        <v>70663.846675062887</v>
      </c>
      <c r="GF75" s="286">
        <f>AnnualAggregations!$U67</f>
        <v>5000.0000000019463</v>
      </c>
      <c r="GG75" s="287">
        <f t="shared" si="84"/>
        <v>222494.45316839157</v>
      </c>
      <c r="GH75" s="440" t="s">
        <v>628</v>
      </c>
      <c r="GI75" s="440" t="s">
        <v>628</v>
      </c>
      <c r="GJ75" s="440" t="s">
        <v>628</v>
      </c>
      <c r="GK75" s="440" t="s">
        <v>628</v>
      </c>
      <c r="GL75" s="286">
        <f>AnnualDiversions!$BG67</f>
        <v>12296.800000006155</v>
      </c>
      <c r="GN75" s="440" t="s">
        <v>628</v>
      </c>
      <c r="GO75" s="440" t="s">
        <v>628</v>
      </c>
      <c r="GP75" s="440" t="s">
        <v>628</v>
      </c>
      <c r="GQ75" s="442" t="s">
        <v>597</v>
      </c>
      <c r="GU75" s="282">
        <v>1988</v>
      </c>
      <c r="GV75" s="286">
        <f>AnnualAggregations!AA67</f>
        <v>308645.39171946753</v>
      </c>
      <c r="GW75" s="442" t="s">
        <v>597</v>
      </c>
      <c r="GX75" s="286">
        <f>AnnualDivReqs!$AM67</f>
        <v>24160.880683189975</v>
      </c>
      <c r="GY75" s="286">
        <f>AnnualDivReqs!$AK67</f>
        <v>15864.246446422701</v>
      </c>
      <c r="GZ75" s="286">
        <f>AnnualDivReqs!$L67</f>
        <v>1800.0000000000002</v>
      </c>
      <c r="HA75" s="287">
        <f t="shared" si="85"/>
        <v>350470.5188490802</v>
      </c>
      <c r="HB75" s="286">
        <f>AnnualDivReqs!$AO67</f>
        <v>2267.9999999997394</v>
      </c>
      <c r="HC75" s="286">
        <f>AnnualDivReqs!$AY67</f>
        <v>2980.9954751127784</v>
      </c>
      <c r="HD75" s="286">
        <f>AnnualAggregations!$AD67</f>
        <v>53662.573381863862</v>
      </c>
      <c r="HE75" s="286">
        <f>AnnualAggregations!$AE67</f>
        <v>21054.062505282327</v>
      </c>
      <c r="HF75" s="286">
        <f>AnnualAggregations!$AF67</f>
        <v>19177.561845303018</v>
      </c>
      <c r="HG75" s="286">
        <f>AnnualDivReqs!$AL67</f>
        <v>12609.727164885857</v>
      </c>
      <c r="HH75" s="286">
        <f>AnnualDivReqs!$AG67</f>
        <v>18612.716763003631</v>
      </c>
      <c r="HI75" s="286">
        <f>AnnualDivReqs!$AN67</f>
        <v>6315.6905142420119</v>
      </c>
      <c r="HJ75" s="287">
        <f t="shared" si="86"/>
        <v>134413.32764969347</v>
      </c>
      <c r="HK75" s="287">
        <f t="shared" si="87"/>
        <v>487151.84649877343</v>
      </c>
      <c r="HL75" s="286">
        <f>AnnualDivReqs!$AP67</f>
        <v>378.87777777775057</v>
      </c>
      <c r="HM75" s="442" t="s">
        <v>597</v>
      </c>
      <c r="HN75" s="286">
        <f>AnnualDivReqs!$AJ67</f>
        <v>38999.999998983862</v>
      </c>
      <c r="HO75" s="286">
        <f>AnnualDivReqs!$BC67</f>
        <v>16199.999998970494</v>
      </c>
      <c r="HP75" s="286">
        <f>AnnualDivReqs!$J67</f>
        <v>4166.6500000021233</v>
      </c>
      <c r="HQ75" s="286">
        <f>AnnualAggregations!$AG67</f>
        <v>19374.983333335967</v>
      </c>
      <c r="HR75" s="287">
        <f t="shared" si="88"/>
        <v>79120.511109070212</v>
      </c>
      <c r="HS75" s="287">
        <f t="shared" si="89"/>
        <v>79120.511109070198</v>
      </c>
      <c r="HT75" s="287">
        <f t="shared" si="90"/>
        <v>566272.35760784359</v>
      </c>
      <c r="HV75" s="440" t="s">
        <v>628</v>
      </c>
      <c r="HW75" s="440" t="s">
        <v>628</v>
      </c>
      <c r="HX75" s="440" t="s">
        <v>628</v>
      </c>
      <c r="HY75" s="440" t="s">
        <v>628</v>
      </c>
      <c r="HZ75" s="440" t="s">
        <v>628</v>
      </c>
      <c r="IA75" s="440" t="s">
        <v>628</v>
      </c>
      <c r="IB75" s="440" t="s">
        <v>628</v>
      </c>
      <c r="IC75" s="440" t="s">
        <v>628</v>
      </c>
      <c r="ID75" s="440" t="s">
        <v>628</v>
      </c>
      <c r="IE75" s="440" t="s">
        <v>628</v>
      </c>
      <c r="IF75" s="440" t="s">
        <v>628</v>
      </c>
      <c r="IG75" s="440" t="s">
        <v>628</v>
      </c>
      <c r="IH75" s="440" t="s">
        <v>628</v>
      </c>
      <c r="IJ75" s="440" t="s">
        <v>628</v>
      </c>
      <c r="IL75" s="286">
        <f>AnnualAggregations!$AB67</f>
        <v>37763.476493275448</v>
      </c>
      <c r="IM75" s="286">
        <f>AnnualAggregations!$Z67</f>
        <v>109067.13000005131</v>
      </c>
      <c r="IN75" s="442" t="s">
        <v>597</v>
      </c>
      <c r="IO75" s="286">
        <f>AnnualAggregations!$AC67</f>
        <v>5000.0000000019463</v>
      </c>
      <c r="IP75" s="442" t="s">
        <v>597</v>
      </c>
      <c r="IQ75" s="440" t="s">
        <v>628</v>
      </c>
      <c r="IR75" s="440" t="s">
        <v>628</v>
      </c>
      <c r="IS75" s="440" t="s">
        <v>628</v>
      </c>
      <c r="IT75" s="440" t="s">
        <v>628</v>
      </c>
      <c r="IU75" s="286">
        <f>AnnualDivReqs!$BG67</f>
        <v>12296.800000006155</v>
      </c>
      <c r="IW75" s="440" t="s">
        <v>628</v>
      </c>
      <c r="IX75" s="440" t="s">
        <v>628</v>
      </c>
      <c r="IY75" s="440" t="s">
        <v>628</v>
      </c>
      <c r="IZ75" s="442" t="s">
        <v>597</v>
      </c>
    </row>
    <row r="76" spans="1:260" x14ac:dyDescent="0.25">
      <c r="T76" s="282">
        <v>1989</v>
      </c>
      <c r="U76" s="286">
        <f>AnnualAggregations!$C68</f>
        <v>279541.313396201</v>
      </c>
      <c r="V76" s="286">
        <f>AnnualDepletions!$BI68</f>
        <v>6396.2426600033705</v>
      </c>
      <c r="W76" s="286">
        <f>AnnualDepletions!$AM68</f>
        <v>12100.000000000005</v>
      </c>
      <c r="X76" s="286">
        <f>AnnualDepletions!$AK68</f>
        <v>7970</v>
      </c>
      <c r="Y76" s="286">
        <f>AnnualDepletions!$L68</f>
        <v>899.99999999999898</v>
      </c>
      <c r="Z76" s="287">
        <f t="shared" si="58"/>
        <v>306907.55605620437</v>
      </c>
      <c r="AA76" s="286">
        <f>AnnualDepletions!$AO68</f>
        <v>1245.9999999998579</v>
      </c>
      <c r="AB76" s="286">
        <f>AnnualDepletions!$AY68</f>
        <v>1989.9999999997706</v>
      </c>
      <c r="AC76" s="286">
        <f>AnnualAggregations!$F68</f>
        <v>35960.23795474771</v>
      </c>
      <c r="AD76" s="286">
        <f>AnnualAggregations!$G68</f>
        <v>3334.7301983893653</v>
      </c>
      <c r="AE76" s="286">
        <f>AnnualAggregations!$H68</f>
        <v>14477.99999999833</v>
      </c>
      <c r="AF76" s="286">
        <f>AnnualDepletions!$AL68</f>
        <v>12249.999999998585</v>
      </c>
      <c r="AG76" s="286">
        <f>AnnualDepletions!$AG68</f>
        <v>10253.999999998827</v>
      </c>
      <c r="AH76" s="286">
        <f>AnnualDepletions!$AN68</f>
        <v>3445.9999999996007</v>
      </c>
      <c r="AI76" s="287">
        <f t="shared" si="59"/>
        <v>81712.968153132184</v>
      </c>
      <c r="AJ76" s="287">
        <f t="shared" si="60"/>
        <v>389866.52420933644</v>
      </c>
      <c r="AK76" s="286">
        <f>AnnualDepletions!$AP68</f>
        <v>340.98999999997505</v>
      </c>
      <c r="AL76" s="286">
        <f>AnnualDepletions!$BH68</f>
        <v>27695.338976966239</v>
      </c>
      <c r="AM76" s="286">
        <f>AnnualDepletions!$AJ68</f>
        <v>38999.999998983854</v>
      </c>
      <c r="AN76" s="286">
        <f>AnnualDepletions!$BC68</f>
        <v>16199.99999897049</v>
      </c>
      <c r="AO76" s="286">
        <f>AnnualDepletions!$J68</f>
        <v>2499.9900000012672</v>
      </c>
      <c r="AP76" s="286">
        <f>AnnualAggregations!$I68</f>
        <v>11624.990000001573</v>
      </c>
      <c r="AQ76" s="287">
        <f t="shared" si="61"/>
        <v>69665.96999795716</v>
      </c>
      <c r="AR76" s="287">
        <f t="shared" si="62"/>
        <v>97361.30897492342</v>
      </c>
      <c r="AS76" s="287">
        <f t="shared" si="63"/>
        <v>487227.83318425983</v>
      </c>
      <c r="AU76" s="321">
        <f ca="1">StateModDepletions_ThisScenario!AC66</f>
        <v>34696.662477452308</v>
      </c>
      <c r="AV76" s="321">
        <f ca="1">StateModDepletions_ThisScenario!AD66</f>
        <v>18484.796792730689</v>
      </c>
      <c r="AW76" s="321">
        <f ca="1">StateModDepletions_ThisScenario!AE66</f>
        <v>108649.83855584264</v>
      </c>
      <c r="AX76" s="321">
        <f ca="1">StateModDepletions_ThisScenario!AB66</f>
        <v>24765.810481309891</v>
      </c>
      <c r="AY76" s="288">
        <f t="shared" ca="1" si="64"/>
        <v>186597.10830733553</v>
      </c>
      <c r="AZ76" s="321">
        <f ca="1">StateModDepletions_ThisScenario!AG66</f>
        <v>33980.93170095839</v>
      </c>
      <c r="BA76" s="321">
        <f ca="1">StateModDepletions_ThisScenario!AF66</f>
        <v>21787.534173674874</v>
      </c>
      <c r="BB76" s="321">
        <f ca="1">StateModDepletions_ThisScenario!AH66</f>
        <v>13270.408410713077</v>
      </c>
      <c r="BC76" s="321">
        <f ca="1">StateModDepletions_ThisScenario!AI66</f>
        <v>14488.817750512653</v>
      </c>
      <c r="BD76" s="321">
        <f ca="1">StateModDepletions_ThisScenario!N66</f>
        <v>1326.6977829933167</v>
      </c>
      <c r="BE76" s="321">
        <f ca="1">StateModDepletions_ThisScenario!V66</f>
        <v>8339.6251201629639</v>
      </c>
      <c r="BF76" s="288">
        <f t="shared" ca="1" si="65"/>
        <v>93194.014939015266</v>
      </c>
      <c r="BG76" s="288">
        <f t="shared" ca="1" si="66"/>
        <v>279791.12324635079</v>
      </c>
      <c r="BI76" s="288">
        <f t="shared" ca="1" si="67"/>
        <v>767018.95643061062</v>
      </c>
      <c r="BK76" s="286">
        <f>AnnualAggregations!$D68</f>
        <v>35893.000000000036</v>
      </c>
      <c r="BL76" s="286">
        <f>AnnualAggregations!$B68</f>
        <v>57157.11901197867</v>
      </c>
      <c r="BM76" s="286">
        <f>AnnualDepletions!$BK68</f>
        <v>77777.534070343609</v>
      </c>
      <c r="BN76" s="286">
        <f>AnnualAggregations!$E68</f>
        <v>5000.0000000019172</v>
      </c>
      <c r="BO76" s="287">
        <f t="shared" si="68"/>
        <v>175827.65308232425</v>
      </c>
      <c r="BP76" s="321">
        <f ca="1">StateModDepletions_ThisScenario!Y66</f>
        <v>212.11356273293495</v>
      </c>
      <c r="BQ76" s="321">
        <f ca="1">StateModDepletions_ThisScenario!AJ66</f>
        <v>148755.44143309048</v>
      </c>
      <c r="BR76" s="321">
        <f ca="1">StateModDepletions_ThisScenario!Z66</f>
        <v>186427.57899856567</v>
      </c>
      <c r="BS76" s="321">
        <f ca="1">StateModDepletions_ThisScenario!AA66</f>
        <v>37460.024002742255</v>
      </c>
      <c r="BT76" s="286">
        <f>AnnualDepletions!$BG68</f>
        <v>12296.800000006155</v>
      </c>
      <c r="BV76" s="287">
        <f t="shared" ca="1" si="69"/>
        <v>955143.40951294103</v>
      </c>
      <c r="BW76" s="287">
        <f t="shared" ca="1" si="70"/>
        <v>917683.38551019877</v>
      </c>
      <c r="BX76" s="287">
        <f t="shared" ca="1" si="91"/>
        <v>932558.38551019877</v>
      </c>
      <c r="BY76" s="287">
        <f>SJRIPSummaryRAW!$B$79</f>
        <v>14875</v>
      </c>
      <c r="CC76" s="282">
        <v>1989</v>
      </c>
      <c r="CD76" s="286">
        <f>AnnualAggregations!K68</f>
        <v>279541.313396201</v>
      </c>
      <c r="CE76" s="442" t="s">
        <v>597</v>
      </c>
      <c r="CF76" s="286">
        <f>AnnualDeplReqs!$AM68</f>
        <v>12100.000000000005</v>
      </c>
      <c r="CG76" s="286">
        <f>AnnualDeplReqs!$AK68</f>
        <v>7970</v>
      </c>
      <c r="CH76" s="286">
        <f>AnnualDeplReqs!$L68</f>
        <v>899.99999999999898</v>
      </c>
      <c r="CI76" s="443">
        <f t="shared" si="71"/>
        <v>306907.55605620437</v>
      </c>
      <c r="CJ76" s="286">
        <f>AnnualDeplReqs!$AO68</f>
        <v>1245.9999999998579</v>
      </c>
      <c r="CK76" s="286">
        <f>AnnualDeplReqs!$AY68</f>
        <v>1989.9999999997706</v>
      </c>
      <c r="CL76" s="286">
        <f>AnnualAggregations!$N68</f>
        <v>35960.23795474771</v>
      </c>
      <c r="CM76" s="286">
        <f>AnnualAggregations!$O68</f>
        <v>13131.999999998488</v>
      </c>
      <c r="CN76" s="286">
        <f>AnnualAggregations!$P68</f>
        <v>14477.99999999833</v>
      </c>
      <c r="CO76" s="286">
        <f>AnnualDeplReqs!$AL68</f>
        <v>12249.999999998585</v>
      </c>
      <c r="CP76" s="286">
        <f>AnnualDeplReqs!$AG68</f>
        <v>10253.999999998827</v>
      </c>
      <c r="CQ76" s="286">
        <f>AnnualDeplReqs!$AN68</f>
        <v>3445.9999999996007</v>
      </c>
      <c r="CR76" s="287">
        <f t="shared" si="72"/>
        <v>91510.237954741315</v>
      </c>
      <c r="CS76" s="287">
        <f t="shared" si="73"/>
        <v>399663.7940109456</v>
      </c>
      <c r="CT76" s="286">
        <f>AnnualDeplReqs!$AP68</f>
        <v>340.98999999997505</v>
      </c>
      <c r="CU76" s="442" t="s">
        <v>597</v>
      </c>
      <c r="CV76" s="286">
        <f>AnnualDeplReqs!$AJ68</f>
        <v>38999.999998983854</v>
      </c>
      <c r="CW76" s="286">
        <f>AnnualDeplReqs!$BC68</f>
        <v>16199.99999897049</v>
      </c>
      <c r="CX76" s="286">
        <f>AnnualDeplReqs!$J68</f>
        <v>2499.9900000012672</v>
      </c>
      <c r="CY76" s="286">
        <f>AnnualAggregations!$Q68</f>
        <v>11624.990000001573</v>
      </c>
      <c r="CZ76" s="287">
        <f t="shared" si="74"/>
        <v>69665.96999795716</v>
      </c>
      <c r="DA76" s="443">
        <f t="shared" si="75"/>
        <v>97361.308974923391</v>
      </c>
      <c r="DB76" s="287">
        <f t="shared" si="76"/>
        <v>497025.10298586899</v>
      </c>
      <c r="DD76" s="440" t="s">
        <v>628</v>
      </c>
      <c r="DE76" s="440" t="s">
        <v>628</v>
      </c>
      <c r="DF76" s="440" t="s">
        <v>628</v>
      </c>
      <c r="DG76" s="440" t="s">
        <v>628</v>
      </c>
      <c r="DH76" s="440" t="s">
        <v>628</v>
      </c>
      <c r="DI76" s="440" t="s">
        <v>628</v>
      </c>
      <c r="DJ76" s="440" t="s">
        <v>628</v>
      </c>
      <c r="DK76" s="440" t="s">
        <v>628</v>
      </c>
      <c r="DL76" s="440" t="s">
        <v>628</v>
      </c>
      <c r="DM76" s="440" t="s">
        <v>628</v>
      </c>
      <c r="DN76" s="440" t="s">
        <v>628</v>
      </c>
      <c r="DO76" s="440" t="s">
        <v>628</v>
      </c>
      <c r="DP76" s="440" t="s">
        <v>628</v>
      </c>
      <c r="DR76" s="440" t="s">
        <v>628</v>
      </c>
      <c r="DT76" s="286">
        <f>AnnualAggregations!$L68</f>
        <v>35893.000000000073</v>
      </c>
      <c r="DU76" s="443">
        <f>AnnualAggregations!$J68</f>
        <v>57242.838029079656</v>
      </c>
      <c r="DV76" s="442" t="s">
        <v>597</v>
      </c>
      <c r="DW76" s="286">
        <f>AnnualAggregations!$M68</f>
        <v>5000.0000000019172</v>
      </c>
      <c r="DX76" s="442" t="s">
        <v>597</v>
      </c>
      <c r="DY76" s="440" t="s">
        <v>628</v>
      </c>
      <c r="DZ76" s="440" t="s">
        <v>628</v>
      </c>
      <c r="EA76" s="440" t="s">
        <v>628</v>
      </c>
      <c r="EB76" s="440" t="s">
        <v>628</v>
      </c>
      <c r="EC76" s="286">
        <f>AnnualDeplReqs!$BG68</f>
        <v>12296.800000006155</v>
      </c>
      <c r="EE76" s="440" t="s">
        <v>628</v>
      </c>
      <c r="EF76" s="440" t="s">
        <v>628</v>
      </c>
      <c r="EG76" s="440" t="s">
        <v>628</v>
      </c>
      <c r="EH76" s="442" t="s">
        <v>597</v>
      </c>
      <c r="EL76" s="282">
        <v>1989</v>
      </c>
      <c r="EM76" s="286">
        <f>AnnualAggregations!S68</f>
        <v>349426.64174525248</v>
      </c>
      <c r="EN76" s="442" t="s">
        <v>597</v>
      </c>
      <c r="EO76" s="286">
        <f>AnnualDiversions!$AM68</f>
        <v>24160.880683190011</v>
      </c>
      <c r="EP76" s="286">
        <f>AnnualDiversions!$AK68</f>
        <v>15864.246446422736</v>
      </c>
      <c r="EQ76" s="286">
        <f>AnnualDiversions!$L68</f>
        <v>1799.999999999998</v>
      </c>
      <c r="ER76" s="287">
        <f t="shared" si="77"/>
        <v>391251.7688748652</v>
      </c>
      <c r="ES76" s="286">
        <f>AnnualDiversions!$AO68</f>
        <v>2491.9999999997158</v>
      </c>
      <c r="ET76" s="286">
        <f>AnnualDiversions!$AY68</f>
        <v>3601.809954750715</v>
      </c>
      <c r="EU76" s="286">
        <f>AnnualAggregations!$V68</f>
        <v>60344.257945087389</v>
      </c>
      <c r="EV76" s="286">
        <f>AnnualAggregations!$W68</f>
        <v>5848.6456877429919</v>
      </c>
      <c r="EW76" s="286">
        <f>AnnualAggregations!$X68</f>
        <v>22192.538337056762</v>
      </c>
      <c r="EX76" s="286">
        <f>AnnualDiversions!$AL68</f>
        <v>14531.435349939007</v>
      </c>
      <c r="EY76" s="286">
        <f>AnnualDiversions!$AG68</f>
        <v>19433.336491990569</v>
      </c>
      <c r="EZ76" s="286">
        <f>AnnualDiversions!$AN68</f>
        <v>6479.2704709967138</v>
      </c>
      <c r="FA76" s="287">
        <f t="shared" si="78"/>
        <v>132431.29423756414</v>
      </c>
      <c r="FB76" s="287">
        <f t="shared" si="79"/>
        <v>526175.06311242911</v>
      </c>
      <c r="FC76" s="286">
        <f>AnnualDiversions!$AP68</f>
        <v>378.87777777775057</v>
      </c>
      <c r="FD76" s="442" t="s">
        <v>597</v>
      </c>
      <c r="FE76" s="286">
        <f>AnnualDiversions!$AJ68</f>
        <v>38999.999998983854</v>
      </c>
      <c r="FF76" s="286">
        <f>AnnualDiversions!$BC68</f>
        <v>16199.99999897049</v>
      </c>
      <c r="FG76" s="286">
        <f>AnnualDiversions!$J68</f>
        <v>4166.6500000021233</v>
      </c>
      <c r="FH76" s="286">
        <f>AnnualAggregations!$Y68</f>
        <v>19374.983333335964</v>
      </c>
      <c r="FI76" s="287">
        <f t="shared" si="80"/>
        <v>79120.511109070183</v>
      </c>
      <c r="FJ76" s="287">
        <f t="shared" si="81"/>
        <v>79120.511109070183</v>
      </c>
      <c r="FK76" s="287">
        <f t="shared" si="82"/>
        <v>605295.57422149926</v>
      </c>
      <c r="FM76" s="440" t="s">
        <v>628</v>
      </c>
      <c r="FN76" s="440" t="s">
        <v>628</v>
      </c>
      <c r="FO76" s="440" t="s">
        <v>628</v>
      </c>
      <c r="FP76" s="440" t="s">
        <v>628</v>
      </c>
      <c r="FQ76" s="440" t="s">
        <v>628</v>
      </c>
      <c r="FR76" s="440" t="s">
        <v>628</v>
      </c>
      <c r="FS76" s="440" t="s">
        <v>628</v>
      </c>
      <c r="FT76" s="440" t="s">
        <v>628</v>
      </c>
      <c r="FU76" s="440" t="s">
        <v>628</v>
      </c>
      <c r="FV76" s="440" t="s">
        <v>628</v>
      </c>
      <c r="FW76" s="440" t="s">
        <v>628</v>
      </c>
      <c r="FX76" s="440" t="s">
        <v>628</v>
      </c>
      <c r="FY76" s="440" t="s">
        <v>628</v>
      </c>
      <c r="GA76" s="440" t="s">
        <v>628</v>
      </c>
      <c r="GC76" s="286">
        <f>AnnualAggregations!$T68</f>
        <v>37764.238566617598</v>
      </c>
      <c r="GD76" s="286">
        <f>AnnualAggregations!$R68</f>
        <v>109067.13000005133</v>
      </c>
      <c r="GE76" s="443">
        <f t="shared" si="83"/>
        <v>77777.534070343609</v>
      </c>
      <c r="GF76" s="286">
        <f>AnnualAggregations!$U68</f>
        <v>5000.0000000019172</v>
      </c>
      <c r="GG76" s="287">
        <f t="shared" si="84"/>
        <v>229608.90263701446</v>
      </c>
      <c r="GH76" s="440" t="s">
        <v>628</v>
      </c>
      <c r="GI76" s="440" t="s">
        <v>628</v>
      </c>
      <c r="GJ76" s="440" t="s">
        <v>628</v>
      </c>
      <c r="GK76" s="440" t="s">
        <v>628</v>
      </c>
      <c r="GL76" s="286">
        <f>AnnualDiversions!$BG68</f>
        <v>12296.800000006155</v>
      </c>
      <c r="GN76" s="440" t="s">
        <v>628</v>
      </c>
      <c r="GO76" s="440" t="s">
        <v>628</v>
      </c>
      <c r="GP76" s="440" t="s">
        <v>628</v>
      </c>
      <c r="GQ76" s="442" t="s">
        <v>597</v>
      </c>
      <c r="GU76" s="282">
        <v>1989</v>
      </c>
      <c r="GV76" s="286">
        <f>AnnualAggregations!AA68</f>
        <v>349426.64174525248</v>
      </c>
      <c r="GW76" s="442" t="s">
        <v>597</v>
      </c>
      <c r="GX76" s="286">
        <f>AnnualDivReqs!$AM68</f>
        <v>24160.880683190011</v>
      </c>
      <c r="GY76" s="286">
        <f>AnnualDivReqs!$AK68</f>
        <v>15864.246446422736</v>
      </c>
      <c r="GZ76" s="286">
        <f>AnnualDivReqs!$L68</f>
        <v>1799.999999999998</v>
      </c>
      <c r="HA76" s="287">
        <f t="shared" si="85"/>
        <v>391251.7688748652</v>
      </c>
      <c r="HB76" s="286">
        <f>AnnualDivReqs!$AO68</f>
        <v>2491.9999999997158</v>
      </c>
      <c r="HC76" s="286">
        <f>AnnualDivReqs!$AY68</f>
        <v>3601.809954750715</v>
      </c>
      <c r="HD76" s="286">
        <f>AnnualAggregations!$AD68</f>
        <v>60344.257945087389</v>
      </c>
      <c r="HE76" s="286">
        <f>AnnualAggregations!$AE68</f>
        <v>23519.213828451033</v>
      </c>
      <c r="HF76" s="286">
        <f>AnnualAggregations!$AF68</f>
        <v>22192.538337056762</v>
      </c>
      <c r="HG76" s="286">
        <f>AnnualDivReqs!$AL68</f>
        <v>14531.435349939007</v>
      </c>
      <c r="HH76" s="286">
        <f>AnnualDivReqs!$AG68</f>
        <v>19433.336491990569</v>
      </c>
      <c r="HI76" s="286">
        <f>AnnualDivReqs!$AN68</f>
        <v>6479.2704709967138</v>
      </c>
      <c r="HJ76" s="287">
        <f t="shared" si="86"/>
        <v>150101.86237827217</v>
      </c>
      <c r="HK76" s="287">
        <f t="shared" si="87"/>
        <v>543845.63125313702</v>
      </c>
      <c r="HL76" s="286">
        <f>AnnualDivReqs!$AP68</f>
        <v>378.87777777775057</v>
      </c>
      <c r="HM76" s="442" t="s">
        <v>597</v>
      </c>
      <c r="HN76" s="286">
        <f>AnnualDivReqs!$AJ68</f>
        <v>38999.999998983854</v>
      </c>
      <c r="HO76" s="286">
        <f>AnnualDivReqs!$BC68</f>
        <v>16199.99999897049</v>
      </c>
      <c r="HP76" s="286">
        <f>AnnualDivReqs!$J68</f>
        <v>4166.6500000021233</v>
      </c>
      <c r="HQ76" s="286">
        <f>AnnualAggregations!$AG68</f>
        <v>19374.983333335964</v>
      </c>
      <c r="HR76" s="287">
        <f t="shared" si="88"/>
        <v>79120.511109070183</v>
      </c>
      <c r="HS76" s="287">
        <f t="shared" si="89"/>
        <v>79120.511109070183</v>
      </c>
      <c r="HT76" s="287">
        <f t="shared" si="90"/>
        <v>622966.14236220717</v>
      </c>
      <c r="HV76" s="440" t="s">
        <v>628</v>
      </c>
      <c r="HW76" s="440" t="s">
        <v>628</v>
      </c>
      <c r="HX76" s="440" t="s">
        <v>628</v>
      </c>
      <c r="HY76" s="440" t="s">
        <v>628</v>
      </c>
      <c r="HZ76" s="440" t="s">
        <v>628</v>
      </c>
      <c r="IA76" s="440" t="s">
        <v>628</v>
      </c>
      <c r="IB76" s="440" t="s">
        <v>628</v>
      </c>
      <c r="IC76" s="440" t="s">
        <v>628</v>
      </c>
      <c r="ID76" s="440" t="s">
        <v>628</v>
      </c>
      <c r="IE76" s="440" t="s">
        <v>628</v>
      </c>
      <c r="IF76" s="440" t="s">
        <v>628</v>
      </c>
      <c r="IG76" s="440" t="s">
        <v>628</v>
      </c>
      <c r="IH76" s="440" t="s">
        <v>628</v>
      </c>
      <c r="IJ76" s="440" t="s">
        <v>628</v>
      </c>
      <c r="IL76" s="286">
        <f>AnnualAggregations!$AB68</f>
        <v>37764.238566617634</v>
      </c>
      <c r="IM76" s="286">
        <f>AnnualAggregations!$Z68</f>
        <v>109238.5680342533</v>
      </c>
      <c r="IN76" s="442" t="s">
        <v>597</v>
      </c>
      <c r="IO76" s="286">
        <f>AnnualAggregations!$AC68</f>
        <v>5000.0000000019172</v>
      </c>
      <c r="IP76" s="442" t="s">
        <v>597</v>
      </c>
      <c r="IQ76" s="440" t="s">
        <v>628</v>
      </c>
      <c r="IR76" s="440" t="s">
        <v>628</v>
      </c>
      <c r="IS76" s="440" t="s">
        <v>628</v>
      </c>
      <c r="IT76" s="440" t="s">
        <v>628</v>
      </c>
      <c r="IU76" s="286">
        <f>AnnualDivReqs!$BG68</f>
        <v>12296.800000006155</v>
      </c>
      <c r="IW76" s="440" t="s">
        <v>628</v>
      </c>
      <c r="IX76" s="440" t="s">
        <v>628</v>
      </c>
      <c r="IY76" s="440" t="s">
        <v>628</v>
      </c>
      <c r="IZ76" s="442" t="s">
        <v>597</v>
      </c>
    </row>
    <row r="77" spans="1:260" x14ac:dyDescent="0.25">
      <c r="T77" s="282">
        <v>1990</v>
      </c>
      <c r="U77" s="286">
        <f>AnnualAggregations!$C69</f>
        <v>260388.81842197009</v>
      </c>
      <c r="V77" s="286">
        <f>AnnualDepletions!$BI69</f>
        <v>2565.7436651571588</v>
      </c>
      <c r="W77" s="286">
        <f>AnnualDepletions!$AM69</f>
        <v>12100.000000000002</v>
      </c>
      <c r="X77" s="286">
        <f>AnnualDepletions!$AK69</f>
        <v>7969.9999999999909</v>
      </c>
      <c r="Y77" s="286">
        <f>AnnualDepletions!$L69</f>
        <v>900.00000000000125</v>
      </c>
      <c r="Z77" s="287">
        <f t="shared" si="58"/>
        <v>283924.56208712724</v>
      </c>
      <c r="AA77" s="286">
        <f>AnnualDepletions!$AO69</f>
        <v>990.9999999998862</v>
      </c>
      <c r="AB77" s="286">
        <f>AnnualDepletions!$AY69</f>
        <v>1490.9999999998283</v>
      </c>
      <c r="AC77" s="286">
        <f>AnnualAggregations!$F69</f>
        <v>32276.143328320206</v>
      </c>
      <c r="AD77" s="286">
        <f>AnnualAggregations!$G69</f>
        <v>3766.420970845305</v>
      </c>
      <c r="AE77" s="286">
        <f>AnnualAggregations!$H69</f>
        <v>12811.999999998532</v>
      </c>
      <c r="AF77" s="286">
        <f>AnnualDepletions!$AL69</f>
        <v>10871.999999998738</v>
      </c>
      <c r="AG77" s="286">
        <f>AnnualDepletions!$AG69</f>
        <v>9055.9999999989632</v>
      </c>
      <c r="AH77" s="286">
        <f>AnnualDepletions!$AN69</f>
        <v>3114.9999999996426</v>
      </c>
      <c r="AI77" s="287">
        <f t="shared" si="59"/>
        <v>73388.564299161211</v>
      </c>
      <c r="AJ77" s="287">
        <f t="shared" si="60"/>
        <v>358304.12638628832</v>
      </c>
      <c r="AK77" s="286">
        <f>AnnualDepletions!$AP69</f>
        <v>340.98999999997505</v>
      </c>
      <c r="AL77" s="286">
        <f>AnnualDepletions!$BH69</f>
        <v>25965.876419256467</v>
      </c>
      <c r="AM77" s="286">
        <f>AnnualDepletions!$AJ69</f>
        <v>38999.999998983854</v>
      </c>
      <c r="AN77" s="286">
        <f>AnnualDepletions!$BC69</f>
        <v>16199.99999897049</v>
      </c>
      <c r="AO77" s="286">
        <f>AnnualDepletions!$J69</f>
        <v>2499.9900000012672</v>
      </c>
      <c r="AP77" s="286">
        <f>AnnualAggregations!$I69</f>
        <v>11624.990000001573</v>
      </c>
      <c r="AQ77" s="287">
        <f t="shared" si="61"/>
        <v>69665.96999795716</v>
      </c>
      <c r="AR77" s="287">
        <f t="shared" si="62"/>
        <v>95631.846417213645</v>
      </c>
      <c r="AS77" s="287">
        <f t="shared" si="63"/>
        <v>453935.97280350199</v>
      </c>
      <c r="AU77" s="321">
        <f ca="1">StateModDepletions_ThisScenario!AC67</f>
        <v>31588.332506015897</v>
      </c>
      <c r="AV77" s="321">
        <f ca="1">StateModDepletions_ThisScenario!AD67</f>
        <v>17252.049890741706</v>
      </c>
      <c r="AW77" s="321">
        <f ca="1">StateModDepletions_ThisScenario!AE67</f>
        <v>99623.944415777922</v>
      </c>
      <c r="AX77" s="321">
        <f ca="1">StateModDepletions_ThisScenario!AB67</f>
        <v>24765.810481309891</v>
      </c>
      <c r="AY77" s="288">
        <f t="shared" ca="1" si="64"/>
        <v>173230.13729384542</v>
      </c>
      <c r="AZ77" s="321">
        <f ca="1">StateModDepletions_ThisScenario!AG67</f>
        <v>34502.990484087248</v>
      </c>
      <c r="BA77" s="321">
        <f ca="1">StateModDepletions_ThisScenario!AF67</f>
        <v>18520.991993412368</v>
      </c>
      <c r="BB77" s="321">
        <f ca="1">StateModDepletions_ThisScenario!AH67</f>
        <v>12455.813236698508</v>
      </c>
      <c r="BC77" s="321">
        <f ca="1">StateModDepletions_ThisScenario!AI67</f>
        <v>9612.6697471168645</v>
      </c>
      <c r="BD77" s="321">
        <f ca="1">StateModDepletions_ThisScenario!N67</f>
        <v>1326.6977829933167</v>
      </c>
      <c r="BE77" s="321">
        <f ca="1">StateModDepletions_ThisScenario!V67</f>
        <v>10663.555787086487</v>
      </c>
      <c r="BF77" s="288">
        <f t="shared" ca="1" si="65"/>
        <v>87082.719031394794</v>
      </c>
      <c r="BG77" s="288">
        <f t="shared" ca="1" si="66"/>
        <v>260312.85632524022</v>
      </c>
      <c r="BI77" s="288">
        <f t="shared" ca="1" si="67"/>
        <v>714248.82912874222</v>
      </c>
      <c r="BK77" s="286">
        <f>AnnualAggregations!$D69</f>
        <v>35893.000000000058</v>
      </c>
      <c r="BL77" s="286">
        <f>AnnualAggregations!$B69</f>
        <v>57061.295736012769</v>
      </c>
      <c r="BM77" s="286">
        <f>AnnualDepletions!$BK69</f>
        <v>80945.052909673614</v>
      </c>
      <c r="BN77" s="286">
        <f>AnnualAggregations!$E69</f>
        <v>5000.0000000019172</v>
      </c>
      <c r="BO77" s="287">
        <f t="shared" si="68"/>
        <v>178899.34864568838</v>
      </c>
      <c r="BP77" s="321">
        <f ca="1">StateModDepletions_ThisScenario!Y67</f>
        <v>212.11356273293495</v>
      </c>
      <c r="BQ77" s="321">
        <f ca="1">StateModDepletions_ThisScenario!AJ67</f>
        <v>121100.91723519056</v>
      </c>
      <c r="BR77" s="321">
        <f ca="1">StateModDepletions_ThisScenario!Z67</f>
        <v>230290.84494149685</v>
      </c>
      <c r="BS77" s="321">
        <f ca="1">StateModDepletions_ThisScenario!AA67</f>
        <v>108977.81414357336</v>
      </c>
      <c r="BT77" s="286">
        <f>AnnualDepletions!$BG69</f>
        <v>12296.800000006155</v>
      </c>
      <c r="BV77" s="287">
        <f t="shared" ca="1" si="69"/>
        <v>905444.97777443682</v>
      </c>
      <c r="BW77" s="287">
        <f t="shared" ca="1" si="70"/>
        <v>796467.16363086342</v>
      </c>
      <c r="BX77" s="287">
        <f t="shared" ca="1" si="91"/>
        <v>811342.16363086342</v>
      </c>
      <c r="BY77" s="287">
        <f>SJRIPSummaryRAW!$B$79</f>
        <v>14875</v>
      </c>
      <c r="CC77" s="282">
        <v>1990</v>
      </c>
      <c r="CD77" s="286">
        <f>AnnualAggregations!K69</f>
        <v>260388.81842197009</v>
      </c>
      <c r="CE77" s="442" t="s">
        <v>597</v>
      </c>
      <c r="CF77" s="286">
        <f>AnnualDeplReqs!$AM69</f>
        <v>12100.000000000002</v>
      </c>
      <c r="CG77" s="286">
        <f>AnnualDeplReqs!$AK69</f>
        <v>7969.9999999999909</v>
      </c>
      <c r="CH77" s="286">
        <f>AnnualDeplReqs!$L69</f>
        <v>900.00000000000125</v>
      </c>
      <c r="CI77" s="443">
        <f t="shared" si="71"/>
        <v>283924.5620871273</v>
      </c>
      <c r="CJ77" s="286">
        <f>AnnualDeplReqs!$AO69</f>
        <v>990.9999999998862</v>
      </c>
      <c r="CK77" s="286">
        <f>AnnualDeplReqs!$AY69</f>
        <v>1490.9999999998283</v>
      </c>
      <c r="CL77" s="286">
        <f>AnnualAggregations!$N69</f>
        <v>32276.143328320206</v>
      </c>
      <c r="CM77" s="286">
        <f>AnnualAggregations!$O69</f>
        <v>11769.999999998656</v>
      </c>
      <c r="CN77" s="286">
        <f>AnnualAggregations!$P69</f>
        <v>12811.999999998532</v>
      </c>
      <c r="CO77" s="286">
        <f>AnnualDeplReqs!$AL69</f>
        <v>10871.999999998738</v>
      </c>
      <c r="CP77" s="286">
        <f>AnnualDeplReqs!$AG69</f>
        <v>9055.9999999989632</v>
      </c>
      <c r="CQ77" s="286">
        <f>AnnualDeplReqs!$AN69</f>
        <v>3114.9999999996426</v>
      </c>
      <c r="CR77" s="287">
        <f t="shared" si="72"/>
        <v>81392.14332831456</v>
      </c>
      <c r="CS77" s="287">
        <f t="shared" si="73"/>
        <v>366307.70541544177</v>
      </c>
      <c r="CT77" s="286">
        <f>AnnualDeplReqs!$AP69</f>
        <v>340.98999999997505</v>
      </c>
      <c r="CU77" s="442" t="s">
        <v>597</v>
      </c>
      <c r="CV77" s="286">
        <f>AnnualDeplReqs!$AJ69</f>
        <v>38999.999998983854</v>
      </c>
      <c r="CW77" s="286">
        <f>AnnualDeplReqs!$BC69</f>
        <v>16199.99999897049</v>
      </c>
      <c r="CX77" s="286">
        <f>AnnualDeplReqs!$J69</f>
        <v>2499.9900000012672</v>
      </c>
      <c r="CY77" s="286">
        <f>AnnualAggregations!$Q69</f>
        <v>11624.990000001573</v>
      </c>
      <c r="CZ77" s="287">
        <f t="shared" si="74"/>
        <v>69665.96999795716</v>
      </c>
      <c r="DA77" s="443">
        <f t="shared" si="75"/>
        <v>95631.84641721363</v>
      </c>
      <c r="DB77" s="287">
        <f t="shared" si="76"/>
        <v>461939.55183265539</v>
      </c>
      <c r="DD77" s="440" t="s">
        <v>628</v>
      </c>
      <c r="DE77" s="440" t="s">
        <v>628</v>
      </c>
      <c r="DF77" s="440" t="s">
        <v>628</v>
      </c>
      <c r="DG77" s="440" t="s">
        <v>628</v>
      </c>
      <c r="DH77" s="440" t="s">
        <v>628</v>
      </c>
      <c r="DI77" s="440" t="s">
        <v>628</v>
      </c>
      <c r="DJ77" s="440" t="s">
        <v>628</v>
      </c>
      <c r="DK77" s="440" t="s">
        <v>628</v>
      </c>
      <c r="DL77" s="440" t="s">
        <v>628</v>
      </c>
      <c r="DM77" s="440" t="s">
        <v>628</v>
      </c>
      <c r="DN77" s="440" t="s">
        <v>628</v>
      </c>
      <c r="DO77" s="440" t="s">
        <v>628</v>
      </c>
      <c r="DP77" s="440" t="s">
        <v>628</v>
      </c>
      <c r="DR77" s="440" t="s">
        <v>628</v>
      </c>
      <c r="DT77" s="286">
        <f>AnnualAggregations!$L69</f>
        <v>35893.000000000073</v>
      </c>
      <c r="DU77" s="443">
        <f>AnnualAggregations!$J69</f>
        <v>57075.542736012758</v>
      </c>
      <c r="DV77" s="442" t="s">
        <v>597</v>
      </c>
      <c r="DW77" s="286">
        <f>AnnualAggregations!$M69</f>
        <v>5000.0000000019172</v>
      </c>
      <c r="DX77" s="442" t="s">
        <v>597</v>
      </c>
      <c r="DY77" s="440" t="s">
        <v>628</v>
      </c>
      <c r="DZ77" s="440" t="s">
        <v>628</v>
      </c>
      <c r="EA77" s="440" t="s">
        <v>628</v>
      </c>
      <c r="EB77" s="440" t="s">
        <v>628</v>
      </c>
      <c r="EC77" s="286">
        <f>AnnualDeplReqs!$BG69</f>
        <v>12296.800000006155</v>
      </c>
      <c r="EE77" s="440" t="s">
        <v>628</v>
      </c>
      <c r="EF77" s="440" t="s">
        <v>628</v>
      </c>
      <c r="EG77" s="440" t="s">
        <v>628</v>
      </c>
      <c r="EH77" s="442" t="s">
        <v>597</v>
      </c>
      <c r="EL77" s="282">
        <v>1990</v>
      </c>
      <c r="EM77" s="286">
        <f>AnnualAggregations!S69</f>
        <v>325486.02302746312</v>
      </c>
      <c r="EN77" s="442" t="s">
        <v>597</v>
      </c>
      <c r="EO77" s="286">
        <f>AnnualDiversions!$AM69</f>
        <v>24160.880683190004</v>
      </c>
      <c r="EP77" s="286">
        <f>AnnualDiversions!$AK69</f>
        <v>15864.246446422736</v>
      </c>
      <c r="EQ77" s="286">
        <f>AnnualDiversions!$L69</f>
        <v>1800.0000000000025</v>
      </c>
      <c r="ER77" s="287">
        <f t="shared" si="77"/>
        <v>367311.15015707584</v>
      </c>
      <c r="ES77" s="286">
        <f>AnnualDiversions!$AO69</f>
        <v>1981.9999999997724</v>
      </c>
      <c r="ET77" s="286">
        <f>AnnualDiversions!$AY69</f>
        <v>2698.6425339363414</v>
      </c>
      <c r="EU77" s="286">
        <f>AnnualAggregations!$V69</f>
        <v>54126.38059388315</v>
      </c>
      <c r="EV77" s="286">
        <f>AnnualAggregations!$W69</f>
        <v>6805.5584077610019</v>
      </c>
      <c r="EW77" s="286">
        <f>AnnualAggregations!$X69</f>
        <v>19639.612936708556</v>
      </c>
      <c r="EX77" s="286">
        <f>AnnualDiversions!$AL69</f>
        <v>12896.797153023424</v>
      </c>
      <c r="EY77" s="286">
        <f>AnnualDiversions!$AG69</f>
        <v>17162.892068604117</v>
      </c>
      <c r="EZ77" s="286">
        <f>AnnualDiversions!$AN69</f>
        <v>5856.9145435736391</v>
      </c>
      <c r="FA77" s="287">
        <f t="shared" si="78"/>
        <v>119186.79823749022</v>
      </c>
      <c r="FB77" s="287">
        <f t="shared" si="79"/>
        <v>488479.94839456584</v>
      </c>
      <c r="FC77" s="286">
        <f>AnnualDiversions!$AP69</f>
        <v>378.87777777775057</v>
      </c>
      <c r="FD77" s="442" t="s">
        <v>597</v>
      </c>
      <c r="FE77" s="286">
        <f>AnnualDiversions!$AJ69</f>
        <v>38999.999998983854</v>
      </c>
      <c r="FF77" s="286">
        <f>AnnualDiversions!$BC69</f>
        <v>16199.99999897049</v>
      </c>
      <c r="FG77" s="286">
        <f>AnnualDiversions!$J69</f>
        <v>4166.6500000021233</v>
      </c>
      <c r="FH77" s="286">
        <f>AnnualAggregations!$Y69</f>
        <v>19374.983333335964</v>
      </c>
      <c r="FI77" s="287">
        <f t="shared" si="80"/>
        <v>79120.511109070183</v>
      </c>
      <c r="FJ77" s="287">
        <f t="shared" si="81"/>
        <v>79120.511109070183</v>
      </c>
      <c r="FK77" s="287">
        <f t="shared" si="82"/>
        <v>567600.459503636</v>
      </c>
      <c r="FM77" s="440" t="s">
        <v>628</v>
      </c>
      <c r="FN77" s="440" t="s">
        <v>628</v>
      </c>
      <c r="FO77" s="440" t="s">
        <v>628</v>
      </c>
      <c r="FP77" s="440" t="s">
        <v>628</v>
      </c>
      <c r="FQ77" s="440" t="s">
        <v>628</v>
      </c>
      <c r="FR77" s="440" t="s">
        <v>628</v>
      </c>
      <c r="FS77" s="440" t="s">
        <v>628</v>
      </c>
      <c r="FT77" s="440" t="s">
        <v>628</v>
      </c>
      <c r="FU77" s="440" t="s">
        <v>628</v>
      </c>
      <c r="FV77" s="440" t="s">
        <v>628</v>
      </c>
      <c r="FW77" s="440" t="s">
        <v>628</v>
      </c>
      <c r="FX77" s="440" t="s">
        <v>628</v>
      </c>
      <c r="FY77" s="440" t="s">
        <v>628</v>
      </c>
      <c r="GA77" s="440" t="s">
        <v>628</v>
      </c>
      <c r="GC77" s="286">
        <f>AnnualAggregations!$T69</f>
        <v>37764.23856661762</v>
      </c>
      <c r="GD77" s="286">
        <f>AnnualAggregations!$R69</f>
        <v>109067.13000005134</v>
      </c>
      <c r="GE77" s="443">
        <f t="shared" si="83"/>
        <v>80945.052909673614</v>
      </c>
      <c r="GF77" s="286">
        <f>AnnualAggregations!$U69</f>
        <v>5000.0000000019172</v>
      </c>
      <c r="GG77" s="287">
        <f t="shared" si="84"/>
        <v>232776.42147634452</v>
      </c>
      <c r="GH77" s="440" t="s">
        <v>628</v>
      </c>
      <c r="GI77" s="440" t="s">
        <v>628</v>
      </c>
      <c r="GJ77" s="440" t="s">
        <v>628</v>
      </c>
      <c r="GK77" s="440" t="s">
        <v>628</v>
      </c>
      <c r="GL77" s="286">
        <f>AnnualDiversions!$BG69</f>
        <v>12296.800000006155</v>
      </c>
      <c r="GN77" s="440" t="s">
        <v>628</v>
      </c>
      <c r="GO77" s="440" t="s">
        <v>628</v>
      </c>
      <c r="GP77" s="440" t="s">
        <v>628</v>
      </c>
      <c r="GQ77" s="442" t="s">
        <v>597</v>
      </c>
      <c r="GU77" s="282">
        <v>1990</v>
      </c>
      <c r="GV77" s="286">
        <f>AnnualAggregations!AA69</f>
        <v>325486.02302746312</v>
      </c>
      <c r="GW77" s="442" t="s">
        <v>597</v>
      </c>
      <c r="GX77" s="286">
        <f>AnnualDivReqs!$AM69</f>
        <v>24160.880683190004</v>
      </c>
      <c r="GY77" s="286">
        <f>AnnualDivReqs!$AK69</f>
        <v>15864.246446422736</v>
      </c>
      <c r="GZ77" s="286">
        <f>AnnualDivReqs!$L69</f>
        <v>1800.0000000000025</v>
      </c>
      <c r="HA77" s="287">
        <f t="shared" si="85"/>
        <v>367311.15015707584</v>
      </c>
      <c r="HB77" s="286">
        <f>AnnualDivReqs!$AO69</f>
        <v>1981.9999999997724</v>
      </c>
      <c r="HC77" s="286">
        <f>AnnualDivReqs!$AY69</f>
        <v>2698.6425339363414</v>
      </c>
      <c r="HD77" s="286">
        <f>AnnualAggregations!$AD69</f>
        <v>54126.38059388315</v>
      </c>
      <c r="HE77" s="286">
        <f>AnnualAggregations!$AE69</f>
        <v>21079.530942611771</v>
      </c>
      <c r="HF77" s="286">
        <f>AnnualAggregations!$AF69</f>
        <v>19639.612936708556</v>
      </c>
      <c r="HG77" s="286">
        <f>AnnualDivReqs!$AL69</f>
        <v>12896.797153023424</v>
      </c>
      <c r="HH77" s="286">
        <f>AnnualDivReqs!$AG69</f>
        <v>17162.892068604117</v>
      </c>
      <c r="HI77" s="286">
        <f>AnnualDivReqs!$AN69</f>
        <v>5856.9145435736391</v>
      </c>
      <c r="HJ77" s="287">
        <f t="shared" si="86"/>
        <v>133460.77077234097</v>
      </c>
      <c r="HK77" s="287">
        <f t="shared" si="87"/>
        <v>502753.92092941655</v>
      </c>
      <c r="HL77" s="286">
        <f>AnnualDivReqs!$AP69</f>
        <v>378.87777777775057</v>
      </c>
      <c r="HM77" s="442" t="s">
        <v>597</v>
      </c>
      <c r="HN77" s="286">
        <f>AnnualDivReqs!$AJ69</f>
        <v>38999.999998983854</v>
      </c>
      <c r="HO77" s="286">
        <f>AnnualDivReqs!$BC69</f>
        <v>16199.99999897049</v>
      </c>
      <c r="HP77" s="286">
        <f>AnnualDivReqs!$J69</f>
        <v>4166.6500000021233</v>
      </c>
      <c r="HQ77" s="286">
        <f>AnnualAggregations!$AG69</f>
        <v>19374.983333335964</v>
      </c>
      <c r="HR77" s="287">
        <f t="shared" si="88"/>
        <v>79120.511109070183</v>
      </c>
      <c r="HS77" s="287">
        <f t="shared" si="89"/>
        <v>79120.511109070183</v>
      </c>
      <c r="HT77" s="287">
        <f t="shared" si="90"/>
        <v>581874.4320384867</v>
      </c>
      <c r="HV77" s="440" t="s">
        <v>628</v>
      </c>
      <c r="HW77" s="440" t="s">
        <v>628</v>
      </c>
      <c r="HX77" s="440" t="s">
        <v>628</v>
      </c>
      <c r="HY77" s="440" t="s">
        <v>628</v>
      </c>
      <c r="HZ77" s="440" t="s">
        <v>628</v>
      </c>
      <c r="IA77" s="440" t="s">
        <v>628</v>
      </c>
      <c r="IB77" s="440" t="s">
        <v>628</v>
      </c>
      <c r="IC77" s="440" t="s">
        <v>628</v>
      </c>
      <c r="ID77" s="440" t="s">
        <v>628</v>
      </c>
      <c r="IE77" s="440" t="s">
        <v>628</v>
      </c>
      <c r="IF77" s="440" t="s">
        <v>628</v>
      </c>
      <c r="IG77" s="440" t="s">
        <v>628</v>
      </c>
      <c r="IH77" s="440" t="s">
        <v>628</v>
      </c>
      <c r="IJ77" s="440" t="s">
        <v>628</v>
      </c>
      <c r="IL77" s="286">
        <f>AnnualAggregations!$AB69</f>
        <v>37764.238566617634</v>
      </c>
      <c r="IM77" s="286">
        <f>AnnualAggregations!$Z69</f>
        <v>109095.62400005132</v>
      </c>
      <c r="IN77" s="442" t="s">
        <v>597</v>
      </c>
      <c r="IO77" s="286">
        <f>AnnualAggregations!$AC69</f>
        <v>5000.0000000019172</v>
      </c>
      <c r="IP77" s="442" t="s">
        <v>597</v>
      </c>
      <c r="IQ77" s="440" t="s">
        <v>628</v>
      </c>
      <c r="IR77" s="440" t="s">
        <v>628</v>
      </c>
      <c r="IS77" s="440" t="s">
        <v>628</v>
      </c>
      <c r="IT77" s="440" t="s">
        <v>628</v>
      </c>
      <c r="IU77" s="286">
        <f>AnnualDivReqs!$BG69</f>
        <v>12296.800000006155</v>
      </c>
      <c r="IW77" s="440" t="s">
        <v>628</v>
      </c>
      <c r="IX77" s="440" t="s">
        <v>628</v>
      </c>
      <c r="IY77" s="440" t="s">
        <v>628</v>
      </c>
      <c r="IZ77" s="442" t="s">
        <v>597</v>
      </c>
    </row>
    <row r="78" spans="1:260" s="42" customFormat="1" x14ac:dyDescent="0.25">
      <c r="A78" s="400"/>
      <c r="B78" s="400"/>
      <c r="D78" s="400"/>
      <c r="E78" s="400"/>
      <c r="F78" s="400"/>
      <c r="G78" s="400"/>
      <c r="H78"/>
      <c r="I78"/>
      <c r="J78"/>
      <c r="K78"/>
      <c r="L78"/>
      <c r="M78"/>
      <c r="N78"/>
      <c r="O78"/>
      <c r="P78"/>
      <c r="Q78"/>
      <c r="R78"/>
      <c r="S78"/>
      <c r="T78" s="282">
        <v>1991</v>
      </c>
      <c r="U78" s="286">
        <f>AnnualAggregations!$C70</f>
        <v>256603.3557338242</v>
      </c>
      <c r="V78" s="286">
        <f>AnnualDepletions!$BI70</f>
        <v>1808.6511275280955</v>
      </c>
      <c r="W78" s="286">
        <f>AnnualDepletions!$AM70</f>
        <v>12100.000000000009</v>
      </c>
      <c r="X78" s="286">
        <f>AnnualDepletions!$AK70</f>
        <v>7969.9999999999973</v>
      </c>
      <c r="Y78" s="286">
        <f>AnnualDepletions!$L70</f>
        <v>900.00000000000034</v>
      </c>
      <c r="Z78" s="287">
        <f t="shared" si="58"/>
        <v>279382.0068613523</v>
      </c>
      <c r="AA78" s="286">
        <f>AnnualDepletions!$AO70</f>
        <v>1010.9999999998829</v>
      </c>
      <c r="AB78" s="286">
        <f>AnnualDepletions!$AY70</f>
        <v>1564.9999999998206</v>
      </c>
      <c r="AC78" s="286">
        <f>AnnualAggregations!$F70</f>
        <v>32747.287984905008</v>
      </c>
      <c r="AD78" s="286">
        <f>AnnualAggregations!$G70</f>
        <v>2444.384611557879</v>
      </c>
      <c r="AE78" s="286">
        <f>AnnualAggregations!$H70</f>
        <v>12948.999999998508</v>
      </c>
      <c r="AF78" s="286">
        <f>AnnualDepletions!$AL70</f>
        <v>10960.999999998752</v>
      </c>
      <c r="AG78" s="286">
        <f>AnnualDepletions!$AG70</f>
        <v>8943.9999999989741</v>
      </c>
      <c r="AH78" s="286">
        <f>AnnualDepletions!$AN70</f>
        <v>3199.999999999633</v>
      </c>
      <c r="AI78" s="287">
        <f t="shared" si="59"/>
        <v>72810.672596458564</v>
      </c>
      <c r="AJ78" s="287">
        <f t="shared" si="60"/>
        <v>353203.67945781077</v>
      </c>
      <c r="AK78" s="286">
        <f>AnnualDepletions!$AP70</f>
        <v>340.98999999997505</v>
      </c>
      <c r="AL78" s="286">
        <f>AnnualDepletions!$BH70</f>
        <v>29049.712890512641</v>
      </c>
      <c r="AM78" s="286">
        <f>AnnualDepletions!$AJ70</f>
        <v>38999.999998983854</v>
      </c>
      <c r="AN78" s="286">
        <f>AnnualDepletions!$BC70</f>
        <v>16199.99999897049</v>
      </c>
      <c r="AO78" s="286">
        <f>AnnualDepletions!$J70</f>
        <v>2499.9900000012672</v>
      </c>
      <c r="AP78" s="286">
        <f>AnnualAggregations!$I70</f>
        <v>11624.990000001573</v>
      </c>
      <c r="AQ78" s="287">
        <f t="shared" si="61"/>
        <v>69665.96999795716</v>
      </c>
      <c r="AR78" s="287">
        <f t="shared" si="62"/>
        <v>98715.682888469819</v>
      </c>
      <c r="AS78" s="287">
        <f t="shared" si="63"/>
        <v>451919.3623462806</v>
      </c>
      <c r="AT78" s="291"/>
      <c r="AU78" s="321">
        <f ca="1">StateModDepletions_ThisScenario!AC68</f>
        <v>30900.593194618821</v>
      </c>
      <c r="AV78" s="321">
        <f ca="1">StateModDepletions_ThisScenario!AD68</f>
        <v>16900.18703122437</v>
      </c>
      <c r="AW78" s="321">
        <f ca="1">StateModDepletions_ThisScenario!AE68</f>
        <v>108768.39137072861</v>
      </c>
      <c r="AX78" s="321">
        <f ca="1">StateModDepletions_ThisScenario!AB68</f>
        <v>24765.810481309891</v>
      </c>
      <c r="AY78" s="288">
        <f t="shared" ca="1" si="64"/>
        <v>181334.98207788169</v>
      </c>
      <c r="AZ78" s="321">
        <f ca="1">StateModDepletions_ThisScenario!AG68</f>
        <v>41037.756291775484</v>
      </c>
      <c r="BA78" s="321">
        <f ca="1">StateModDepletions_ThisScenario!AF68</f>
        <v>20398.783042319101</v>
      </c>
      <c r="BB78" s="321">
        <f ca="1">StateModDepletions_ThisScenario!AH68</f>
        <v>17170.23171184212</v>
      </c>
      <c r="BC78" s="321">
        <f ca="1">StateModDepletions_ThisScenario!AI68</f>
        <v>16112.391485772538</v>
      </c>
      <c r="BD78" s="321">
        <f ca="1">StateModDepletions_ThisScenario!N68</f>
        <v>1326.6977829933167</v>
      </c>
      <c r="BE78" s="321">
        <f ca="1">StateModDepletions_ThisScenario!V68</f>
        <v>12614.457663536072</v>
      </c>
      <c r="BF78" s="288">
        <f t="shared" ca="1" si="65"/>
        <v>108660.31797823863</v>
      </c>
      <c r="BG78" s="288">
        <f t="shared" ca="1" si="66"/>
        <v>289995.30005612032</v>
      </c>
      <c r="BH78" s="291"/>
      <c r="BI78" s="288">
        <f t="shared" ca="1" si="67"/>
        <v>741914.66240240098</v>
      </c>
      <c r="BJ78" s="291"/>
      <c r="BK78" s="286">
        <f>AnnualAggregations!$D70</f>
        <v>35893.000000000058</v>
      </c>
      <c r="BL78" s="286">
        <f>AnnualAggregations!$B70</f>
        <v>57171.988915098664</v>
      </c>
      <c r="BM78" s="286">
        <f>AnnualDepletions!$BK70</f>
        <v>130090.73993569438</v>
      </c>
      <c r="BN78" s="286">
        <f>AnnualAggregations!$E70</f>
        <v>5000.0000000019172</v>
      </c>
      <c r="BO78" s="287">
        <f t="shared" si="68"/>
        <v>228155.72885079501</v>
      </c>
      <c r="BP78" s="321">
        <f ca="1">StateModDepletions_ThisScenario!Y68</f>
        <v>212.11356273293495</v>
      </c>
      <c r="BQ78" s="321">
        <f ca="1">StateModDepletions_ThisScenario!AJ68</f>
        <v>132202.37436635926</v>
      </c>
      <c r="BR78" s="321">
        <f ca="1">StateModDepletions_ThisScenario!Z68</f>
        <v>199350.48925304413</v>
      </c>
      <c r="BS78" s="321">
        <f ca="1">StateModDepletions_ThisScenario!AA68</f>
        <v>66936.001323951932</v>
      </c>
      <c r="BT78" s="286">
        <f>AnnualDepletions!$BG70</f>
        <v>12296.800000006155</v>
      </c>
      <c r="BU78" s="291"/>
      <c r="BV78" s="287">
        <f t="shared" ca="1" si="69"/>
        <v>982367.19125320215</v>
      </c>
      <c r="BW78" s="287">
        <f t="shared" ca="1" si="70"/>
        <v>915431.18992925016</v>
      </c>
      <c r="BX78" s="287">
        <f t="shared" ca="1" si="91"/>
        <v>930306.18992925016</v>
      </c>
      <c r="BY78" s="287">
        <f>SJRIPSummaryRAW!$B$79</f>
        <v>14875</v>
      </c>
      <c r="CA78" s="437"/>
      <c r="CC78" s="282">
        <v>1991</v>
      </c>
      <c r="CD78" s="286">
        <f>AnnualAggregations!K70</f>
        <v>256603.3557338242</v>
      </c>
      <c r="CE78" s="442" t="s">
        <v>597</v>
      </c>
      <c r="CF78" s="286">
        <f>AnnualDeplReqs!$AM70</f>
        <v>12100.000000000009</v>
      </c>
      <c r="CG78" s="286">
        <f>AnnualDeplReqs!$AK70</f>
        <v>7969.9999999999973</v>
      </c>
      <c r="CH78" s="286">
        <f>AnnualDeplReqs!$L70</f>
        <v>900.00000000000034</v>
      </c>
      <c r="CI78" s="443">
        <f t="shared" si="71"/>
        <v>279382.0068613523</v>
      </c>
      <c r="CJ78" s="286">
        <f>AnnualDeplReqs!$AO70</f>
        <v>1010.9999999998829</v>
      </c>
      <c r="CK78" s="286">
        <f>AnnualDeplReqs!$AY70</f>
        <v>1564.9999999998206</v>
      </c>
      <c r="CL78" s="286">
        <f>AnnualAggregations!$N70</f>
        <v>32747.287984905008</v>
      </c>
      <c r="CM78" s="286">
        <f>AnnualAggregations!$O70</f>
        <v>12076.999999998605</v>
      </c>
      <c r="CN78" s="286">
        <f>AnnualAggregations!$P70</f>
        <v>12948.999999998508</v>
      </c>
      <c r="CO78" s="286">
        <f>AnnualDeplReqs!$AL70</f>
        <v>10960.999999998752</v>
      </c>
      <c r="CP78" s="286">
        <f>AnnualDeplReqs!$AG70</f>
        <v>8943.9999999989741</v>
      </c>
      <c r="CQ78" s="286">
        <f>AnnualDeplReqs!$AN70</f>
        <v>3199.999999999633</v>
      </c>
      <c r="CR78" s="287">
        <f t="shared" si="72"/>
        <v>82443.287984899289</v>
      </c>
      <c r="CS78" s="287">
        <f t="shared" si="73"/>
        <v>362836.29484625149</v>
      </c>
      <c r="CT78" s="286">
        <f>AnnualDeplReqs!$AP70</f>
        <v>340.98999999997505</v>
      </c>
      <c r="CU78" s="442" t="s">
        <v>597</v>
      </c>
      <c r="CV78" s="286">
        <f>AnnualDeplReqs!$AJ70</f>
        <v>38999.999998983854</v>
      </c>
      <c r="CW78" s="286">
        <f>AnnualDeplReqs!$BC70</f>
        <v>16199.99999897049</v>
      </c>
      <c r="CX78" s="286">
        <f>AnnualDeplReqs!$J70</f>
        <v>2499.9900000012672</v>
      </c>
      <c r="CY78" s="286">
        <f>AnnualAggregations!$Q70</f>
        <v>11624.990000001573</v>
      </c>
      <c r="CZ78" s="287">
        <f t="shared" si="74"/>
        <v>69665.96999795716</v>
      </c>
      <c r="DA78" s="443">
        <f t="shared" si="75"/>
        <v>98715.682888469804</v>
      </c>
      <c r="DB78" s="287">
        <f t="shared" si="76"/>
        <v>461551.97773472127</v>
      </c>
      <c r="DC78" s="291"/>
      <c r="DD78" s="440" t="s">
        <v>628</v>
      </c>
      <c r="DE78" s="440" t="s">
        <v>628</v>
      </c>
      <c r="DF78" s="440" t="s">
        <v>628</v>
      </c>
      <c r="DG78" s="440" t="s">
        <v>628</v>
      </c>
      <c r="DH78" s="440" t="s">
        <v>628</v>
      </c>
      <c r="DI78" s="440" t="s">
        <v>628</v>
      </c>
      <c r="DJ78" s="440" t="s">
        <v>628</v>
      </c>
      <c r="DK78" s="440" t="s">
        <v>628</v>
      </c>
      <c r="DL78" s="440" t="s">
        <v>628</v>
      </c>
      <c r="DM78" s="440" t="s">
        <v>628</v>
      </c>
      <c r="DN78" s="440" t="s">
        <v>628</v>
      </c>
      <c r="DO78" s="440" t="s">
        <v>628</v>
      </c>
      <c r="DP78" s="440" t="s">
        <v>628</v>
      </c>
      <c r="DQ78" s="291"/>
      <c r="DR78" s="440" t="s">
        <v>628</v>
      </c>
      <c r="DS78" s="291"/>
      <c r="DT78" s="286">
        <f>AnnualAggregations!$L70</f>
        <v>35893.000000000073</v>
      </c>
      <c r="DU78" s="443">
        <f>AnnualAggregations!$J70</f>
        <v>57171.988915098664</v>
      </c>
      <c r="DV78" s="442" t="s">
        <v>597</v>
      </c>
      <c r="DW78" s="286">
        <f>AnnualAggregations!$M70</f>
        <v>5000.0000000019172</v>
      </c>
      <c r="DX78" s="442" t="s">
        <v>597</v>
      </c>
      <c r="DY78" s="440" t="s">
        <v>628</v>
      </c>
      <c r="DZ78" s="440" t="s">
        <v>628</v>
      </c>
      <c r="EA78" s="440" t="s">
        <v>628</v>
      </c>
      <c r="EB78" s="440" t="s">
        <v>628</v>
      </c>
      <c r="EC78" s="286">
        <f>AnnualDeplReqs!$BG70</f>
        <v>12296.800000006155</v>
      </c>
      <c r="ED78" s="291"/>
      <c r="EE78" s="440" t="s">
        <v>628</v>
      </c>
      <c r="EF78" s="440" t="s">
        <v>628</v>
      </c>
      <c r="EG78" s="440" t="s">
        <v>628</v>
      </c>
      <c r="EH78" s="442" t="s">
        <v>597</v>
      </c>
      <c r="EJ78" s="437"/>
      <c r="EL78" s="282">
        <v>1991</v>
      </c>
      <c r="EM78" s="286">
        <f>AnnualAggregations!S70</f>
        <v>320754.19466728065</v>
      </c>
      <c r="EN78" s="442" t="s">
        <v>597</v>
      </c>
      <c r="EO78" s="286">
        <f>AnnualDiversions!$AM70</f>
        <v>24160.88068319</v>
      </c>
      <c r="EP78" s="286">
        <f>AnnualDiversions!$AK70</f>
        <v>15864.246446422736</v>
      </c>
      <c r="EQ78" s="286">
        <f>AnnualDiversions!$L70</f>
        <v>1800.0000000000007</v>
      </c>
      <c r="ER78" s="287">
        <f t="shared" si="77"/>
        <v>362579.32179689337</v>
      </c>
      <c r="ES78" s="286">
        <f>AnnualDiversions!$AO70</f>
        <v>2021.9999999997658</v>
      </c>
      <c r="ET78" s="286">
        <f>AnnualDiversions!$AY70</f>
        <v>2832.5791855200368</v>
      </c>
      <c r="EU78" s="286">
        <f>AnnualAggregations!$V70</f>
        <v>54965.897725903342</v>
      </c>
      <c r="EV78" s="286">
        <f>AnnualAggregations!$W70</f>
        <v>4402.4786418408312</v>
      </c>
      <c r="EW78" s="286">
        <f>AnnualAggregations!$X70</f>
        <v>19848.479680835942</v>
      </c>
      <c r="EX78" s="286">
        <f>AnnualDiversions!$AL70</f>
        <v>13002.37247923931</v>
      </c>
      <c r="EY78" s="286">
        <f>AnnualDiversions!$AG70</f>
        <v>16950.630152561302</v>
      </c>
      <c r="EZ78" s="286">
        <f>AnnualDiversions!$AN70</f>
        <v>6016.7340415523786</v>
      </c>
      <c r="FA78" s="287">
        <f t="shared" si="78"/>
        <v>118019.17190745313</v>
      </c>
      <c r="FB78" s="287">
        <f t="shared" si="79"/>
        <v>482620.49370434624</v>
      </c>
      <c r="FC78" s="286">
        <f>AnnualDiversions!$AP70</f>
        <v>378.87777777775057</v>
      </c>
      <c r="FD78" s="442" t="s">
        <v>597</v>
      </c>
      <c r="FE78" s="286">
        <f>AnnualDiversions!$AJ70</f>
        <v>38999.999998983854</v>
      </c>
      <c r="FF78" s="286">
        <f>AnnualDiversions!$BC70</f>
        <v>16199.99999897049</v>
      </c>
      <c r="FG78" s="286">
        <f>AnnualDiversions!$J70</f>
        <v>4166.6500000021233</v>
      </c>
      <c r="FH78" s="286">
        <f>AnnualAggregations!$Y70</f>
        <v>19374.983333335964</v>
      </c>
      <c r="FI78" s="287">
        <f t="shared" si="80"/>
        <v>79120.511109070183</v>
      </c>
      <c r="FJ78" s="287">
        <f t="shared" si="81"/>
        <v>79120.511109070183</v>
      </c>
      <c r="FK78" s="287">
        <f t="shared" si="82"/>
        <v>561741.0048134164</v>
      </c>
      <c r="FL78" s="291"/>
      <c r="FM78" s="440" t="s">
        <v>628</v>
      </c>
      <c r="FN78" s="440" t="s">
        <v>628</v>
      </c>
      <c r="FO78" s="440" t="s">
        <v>628</v>
      </c>
      <c r="FP78" s="440" t="s">
        <v>628</v>
      </c>
      <c r="FQ78" s="440" t="s">
        <v>628</v>
      </c>
      <c r="FR78" s="440" t="s">
        <v>628</v>
      </c>
      <c r="FS78" s="440" t="s">
        <v>628</v>
      </c>
      <c r="FT78" s="440" t="s">
        <v>628</v>
      </c>
      <c r="FU78" s="440" t="s">
        <v>628</v>
      </c>
      <c r="FV78" s="440" t="s">
        <v>628</v>
      </c>
      <c r="FW78" s="440" t="s">
        <v>628</v>
      </c>
      <c r="FX78" s="440" t="s">
        <v>628</v>
      </c>
      <c r="FY78" s="440" t="s">
        <v>628</v>
      </c>
      <c r="FZ78" s="291"/>
      <c r="GA78" s="440" t="s">
        <v>628</v>
      </c>
      <c r="GB78" s="291"/>
      <c r="GC78" s="286">
        <f>AnnualAggregations!$T70</f>
        <v>37764.23856661762</v>
      </c>
      <c r="GD78" s="286">
        <f>AnnualAggregations!$R70</f>
        <v>109067.13000005133</v>
      </c>
      <c r="GE78" s="443">
        <f t="shared" si="83"/>
        <v>130090.73993569438</v>
      </c>
      <c r="GF78" s="286">
        <f>AnnualAggregations!$U70</f>
        <v>5000.0000000019172</v>
      </c>
      <c r="GG78" s="287">
        <f t="shared" si="84"/>
        <v>281922.10850236524</v>
      </c>
      <c r="GH78" s="440" t="s">
        <v>628</v>
      </c>
      <c r="GI78" s="440" t="s">
        <v>628</v>
      </c>
      <c r="GJ78" s="440" t="s">
        <v>628</v>
      </c>
      <c r="GK78" s="440" t="s">
        <v>628</v>
      </c>
      <c r="GL78" s="286">
        <f>AnnualDiversions!$BG70</f>
        <v>12296.800000006155</v>
      </c>
      <c r="GM78" s="291"/>
      <c r="GN78" s="440" t="s">
        <v>628</v>
      </c>
      <c r="GO78" s="440" t="s">
        <v>628</v>
      </c>
      <c r="GP78" s="440" t="s">
        <v>628</v>
      </c>
      <c r="GQ78" s="442" t="s">
        <v>597</v>
      </c>
      <c r="GS78" s="437"/>
      <c r="GU78" s="282">
        <v>1991</v>
      </c>
      <c r="GV78" s="286">
        <f>AnnualAggregations!AA70</f>
        <v>320754.19466728065</v>
      </c>
      <c r="GW78" s="442" t="s">
        <v>597</v>
      </c>
      <c r="GX78" s="286">
        <f>AnnualDivReqs!$AM70</f>
        <v>24160.88068319</v>
      </c>
      <c r="GY78" s="286">
        <f>AnnualDivReqs!$AK70</f>
        <v>15864.246446422736</v>
      </c>
      <c r="GZ78" s="286">
        <f>AnnualDivReqs!$L70</f>
        <v>1800.0000000000007</v>
      </c>
      <c r="HA78" s="287">
        <f t="shared" si="85"/>
        <v>362579.32179689337</v>
      </c>
      <c r="HB78" s="286">
        <f>AnnualDivReqs!$AO70</f>
        <v>2021.9999999997658</v>
      </c>
      <c r="HC78" s="286">
        <f>AnnualDivReqs!$AY70</f>
        <v>2832.5791855200368</v>
      </c>
      <c r="HD78" s="286">
        <f>AnnualAggregations!$AD70</f>
        <v>54965.897725903342</v>
      </c>
      <c r="HE78" s="286">
        <f>AnnualAggregations!$AE70</f>
        <v>21630.918039885219</v>
      </c>
      <c r="HF78" s="286">
        <f>AnnualAggregations!$AF70</f>
        <v>19848.479680835942</v>
      </c>
      <c r="HG78" s="286">
        <f>AnnualDivReqs!$AL70</f>
        <v>13002.37247923931</v>
      </c>
      <c r="HH78" s="286">
        <f>AnnualDivReqs!$AG70</f>
        <v>16950.630152561302</v>
      </c>
      <c r="HI78" s="286">
        <f>AnnualDivReqs!$AN70</f>
        <v>6016.7340415523786</v>
      </c>
      <c r="HJ78" s="287">
        <f t="shared" si="86"/>
        <v>135247.61130549753</v>
      </c>
      <c r="HK78" s="287">
        <f t="shared" si="87"/>
        <v>499848.93310239067</v>
      </c>
      <c r="HL78" s="286">
        <f>AnnualDivReqs!$AP70</f>
        <v>378.87777777775057</v>
      </c>
      <c r="HM78" s="442" t="s">
        <v>597</v>
      </c>
      <c r="HN78" s="286">
        <f>AnnualDivReqs!$AJ70</f>
        <v>38999.999998983854</v>
      </c>
      <c r="HO78" s="286">
        <f>AnnualDivReqs!$BC70</f>
        <v>16199.99999897049</v>
      </c>
      <c r="HP78" s="286">
        <f>AnnualDivReqs!$J70</f>
        <v>4166.6500000021233</v>
      </c>
      <c r="HQ78" s="286">
        <f>AnnualAggregations!$AG70</f>
        <v>19374.983333335964</v>
      </c>
      <c r="HR78" s="287">
        <f t="shared" si="88"/>
        <v>79120.511109070183</v>
      </c>
      <c r="HS78" s="287">
        <f t="shared" si="89"/>
        <v>79120.511109070183</v>
      </c>
      <c r="HT78" s="287">
        <f t="shared" si="90"/>
        <v>578969.44421146088</v>
      </c>
      <c r="HU78" s="291"/>
      <c r="HV78" s="440" t="s">
        <v>628</v>
      </c>
      <c r="HW78" s="440" t="s">
        <v>628</v>
      </c>
      <c r="HX78" s="440" t="s">
        <v>628</v>
      </c>
      <c r="HY78" s="440" t="s">
        <v>628</v>
      </c>
      <c r="HZ78" s="440" t="s">
        <v>628</v>
      </c>
      <c r="IA78" s="440" t="s">
        <v>628</v>
      </c>
      <c r="IB78" s="440" t="s">
        <v>628</v>
      </c>
      <c r="IC78" s="440" t="s">
        <v>628</v>
      </c>
      <c r="ID78" s="440" t="s">
        <v>628</v>
      </c>
      <c r="IE78" s="440" t="s">
        <v>628</v>
      </c>
      <c r="IF78" s="440" t="s">
        <v>628</v>
      </c>
      <c r="IG78" s="440" t="s">
        <v>628</v>
      </c>
      <c r="IH78" s="440" t="s">
        <v>628</v>
      </c>
      <c r="II78" s="291"/>
      <c r="IJ78" s="440" t="s">
        <v>628</v>
      </c>
      <c r="IK78" s="291"/>
      <c r="IL78" s="286">
        <f>AnnualAggregations!$AB70</f>
        <v>37764.238566617634</v>
      </c>
      <c r="IM78" s="286">
        <f>AnnualAggregations!$Z70</f>
        <v>109067.13000005133</v>
      </c>
      <c r="IN78" s="442" t="s">
        <v>597</v>
      </c>
      <c r="IO78" s="286">
        <f>AnnualAggregations!$AC70</f>
        <v>5000.0000000019172</v>
      </c>
      <c r="IP78" s="442" t="s">
        <v>597</v>
      </c>
      <c r="IQ78" s="440" t="s">
        <v>628</v>
      </c>
      <c r="IR78" s="440" t="s">
        <v>628</v>
      </c>
      <c r="IS78" s="440" t="s">
        <v>628</v>
      </c>
      <c r="IT78" s="440" t="s">
        <v>628</v>
      </c>
      <c r="IU78" s="286">
        <f>AnnualDivReqs!$BG70</f>
        <v>12296.800000006155</v>
      </c>
      <c r="IV78" s="291"/>
      <c r="IW78" s="440" t="s">
        <v>628</v>
      </c>
      <c r="IX78" s="440" t="s">
        <v>628</v>
      </c>
      <c r="IY78" s="440" t="s">
        <v>628</v>
      </c>
      <c r="IZ78" s="442" t="s">
        <v>597</v>
      </c>
    </row>
    <row r="79" spans="1:260" x14ac:dyDescent="0.25">
      <c r="T79" s="282">
        <v>1992</v>
      </c>
      <c r="U79" s="286">
        <f>AnnualAggregations!$C71</f>
        <v>241446.04199848979</v>
      </c>
      <c r="V79" s="286">
        <f>AnnualDepletions!$BI71</f>
        <v>-1358.4609894546502</v>
      </c>
      <c r="W79" s="286">
        <f>AnnualDepletions!$AM71</f>
        <v>12100.000000000011</v>
      </c>
      <c r="X79" s="286">
        <f>AnnualDepletions!$AK71</f>
        <v>7969.9999999999955</v>
      </c>
      <c r="Y79" s="286">
        <f>AnnualDepletions!$L71</f>
        <v>900</v>
      </c>
      <c r="Z79" s="287">
        <f t="shared" si="58"/>
        <v>261057.58100903514</v>
      </c>
      <c r="AA79" s="286">
        <f>AnnualDepletions!$AO71</f>
        <v>961.99999999988893</v>
      </c>
      <c r="AB79" s="286">
        <f>AnnualDepletions!$AY71</f>
        <v>1636.9999999998129</v>
      </c>
      <c r="AC79" s="286">
        <f>AnnualAggregations!$F71</f>
        <v>31749.999999996358</v>
      </c>
      <c r="AD79" s="286">
        <f>AnnualAggregations!$G71</f>
        <v>5483.3364571871916</v>
      </c>
      <c r="AE79" s="286">
        <f>AnnualAggregations!$H71</f>
        <v>12680.999999998548</v>
      </c>
      <c r="AF79" s="286">
        <f>AnnualDepletions!$AL71</f>
        <v>10805.99999999875</v>
      </c>
      <c r="AG79" s="286">
        <f>AnnualDepletions!$AG71</f>
        <v>8438.9999999990341</v>
      </c>
      <c r="AH79" s="286">
        <f>AnnualDepletions!$AN71</f>
        <v>2811.9999999996744</v>
      </c>
      <c r="AI79" s="287">
        <f t="shared" si="59"/>
        <v>73608.336457179379</v>
      </c>
      <c r="AJ79" s="287">
        <f t="shared" si="60"/>
        <v>335627.91746621439</v>
      </c>
      <c r="AK79" s="286">
        <f>AnnualDepletions!$AP71</f>
        <v>340.98999999997511</v>
      </c>
      <c r="AL79" s="286">
        <f>AnnualDepletions!$BH71</f>
        <v>27766.824184464156</v>
      </c>
      <c r="AM79" s="286">
        <f>AnnualDepletions!$AJ71</f>
        <v>38999.999998983862</v>
      </c>
      <c r="AN79" s="286">
        <f>AnnualDepletions!$BC71</f>
        <v>16199.999998970494</v>
      </c>
      <c r="AO79" s="286">
        <f>AnnualDepletions!$J71</f>
        <v>2499.9900000012672</v>
      </c>
      <c r="AP79" s="286">
        <f>AnnualAggregations!$I71</f>
        <v>11624.990000001573</v>
      </c>
      <c r="AQ79" s="287">
        <f t="shared" si="61"/>
        <v>69665.969997957174</v>
      </c>
      <c r="AR79" s="287">
        <f t="shared" si="62"/>
        <v>97432.794182421334</v>
      </c>
      <c r="AS79" s="287">
        <f t="shared" si="63"/>
        <v>433060.71164863574</v>
      </c>
      <c r="AU79" s="321">
        <f ca="1">StateModDepletions_ThisScenario!AC69</f>
        <v>29117.591069169343</v>
      </c>
      <c r="AV79" s="321">
        <f ca="1">StateModDepletions_ThisScenario!AD69</f>
        <v>16118.644844174385</v>
      </c>
      <c r="AW79" s="321">
        <f ca="1">StateModDepletions_ThisScenario!AE69</f>
        <v>103702.37210334837</v>
      </c>
      <c r="AX79" s="321">
        <f ca="1">StateModDepletions_ThisScenario!AB69</f>
        <v>24765.810481309891</v>
      </c>
      <c r="AY79" s="288">
        <f t="shared" ca="1" si="64"/>
        <v>173704.41849800199</v>
      </c>
      <c r="AZ79" s="321">
        <f ca="1">StateModDepletions_ThisScenario!AG69</f>
        <v>40805.550681082983</v>
      </c>
      <c r="BA79" s="321">
        <f ca="1">StateModDepletions_ThisScenario!AF69</f>
        <v>18627.869166672215</v>
      </c>
      <c r="BB79" s="321">
        <f ca="1">StateModDepletions_ThisScenario!AH69</f>
        <v>17605.499696075916</v>
      </c>
      <c r="BC79" s="321">
        <f ca="1">StateModDepletions_ThisScenario!AI69</f>
        <v>18591.606918403879</v>
      </c>
      <c r="BD79" s="321">
        <f ca="1">StateModDepletions_ThisScenario!N69</f>
        <v>1326.6977829933167</v>
      </c>
      <c r="BE79" s="321">
        <f ca="1">StateModDepletions_ThisScenario!V69</f>
        <v>12963.791850090027</v>
      </c>
      <c r="BF79" s="288">
        <f t="shared" ca="1" si="65"/>
        <v>109921.01609531834</v>
      </c>
      <c r="BG79" s="288">
        <f t="shared" ca="1" si="66"/>
        <v>283625.43459332036</v>
      </c>
      <c r="BI79" s="288">
        <f t="shared" ca="1" si="67"/>
        <v>716686.14624195616</v>
      </c>
      <c r="BK79" s="286">
        <f>AnnualAggregations!$D71</f>
        <v>35893.000000000051</v>
      </c>
      <c r="BL79" s="286">
        <f>AnnualAggregations!$B71</f>
        <v>57173.427538655553</v>
      </c>
      <c r="BM79" s="286">
        <f>AnnualDepletions!$BK71</f>
        <v>126827.52783706694</v>
      </c>
      <c r="BN79" s="286">
        <f>AnnualAggregations!$E71</f>
        <v>5000.0000000019463</v>
      </c>
      <c r="BO79" s="287">
        <f t="shared" si="68"/>
        <v>224893.9553757245</v>
      </c>
      <c r="BP79" s="321">
        <f ca="1">StateModDepletions_ThisScenario!Y69</f>
        <v>212.11356273293495</v>
      </c>
      <c r="BQ79" s="321">
        <f ca="1">StateModDepletions_ThisScenario!AJ69</f>
        <v>118495.98905695572</v>
      </c>
      <c r="BR79" s="321">
        <f ca="1">StateModDepletions_ThisScenario!Z69</f>
        <v>206443.73423230648</v>
      </c>
      <c r="BS79" s="321">
        <f ca="1">StateModDepletions_ThisScenario!AA69</f>
        <v>87735.631612617828</v>
      </c>
      <c r="BT79" s="286">
        <f>AnnualDepletions!$BG71</f>
        <v>12296.800000006155</v>
      </c>
      <c r="BV79" s="287">
        <f t="shared" ca="1" si="69"/>
        <v>953876.90161768685</v>
      </c>
      <c r="BW79" s="287">
        <f t="shared" ca="1" si="70"/>
        <v>866141.27000506897</v>
      </c>
      <c r="BX79" s="287">
        <f t="shared" ca="1" si="91"/>
        <v>881016.27000506897</v>
      </c>
      <c r="BY79" s="287">
        <f>SJRIPSummaryRAW!$B$79</f>
        <v>14875</v>
      </c>
      <c r="CC79" s="282">
        <v>1992</v>
      </c>
      <c r="CD79" s="286">
        <f>AnnualAggregations!K71</f>
        <v>241446.04199848979</v>
      </c>
      <c r="CE79" s="442" t="s">
        <v>597</v>
      </c>
      <c r="CF79" s="286">
        <f>AnnualDeplReqs!$AM71</f>
        <v>12100.000000000011</v>
      </c>
      <c r="CG79" s="286">
        <f>AnnualDeplReqs!$AK71</f>
        <v>7969.9999999999955</v>
      </c>
      <c r="CH79" s="286">
        <f>AnnualDeplReqs!$L71</f>
        <v>900</v>
      </c>
      <c r="CI79" s="443">
        <f t="shared" si="71"/>
        <v>261057.58100903512</v>
      </c>
      <c r="CJ79" s="286">
        <f>AnnualDeplReqs!$AO71</f>
        <v>961.99999999988893</v>
      </c>
      <c r="CK79" s="286">
        <f>AnnualDeplReqs!$AY71</f>
        <v>1636.9999999998129</v>
      </c>
      <c r="CL79" s="286">
        <f>AnnualAggregations!$N71</f>
        <v>31749.999999996358</v>
      </c>
      <c r="CM79" s="286">
        <f>AnnualAggregations!$O71</f>
        <v>11616.999999998665</v>
      </c>
      <c r="CN79" s="286">
        <f>AnnualAggregations!$P71</f>
        <v>12680.999999998548</v>
      </c>
      <c r="CO79" s="286">
        <f>AnnualDeplReqs!$AL71</f>
        <v>10805.99999999875</v>
      </c>
      <c r="CP79" s="286">
        <f>AnnualDeplReqs!$AG71</f>
        <v>8438.9999999990341</v>
      </c>
      <c r="CQ79" s="286">
        <f>AnnualDeplReqs!$AN71</f>
        <v>2811.9999999996744</v>
      </c>
      <c r="CR79" s="287">
        <f t="shared" si="72"/>
        <v>79741.999999990847</v>
      </c>
      <c r="CS79" s="287">
        <f t="shared" si="73"/>
        <v>341761.58100902586</v>
      </c>
      <c r="CT79" s="286">
        <f>AnnualDeplReqs!$AP71</f>
        <v>340.98999999997511</v>
      </c>
      <c r="CU79" s="442" t="s">
        <v>597</v>
      </c>
      <c r="CV79" s="286">
        <f>AnnualDeplReqs!$AJ71</f>
        <v>38999.999998983862</v>
      </c>
      <c r="CW79" s="286">
        <f>AnnualDeplReqs!$BC71</f>
        <v>16199.999998970494</v>
      </c>
      <c r="CX79" s="286">
        <f>AnnualDeplReqs!$J71</f>
        <v>2499.9900000012672</v>
      </c>
      <c r="CY79" s="286">
        <f>AnnualAggregations!$Q71</f>
        <v>11624.990000001573</v>
      </c>
      <c r="CZ79" s="287">
        <f t="shared" si="74"/>
        <v>69665.969997957174</v>
      </c>
      <c r="DA79" s="443">
        <f t="shared" si="75"/>
        <v>97432.794182421334</v>
      </c>
      <c r="DB79" s="287">
        <f t="shared" si="76"/>
        <v>439194.37519144721</v>
      </c>
      <c r="DD79" s="440" t="s">
        <v>628</v>
      </c>
      <c r="DE79" s="440" t="s">
        <v>628</v>
      </c>
      <c r="DF79" s="440" t="s">
        <v>628</v>
      </c>
      <c r="DG79" s="440" t="s">
        <v>628</v>
      </c>
      <c r="DH79" s="440" t="s">
        <v>628</v>
      </c>
      <c r="DI79" s="440" t="s">
        <v>628</v>
      </c>
      <c r="DJ79" s="440" t="s">
        <v>628</v>
      </c>
      <c r="DK79" s="440" t="s">
        <v>628</v>
      </c>
      <c r="DL79" s="440" t="s">
        <v>628</v>
      </c>
      <c r="DM79" s="440" t="s">
        <v>628</v>
      </c>
      <c r="DN79" s="440" t="s">
        <v>628</v>
      </c>
      <c r="DO79" s="440" t="s">
        <v>628</v>
      </c>
      <c r="DP79" s="440" t="s">
        <v>628</v>
      </c>
      <c r="DR79" s="440" t="s">
        <v>628</v>
      </c>
      <c r="DT79" s="286">
        <f>AnnualAggregations!$L71</f>
        <v>35893.000000000073</v>
      </c>
      <c r="DU79" s="443">
        <f>AnnualAggregations!$J71</f>
        <v>57173.427538655553</v>
      </c>
      <c r="DV79" s="442" t="s">
        <v>597</v>
      </c>
      <c r="DW79" s="286">
        <f>AnnualAggregations!$M71</f>
        <v>5000.0000000019463</v>
      </c>
      <c r="DX79" s="442" t="s">
        <v>597</v>
      </c>
      <c r="DY79" s="440" t="s">
        <v>628</v>
      </c>
      <c r="DZ79" s="440" t="s">
        <v>628</v>
      </c>
      <c r="EA79" s="440" t="s">
        <v>628</v>
      </c>
      <c r="EB79" s="440" t="s">
        <v>628</v>
      </c>
      <c r="EC79" s="286">
        <f>AnnualDeplReqs!$BG71</f>
        <v>12296.800000006155</v>
      </c>
      <c r="EE79" s="440" t="s">
        <v>628</v>
      </c>
      <c r="EF79" s="440" t="s">
        <v>628</v>
      </c>
      <c r="EG79" s="440" t="s">
        <v>628</v>
      </c>
      <c r="EH79" s="442" t="s">
        <v>597</v>
      </c>
      <c r="EL79" s="282">
        <v>1992</v>
      </c>
      <c r="EM79" s="286">
        <f>AnnualAggregations!S71</f>
        <v>301807.55249811104</v>
      </c>
      <c r="EN79" s="442" t="s">
        <v>597</v>
      </c>
      <c r="EO79" s="286">
        <f>AnnualDiversions!$AM71</f>
        <v>24160.880683190007</v>
      </c>
      <c r="EP79" s="286">
        <f>AnnualDiversions!$AK71</f>
        <v>15864.246446422714</v>
      </c>
      <c r="EQ79" s="286">
        <f>AnnualDiversions!$L71</f>
        <v>1800</v>
      </c>
      <c r="ER79" s="287">
        <f t="shared" si="77"/>
        <v>343632.67962772376</v>
      </c>
      <c r="ES79" s="286">
        <f>AnnualDiversions!$AO71</f>
        <v>1923.9999999997779</v>
      </c>
      <c r="ET79" s="286">
        <f>AnnualDiversions!$AY71</f>
        <v>2962.8959276014707</v>
      </c>
      <c r="EU79" s="286">
        <f>AnnualAggregations!$V71</f>
        <v>53308.418081073345</v>
      </c>
      <c r="EV79" s="286">
        <f>AnnualAggregations!$W71</f>
        <v>10564.34938592851</v>
      </c>
      <c r="EW79" s="286">
        <f>AnnualAggregations!$X71</f>
        <v>19439.607816578358</v>
      </c>
      <c r="EX79" s="286">
        <f>AnnualDiversions!$AL71</f>
        <v>12818.505338076822</v>
      </c>
      <c r="EY79" s="286">
        <f>AnnualDiversions!$AG71</f>
        <v>15993.556334689723</v>
      </c>
      <c r="EZ79" s="286">
        <f>AnnualDiversions!$AN71</f>
        <v>5287.2050390141503</v>
      </c>
      <c r="FA79" s="287">
        <f t="shared" si="78"/>
        <v>120374.53792296238</v>
      </c>
      <c r="FB79" s="287">
        <f t="shared" si="79"/>
        <v>465931.21755068592</v>
      </c>
      <c r="FC79" s="286">
        <f>AnnualDiversions!$AP71</f>
        <v>378.87777777775057</v>
      </c>
      <c r="FD79" s="442" t="s">
        <v>597</v>
      </c>
      <c r="FE79" s="286">
        <f>AnnualDiversions!$AJ71</f>
        <v>38999.999998983862</v>
      </c>
      <c r="FF79" s="286">
        <f>AnnualDiversions!$BC71</f>
        <v>16199.999998970494</v>
      </c>
      <c r="FG79" s="286">
        <f>AnnualDiversions!$J71</f>
        <v>4166.6500000021233</v>
      </c>
      <c r="FH79" s="286">
        <f>AnnualAggregations!$Y71</f>
        <v>19374.983333335967</v>
      </c>
      <c r="FI79" s="287">
        <f t="shared" si="80"/>
        <v>79120.511109070212</v>
      </c>
      <c r="FJ79" s="287">
        <f t="shared" si="81"/>
        <v>79120.511109070198</v>
      </c>
      <c r="FK79" s="287">
        <f t="shared" si="82"/>
        <v>545051.72865975613</v>
      </c>
      <c r="FM79" s="440" t="s">
        <v>628</v>
      </c>
      <c r="FN79" s="440" t="s">
        <v>628</v>
      </c>
      <c r="FO79" s="440" t="s">
        <v>628</v>
      </c>
      <c r="FP79" s="440" t="s">
        <v>628</v>
      </c>
      <c r="FQ79" s="440" t="s">
        <v>628</v>
      </c>
      <c r="FR79" s="440" t="s">
        <v>628</v>
      </c>
      <c r="FS79" s="440" t="s">
        <v>628</v>
      </c>
      <c r="FT79" s="440" t="s">
        <v>628</v>
      </c>
      <c r="FU79" s="440" t="s">
        <v>628</v>
      </c>
      <c r="FV79" s="440" t="s">
        <v>628</v>
      </c>
      <c r="FW79" s="440" t="s">
        <v>628</v>
      </c>
      <c r="FX79" s="440" t="s">
        <v>628</v>
      </c>
      <c r="FY79" s="440" t="s">
        <v>628</v>
      </c>
      <c r="GA79" s="440" t="s">
        <v>628</v>
      </c>
      <c r="GC79" s="286">
        <f>AnnualAggregations!$T71</f>
        <v>37763.476493275426</v>
      </c>
      <c r="GD79" s="286">
        <f>AnnualAggregations!$R71</f>
        <v>109067.13000005131</v>
      </c>
      <c r="GE79" s="443">
        <f t="shared" si="83"/>
        <v>126827.52783706694</v>
      </c>
      <c r="GF79" s="286">
        <f>AnnualAggregations!$U71</f>
        <v>5000.0000000019463</v>
      </c>
      <c r="GG79" s="287">
        <f t="shared" si="84"/>
        <v>278658.13433039561</v>
      </c>
      <c r="GH79" s="440" t="s">
        <v>628</v>
      </c>
      <c r="GI79" s="440" t="s">
        <v>628</v>
      </c>
      <c r="GJ79" s="440" t="s">
        <v>628</v>
      </c>
      <c r="GK79" s="440" t="s">
        <v>628</v>
      </c>
      <c r="GL79" s="286">
        <f>AnnualDiversions!$BG71</f>
        <v>12296.800000006155</v>
      </c>
      <c r="GN79" s="440" t="s">
        <v>628</v>
      </c>
      <c r="GO79" s="440" t="s">
        <v>628</v>
      </c>
      <c r="GP79" s="440" t="s">
        <v>628</v>
      </c>
      <c r="GQ79" s="442" t="s">
        <v>597</v>
      </c>
      <c r="GU79" s="282">
        <v>1992</v>
      </c>
      <c r="GV79" s="286">
        <f>AnnualAggregations!AA71</f>
        <v>301807.55249811104</v>
      </c>
      <c r="GW79" s="442" t="s">
        <v>597</v>
      </c>
      <c r="GX79" s="286">
        <f>AnnualDivReqs!$AM71</f>
        <v>24160.880683190007</v>
      </c>
      <c r="GY79" s="286">
        <f>AnnualDivReqs!$AK71</f>
        <v>15864.246446422714</v>
      </c>
      <c r="GZ79" s="286">
        <f>AnnualDivReqs!$L71</f>
        <v>1800</v>
      </c>
      <c r="HA79" s="287">
        <f t="shared" si="85"/>
        <v>343632.67962772376</v>
      </c>
      <c r="HB79" s="286">
        <f>AnnualDivReqs!$AO71</f>
        <v>1923.9999999997779</v>
      </c>
      <c r="HC79" s="286">
        <f>AnnualDivReqs!$AY71</f>
        <v>2962.8959276014707</v>
      </c>
      <c r="HD79" s="286">
        <f>AnnualAggregations!$AD71</f>
        <v>53308.418081073345</v>
      </c>
      <c r="HE79" s="286">
        <f>AnnualAggregations!$AE71</f>
        <v>20806.268270282406</v>
      </c>
      <c r="HF79" s="286">
        <f>AnnualAggregations!$AF71</f>
        <v>19439.607816578358</v>
      </c>
      <c r="HG79" s="286">
        <f>AnnualDivReqs!$AL71</f>
        <v>12818.505338076822</v>
      </c>
      <c r="HH79" s="286">
        <f>AnnualDivReqs!$AG71</f>
        <v>15993.556334689723</v>
      </c>
      <c r="HI79" s="286">
        <f>AnnualDivReqs!$AN71</f>
        <v>5287.2050390141503</v>
      </c>
      <c r="HJ79" s="287">
        <f t="shared" si="86"/>
        <v>130616.45680731628</v>
      </c>
      <c r="HK79" s="287">
        <f t="shared" si="87"/>
        <v>476173.13643503981</v>
      </c>
      <c r="HL79" s="286">
        <f>AnnualDivReqs!$AP71</f>
        <v>378.87777777775057</v>
      </c>
      <c r="HM79" s="442" t="s">
        <v>597</v>
      </c>
      <c r="HN79" s="286">
        <f>AnnualDivReqs!$AJ71</f>
        <v>38999.999998983862</v>
      </c>
      <c r="HO79" s="286">
        <f>AnnualDivReqs!$BC71</f>
        <v>16199.999998970494</v>
      </c>
      <c r="HP79" s="286">
        <f>AnnualDivReqs!$J71</f>
        <v>4166.6500000021233</v>
      </c>
      <c r="HQ79" s="286">
        <f>AnnualAggregations!$AG71</f>
        <v>19374.983333335967</v>
      </c>
      <c r="HR79" s="287">
        <f t="shared" si="88"/>
        <v>79120.511109070212</v>
      </c>
      <c r="HS79" s="287">
        <f t="shared" si="89"/>
        <v>79120.511109070198</v>
      </c>
      <c r="HT79" s="287">
        <f t="shared" si="90"/>
        <v>555293.64754410996</v>
      </c>
      <c r="HV79" s="440" t="s">
        <v>628</v>
      </c>
      <c r="HW79" s="440" t="s">
        <v>628</v>
      </c>
      <c r="HX79" s="440" t="s">
        <v>628</v>
      </c>
      <c r="HY79" s="440" t="s">
        <v>628</v>
      </c>
      <c r="HZ79" s="440" t="s">
        <v>628</v>
      </c>
      <c r="IA79" s="440" t="s">
        <v>628</v>
      </c>
      <c r="IB79" s="440" t="s">
        <v>628</v>
      </c>
      <c r="IC79" s="440" t="s">
        <v>628</v>
      </c>
      <c r="ID79" s="440" t="s">
        <v>628</v>
      </c>
      <c r="IE79" s="440" t="s">
        <v>628</v>
      </c>
      <c r="IF79" s="440" t="s">
        <v>628</v>
      </c>
      <c r="IG79" s="440" t="s">
        <v>628</v>
      </c>
      <c r="IH79" s="440" t="s">
        <v>628</v>
      </c>
      <c r="IJ79" s="440" t="s">
        <v>628</v>
      </c>
      <c r="IL79" s="286">
        <f>AnnualAggregations!$AB71</f>
        <v>37763.476493275448</v>
      </c>
      <c r="IM79" s="286">
        <f>AnnualAggregations!$Z71</f>
        <v>109067.13000005131</v>
      </c>
      <c r="IN79" s="442" t="s">
        <v>597</v>
      </c>
      <c r="IO79" s="286">
        <f>AnnualAggregations!$AC71</f>
        <v>5000.0000000019463</v>
      </c>
      <c r="IP79" s="442" t="s">
        <v>597</v>
      </c>
      <c r="IQ79" s="440" t="s">
        <v>628</v>
      </c>
      <c r="IR79" s="440" t="s">
        <v>628</v>
      </c>
      <c r="IS79" s="440" t="s">
        <v>628</v>
      </c>
      <c r="IT79" s="440" t="s">
        <v>628</v>
      </c>
      <c r="IU79" s="286">
        <f>AnnualDivReqs!$BG71</f>
        <v>12296.800000006155</v>
      </c>
      <c r="IW79" s="440" t="s">
        <v>628</v>
      </c>
      <c r="IX79" s="440" t="s">
        <v>628</v>
      </c>
      <c r="IY79" s="440" t="s">
        <v>628</v>
      </c>
      <c r="IZ79" s="442" t="s">
        <v>597</v>
      </c>
    </row>
    <row r="80" spans="1:260" x14ac:dyDescent="0.25">
      <c r="T80" s="282">
        <v>1993</v>
      </c>
      <c r="U80" s="286">
        <f>AnnualAggregations!$C72</f>
        <v>252616.31411771968</v>
      </c>
      <c r="V80" s="286">
        <f>AnnualDepletions!$BI72</f>
        <v>1011.2428043070149</v>
      </c>
      <c r="W80" s="286">
        <f>AnnualDepletions!$AM72</f>
        <v>12100</v>
      </c>
      <c r="X80" s="286">
        <f>AnnualDepletions!$AK72</f>
        <v>7969.9999999999973</v>
      </c>
      <c r="Y80" s="286">
        <f>AnnualDepletions!$L72</f>
        <v>900.00000000000011</v>
      </c>
      <c r="Z80" s="287">
        <f t="shared" si="58"/>
        <v>274597.55692202668</v>
      </c>
      <c r="AA80" s="286">
        <f>AnnualDepletions!$AO72</f>
        <v>982.99999999988734</v>
      </c>
      <c r="AB80" s="286">
        <f>AnnualDepletions!$AY72</f>
        <v>1681.9999999998063</v>
      </c>
      <c r="AC80" s="286">
        <f>AnnualAggregations!$F72</f>
        <v>32039.123257467632</v>
      </c>
      <c r="AD80" s="286">
        <f>AnnualAggregations!$G72</f>
        <v>7743.2210737893411</v>
      </c>
      <c r="AE80" s="286">
        <f>AnnualAggregations!$H72</f>
        <v>12940.99999999851</v>
      </c>
      <c r="AF80" s="286">
        <f>AnnualDepletions!$AL72</f>
        <v>10972.999999998732</v>
      </c>
      <c r="AG80" s="286">
        <f>AnnualDepletions!$AG72</f>
        <v>8262.9999999990559</v>
      </c>
      <c r="AH80" s="286">
        <f>AnnualDepletions!$AN72</f>
        <v>2986.9999999996567</v>
      </c>
      <c r="AI80" s="287">
        <f t="shared" si="59"/>
        <v>76628.344331252723</v>
      </c>
      <c r="AJ80" s="287">
        <f t="shared" si="60"/>
        <v>352208.9012532793</v>
      </c>
      <c r="AK80" s="286">
        <f>AnnualDepletions!$AP72</f>
        <v>340.98999999997505</v>
      </c>
      <c r="AL80" s="286">
        <f>AnnualDepletions!$BH72</f>
        <v>28809.221011260644</v>
      </c>
      <c r="AM80" s="286">
        <f>AnnualDepletions!$AJ72</f>
        <v>38999.999998983854</v>
      </c>
      <c r="AN80" s="286">
        <f>AnnualDepletions!$BC72</f>
        <v>16199.99999897049</v>
      </c>
      <c r="AO80" s="286">
        <f>AnnualDepletions!$J72</f>
        <v>2499.9900000012672</v>
      </c>
      <c r="AP80" s="286">
        <f>AnnualAggregations!$I72</f>
        <v>11624.990000001573</v>
      </c>
      <c r="AQ80" s="287">
        <f t="shared" si="61"/>
        <v>69665.96999795716</v>
      </c>
      <c r="AR80" s="287">
        <f t="shared" si="62"/>
        <v>98475.191009217815</v>
      </c>
      <c r="AS80" s="287">
        <f t="shared" si="63"/>
        <v>450684.09226249711</v>
      </c>
      <c r="AU80" s="321">
        <f ca="1">StateModDepletions_ThisScenario!AC70</f>
        <v>33129.138679131866</v>
      </c>
      <c r="AV80" s="321">
        <f ca="1">StateModDepletions_ThisScenario!AD70</f>
        <v>18025.38351097703</v>
      </c>
      <c r="AW80" s="321">
        <f ca="1">StateModDepletions_ThisScenario!AE70</f>
        <v>108130.88046193123</v>
      </c>
      <c r="AX80" s="321">
        <f ca="1">StateModDepletions_ThisScenario!AB70</f>
        <v>24765.810481309891</v>
      </c>
      <c r="AY80" s="288">
        <f t="shared" ca="1" si="64"/>
        <v>184051.21313335001</v>
      </c>
      <c r="AZ80" s="321">
        <f ca="1">StateModDepletions_ThisScenario!AG70</f>
        <v>46958.078485591788</v>
      </c>
      <c r="BA80" s="321">
        <f ca="1">StateModDepletions_ThisScenario!AF70</f>
        <v>19170.993186980468</v>
      </c>
      <c r="BB80" s="321">
        <f ca="1">StateModDepletions_ThisScenario!AH70</f>
        <v>23792.84720429033</v>
      </c>
      <c r="BC80" s="321">
        <f ca="1">StateModDepletions_ThisScenario!AI70</f>
        <v>23414.134301702892</v>
      </c>
      <c r="BD80" s="321">
        <f ca="1">StateModDepletions_ThisScenario!N70</f>
        <v>1326.6977829933167</v>
      </c>
      <c r="BE80" s="321">
        <f ca="1">StateModDepletions_ThisScenario!V70</f>
        <v>15636.440155982971</v>
      </c>
      <c r="BF80" s="288">
        <f t="shared" ca="1" si="65"/>
        <v>130299.19111754178</v>
      </c>
      <c r="BG80" s="288">
        <f t="shared" ca="1" si="66"/>
        <v>314350.40425089176</v>
      </c>
      <c r="BI80" s="288">
        <f t="shared" ca="1" si="67"/>
        <v>765034.49651338882</v>
      </c>
      <c r="BK80" s="286">
        <f>AnnualAggregations!$D72</f>
        <v>35893.000000000058</v>
      </c>
      <c r="BL80" s="286">
        <f>AnnualAggregations!$B72</f>
        <v>57173.738627734208</v>
      </c>
      <c r="BM80" s="286">
        <f>AnnualDepletions!$BK72</f>
        <v>167354.73443907991</v>
      </c>
      <c r="BN80" s="286">
        <f>AnnualAggregations!$E72</f>
        <v>5000.0000000019172</v>
      </c>
      <c r="BO80" s="287">
        <f t="shared" si="68"/>
        <v>265421.47306681611</v>
      </c>
      <c r="BP80" s="321">
        <f ca="1">StateModDepletions_ThisScenario!Y70</f>
        <v>212.11356273293495</v>
      </c>
      <c r="BQ80" s="321">
        <f ca="1">StateModDepletions_ThisScenario!AJ70</f>
        <v>133098.31073193811</v>
      </c>
      <c r="BR80" s="321">
        <f ca="1">StateModDepletions_ThisScenario!Z70</f>
        <v>184771.15517747402</v>
      </c>
      <c r="BS80" s="321">
        <f ca="1">StateModDepletions_ThisScenario!AA70</f>
        <v>51460.730882802985</v>
      </c>
      <c r="BT80" s="286">
        <f>AnnualDepletions!$BG72</f>
        <v>12296.800000006155</v>
      </c>
      <c r="BV80" s="287">
        <f t="shared" ca="1" si="69"/>
        <v>1042752.769580211</v>
      </c>
      <c r="BW80" s="287">
        <f t="shared" ca="1" si="70"/>
        <v>991292.03869740805</v>
      </c>
      <c r="BX80" s="287">
        <f t="shared" ref="BX80:BX99" ca="1" si="92">BW80+BY80</f>
        <v>1006167.038697408</v>
      </c>
      <c r="BY80" s="287">
        <f>SJRIPSummaryRAW!$B$79</f>
        <v>14875</v>
      </c>
      <c r="CC80" s="282">
        <v>1993</v>
      </c>
      <c r="CD80" s="286">
        <f>AnnualAggregations!K72</f>
        <v>252616.31411771968</v>
      </c>
      <c r="CE80" s="442" t="s">
        <v>597</v>
      </c>
      <c r="CF80" s="286">
        <f>AnnualDeplReqs!$AM72</f>
        <v>12100</v>
      </c>
      <c r="CG80" s="286">
        <f>AnnualDeplReqs!$AK72</f>
        <v>7969.9999999999973</v>
      </c>
      <c r="CH80" s="286">
        <f>AnnualDeplReqs!$L72</f>
        <v>900.00000000000011</v>
      </c>
      <c r="CI80" s="443">
        <f t="shared" si="71"/>
        <v>274597.55692202668</v>
      </c>
      <c r="CJ80" s="286">
        <f>AnnualDeplReqs!$AO72</f>
        <v>982.99999999988734</v>
      </c>
      <c r="CK80" s="286">
        <f>AnnualDeplReqs!$AY72</f>
        <v>1681.9999999998063</v>
      </c>
      <c r="CL80" s="286">
        <f>AnnualAggregations!$N72</f>
        <v>32039.123257467632</v>
      </c>
      <c r="CM80" s="286">
        <f>AnnualAggregations!$O72</f>
        <v>11865.999999998634</v>
      </c>
      <c r="CN80" s="286">
        <f>AnnualAggregations!$P72</f>
        <v>12940.99999999851</v>
      </c>
      <c r="CO80" s="286">
        <f>AnnualDeplReqs!$AL72</f>
        <v>10972.999999998732</v>
      </c>
      <c r="CP80" s="286">
        <f>AnnualDeplReqs!$AG72</f>
        <v>8262.9999999990559</v>
      </c>
      <c r="CQ80" s="286">
        <f>AnnualDeplReqs!$AN72</f>
        <v>2986.9999999996567</v>
      </c>
      <c r="CR80" s="287">
        <f t="shared" si="72"/>
        <v>80751.123257462008</v>
      </c>
      <c r="CS80" s="287">
        <f t="shared" si="73"/>
        <v>356331.68017948855</v>
      </c>
      <c r="CT80" s="286">
        <f>AnnualDeplReqs!$AP72</f>
        <v>340.98999999997505</v>
      </c>
      <c r="CU80" s="442" t="s">
        <v>597</v>
      </c>
      <c r="CV80" s="286">
        <f>AnnualDeplReqs!$AJ72</f>
        <v>38999.999998983854</v>
      </c>
      <c r="CW80" s="286">
        <f>AnnualDeplReqs!$BC72</f>
        <v>16199.99999897049</v>
      </c>
      <c r="CX80" s="286">
        <f>AnnualDeplReqs!$J72</f>
        <v>2499.9900000012672</v>
      </c>
      <c r="CY80" s="286">
        <f>AnnualAggregations!$Q72</f>
        <v>11624.990000001573</v>
      </c>
      <c r="CZ80" s="287">
        <f t="shared" si="74"/>
        <v>69665.96999795716</v>
      </c>
      <c r="DA80" s="443">
        <f t="shared" si="75"/>
        <v>98475.1910092178</v>
      </c>
      <c r="DB80" s="287">
        <f t="shared" si="76"/>
        <v>454806.87118870637</v>
      </c>
      <c r="DD80" s="440" t="s">
        <v>628</v>
      </c>
      <c r="DE80" s="440" t="s">
        <v>628</v>
      </c>
      <c r="DF80" s="440" t="s">
        <v>628</v>
      </c>
      <c r="DG80" s="440" t="s">
        <v>628</v>
      </c>
      <c r="DH80" s="440" t="s">
        <v>628</v>
      </c>
      <c r="DI80" s="440" t="s">
        <v>628</v>
      </c>
      <c r="DJ80" s="440" t="s">
        <v>628</v>
      </c>
      <c r="DK80" s="440" t="s">
        <v>628</v>
      </c>
      <c r="DL80" s="440" t="s">
        <v>628</v>
      </c>
      <c r="DM80" s="440" t="s">
        <v>628</v>
      </c>
      <c r="DN80" s="440" t="s">
        <v>628</v>
      </c>
      <c r="DO80" s="440" t="s">
        <v>628</v>
      </c>
      <c r="DP80" s="440" t="s">
        <v>628</v>
      </c>
      <c r="DR80" s="440" t="s">
        <v>628</v>
      </c>
      <c r="DT80" s="286">
        <f>AnnualAggregations!$L72</f>
        <v>35893.000000000073</v>
      </c>
      <c r="DU80" s="443">
        <f>AnnualAggregations!$J72</f>
        <v>57173.738627734208</v>
      </c>
      <c r="DV80" s="442" t="s">
        <v>597</v>
      </c>
      <c r="DW80" s="286">
        <f>AnnualAggregations!$M72</f>
        <v>5000.0000000019172</v>
      </c>
      <c r="DX80" s="442" t="s">
        <v>597</v>
      </c>
      <c r="DY80" s="440" t="s">
        <v>628</v>
      </c>
      <c r="DZ80" s="440" t="s">
        <v>628</v>
      </c>
      <c r="EA80" s="440" t="s">
        <v>628</v>
      </c>
      <c r="EB80" s="440" t="s">
        <v>628</v>
      </c>
      <c r="EC80" s="286">
        <f>AnnualDeplReqs!$BG72</f>
        <v>12296.800000006155</v>
      </c>
      <c r="EE80" s="440" t="s">
        <v>628</v>
      </c>
      <c r="EF80" s="440" t="s">
        <v>628</v>
      </c>
      <c r="EG80" s="440" t="s">
        <v>628</v>
      </c>
      <c r="EH80" s="442" t="s">
        <v>597</v>
      </c>
      <c r="EL80" s="282">
        <v>1993</v>
      </c>
      <c r="EM80" s="286">
        <f>AnnualAggregations!S72</f>
        <v>315770.39264714881</v>
      </c>
      <c r="EN80" s="442" t="s">
        <v>597</v>
      </c>
      <c r="EO80" s="286">
        <f>AnnualDiversions!$AM72</f>
        <v>24160.880683189982</v>
      </c>
      <c r="EP80" s="286">
        <f>AnnualDiversions!$AK72</f>
        <v>15864.246446422736</v>
      </c>
      <c r="EQ80" s="286">
        <f>AnnualDiversions!$L72</f>
        <v>1800.0000000000002</v>
      </c>
      <c r="ER80" s="287">
        <f t="shared" si="77"/>
        <v>357595.51977676147</v>
      </c>
      <c r="ES80" s="286">
        <f>AnnualDiversions!$AO72</f>
        <v>1965.9999999997747</v>
      </c>
      <c r="ET80" s="286">
        <f>AnnualDiversions!$AY72</f>
        <v>3044.3438914023654</v>
      </c>
      <c r="EU80" s="286">
        <f>AnnualAggregations!$V72</f>
        <v>53776.432883191759</v>
      </c>
      <c r="EV80" s="286">
        <f>AnnualAggregations!$W72</f>
        <v>14223.237493984407</v>
      </c>
      <c r="EW80" s="286">
        <f>AnnualAggregations!$X72</f>
        <v>19836.536285259863</v>
      </c>
      <c r="EX80" s="286">
        <f>AnnualDiversions!$AL72</f>
        <v>13016.607354684154</v>
      </c>
      <c r="EY80" s="286">
        <f>AnnualDiversions!$AG72</f>
        <v>15660.001895193884</v>
      </c>
      <c r="EZ80" s="286">
        <f>AnnualDiversions!$AN72</f>
        <v>5616.2451819115504</v>
      </c>
      <c r="FA80" s="287">
        <f t="shared" si="78"/>
        <v>125173.40498562797</v>
      </c>
      <c r="FB80" s="287">
        <f t="shared" si="79"/>
        <v>484734.92476238922</v>
      </c>
      <c r="FC80" s="286">
        <f>AnnualDiversions!$AP72</f>
        <v>378.87777777775057</v>
      </c>
      <c r="FD80" s="442" t="s">
        <v>597</v>
      </c>
      <c r="FE80" s="286">
        <f>AnnualDiversions!$AJ72</f>
        <v>38999.999998983854</v>
      </c>
      <c r="FF80" s="286">
        <f>AnnualDiversions!$BC72</f>
        <v>16199.99999897049</v>
      </c>
      <c r="FG80" s="286">
        <f>AnnualDiversions!$J72</f>
        <v>4166.6500000021233</v>
      </c>
      <c r="FH80" s="286">
        <f>AnnualAggregations!$Y72</f>
        <v>19374.983333335964</v>
      </c>
      <c r="FI80" s="287">
        <f t="shared" si="80"/>
        <v>79120.511109070183</v>
      </c>
      <c r="FJ80" s="287">
        <f t="shared" si="81"/>
        <v>79120.511109070183</v>
      </c>
      <c r="FK80" s="287">
        <f t="shared" si="82"/>
        <v>563855.43587145943</v>
      </c>
      <c r="FM80" s="440" t="s">
        <v>628</v>
      </c>
      <c r="FN80" s="440" t="s">
        <v>628</v>
      </c>
      <c r="FO80" s="440" t="s">
        <v>628</v>
      </c>
      <c r="FP80" s="440" t="s">
        <v>628</v>
      </c>
      <c r="FQ80" s="440" t="s">
        <v>628</v>
      </c>
      <c r="FR80" s="440" t="s">
        <v>628</v>
      </c>
      <c r="FS80" s="440" t="s">
        <v>628</v>
      </c>
      <c r="FT80" s="440" t="s">
        <v>628</v>
      </c>
      <c r="FU80" s="440" t="s">
        <v>628</v>
      </c>
      <c r="FV80" s="440" t="s">
        <v>628</v>
      </c>
      <c r="FW80" s="440" t="s">
        <v>628</v>
      </c>
      <c r="FX80" s="440" t="s">
        <v>628</v>
      </c>
      <c r="FY80" s="440" t="s">
        <v>628</v>
      </c>
      <c r="GA80" s="440" t="s">
        <v>628</v>
      </c>
      <c r="GC80" s="286">
        <f>AnnualAggregations!$T72</f>
        <v>37764.23856661762</v>
      </c>
      <c r="GD80" s="286">
        <f>AnnualAggregations!$R72</f>
        <v>109067.13000005133</v>
      </c>
      <c r="GE80" s="443">
        <f t="shared" si="83"/>
        <v>167354.73443907991</v>
      </c>
      <c r="GF80" s="286">
        <f>AnnualAggregations!$U72</f>
        <v>5000.0000000019172</v>
      </c>
      <c r="GG80" s="287">
        <f t="shared" si="84"/>
        <v>319186.10300575075</v>
      </c>
      <c r="GH80" s="440" t="s">
        <v>628</v>
      </c>
      <c r="GI80" s="440" t="s">
        <v>628</v>
      </c>
      <c r="GJ80" s="440" t="s">
        <v>628</v>
      </c>
      <c r="GK80" s="440" t="s">
        <v>628</v>
      </c>
      <c r="GL80" s="286">
        <f>AnnualDiversions!$BG72</f>
        <v>12296.800000006155</v>
      </c>
      <c r="GN80" s="440" t="s">
        <v>628</v>
      </c>
      <c r="GO80" s="440" t="s">
        <v>628</v>
      </c>
      <c r="GP80" s="440" t="s">
        <v>628</v>
      </c>
      <c r="GQ80" s="442" t="s">
        <v>597</v>
      </c>
      <c r="GU80" s="282">
        <v>1993</v>
      </c>
      <c r="GV80" s="286">
        <f>AnnualAggregations!AA72</f>
        <v>315770.39264714881</v>
      </c>
      <c r="GW80" s="442" t="s">
        <v>597</v>
      </c>
      <c r="GX80" s="286">
        <f>AnnualDivReqs!$AM72</f>
        <v>24160.880683189982</v>
      </c>
      <c r="GY80" s="286">
        <f>AnnualDivReqs!$AK72</f>
        <v>15864.246446422736</v>
      </c>
      <c r="GZ80" s="286">
        <f>AnnualDivReqs!$L72</f>
        <v>1800.0000000000002</v>
      </c>
      <c r="HA80" s="287">
        <f t="shared" si="85"/>
        <v>357595.51977676147</v>
      </c>
      <c r="HB80" s="286">
        <f>AnnualDivReqs!$AO72</f>
        <v>1965.9999999997747</v>
      </c>
      <c r="HC80" s="286">
        <f>AnnualDivReqs!$AY72</f>
        <v>3044.3438914023654</v>
      </c>
      <c r="HD80" s="286">
        <f>AnnualAggregations!$AD72</f>
        <v>53776.432883191759</v>
      </c>
      <c r="HE80" s="286">
        <f>AnnualAggregations!$AE72</f>
        <v>21252.143270048135</v>
      </c>
      <c r="HF80" s="286">
        <f>AnnualAggregations!$AF72</f>
        <v>19836.536285259863</v>
      </c>
      <c r="HG80" s="286">
        <f>AnnualDivReqs!$AL72</f>
        <v>13016.607354684154</v>
      </c>
      <c r="HH80" s="286">
        <f>AnnualDivReqs!$AG72</f>
        <v>15660.001895193884</v>
      </c>
      <c r="HI80" s="286">
        <f>AnnualDivReqs!$AN72</f>
        <v>5616.2451819115504</v>
      </c>
      <c r="HJ80" s="287">
        <f t="shared" si="86"/>
        <v>132202.31076169171</v>
      </c>
      <c r="HK80" s="287">
        <f t="shared" si="87"/>
        <v>491763.83053845295</v>
      </c>
      <c r="HL80" s="286">
        <f>AnnualDivReqs!$AP72</f>
        <v>378.87777777775057</v>
      </c>
      <c r="HM80" s="442" t="s">
        <v>597</v>
      </c>
      <c r="HN80" s="286">
        <f>AnnualDivReqs!$AJ72</f>
        <v>38999.999998983854</v>
      </c>
      <c r="HO80" s="286">
        <f>AnnualDivReqs!$BC72</f>
        <v>16199.99999897049</v>
      </c>
      <c r="HP80" s="286">
        <f>AnnualDivReqs!$J72</f>
        <v>4166.6500000021233</v>
      </c>
      <c r="HQ80" s="286">
        <f>AnnualAggregations!$AG72</f>
        <v>19374.983333335964</v>
      </c>
      <c r="HR80" s="287">
        <f t="shared" si="88"/>
        <v>79120.511109070183</v>
      </c>
      <c r="HS80" s="287">
        <f t="shared" si="89"/>
        <v>79120.511109070183</v>
      </c>
      <c r="HT80" s="287">
        <f t="shared" si="90"/>
        <v>570884.34164752311</v>
      </c>
      <c r="HV80" s="440" t="s">
        <v>628</v>
      </c>
      <c r="HW80" s="440" t="s">
        <v>628</v>
      </c>
      <c r="HX80" s="440" t="s">
        <v>628</v>
      </c>
      <c r="HY80" s="440" t="s">
        <v>628</v>
      </c>
      <c r="HZ80" s="440" t="s">
        <v>628</v>
      </c>
      <c r="IA80" s="440" t="s">
        <v>628</v>
      </c>
      <c r="IB80" s="440" t="s">
        <v>628</v>
      </c>
      <c r="IC80" s="440" t="s">
        <v>628</v>
      </c>
      <c r="ID80" s="440" t="s">
        <v>628</v>
      </c>
      <c r="IE80" s="440" t="s">
        <v>628</v>
      </c>
      <c r="IF80" s="440" t="s">
        <v>628</v>
      </c>
      <c r="IG80" s="440" t="s">
        <v>628</v>
      </c>
      <c r="IH80" s="440" t="s">
        <v>628</v>
      </c>
      <c r="IJ80" s="440" t="s">
        <v>628</v>
      </c>
      <c r="IL80" s="286">
        <f>AnnualAggregations!$AB72</f>
        <v>37764.238566617634</v>
      </c>
      <c r="IM80" s="286">
        <f>AnnualAggregations!$Z72</f>
        <v>109067.13000005133</v>
      </c>
      <c r="IN80" s="442" t="s">
        <v>597</v>
      </c>
      <c r="IO80" s="286">
        <f>AnnualAggregations!$AC72</f>
        <v>5000.0000000019172</v>
      </c>
      <c r="IP80" s="442" t="s">
        <v>597</v>
      </c>
      <c r="IQ80" s="440" t="s">
        <v>628</v>
      </c>
      <c r="IR80" s="440" t="s">
        <v>628</v>
      </c>
      <c r="IS80" s="440" t="s">
        <v>628</v>
      </c>
      <c r="IT80" s="440" t="s">
        <v>628</v>
      </c>
      <c r="IU80" s="286">
        <f>AnnualDivReqs!$BG72</f>
        <v>12296.800000006155</v>
      </c>
      <c r="IW80" s="440" t="s">
        <v>628</v>
      </c>
      <c r="IX80" s="440" t="s">
        <v>628</v>
      </c>
      <c r="IY80" s="440" t="s">
        <v>628</v>
      </c>
      <c r="IZ80" s="442" t="s">
        <v>597</v>
      </c>
    </row>
    <row r="81" spans="20:260" x14ac:dyDescent="0.25">
      <c r="T81" s="282">
        <v>1994</v>
      </c>
      <c r="U81" s="286">
        <f>AnnualAggregations!$C73</f>
        <v>288433.5806983721</v>
      </c>
      <c r="V81" s="286">
        <f>AnnualDepletions!$BI73</f>
        <v>8174.696120437814</v>
      </c>
      <c r="W81" s="286">
        <f>AnnualDepletions!$AM73</f>
        <v>12100</v>
      </c>
      <c r="X81" s="286">
        <f>AnnualDepletions!$AK73</f>
        <v>7970.0000000000045</v>
      </c>
      <c r="Y81" s="286">
        <f>AnnualDepletions!$L73</f>
        <v>899.99999999999977</v>
      </c>
      <c r="Z81" s="287">
        <f t="shared" ref="Z81:Z99" si="93">SUM(U81:Y81)</f>
        <v>317578.27681880991</v>
      </c>
      <c r="AA81" s="286">
        <f>AnnualDepletions!$AO73</f>
        <v>1222.9999999998597</v>
      </c>
      <c r="AB81" s="286">
        <f>AnnualDepletions!$AY73</f>
        <v>2157.9999999997526</v>
      </c>
      <c r="AC81" s="286">
        <f>AnnualAggregations!$F73</f>
        <v>35341.159271155986</v>
      </c>
      <c r="AD81" s="286">
        <f>AnnualAggregations!$G73</f>
        <v>4099.753370913324</v>
      </c>
      <c r="AE81" s="286">
        <f>AnnualAggregations!$H73</f>
        <v>14613.999999998312</v>
      </c>
      <c r="AF81" s="286">
        <f>AnnualDepletions!$AL73</f>
        <v>12410.999999998563</v>
      </c>
      <c r="AG81" s="286">
        <f>AnnualDepletions!$AG73</f>
        <v>9888.9999999988631</v>
      </c>
      <c r="AH81" s="286">
        <f>AnnualDepletions!$AN73</f>
        <v>3420.9999999996053</v>
      </c>
      <c r="AI81" s="287">
        <f t="shared" ref="AI81:AI99" si="94">SUM(AB81:AH81)</f>
        <v>81933.912642064402</v>
      </c>
      <c r="AJ81" s="287">
        <f t="shared" ref="AJ81:AJ99" si="95">SUM(Z81,AA81,AI81)</f>
        <v>400735.18946087419</v>
      </c>
      <c r="AK81" s="286">
        <f>AnnualDepletions!$AP73</f>
        <v>340.98999999997505</v>
      </c>
      <c r="AL81" s="286">
        <f>AnnualDepletions!$BH73</f>
        <v>28053.869266817914</v>
      </c>
      <c r="AM81" s="286">
        <f>AnnualDepletions!$AJ73</f>
        <v>38999.999998983854</v>
      </c>
      <c r="AN81" s="286">
        <f>AnnualDepletions!$BC73</f>
        <v>16199.99999897049</v>
      </c>
      <c r="AO81" s="286">
        <f>AnnualDepletions!$J73</f>
        <v>2499.9900000012672</v>
      </c>
      <c r="AP81" s="286">
        <f>AnnualAggregations!$I73</f>
        <v>11624.990000001573</v>
      </c>
      <c r="AQ81" s="287">
        <f t="shared" ref="AQ81:AQ99" si="96">SUM(AM81:AP81,AK81)</f>
        <v>69665.96999795716</v>
      </c>
      <c r="AR81" s="287">
        <f t="shared" ref="AR81:AR99" si="97">SUM(AK81:AP81)</f>
        <v>97719.839264775088</v>
      </c>
      <c r="AS81" s="287">
        <f t="shared" ref="AS81:AS99" si="98">AR81+AJ81</f>
        <v>498455.02872564929</v>
      </c>
      <c r="AU81" s="321">
        <f ca="1">StateModDepletions_ThisScenario!AC71</f>
        <v>32401.237789198756</v>
      </c>
      <c r="AV81" s="321">
        <f ca="1">StateModDepletions_ThisScenario!AD71</f>
        <v>17685.240996971726</v>
      </c>
      <c r="AW81" s="321">
        <f ca="1">StateModDepletions_ThisScenario!AE71</f>
        <v>108953.15741376951</v>
      </c>
      <c r="AX81" s="321">
        <f ca="1">StateModDepletions_ThisScenario!AB71</f>
        <v>24765.810481309891</v>
      </c>
      <c r="AY81" s="288">
        <f t="shared" ref="AY81:AY99" ca="1" si="99">SUM(AU81:AX81)</f>
        <v>183805.44668124989</v>
      </c>
      <c r="AZ81" s="321">
        <f ca="1">StateModDepletions_ThisScenario!AG71</f>
        <v>37906.932276582796</v>
      </c>
      <c r="BA81" s="321">
        <f ca="1">StateModDepletions_ThisScenario!AF71</f>
        <v>19898.834997355931</v>
      </c>
      <c r="BB81" s="321">
        <f ca="1">StateModDepletions_ThisScenario!AH71</f>
        <v>16022.648230880499</v>
      </c>
      <c r="BC81" s="321">
        <f ca="1">StateModDepletions_ThisScenario!AI71</f>
        <v>18333.333364998176</v>
      </c>
      <c r="BD81" s="321">
        <f ca="1">StateModDepletions_ThisScenario!N71</f>
        <v>1326.6977829933167</v>
      </c>
      <c r="BE81" s="321">
        <f ca="1">StateModDepletions_ThisScenario!V71</f>
        <v>11770.206915855408</v>
      </c>
      <c r="BF81" s="288">
        <f t="shared" ref="BF81:BF99" ca="1" si="100">SUM(AZ81:BE81)</f>
        <v>105258.65356866612</v>
      </c>
      <c r="BG81" s="288">
        <f t="shared" ref="BG81:BG99" ca="1" si="101">BF81+AY81</f>
        <v>289064.10024991602</v>
      </c>
      <c r="BI81" s="288">
        <f t="shared" ref="BI81:BI99" ca="1" si="102">BG81+AS81</f>
        <v>787519.12897556531</v>
      </c>
      <c r="BK81" s="286">
        <f>AnnualAggregations!$D73</f>
        <v>35893.000000000051</v>
      </c>
      <c r="BL81" s="286">
        <f>AnnualAggregations!$B73</f>
        <v>57130.36555325715</v>
      </c>
      <c r="BM81" s="286">
        <f>AnnualDepletions!$BK73</f>
        <v>108099.23283735766</v>
      </c>
      <c r="BN81" s="286">
        <f>AnnualAggregations!$E73</f>
        <v>5000.0000000019172</v>
      </c>
      <c r="BO81" s="287">
        <f t="shared" ref="BO81:BO99" si="103">SUM(BK81:BN81)</f>
        <v>206122.59839061677</v>
      </c>
      <c r="BP81" s="321">
        <f ca="1">StateModDepletions_ThisScenario!Y71</f>
        <v>212.11356273293495</v>
      </c>
      <c r="BQ81" s="321">
        <f ca="1">StateModDepletions_ThisScenario!AJ71</f>
        <v>159064.0324379091</v>
      </c>
      <c r="BR81" s="321">
        <f ca="1">StateModDepletions_ThisScenario!Z71</f>
        <v>217992.42529058456</v>
      </c>
      <c r="BS81" s="321">
        <f ca="1">StateModDepletions_ThisScenario!AA71</f>
        <v>58716.279289942526</v>
      </c>
      <c r="BT81" s="286">
        <f>AnnualDepletions!$BG73</f>
        <v>12296.800000006155</v>
      </c>
      <c r="BV81" s="287">
        <f t="shared" ref="BV81:BV99" ca="1" si="104">BT81+BO81+BI81</f>
        <v>1005938.5273661882</v>
      </c>
      <c r="BW81" s="287">
        <f t="shared" ref="BW81:BW99" ca="1" si="105">BV81-BS81</f>
        <v>947222.24807624565</v>
      </c>
      <c r="BX81" s="287">
        <f t="shared" ca="1" si="92"/>
        <v>962097.24807624565</v>
      </c>
      <c r="BY81" s="287">
        <f>SJRIPSummaryRAW!$B$79</f>
        <v>14875</v>
      </c>
      <c r="CC81" s="282">
        <v>1994</v>
      </c>
      <c r="CD81" s="286">
        <f>AnnualAggregations!K73</f>
        <v>288433.5806983721</v>
      </c>
      <c r="CE81" s="442" t="s">
        <v>597</v>
      </c>
      <c r="CF81" s="286">
        <f>AnnualDeplReqs!$AM73</f>
        <v>12100</v>
      </c>
      <c r="CG81" s="286">
        <f>AnnualDeplReqs!$AK73</f>
        <v>7970.0000000000045</v>
      </c>
      <c r="CH81" s="286">
        <f>AnnualDeplReqs!$L73</f>
        <v>899.99999999999977</v>
      </c>
      <c r="CI81" s="443">
        <f t="shared" ref="CI81:CI99" si="106">SUM(CD81:CH81)+V81</f>
        <v>317578.27681880991</v>
      </c>
      <c r="CJ81" s="286">
        <f>AnnualDeplReqs!$AO73</f>
        <v>1222.9999999998597</v>
      </c>
      <c r="CK81" s="286">
        <f>AnnualDeplReqs!$AY73</f>
        <v>2157.9999999997526</v>
      </c>
      <c r="CL81" s="286">
        <f>AnnualAggregations!$N73</f>
        <v>35341.159271155986</v>
      </c>
      <c r="CM81" s="286">
        <f>AnnualAggregations!$O73</f>
        <v>13087.999999998496</v>
      </c>
      <c r="CN81" s="286">
        <f>AnnualAggregations!$P73</f>
        <v>14613.999999998312</v>
      </c>
      <c r="CO81" s="286">
        <f>AnnualDeplReqs!$AL73</f>
        <v>12410.999999998563</v>
      </c>
      <c r="CP81" s="286">
        <f>AnnualDeplReqs!$AG73</f>
        <v>9888.9999999988631</v>
      </c>
      <c r="CQ81" s="286">
        <f>AnnualDeplReqs!$AN73</f>
        <v>3420.9999999996053</v>
      </c>
      <c r="CR81" s="287">
        <f t="shared" ref="CR81:CR99" si="107">SUM(CK81:CQ81)</f>
        <v>90922.159271149576</v>
      </c>
      <c r="CS81" s="287">
        <f t="shared" ref="CS81:CS99" si="108">SUM(CI81,CJ81,CR81)</f>
        <v>409723.43608995934</v>
      </c>
      <c r="CT81" s="286">
        <f>AnnualDeplReqs!$AP73</f>
        <v>340.98999999997505</v>
      </c>
      <c r="CU81" s="442" t="s">
        <v>597</v>
      </c>
      <c r="CV81" s="286">
        <f>AnnualDeplReqs!$AJ73</f>
        <v>38999.999998983854</v>
      </c>
      <c r="CW81" s="286">
        <f>AnnualDeplReqs!$BC73</f>
        <v>16199.99999897049</v>
      </c>
      <c r="CX81" s="286">
        <f>AnnualDeplReqs!$J73</f>
        <v>2499.9900000012672</v>
      </c>
      <c r="CY81" s="286">
        <f>AnnualAggregations!$Q73</f>
        <v>11624.990000001573</v>
      </c>
      <c r="CZ81" s="287">
        <f t="shared" ref="CZ81:CZ99" si="109">SUM(CV81:CY81,CT81)</f>
        <v>69665.96999795716</v>
      </c>
      <c r="DA81" s="443">
        <f t="shared" ref="DA81:DA99" si="110">SUM(CT81:CY81)+AL81</f>
        <v>97719.839264775073</v>
      </c>
      <c r="DB81" s="287">
        <f t="shared" ref="DB81:DB99" si="111">DA81+CS81</f>
        <v>507443.27535473439</v>
      </c>
      <c r="DD81" s="440" t="s">
        <v>628</v>
      </c>
      <c r="DE81" s="440" t="s">
        <v>628</v>
      </c>
      <c r="DF81" s="440" t="s">
        <v>628</v>
      </c>
      <c r="DG81" s="440" t="s">
        <v>628</v>
      </c>
      <c r="DH81" s="440" t="s">
        <v>628</v>
      </c>
      <c r="DI81" s="440" t="s">
        <v>628</v>
      </c>
      <c r="DJ81" s="440" t="s">
        <v>628</v>
      </c>
      <c r="DK81" s="440" t="s">
        <v>628</v>
      </c>
      <c r="DL81" s="440" t="s">
        <v>628</v>
      </c>
      <c r="DM81" s="440" t="s">
        <v>628</v>
      </c>
      <c r="DN81" s="440" t="s">
        <v>628</v>
      </c>
      <c r="DO81" s="440" t="s">
        <v>628</v>
      </c>
      <c r="DP81" s="440" t="s">
        <v>628</v>
      </c>
      <c r="DR81" s="440" t="s">
        <v>628</v>
      </c>
      <c r="DT81" s="286">
        <f>AnnualAggregations!$L73</f>
        <v>35893.000000000073</v>
      </c>
      <c r="DU81" s="443">
        <f>AnnualAggregations!$J73</f>
        <v>57157.719101644274</v>
      </c>
      <c r="DV81" s="442" t="s">
        <v>597</v>
      </c>
      <c r="DW81" s="286">
        <f>AnnualAggregations!$M73</f>
        <v>5000.0000000019172</v>
      </c>
      <c r="DX81" s="442" t="s">
        <v>597</v>
      </c>
      <c r="DY81" s="440" t="s">
        <v>628</v>
      </c>
      <c r="DZ81" s="440" t="s">
        <v>628</v>
      </c>
      <c r="EA81" s="440" t="s">
        <v>628</v>
      </c>
      <c r="EB81" s="440" t="s">
        <v>628</v>
      </c>
      <c r="EC81" s="286">
        <f>AnnualDeplReqs!$BG73</f>
        <v>12296.800000006155</v>
      </c>
      <c r="EE81" s="440" t="s">
        <v>628</v>
      </c>
      <c r="EF81" s="440" t="s">
        <v>628</v>
      </c>
      <c r="EG81" s="440" t="s">
        <v>628</v>
      </c>
      <c r="EH81" s="442" t="s">
        <v>597</v>
      </c>
      <c r="EL81" s="282">
        <v>1994</v>
      </c>
      <c r="EM81" s="286">
        <f>AnnualAggregations!S73</f>
        <v>360541.97587296693</v>
      </c>
      <c r="EN81" s="442" t="s">
        <v>597</v>
      </c>
      <c r="EO81" s="286">
        <f>AnnualDiversions!$AM73</f>
        <v>24160.880683189993</v>
      </c>
      <c r="EP81" s="286">
        <f>AnnualDiversions!$AK73</f>
        <v>15864.246446422732</v>
      </c>
      <c r="EQ81" s="286">
        <f>AnnualDiversions!$L73</f>
        <v>1799.9999999999995</v>
      </c>
      <c r="ER81" s="287">
        <f t="shared" ref="ER81:ER99" si="112">SUM(EM81:EQ81)</f>
        <v>402367.10300257965</v>
      </c>
      <c r="ES81" s="286">
        <f>AnnualDiversions!$AO73</f>
        <v>2445.9999999997194</v>
      </c>
      <c r="ET81" s="286">
        <f>AnnualDiversions!$AY73</f>
        <v>3905.8823529407277</v>
      </c>
      <c r="EU81" s="286">
        <f>AnnualAggregations!$V73</f>
        <v>59283.820942803461</v>
      </c>
      <c r="EV81" s="286">
        <f>AnnualAggregations!$W73</f>
        <v>7380.0272792832375</v>
      </c>
      <c r="EW81" s="286">
        <f>AnnualAggregations!$X73</f>
        <v>22401.318276174265</v>
      </c>
      <c r="EX81" s="286">
        <f>AnnualDiversions!$AL73</f>
        <v>14722.419928823932</v>
      </c>
      <c r="EY81" s="286">
        <f>AnnualDiversions!$AG73</f>
        <v>18741.590069172486</v>
      </c>
      <c r="EZ81" s="286">
        <f>AnnualDiversions!$AN73</f>
        <v>6432.2647362970893</v>
      </c>
      <c r="FA81" s="287">
        <f t="shared" ref="FA81:FA99" si="113">SUM(ET81:EZ81)</f>
        <v>132867.32358549518</v>
      </c>
      <c r="FB81" s="287">
        <f t="shared" ref="FB81:FB99" si="114">SUM(ER81,ES81,FA81)</f>
        <v>537680.42658807454</v>
      </c>
      <c r="FC81" s="286">
        <f>AnnualDiversions!$AP73</f>
        <v>378.87777777775057</v>
      </c>
      <c r="FD81" s="442" t="s">
        <v>597</v>
      </c>
      <c r="FE81" s="286">
        <f>AnnualDiversions!$AJ73</f>
        <v>38999.999998983854</v>
      </c>
      <c r="FF81" s="286">
        <f>AnnualDiversions!$BC73</f>
        <v>16199.99999897049</v>
      </c>
      <c r="FG81" s="286">
        <f>AnnualDiversions!$J73</f>
        <v>4166.6500000021233</v>
      </c>
      <c r="FH81" s="286">
        <f>AnnualAggregations!$Y73</f>
        <v>19374.983333335964</v>
      </c>
      <c r="FI81" s="287">
        <f t="shared" ref="FI81:FI99" si="115">SUM(FE81:FH81,FC81)</f>
        <v>79120.511109070183</v>
      </c>
      <c r="FJ81" s="287">
        <f t="shared" ref="FJ81:FJ99" si="116">SUM(FC81:FH81)</f>
        <v>79120.511109070183</v>
      </c>
      <c r="FK81" s="287">
        <f t="shared" ref="FK81:FK99" si="117">FJ81+FB81</f>
        <v>616800.93769714469</v>
      </c>
      <c r="FM81" s="440" t="s">
        <v>628</v>
      </c>
      <c r="FN81" s="440" t="s">
        <v>628</v>
      </c>
      <c r="FO81" s="440" t="s">
        <v>628</v>
      </c>
      <c r="FP81" s="440" t="s">
        <v>628</v>
      </c>
      <c r="FQ81" s="440" t="s">
        <v>628</v>
      </c>
      <c r="FR81" s="440" t="s">
        <v>628</v>
      </c>
      <c r="FS81" s="440" t="s">
        <v>628</v>
      </c>
      <c r="FT81" s="440" t="s">
        <v>628</v>
      </c>
      <c r="FU81" s="440" t="s">
        <v>628</v>
      </c>
      <c r="FV81" s="440" t="s">
        <v>628</v>
      </c>
      <c r="FW81" s="440" t="s">
        <v>628</v>
      </c>
      <c r="FX81" s="440" t="s">
        <v>628</v>
      </c>
      <c r="FY81" s="440" t="s">
        <v>628</v>
      </c>
      <c r="GA81" s="440" t="s">
        <v>628</v>
      </c>
      <c r="GC81" s="286">
        <f>AnnualAggregations!$T73</f>
        <v>37764.238566617612</v>
      </c>
      <c r="GD81" s="286">
        <f>AnnualAggregations!$R73</f>
        <v>109067.13000005134</v>
      </c>
      <c r="GE81" s="443">
        <f t="shared" ref="GE81:GE106" si="118">$BM81</f>
        <v>108099.23283735766</v>
      </c>
      <c r="GF81" s="286">
        <f>AnnualAggregations!$U73</f>
        <v>5000.0000000019172</v>
      </c>
      <c r="GG81" s="287">
        <f t="shared" ref="GG81:GG99" si="119">SUM(GC81:GF81)</f>
        <v>259930.60140402854</v>
      </c>
      <c r="GH81" s="440" t="s">
        <v>628</v>
      </c>
      <c r="GI81" s="440" t="s">
        <v>628</v>
      </c>
      <c r="GJ81" s="440" t="s">
        <v>628</v>
      </c>
      <c r="GK81" s="440" t="s">
        <v>628</v>
      </c>
      <c r="GL81" s="286">
        <f>AnnualDiversions!$BG73</f>
        <v>12296.800000006155</v>
      </c>
      <c r="GN81" s="440" t="s">
        <v>628</v>
      </c>
      <c r="GO81" s="440" t="s">
        <v>628</v>
      </c>
      <c r="GP81" s="440" t="s">
        <v>628</v>
      </c>
      <c r="GQ81" s="442" t="s">
        <v>597</v>
      </c>
      <c r="GU81" s="282">
        <v>1994</v>
      </c>
      <c r="GV81" s="286">
        <f>AnnualAggregations!AA73</f>
        <v>360541.97587296693</v>
      </c>
      <c r="GW81" s="442" t="s">
        <v>597</v>
      </c>
      <c r="GX81" s="286">
        <f>AnnualDivReqs!$AM73</f>
        <v>24160.880683189993</v>
      </c>
      <c r="GY81" s="286">
        <f>AnnualDivReqs!$AK73</f>
        <v>15864.246446422732</v>
      </c>
      <c r="GZ81" s="286">
        <f>AnnualDivReqs!$L73</f>
        <v>1799.9999999999995</v>
      </c>
      <c r="HA81" s="287">
        <f t="shared" ref="HA81:HA99" si="120">SUM(GV81:GZ81)</f>
        <v>402367.10300257965</v>
      </c>
      <c r="HB81" s="286">
        <f>AnnualDivReqs!$AO73</f>
        <v>2445.9999999997194</v>
      </c>
      <c r="HC81" s="286">
        <f>AnnualDivReqs!$AY73</f>
        <v>3905.8823529407277</v>
      </c>
      <c r="HD81" s="286">
        <f>AnnualAggregations!$AD73</f>
        <v>59283.820942803461</v>
      </c>
      <c r="HE81" s="286">
        <f>AnnualAggregations!$AE73</f>
        <v>23440.184361112671</v>
      </c>
      <c r="HF81" s="286">
        <f>AnnualAggregations!$AF73</f>
        <v>22401.318276174265</v>
      </c>
      <c r="HG81" s="286">
        <f>AnnualDivReqs!$AL73</f>
        <v>14722.419928823932</v>
      </c>
      <c r="HH81" s="286">
        <f>AnnualDivReqs!$AG73</f>
        <v>18741.590069172486</v>
      </c>
      <c r="HI81" s="286">
        <f>AnnualDivReqs!$AN73</f>
        <v>6432.2647362970893</v>
      </c>
      <c r="HJ81" s="287">
        <f t="shared" ref="HJ81:HJ99" si="121">SUM(HC81:HI81)</f>
        <v>148927.48066732462</v>
      </c>
      <c r="HK81" s="287">
        <f t="shared" ref="HK81:HK99" si="122">SUM(HA81,HB81,HJ81)</f>
        <v>553740.58366990392</v>
      </c>
      <c r="HL81" s="286">
        <f>AnnualDivReqs!$AP73</f>
        <v>378.87777777775057</v>
      </c>
      <c r="HM81" s="442" t="s">
        <v>597</v>
      </c>
      <c r="HN81" s="286">
        <f>AnnualDivReqs!$AJ73</f>
        <v>38999.999998983854</v>
      </c>
      <c r="HO81" s="286">
        <f>AnnualDivReqs!$BC73</f>
        <v>16199.99999897049</v>
      </c>
      <c r="HP81" s="286">
        <f>AnnualDivReqs!$J73</f>
        <v>4166.6500000021233</v>
      </c>
      <c r="HQ81" s="286">
        <f>AnnualAggregations!$AG73</f>
        <v>19374.983333335964</v>
      </c>
      <c r="HR81" s="287">
        <f t="shared" ref="HR81:HR99" si="123">SUM(HN81:HQ81,HL81)</f>
        <v>79120.511109070183</v>
      </c>
      <c r="HS81" s="287">
        <f t="shared" ref="HS81:HS99" si="124">SUM(HL81:HQ81)</f>
        <v>79120.511109070183</v>
      </c>
      <c r="HT81" s="287">
        <f t="shared" ref="HT81:HT99" si="125">HS81+HK81</f>
        <v>632861.09477897407</v>
      </c>
      <c r="HV81" s="440" t="s">
        <v>628</v>
      </c>
      <c r="HW81" s="440" t="s">
        <v>628</v>
      </c>
      <c r="HX81" s="440" t="s">
        <v>628</v>
      </c>
      <c r="HY81" s="440" t="s">
        <v>628</v>
      </c>
      <c r="HZ81" s="440" t="s">
        <v>628</v>
      </c>
      <c r="IA81" s="440" t="s">
        <v>628</v>
      </c>
      <c r="IB81" s="440" t="s">
        <v>628</v>
      </c>
      <c r="IC81" s="440" t="s">
        <v>628</v>
      </c>
      <c r="ID81" s="440" t="s">
        <v>628</v>
      </c>
      <c r="IE81" s="440" t="s">
        <v>628</v>
      </c>
      <c r="IF81" s="440" t="s">
        <v>628</v>
      </c>
      <c r="IG81" s="440" t="s">
        <v>628</v>
      </c>
      <c r="IH81" s="440" t="s">
        <v>628</v>
      </c>
      <c r="IJ81" s="440" t="s">
        <v>628</v>
      </c>
      <c r="IL81" s="286">
        <f>AnnualAggregations!$AB73</f>
        <v>37764.238566617634</v>
      </c>
      <c r="IM81" s="286">
        <f>AnnualAggregations!$Z73</f>
        <v>109121.83709682559</v>
      </c>
      <c r="IN81" s="442" t="s">
        <v>597</v>
      </c>
      <c r="IO81" s="286">
        <f>AnnualAggregations!$AC73</f>
        <v>5000.0000000019172</v>
      </c>
      <c r="IP81" s="442" t="s">
        <v>597</v>
      </c>
      <c r="IQ81" s="440" t="s">
        <v>628</v>
      </c>
      <c r="IR81" s="440" t="s">
        <v>628</v>
      </c>
      <c r="IS81" s="440" t="s">
        <v>628</v>
      </c>
      <c r="IT81" s="440" t="s">
        <v>628</v>
      </c>
      <c r="IU81" s="286">
        <f>AnnualDivReqs!$BG73</f>
        <v>12296.800000006155</v>
      </c>
      <c r="IW81" s="440" t="s">
        <v>628</v>
      </c>
      <c r="IX81" s="440" t="s">
        <v>628</v>
      </c>
      <c r="IY81" s="440" t="s">
        <v>628</v>
      </c>
      <c r="IZ81" s="442" t="s">
        <v>597</v>
      </c>
    </row>
    <row r="82" spans="20:260" x14ac:dyDescent="0.25">
      <c r="T82" s="282">
        <v>1995</v>
      </c>
      <c r="U82" s="286">
        <f>AnnualAggregations!$C74</f>
        <v>246566.47143508683</v>
      </c>
      <c r="V82" s="286">
        <f>AnnualDepletions!$BI74</f>
        <v>-198.72573221946817</v>
      </c>
      <c r="W82" s="286">
        <f>AnnualDepletions!$AM74</f>
        <v>12099.999999999998</v>
      </c>
      <c r="X82" s="286">
        <f>AnnualDepletions!$AK74</f>
        <v>7969.9999999999927</v>
      </c>
      <c r="Y82" s="286">
        <f>AnnualDepletions!$L74</f>
        <v>900.00000000000057</v>
      </c>
      <c r="Z82" s="287">
        <f t="shared" si="93"/>
        <v>267337.74570286734</v>
      </c>
      <c r="AA82" s="286">
        <f>AnnualDepletions!$AO74</f>
        <v>1115.9999999998715</v>
      </c>
      <c r="AB82" s="286">
        <f>AnnualDepletions!$AY74</f>
        <v>1841.9999999997888</v>
      </c>
      <c r="AC82" s="286">
        <f>AnnualAggregations!$F74</f>
        <v>31860.062082598117</v>
      </c>
      <c r="AD82" s="286">
        <f>AnnualAggregations!$G74</f>
        <v>6751.4211378613709</v>
      </c>
      <c r="AE82" s="286">
        <f>AnnualAggregations!$H74</f>
        <v>13026.999999998496</v>
      </c>
      <c r="AF82" s="286">
        <f>AnnualDepletions!$AL74</f>
        <v>10903.999999998739</v>
      </c>
      <c r="AG82" s="286">
        <f>AnnualDepletions!$AG74</f>
        <v>9017.9999999989632</v>
      </c>
      <c r="AH82" s="286">
        <f>AnnualDepletions!$AN74</f>
        <v>3100.9999999996453</v>
      </c>
      <c r="AI82" s="287">
        <f t="shared" si="94"/>
        <v>76503.48322045512</v>
      </c>
      <c r="AJ82" s="287">
        <f t="shared" si="95"/>
        <v>344957.22892332234</v>
      </c>
      <c r="AK82" s="286">
        <f>AnnualDepletions!$AP74</f>
        <v>340.98999999997505</v>
      </c>
      <c r="AL82" s="286">
        <f>AnnualDepletions!$BH74</f>
        <v>28563.696097711996</v>
      </c>
      <c r="AM82" s="286">
        <f>AnnualDepletions!$AJ74</f>
        <v>38999.999998983854</v>
      </c>
      <c r="AN82" s="286">
        <f>AnnualDepletions!$BC74</f>
        <v>16199.99999897049</v>
      </c>
      <c r="AO82" s="286">
        <f>AnnualDepletions!$J74</f>
        <v>2499.9900000012672</v>
      </c>
      <c r="AP82" s="286">
        <f>AnnualAggregations!$I74</f>
        <v>11624.990000001573</v>
      </c>
      <c r="AQ82" s="287">
        <f t="shared" si="96"/>
        <v>69665.96999795716</v>
      </c>
      <c r="AR82" s="287">
        <f t="shared" si="97"/>
        <v>98229.666095669178</v>
      </c>
      <c r="AS82" s="287">
        <f t="shared" si="98"/>
        <v>443186.89501899155</v>
      </c>
      <c r="AU82" s="321">
        <f ca="1">StateModDepletions_ThisScenario!AC72</f>
        <v>29532.974227584898</v>
      </c>
      <c r="AV82" s="321">
        <f ca="1">StateModDepletions_ThisScenario!AD72</f>
        <v>16579.13452886045</v>
      </c>
      <c r="AW82" s="321">
        <f ca="1">StateModDepletions_ThisScenario!AE72</f>
        <v>103597.63702741265</v>
      </c>
      <c r="AX82" s="321">
        <f ca="1">StateModDepletions_ThisScenario!AB72</f>
        <v>24765.810481309891</v>
      </c>
      <c r="AY82" s="288">
        <f t="shared" ca="1" si="99"/>
        <v>174475.55626516789</v>
      </c>
      <c r="AZ82" s="321">
        <f ca="1">StateModDepletions_ThisScenario!AG72</f>
        <v>46451.323194383163</v>
      </c>
      <c r="BA82" s="321">
        <f ca="1">StateModDepletions_ThisScenario!AF72</f>
        <v>18818.160242482994</v>
      </c>
      <c r="BB82" s="321">
        <f ca="1">StateModDepletions_ThisScenario!AH72</f>
        <v>22656.556699771434</v>
      </c>
      <c r="BC82" s="321">
        <f ca="1">StateModDepletions_ThisScenario!AI72</f>
        <v>26459.777980128194</v>
      </c>
      <c r="BD82" s="321">
        <f ca="1">StateModDepletions_ThisScenario!N72</f>
        <v>1326.6977829933167</v>
      </c>
      <c r="BE82" s="321">
        <f ca="1">StateModDepletions_ThisScenario!V72</f>
        <v>16272.813761711121</v>
      </c>
      <c r="BF82" s="288">
        <f t="shared" ca="1" si="100"/>
        <v>131985.32966147023</v>
      </c>
      <c r="BG82" s="288">
        <f t="shared" ca="1" si="101"/>
        <v>306460.88592663815</v>
      </c>
      <c r="BI82" s="288">
        <f t="shared" ca="1" si="102"/>
        <v>749647.7809456297</v>
      </c>
      <c r="BK82" s="286">
        <f>AnnualAggregations!$D74</f>
        <v>35893.000000000051</v>
      </c>
      <c r="BL82" s="286">
        <f>AnnualAggregations!$B74</f>
        <v>57173.968443789861</v>
      </c>
      <c r="BM82" s="286">
        <f>AnnualDepletions!$BK74</f>
        <v>124525.97273395772</v>
      </c>
      <c r="BN82" s="286">
        <f>AnnualAggregations!$E74</f>
        <v>5000.0000000019172</v>
      </c>
      <c r="BO82" s="287">
        <f t="shared" si="103"/>
        <v>222592.94117774954</v>
      </c>
      <c r="BP82" s="321">
        <f ca="1">StateModDepletions_ThisScenario!Y72</f>
        <v>212.11356273293495</v>
      </c>
      <c r="BQ82" s="321">
        <f ca="1">StateModDepletions_ThisScenario!AJ72</f>
        <v>121585.62337276098</v>
      </c>
      <c r="BR82" s="321">
        <f ca="1">StateModDepletions_ThisScenario!Z72</f>
        <v>204038.33221387863</v>
      </c>
      <c r="BS82" s="321">
        <f ca="1">StateModDepletions_ThisScenario!AA72</f>
        <v>82240.595278384717</v>
      </c>
      <c r="BT82" s="286">
        <f>AnnualDepletions!$BG74</f>
        <v>12296.800000006155</v>
      </c>
      <c r="BV82" s="287">
        <f t="shared" ca="1" si="104"/>
        <v>984537.52212338545</v>
      </c>
      <c r="BW82" s="287">
        <f t="shared" ca="1" si="105"/>
        <v>902296.92684500071</v>
      </c>
      <c r="BX82" s="287">
        <f t="shared" ca="1" si="92"/>
        <v>917171.92684500071</v>
      </c>
      <c r="BY82" s="287">
        <f>SJRIPSummaryRAW!$B$79</f>
        <v>14875</v>
      </c>
      <c r="CC82" s="282">
        <v>1995</v>
      </c>
      <c r="CD82" s="286">
        <f>AnnualAggregations!K74</f>
        <v>246566.47143508683</v>
      </c>
      <c r="CE82" s="442" t="s">
        <v>597</v>
      </c>
      <c r="CF82" s="286">
        <f>AnnualDeplReqs!$AM74</f>
        <v>12099.999999999998</v>
      </c>
      <c r="CG82" s="286">
        <f>AnnualDeplReqs!$AK74</f>
        <v>7969.9999999999927</v>
      </c>
      <c r="CH82" s="286">
        <f>AnnualDeplReqs!$L74</f>
        <v>900.00000000000057</v>
      </c>
      <c r="CI82" s="443">
        <f t="shared" si="106"/>
        <v>267337.74570286734</v>
      </c>
      <c r="CJ82" s="286">
        <f>AnnualDeplReqs!$AO74</f>
        <v>1115.9999999998715</v>
      </c>
      <c r="CK82" s="286">
        <f>AnnualDeplReqs!$AY74</f>
        <v>1841.9999999997888</v>
      </c>
      <c r="CL82" s="286">
        <f>AnnualAggregations!$N74</f>
        <v>31860.062082598117</v>
      </c>
      <c r="CM82" s="286">
        <f>AnnualAggregations!$O74</f>
        <v>11798.999999998638</v>
      </c>
      <c r="CN82" s="286">
        <f>AnnualAggregations!$P74</f>
        <v>13026.999999998496</v>
      </c>
      <c r="CO82" s="286">
        <f>AnnualDeplReqs!$AL74</f>
        <v>10903.999999998739</v>
      </c>
      <c r="CP82" s="286">
        <f>AnnualDeplReqs!$AG74</f>
        <v>9017.9999999989632</v>
      </c>
      <c r="CQ82" s="286">
        <f>AnnualDeplReqs!$AN74</f>
        <v>3100.9999999996453</v>
      </c>
      <c r="CR82" s="287">
        <f t="shared" si="107"/>
        <v>81551.062082592398</v>
      </c>
      <c r="CS82" s="287">
        <f t="shared" si="108"/>
        <v>350004.80778545962</v>
      </c>
      <c r="CT82" s="286">
        <f>AnnualDeplReqs!$AP74</f>
        <v>340.98999999997505</v>
      </c>
      <c r="CU82" s="442" t="s">
        <v>597</v>
      </c>
      <c r="CV82" s="286">
        <f>AnnualDeplReqs!$AJ74</f>
        <v>38999.999998983854</v>
      </c>
      <c r="CW82" s="286">
        <f>AnnualDeplReqs!$BC74</f>
        <v>16199.99999897049</v>
      </c>
      <c r="CX82" s="286">
        <f>AnnualDeplReqs!$J74</f>
        <v>2499.9900000012672</v>
      </c>
      <c r="CY82" s="286">
        <f>AnnualAggregations!$Q74</f>
        <v>11624.990000001573</v>
      </c>
      <c r="CZ82" s="287">
        <f t="shared" si="109"/>
        <v>69665.96999795716</v>
      </c>
      <c r="DA82" s="443">
        <f t="shared" si="110"/>
        <v>98229.666095669148</v>
      </c>
      <c r="DB82" s="287">
        <f t="shared" si="111"/>
        <v>448234.47388112877</v>
      </c>
      <c r="DD82" s="440" t="s">
        <v>628</v>
      </c>
      <c r="DE82" s="440" t="s">
        <v>628</v>
      </c>
      <c r="DF82" s="440" t="s">
        <v>628</v>
      </c>
      <c r="DG82" s="440" t="s">
        <v>628</v>
      </c>
      <c r="DH82" s="440" t="s">
        <v>628</v>
      </c>
      <c r="DI82" s="440" t="s">
        <v>628</v>
      </c>
      <c r="DJ82" s="440" t="s">
        <v>628</v>
      </c>
      <c r="DK82" s="440" t="s">
        <v>628</v>
      </c>
      <c r="DL82" s="440" t="s">
        <v>628</v>
      </c>
      <c r="DM82" s="440" t="s">
        <v>628</v>
      </c>
      <c r="DN82" s="440" t="s">
        <v>628</v>
      </c>
      <c r="DO82" s="440" t="s">
        <v>628</v>
      </c>
      <c r="DP82" s="440" t="s">
        <v>628</v>
      </c>
      <c r="DR82" s="440" t="s">
        <v>628</v>
      </c>
      <c r="DT82" s="286">
        <f>AnnualAggregations!$L74</f>
        <v>35893.000000000073</v>
      </c>
      <c r="DU82" s="443">
        <f>AnnualAggregations!$J74</f>
        <v>57173.968443789861</v>
      </c>
      <c r="DV82" s="442" t="s">
        <v>597</v>
      </c>
      <c r="DW82" s="286">
        <f>AnnualAggregations!$M74</f>
        <v>5000.0000000019172</v>
      </c>
      <c r="DX82" s="442" t="s">
        <v>597</v>
      </c>
      <c r="DY82" s="440" t="s">
        <v>628</v>
      </c>
      <c r="DZ82" s="440" t="s">
        <v>628</v>
      </c>
      <c r="EA82" s="440" t="s">
        <v>628</v>
      </c>
      <c r="EB82" s="440" t="s">
        <v>628</v>
      </c>
      <c r="EC82" s="286">
        <f>AnnualDeplReqs!$BG74</f>
        <v>12296.800000006155</v>
      </c>
      <c r="EE82" s="440" t="s">
        <v>628</v>
      </c>
      <c r="EF82" s="440" t="s">
        <v>628</v>
      </c>
      <c r="EG82" s="440" t="s">
        <v>628</v>
      </c>
      <c r="EH82" s="442" t="s">
        <v>597</v>
      </c>
      <c r="EL82" s="282">
        <v>1995</v>
      </c>
      <c r="EM82" s="286">
        <f>AnnualAggregations!S74</f>
        <v>308208.08929385868</v>
      </c>
      <c r="EN82" s="442" t="s">
        <v>597</v>
      </c>
      <c r="EO82" s="286">
        <f>AnnualDiversions!$AM74</f>
        <v>24160.880683189975</v>
      </c>
      <c r="EP82" s="286">
        <f>AnnualDiversions!$AK74</f>
        <v>15864.246446422709</v>
      </c>
      <c r="EQ82" s="286">
        <f>AnnualDiversions!$L74</f>
        <v>1800.0000000000011</v>
      </c>
      <c r="ER82" s="287">
        <f t="shared" si="112"/>
        <v>350033.21642347134</v>
      </c>
      <c r="ES82" s="286">
        <f>AnnualDiversions!$AO74</f>
        <v>2231.9999999997431</v>
      </c>
      <c r="ET82" s="286">
        <f>AnnualDiversions!$AY74</f>
        <v>3333.9366515833285</v>
      </c>
      <c r="EU82" s="286">
        <f>AnnualAggregations!$V74</f>
        <v>53509.998617374418</v>
      </c>
      <c r="EV82" s="286">
        <f>AnnualAggregations!$W74</f>
        <v>12925.422466401553</v>
      </c>
      <c r="EW82" s="286">
        <f>AnnualAggregations!$X74</f>
        <v>19968.353931760226</v>
      </c>
      <c r="EX82" s="286">
        <f>AnnualDiversions!$AL74</f>
        <v>12934.756820876333</v>
      </c>
      <c r="EY82" s="286">
        <f>AnnualDiversions!$AG74</f>
        <v>17090.874632803865</v>
      </c>
      <c r="EZ82" s="286">
        <f>AnnualDiversions!$AN74</f>
        <v>5830.5913321418484</v>
      </c>
      <c r="FA82" s="287">
        <f t="shared" si="113"/>
        <v>125593.93445294157</v>
      </c>
      <c r="FB82" s="287">
        <f t="shared" si="114"/>
        <v>477859.15087641269</v>
      </c>
      <c r="FC82" s="286">
        <f>AnnualDiversions!$AP74</f>
        <v>378.87777777775057</v>
      </c>
      <c r="FD82" s="442" t="s">
        <v>597</v>
      </c>
      <c r="FE82" s="286">
        <f>AnnualDiversions!$AJ74</f>
        <v>38999.999998983854</v>
      </c>
      <c r="FF82" s="286">
        <f>AnnualDiversions!$BC74</f>
        <v>16199.99999897049</v>
      </c>
      <c r="FG82" s="286">
        <f>AnnualDiversions!$J74</f>
        <v>4166.6500000021233</v>
      </c>
      <c r="FH82" s="286">
        <f>AnnualAggregations!$Y74</f>
        <v>19374.983333335964</v>
      </c>
      <c r="FI82" s="287">
        <f t="shared" si="115"/>
        <v>79120.511109070183</v>
      </c>
      <c r="FJ82" s="287">
        <f t="shared" si="116"/>
        <v>79120.511109070183</v>
      </c>
      <c r="FK82" s="287">
        <f t="shared" si="117"/>
        <v>556979.6619854829</v>
      </c>
      <c r="FM82" s="440" t="s">
        <v>628</v>
      </c>
      <c r="FN82" s="440" t="s">
        <v>628</v>
      </c>
      <c r="FO82" s="440" t="s">
        <v>628</v>
      </c>
      <c r="FP82" s="440" t="s">
        <v>628</v>
      </c>
      <c r="FQ82" s="440" t="s">
        <v>628</v>
      </c>
      <c r="FR82" s="440" t="s">
        <v>628</v>
      </c>
      <c r="FS82" s="440" t="s">
        <v>628</v>
      </c>
      <c r="FT82" s="440" t="s">
        <v>628</v>
      </c>
      <c r="FU82" s="440" t="s">
        <v>628</v>
      </c>
      <c r="FV82" s="440" t="s">
        <v>628</v>
      </c>
      <c r="FW82" s="440" t="s">
        <v>628</v>
      </c>
      <c r="FX82" s="440" t="s">
        <v>628</v>
      </c>
      <c r="FY82" s="440" t="s">
        <v>628</v>
      </c>
      <c r="GA82" s="440" t="s">
        <v>628</v>
      </c>
      <c r="GC82" s="286">
        <f>AnnualAggregations!$T74</f>
        <v>37764.238566617612</v>
      </c>
      <c r="GD82" s="286">
        <f>AnnualAggregations!$R74</f>
        <v>109067.13000005133</v>
      </c>
      <c r="GE82" s="443">
        <f t="shared" si="118"/>
        <v>124525.97273395772</v>
      </c>
      <c r="GF82" s="286">
        <f>AnnualAggregations!$U74</f>
        <v>5000.0000000019172</v>
      </c>
      <c r="GG82" s="287">
        <f t="shared" si="119"/>
        <v>276357.34130062856</v>
      </c>
      <c r="GH82" s="440" t="s">
        <v>628</v>
      </c>
      <c r="GI82" s="440" t="s">
        <v>628</v>
      </c>
      <c r="GJ82" s="440" t="s">
        <v>628</v>
      </c>
      <c r="GK82" s="440" t="s">
        <v>628</v>
      </c>
      <c r="GL82" s="286">
        <f>AnnualDiversions!$BG74</f>
        <v>12296.800000006155</v>
      </c>
      <c r="GN82" s="440" t="s">
        <v>628</v>
      </c>
      <c r="GO82" s="440" t="s">
        <v>628</v>
      </c>
      <c r="GP82" s="440" t="s">
        <v>628</v>
      </c>
      <c r="GQ82" s="442" t="s">
        <v>597</v>
      </c>
      <c r="GU82" s="282">
        <v>1995</v>
      </c>
      <c r="GV82" s="286">
        <f>AnnualAggregations!AA74</f>
        <v>308208.08929385868</v>
      </c>
      <c r="GW82" s="442" t="s">
        <v>597</v>
      </c>
      <c r="GX82" s="286">
        <f>AnnualDivReqs!$AM74</f>
        <v>24160.880683189975</v>
      </c>
      <c r="GY82" s="286">
        <f>AnnualDivReqs!$AK74</f>
        <v>15864.246446422709</v>
      </c>
      <c r="GZ82" s="286">
        <f>AnnualDivReqs!$L74</f>
        <v>1800.0000000000011</v>
      </c>
      <c r="HA82" s="287">
        <f t="shared" si="120"/>
        <v>350033.21642347134</v>
      </c>
      <c r="HB82" s="286">
        <f>AnnualDivReqs!$AO74</f>
        <v>2231.9999999997431</v>
      </c>
      <c r="HC82" s="286">
        <f>AnnualDivReqs!$AY74</f>
        <v>3333.9366515833285</v>
      </c>
      <c r="HD82" s="286">
        <f>AnnualAggregations!$AD74</f>
        <v>53509.998617374418</v>
      </c>
      <c r="HE82" s="286">
        <f>AnnualAggregations!$AE74</f>
        <v>21134.315377045474</v>
      </c>
      <c r="HF82" s="286">
        <f>AnnualAggregations!$AF74</f>
        <v>19968.353931760226</v>
      </c>
      <c r="HG82" s="286">
        <f>AnnualDivReqs!$AL74</f>
        <v>12934.756820876333</v>
      </c>
      <c r="HH82" s="286">
        <f>AnnualDivReqs!$AG74</f>
        <v>17090.874632803865</v>
      </c>
      <c r="HI82" s="286">
        <f>AnnualDivReqs!$AN74</f>
        <v>5830.5913321418484</v>
      </c>
      <c r="HJ82" s="287">
        <f t="shared" si="121"/>
        <v>133802.82736358553</v>
      </c>
      <c r="HK82" s="287">
        <f t="shared" si="122"/>
        <v>486068.04378705664</v>
      </c>
      <c r="HL82" s="286">
        <f>AnnualDivReqs!$AP74</f>
        <v>378.87777777775057</v>
      </c>
      <c r="HM82" s="442" t="s">
        <v>597</v>
      </c>
      <c r="HN82" s="286">
        <f>AnnualDivReqs!$AJ74</f>
        <v>38999.999998983854</v>
      </c>
      <c r="HO82" s="286">
        <f>AnnualDivReqs!$BC74</f>
        <v>16199.99999897049</v>
      </c>
      <c r="HP82" s="286">
        <f>AnnualDivReqs!$J74</f>
        <v>4166.6500000021233</v>
      </c>
      <c r="HQ82" s="286">
        <f>AnnualAggregations!$AG74</f>
        <v>19374.983333335964</v>
      </c>
      <c r="HR82" s="287">
        <f t="shared" si="123"/>
        <v>79120.511109070183</v>
      </c>
      <c r="HS82" s="287">
        <f t="shared" si="124"/>
        <v>79120.511109070183</v>
      </c>
      <c r="HT82" s="287">
        <f t="shared" si="125"/>
        <v>565188.55489612685</v>
      </c>
      <c r="HV82" s="440" t="s">
        <v>628</v>
      </c>
      <c r="HW82" s="440" t="s">
        <v>628</v>
      </c>
      <c r="HX82" s="440" t="s">
        <v>628</v>
      </c>
      <c r="HY82" s="440" t="s">
        <v>628</v>
      </c>
      <c r="HZ82" s="440" t="s">
        <v>628</v>
      </c>
      <c r="IA82" s="440" t="s">
        <v>628</v>
      </c>
      <c r="IB82" s="440" t="s">
        <v>628</v>
      </c>
      <c r="IC82" s="440" t="s">
        <v>628</v>
      </c>
      <c r="ID82" s="440" t="s">
        <v>628</v>
      </c>
      <c r="IE82" s="440" t="s">
        <v>628</v>
      </c>
      <c r="IF82" s="440" t="s">
        <v>628</v>
      </c>
      <c r="IG82" s="440" t="s">
        <v>628</v>
      </c>
      <c r="IH82" s="440" t="s">
        <v>628</v>
      </c>
      <c r="IJ82" s="440" t="s">
        <v>628</v>
      </c>
      <c r="IL82" s="286">
        <f>AnnualAggregations!$AB74</f>
        <v>37764.238566617634</v>
      </c>
      <c r="IM82" s="286">
        <f>AnnualAggregations!$Z74</f>
        <v>109067.13000005133</v>
      </c>
      <c r="IN82" s="442" t="s">
        <v>597</v>
      </c>
      <c r="IO82" s="286">
        <f>AnnualAggregations!$AC74</f>
        <v>5000.0000000019172</v>
      </c>
      <c r="IP82" s="442" t="s">
        <v>597</v>
      </c>
      <c r="IQ82" s="440" t="s">
        <v>628</v>
      </c>
      <c r="IR82" s="440" t="s">
        <v>628</v>
      </c>
      <c r="IS82" s="440" t="s">
        <v>628</v>
      </c>
      <c r="IT82" s="440" t="s">
        <v>628</v>
      </c>
      <c r="IU82" s="286">
        <f>AnnualDivReqs!$BG74</f>
        <v>12296.800000006155</v>
      </c>
      <c r="IW82" s="440" t="s">
        <v>628</v>
      </c>
      <c r="IX82" s="440" t="s">
        <v>628</v>
      </c>
      <c r="IY82" s="440" t="s">
        <v>628</v>
      </c>
      <c r="IZ82" s="442" t="s">
        <v>597</v>
      </c>
    </row>
    <row r="83" spans="20:260" x14ac:dyDescent="0.25">
      <c r="T83" s="282">
        <v>1996</v>
      </c>
      <c r="U83" s="286">
        <f>AnnualAggregations!$C75</f>
        <v>271002.65592718206</v>
      </c>
      <c r="V83" s="286">
        <f>AnnualDepletions!$BI75</f>
        <v>4552.8617962837643</v>
      </c>
      <c r="W83" s="286">
        <f>AnnualDepletions!$AM75</f>
        <v>12100.000000000007</v>
      </c>
      <c r="X83" s="286">
        <f>AnnualDepletions!$AK75</f>
        <v>7970.0000000000045</v>
      </c>
      <c r="Y83" s="286">
        <f>AnnualDepletions!$L75</f>
        <v>899.99999999999898</v>
      </c>
      <c r="Z83" s="287">
        <f t="shared" si="93"/>
        <v>296525.5177234658</v>
      </c>
      <c r="AA83" s="286">
        <f>AnnualDepletions!$AO75</f>
        <v>1297.9999999998495</v>
      </c>
      <c r="AB83" s="286">
        <f>AnnualDepletions!$AY75</f>
        <v>1985.9999999997713</v>
      </c>
      <c r="AC83" s="286">
        <f>AnnualAggregations!$F75</f>
        <v>35429.874302776414</v>
      </c>
      <c r="AD83" s="286">
        <f>AnnualAggregations!$G75</f>
        <v>2357.9851256526322</v>
      </c>
      <c r="AE83" s="286">
        <f>AnnualAggregations!$H75</f>
        <v>14358.999999998352</v>
      </c>
      <c r="AF83" s="286">
        <f>AnnualDepletions!$AL75</f>
        <v>12141.999999998601</v>
      </c>
      <c r="AG83" s="286">
        <f>AnnualDepletions!$AG75</f>
        <v>9765.406594865266</v>
      </c>
      <c r="AH83" s="286">
        <f>AnnualDepletions!$AN75</f>
        <v>3468.9999999995989</v>
      </c>
      <c r="AI83" s="287">
        <f t="shared" si="94"/>
        <v>79509.266023290635</v>
      </c>
      <c r="AJ83" s="287">
        <f t="shared" si="95"/>
        <v>377332.78374675626</v>
      </c>
      <c r="AK83" s="286">
        <f>AnnualDepletions!$AP75</f>
        <v>340.98999999997511</v>
      </c>
      <c r="AL83" s="286">
        <f>AnnualDepletions!$BH75</f>
        <v>26516.854229919682</v>
      </c>
      <c r="AM83" s="286">
        <f>AnnualDepletions!$AJ75</f>
        <v>38999.999998983862</v>
      </c>
      <c r="AN83" s="286">
        <f>AnnualDepletions!$BC75</f>
        <v>16199.999998970494</v>
      </c>
      <c r="AO83" s="286">
        <f>AnnualDepletions!$J75</f>
        <v>2499.9900000012672</v>
      </c>
      <c r="AP83" s="286">
        <f>AnnualAggregations!$I75</f>
        <v>11624.990000001573</v>
      </c>
      <c r="AQ83" s="287">
        <f t="shared" si="96"/>
        <v>69665.969997957174</v>
      </c>
      <c r="AR83" s="287">
        <f t="shared" si="97"/>
        <v>96182.824227876859</v>
      </c>
      <c r="AS83" s="287">
        <f t="shared" si="98"/>
        <v>473515.60797463311</v>
      </c>
      <c r="AU83" s="321">
        <f ca="1">StateModDepletions_ThisScenario!AC73</f>
        <v>30805.539616242051</v>
      </c>
      <c r="AV83" s="321">
        <f ca="1">StateModDepletions_ThisScenario!AD73</f>
        <v>17286.891819104552</v>
      </c>
      <c r="AW83" s="321">
        <f ca="1">StateModDepletions_ThisScenario!AE73</f>
        <v>102490.39872268587</v>
      </c>
      <c r="AX83" s="321">
        <f ca="1">StateModDepletions_ThisScenario!AB73</f>
        <v>24765.810481309891</v>
      </c>
      <c r="AY83" s="288">
        <f t="shared" ca="1" si="99"/>
        <v>175348.64063934237</v>
      </c>
      <c r="AZ83" s="321">
        <f ca="1">StateModDepletions_ThisScenario!AG73</f>
        <v>26619.558879552857</v>
      </c>
      <c r="BA83" s="321">
        <f ca="1">StateModDepletions_ThisScenario!AF73</f>
        <v>20514.319859072544</v>
      </c>
      <c r="BB83" s="321">
        <f ca="1">StateModDepletions_ThisScenario!AH73</f>
        <v>12127.277968503535</v>
      </c>
      <c r="BC83" s="321">
        <f ca="1">StateModDepletions_ThisScenario!AI73</f>
        <v>12180.222068227282</v>
      </c>
      <c r="BD83" s="321">
        <f ca="1">StateModDepletions_ThisScenario!N73</f>
        <v>1326.6977829933167</v>
      </c>
      <c r="BE83" s="321">
        <f ca="1">StateModDepletions_ThisScenario!V73</f>
        <v>8083.8472414016724</v>
      </c>
      <c r="BF83" s="288">
        <f t="shared" ca="1" si="100"/>
        <v>80851.92379975121</v>
      </c>
      <c r="BG83" s="288">
        <f t="shared" ca="1" si="101"/>
        <v>256200.56443909358</v>
      </c>
      <c r="BI83" s="288">
        <f t="shared" ca="1" si="102"/>
        <v>729716.17241372669</v>
      </c>
      <c r="BK83" s="286">
        <f>AnnualAggregations!$D75</f>
        <v>35893.000000000044</v>
      </c>
      <c r="BL83" s="286">
        <f>AnnualAggregations!$B75</f>
        <v>57114.736154763581</v>
      </c>
      <c r="BM83" s="286">
        <f>AnnualDepletions!$BK75</f>
        <v>59541.469650366664</v>
      </c>
      <c r="BN83" s="286">
        <f>AnnualAggregations!$E75</f>
        <v>5000.0000000019463</v>
      </c>
      <c r="BO83" s="287">
        <f t="shared" si="103"/>
        <v>157549.20580513225</v>
      </c>
      <c r="BP83" s="321">
        <f ca="1">StateModDepletions_ThisScenario!Y73</f>
        <v>212.11356273293495</v>
      </c>
      <c r="BQ83" s="321">
        <f ca="1">StateModDepletions_ThisScenario!AJ73</f>
        <v>153360.52568725933</v>
      </c>
      <c r="BR83" s="321">
        <f ca="1">StateModDepletions_ThisScenario!Z73</f>
        <v>249572.9455909729</v>
      </c>
      <c r="BS83" s="321">
        <f ca="1">StateModDepletions_ThisScenario!AA73</f>
        <v>96000.306340980635</v>
      </c>
      <c r="BT83" s="286">
        <f>AnnualDepletions!$BG75</f>
        <v>12296.800000006155</v>
      </c>
      <c r="BV83" s="287">
        <f t="shared" ca="1" si="104"/>
        <v>899562.17821886507</v>
      </c>
      <c r="BW83" s="287">
        <f t="shared" ca="1" si="105"/>
        <v>803561.87187788449</v>
      </c>
      <c r="BX83" s="287">
        <f t="shared" ca="1" si="92"/>
        <v>818436.87187788449</v>
      </c>
      <c r="BY83" s="287">
        <f>SJRIPSummaryRAW!$B$79</f>
        <v>14875</v>
      </c>
      <c r="CC83" s="282">
        <v>1996</v>
      </c>
      <c r="CD83" s="286">
        <f>AnnualAggregations!K75</f>
        <v>271002.65592718206</v>
      </c>
      <c r="CE83" s="442" t="s">
        <v>597</v>
      </c>
      <c r="CF83" s="286">
        <f>AnnualDeplReqs!$AM75</f>
        <v>12100.000000000007</v>
      </c>
      <c r="CG83" s="286">
        <f>AnnualDeplReqs!$AK75</f>
        <v>7970.0000000000045</v>
      </c>
      <c r="CH83" s="286">
        <f>AnnualDeplReqs!$L75</f>
        <v>899.99999999999898</v>
      </c>
      <c r="CI83" s="443">
        <f t="shared" si="106"/>
        <v>296525.5177234658</v>
      </c>
      <c r="CJ83" s="286">
        <f>AnnualDeplReqs!$AO75</f>
        <v>1297.9999999998495</v>
      </c>
      <c r="CK83" s="286">
        <f>AnnualDeplReqs!$AY75</f>
        <v>1985.9999999997713</v>
      </c>
      <c r="CL83" s="286">
        <f>AnnualAggregations!$N75</f>
        <v>35429.874302776414</v>
      </c>
      <c r="CM83" s="286">
        <f>AnnualAggregations!$O75</f>
        <v>13248.999999998479</v>
      </c>
      <c r="CN83" s="286">
        <f>AnnualAggregations!$P75</f>
        <v>14358.999999998352</v>
      </c>
      <c r="CO83" s="286">
        <f>AnnualDeplReqs!$AL75</f>
        <v>12141.999999998601</v>
      </c>
      <c r="CP83" s="286">
        <f>AnnualDeplReqs!$AG75</f>
        <v>10336.999999998805</v>
      </c>
      <c r="CQ83" s="286">
        <f>AnnualDeplReqs!$AN75</f>
        <v>3468.9999999995989</v>
      </c>
      <c r="CR83" s="287">
        <f t="shared" si="107"/>
        <v>90971.874302770026</v>
      </c>
      <c r="CS83" s="287">
        <f t="shared" si="108"/>
        <v>388795.39202623564</v>
      </c>
      <c r="CT83" s="286">
        <f>AnnualDeplReqs!$AP75</f>
        <v>340.98999999997511</v>
      </c>
      <c r="CU83" s="442" t="s">
        <v>597</v>
      </c>
      <c r="CV83" s="286">
        <f>AnnualDeplReqs!$AJ75</f>
        <v>38999.999998983862</v>
      </c>
      <c r="CW83" s="286">
        <f>AnnualDeplReqs!$BC75</f>
        <v>16199.999998970494</v>
      </c>
      <c r="CX83" s="286">
        <f>AnnualDeplReqs!$J75</f>
        <v>2499.9900000012672</v>
      </c>
      <c r="CY83" s="286">
        <f>AnnualAggregations!$Q75</f>
        <v>11624.990000001573</v>
      </c>
      <c r="CZ83" s="287">
        <f t="shared" si="109"/>
        <v>69665.969997957174</v>
      </c>
      <c r="DA83" s="443">
        <f t="shared" si="110"/>
        <v>96182.824227876859</v>
      </c>
      <c r="DB83" s="287">
        <f t="shared" si="111"/>
        <v>484978.21625411249</v>
      </c>
      <c r="DD83" s="440" t="s">
        <v>628</v>
      </c>
      <c r="DE83" s="440" t="s">
        <v>628</v>
      </c>
      <c r="DF83" s="440" t="s">
        <v>628</v>
      </c>
      <c r="DG83" s="440" t="s">
        <v>628</v>
      </c>
      <c r="DH83" s="440" t="s">
        <v>628</v>
      </c>
      <c r="DI83" s="440" t="s">
        <v>628</v>
      </c>
      <c r="DJ83" s="440" t="s">
        <v>628</v>
      </c>
      <c r="DK83" s="440" t="s">
        <v>628</v>
      </c>
      <c r="DL83" s="440" t="s">
        <v>628</v>
      </c>
      <c r="DM83" s="440" t="s">
        <v>628</v>
      </c>
      <c r="DN83" s="440" t="s">
        <v>628</v>
      </c>
      <c r="DO83" s="440" t="s">
        <v>628</v>
      </c>
      <c r="DP83" s="440" t="s">
        <v>628</v>
      </c>
      <c r="DR83" s="440" t="s">
        <v>628</v>
      </c>
      <c r="DT83" s="286">
        <f>AnnualAggregations!$L75</f>
        <v>35893.000000000073</v>
      </c>
      <c r="DU83" s="443">
        <f>AnnualAggregations!$J75</f>
        <v>57406.636918204662</v>
      </c>
      <c r="DV83" s="442" t="s">
        <v>597</v>
      </c>
      <c r="DW83" s="286">
        <f>AnnualAggregations!$M75</f>
        <v>5000.0000000019463</v>
      </c>
      <c r="DX83" s="442" t="s">
        <v>597</v>
      </c>
      <c r="DY83" s="440" t="s">
        <v>628</v>
      </c>
      <c r="DZ83" s="440" t="s">
        <v>628</v>
      </c>
      <c r="EA83" s="440" t="s">
        <v>628</v>
      </c>
      <c r="EB83" s="440" t="s">
        <v>628</v>
      </c>
      <c r="EC83" s="286">
        <f>AnnualDeplReqs!$BG75</f>
        <v>12296.800000006155</v>
      </c>
      <c r="EE83" s="440" t="s">
        <v>628</v>
      </c>
      <c r="EF83" s="440" t="s">
        <v>628</v>
      </c>
      <c r="EG83" s="440" t="s">
        <v>628</v>
      </c>
      <c r="EH83" s="442" t="s">
        <v>597</v>
      </c>
      <c r="EL83" s="282">
        <v>1996</v>
      </c>
      <c r="EM83" s="286">
        <f>AnnualAggregations!S75</f>
        <v>338753.31990897848</v>
      </c>
      <c r="EN83" s="442" t="s">
        <v>597</v>
      </c>
      <c r="EO83" s="286">
        <f>AnnualDiversions!$AM75</f>
        <v>24160.880683189982</v>
      </c>
      <c r="EP83" s="286">
        <f>AnnualDiversions!$AK75</f>
        <v>15864.246446422736</v>
      </c>
      <c r="EQ83" s="286">
        <f>AnnualDiversions!$L75</f>
        <v>1799.999999999998</v>
      </c>
      <c r="ER83" s="287">
        <f t="shared" si="112"/>
        <v>380578.44703859114</v>
      </c>
      <c r="ES83" s="286">
        <f>AnnualDiversions!$AO75</f>
        <v>2595.999999999699</v>
      </c>
      <c r="ET83" s="286">
        <f>AnnualDiversions!$AY75</f>
        <v>3594.5701357461944</v>
      </c>
      <c r="EU83" s="286">
        <f>AnnualAggregations!$V75</f>
        <v>59480.722040258079</v>
      </c>
      <c r="EV83" s="286">
        <f>AnnualAggregations!$W75</f>
        <v>4011.669496617008</v>
      </c>
      <c r="EW83" s="286">
        <f>AnnualAggregations!$X75</f>
        <v>22009.301182102739</v>
      </c>
      <c r="EX83" s="286">
        <f>AnnualDiversions!$AL75</f>
        <v>14403.32147093546</v>
      </c>
      <c r="EY83" s="286">
        <f>AnnualDiversions!$AG75</f>
        <v>18507.356381816106</v>
      </c>
      <c r="EZ83" s="286">
        <f>AnnualDiversions!$AN75</f>
        <v>6522.5157469203714</v>
      </c>
      <c r="FA83" s="287">
        <f t="shared" si="113"/>
        <v>128529.45645439596</v>
      </c>
      <c r="FB83" s="287">
        <f t="shared" si="114"/>
        <v>511703.90349298681</v>
      </c>
      <c r="FC83" s="286">
        <f>AnnualDiversions!$AP75</f>
        <v>378.87777777775057</v>
      </c>
      <c r="FD83" s="442" t="s">
        <v>597</v>
      </c>
      <c r="FE83" s="286">
        <f>AnnualDiversions!$AJ75</f>
        <v>38999.999998983862</v>
      </c>
      <c r="FF83" s="286">
        <f>AnnualDiversions!$BC75</f>
        <v>16199.999998970494</v>
      </c>
      <c r="FG83" s="286">
        <f>AnnualDiversions!$J75</f>
        <v>4166.6500000021233</v>
      </c>
      <c r="FH83" s="286">
        <f>AnnualAggregations!$Y75</f>
        <v>19374.983333335967</v>
      </c>
      <c r="FI83" s="287">
        <f t="shared" si="115"/>
        <v>79120.511109070212</v>
      </c>
      <c r="FJ83" s="287">
        <f t="shared" si="116"/>
        <v>79120.511109070198</v>
      </c>
      <c r="FK83" s="287">
        <f t="shared" si="117"/>
        <v>590824.41460205696</v>
      </c>
      <c r="FM83" s="440" t="s">
        <v>628</v>
      </c>
      <c r="FN83" s="440" t="s">
        <v>628</v>
      </c>
      <c r="FO83" s="440" t="s">
        <v>628</v>
      </c>
      <c r="FP83" s="440" t="s">
        <v>628</v>
      </c>
      <c r="FQ83" s="440" t="s">
        <v>628</v>
      </c>
      <c r="FR83" s="440" t="s">
        <v>628</v>
      </c>
      <c r="FS83" s="440" t="s">
        <v>628</v>
      </c>
      <c r="FT83" s="440" t="s">
        <v>628</v>
      </c>
      <c r="FU83" s="440" t="s">
        <v>628</v>
      </c>
      <c r="FV83" s="440" t="s">
        <v>628</v>
      </c>
      <c r="FW83" s="440" t="s">
        <v>628</v>
      </c>
      <c r="FX83" s="440" t="s">
        <v>628</v>
      </c>
      <c r="FY83" s="440" t="s">
        <v>628</v>
      </c>
      <c r="GA83" s="440" t="s">
        <v>628</v>
      </c>
      <c r="GC83" s="286">
        <f>AnnualAggregations!$T75</f>
        <v>37763.476493275419</v>
      </c>
      <c r="GD83" s="286">
        <f>AnnualAggregations!$R75</f>
        <v>109067.13000005134</v>
      </c>
      <c r="GE83" s="443">
        <f t="shared" si="118"/>
        <v>59541.469650366664</v>
      </c>
      <c r="GF83" s="286">
        <f>AnnualAggregations!$U75</f>
        <v>5000.0000000019463</v>
      </c>
      <c r="GG83" s="287">
        <f t="shared" si="119"/>
        <v>211372.07614369539</v>
      </c>
      <c r="GH83" s="440" t="s">
        <v>628</v>
      </c>
      <c r="GI83" s="440" t="s">
        <v>628</v>
      </c>
      <c r="GJ83" s="440" t="s">
        <v>628</v>
      </c>
      <c r="GK83" s="440" t="s">
        <v>628</v>
      </c>
      <c r="GL83" s="286">
        <f>AnnualDiversions!$BG75</f>
        <v>12296.800000006155</v>
      </c>
      <c r="GN83" s="440" t="s">
        <v>628</v>
      </c>
      <c r="GO83" s="440" t="s">
        <v>628</v>
      </c>
      <c r="GP83" s="440" t="s">
        <v>628</v>
      </c>
      <c r="GQ83" s="442" t="s">
        <v>597</v>
      </c>
      <c r="GU83" s="282">
        <v>1996</v>
      </c>
      <c r="GV83" s="286">
        <f>AnnualAggregations!AA75</f>
        <v>338753.31990897848</v>
      </c>
      <c r="GW83" s="442" t="s">
        <v>597</v>
      </c>
      <c r="GX83" s="286">
        <f>AnnualDivReqs!$AM75</f>
        <v>24160.880683189982</v>
      </c>
      <c r="GY83" s="286">
        <f>AnnualDivReqs!$AK75</f>
        <v>15864.246446422736</v>
      </c>
      <c r="GZ83" s="286">
        <f>AnnualDivReqs!$L75</f>
        <v>1799.999999999998</v>
      </c>
      <c r="HA83" s="287">
        <f t="shared" si="120"/>
        <v>380578.44703859114</v>
      </c>
      <c r="HB83" s="286">
        <f>AnnualDivReqs!$AO75</f>
        <v>2595.999999999699</v>
      </c>
      <c r="HC83" s="286">
        <f>AnnualDivReqs!$AY75</f>
        <v>3594.5701357461944</v>
      </c>
      <c r="HD83" s="286">
        <f>AnnualAggregations!$AD75</f>
        <v>59480.722040258079</v>
      </c>
      <c r="HE83" s="286">
        <f>AnnualAggregations!$AE75</f>
        <v>23728.507522621701</v>
      </c>
      <c r="HF83" s="286">
        <f>AnnualAggregations!$AF75</f>
        <v>22009.301182102739</v>
      </c>
      <c r="HG83" s="286">
        <f>AnnualDivReqs!$AL75</f>
        <v>14403.32147093546</v>
      </c>
      <c r="HH83" s="286">
        <f>AnnualDivReqs!$AG75</f>
        <v>19590.637733343709</v>
      </c>
      <c r="HI83" s="286">
        <f>AnnualDivReqs!$AN75</f>
        <v>6522.5157469203714</v>
      </c>
      <c r="HJ83" s="287">
        <f t="shared" si="121"/>
        <v>149329.57583192826</v>
      </c>
      <c r="HK83" s="287">
        <f t="shared" si="122"/>
        <v>532504.02287051908</v>
      </c>
      <c r="HL83" s="286">
        <f>AnnualDivReqs!$AP75</f>
        <v>378.87777777775057</v>
      </c>
      <c r="HM83" s="442" t="s">
        <v>597</v>
      </c>
      <c r="HN83" s="286">
        <f>AnnualDivReqs!$AJ75</f>
        <v>38999.999998983862</v>
      </c>
      <c r="HO83" s="286">
        <f>AnnualDivReqs!$BC75</f>
        <v>16199.999998970494</v>
      </c>
      <c r="HP83" s="286">
        <f>AnnualDivReqs!$J75</f>
        <v>4166.6500000021233</v>
      </c>
      <c r="HQ83" s="286">
        <f>AnnualAggregations!$AG75</f>
        <v>19374.983333335967</v>
      </c>
      <c r="HR83" s="287">
        <f t="shared" si="123"/>
        <v>79120.511109070212</v>
      </c>
      <c r="HS83" s="287">
        <f t="shared" si="124"/>
        <v>79120.511109070198</v>
      </c>
      <c r="HT83" s="287">
        <f t="shared" si="125"/>
        <v>611624.53397958924</v>
      </c>
      <c r="HV83" s="440" t="s">
        <v>628</v>
      </c>
      <c r="HW83" s="440" t="s">
        <v>628</v>
      </c>
      <c r="HX83" s="440" t="s">
        <v>628</v>
      </c>
      <c r="HY83" s="440" t="s">
        <v>628</v>
      </c>
      <c r="HZ83" s="440" t="s">
        <v>628</v>
      </c>
      <c r="IA83" s="440" t="s">
        <v>628</v>
      </c>
      <c r="IB83" s="440" t="s">
        <v>628</v>
      </c>
      <c r="IC83" s="440" t="s">
        <v>628</v>
      </c>
      <c r="ID83" s="440" t="s">
        <v>628</v>
      </c>
      <c r="IE83" s="440" t="s">
        <v>628</v>
      </c>
      <c r="IF83" s="440" t="s">
        <v>628</v>
      </c>
      <c r="IG83" s="440" t="s">
        <v>628</v>
      </c>
      <c r="IH83" s="440" t="s">
        <v>628</v>
      </c>
      <c r="IJ83" s="440" t="s">
        <v>628</v>
      </c>
      <c r="IL83" s="286">
        <f>AnnualAggregations!$AB75</f>
        <v>37763.476493275448</v>
      </c>
      <c r="IM83" s="286">
        <f>AnnualAggregations!$Z75</f>
        <v>109650.93152693348</v>
      </c>
      <c r="IN83" s="442" t="s">
        <v>597</v>
      </c>
      <c r="IO83" s="286">
        <f>AnnualAggregations!$AC75</f>
        <v>5000.0000000019463</v>
      </c>
      <c r="IP83" s="442" t="s">
        <v>597</v>
      </c>
      <c r="IQ83" s="440" t="s">
        <v>628</v>
      </c>
      <c r="IR83" s="440" t="s">
        <v>628</v>
      </c>
      <c r="IS83" s="440" t="s">
        <v>628</v>
      </c>
      <c r="IT83" s="440" t="s">
        <v>628</v>
      </c>
      <c r="IU83" s="286">
        <f>AnnualDivReqs!$BG75</f>
        <v>12296.800000006155</v>
      </c>
      <c r="IW83" s="440" t="s">
        <v>628</v>
      </c>
      <c r="IX83" s="440" t="s">
        <v>628</v>
      </c>
      <c r="IY83" s="440" t="s">
        <v>628</v>
      </c>
      <c r="IZ83" s="442" t="s">
        <v>597</v>
      </c>
    </row>
    <row r="84" spans="20:260" x14ac:dyDescent="0.25">
      <c r="T84" s="282">
        <v>1997</v>
      </c>
      <c r="U84" s="286">
        <f>AnnualAggregations!$C76</f>
        <v>227653.14554067893</v>
      </c>
      <c r="V84" s="286">
        <f>AnnualDepletions!$BI76</f>
        <v>-3981.3909111008579</v>
      </c>
      <c r="W84" s="286">
        <f>AnnualDepletions!$AM76</f>
        <v>12099.999999999995</v>
      </c>
      <c r="X84" s="286">
        <f>AnnualDepletions!$AK76</f>
        <v>7969.9999999999973</v>
      </c>
      <c r="Y84" s="286">
        <f>AnnualDepletions!$L76</f>
        <v>900.00000000000011</v>
      </c>
      <c r="Z84" s="287">
        <f t="shared" si="93"/>
        <v>244641.75462957806</v>
      </c>
      <c r="AA84" s="286">
        <f>AnnualDepletions!$AO76</f>
        <v>1004.9999999998837</v>
      </c>
      <c r="AB84" s="286">
        <f>AnnualDepletions!$AY76</f>
        <v>1603.9999999998165</v>
      </c>
      <c r="AC84" s="286">
        <f>AnnualAggregations!$F76</f>
        <v>27790.999999996806</v>
      </c>
      <c r="AD84" s="286">
        <f>AnnualAggregations!$G76</f>
        <v>7895.0478939140985</v>
      </c>
      <c r="AE84" s="286">
        <f>AnnualAggregations!$H76</f>
        <v>11401.999999998692</v>
      </c>
      <c r="AF84" s="286">
        <f>AnnualDepletions!$AL76</f>
        <v>9570.9999999988995</v>
      </c>
      <c r="AG84" s="286">
        <f>AnnualDepletions!$AG76</f>
        <v>8870.9999999989705</v>
      </c>
      <c r="AH84" s="286">
        <f>AnnualDepletions!$AN76</f>
        <v>2984.9999999996553</v>
      </c>
      <c r="AI84" s="287">
        <f t="shared" si="94"/>
        <v>70119.047893906929</v>
      </c>
      <c r="AJ84" s="287">
        <f t="shared" si="95"/>
        <v>315765.80252348486</v>
      </c>
      <c r="AK84" s="286">
        <f>AnnualDepletions!$AP76</f>
        <v>340.98999999997505</v>
      </c>
      <c r="AL84" s="286">
        <f>AnnualDepletions!$BH76</f>
        <v>25462.406007032168</v>
      </c>
      <c r="AM84" s="286">
        <f>AnnualDepletions!$AJ76</f>
        <v>38999.999998983854</v>
      </c>
      <c r="AN84" s="286">
        <f>AnnualDepletions!$BC76</f>
        <v>16199.99999897049</v>
      </c>
      <c r="AO84" s="286">
        <f>AnnualDepletions!$J76</f>
        <v>2499.9900000012672</v>
      </c>
      <c r="AP84" s="286">
        <f>AnnualAggregations!$I76</f>
        <v>11624.990000001573</v>
      </c>
      <c r="AQ84" s="287">
        <f t="shared" si="96"/>
        <v>69665.96999795716</v>
      </c>
      <c r="AR84" s="287">
        <f t="shared" si="97"/>
        <v>95128.376004989346</v>
      </c>
      <c r="AS84" s="287">
        <f t="shared" si="98"/>
        <v>410894.17852847418</v>
      </c>
      <c r="AU84" s="321">
        <f ca="1">StateModDepletions_ThisScenario!AC74</f>
        <v>26185.443499982357</v>
      </c>
      <c r="AV84" s="321">
        <f ca="1">StateModDepletions_ThisScenario!AD74</f>
        <v>14750.864071071148</v>
      </c>
      <c r="AW84" s="321">
        <f ca="1">StateModDepletions_ThisScenario!AE74</f>
        <v>105950.0209120959</v>
      </c>
      <c r="AX84" s="321">
        <f ca="1">StateModDepletions_ThisScenario!AB74</f>
        <v>24765.810481309891</v>
      </c>
      <c r="AY84" s="288">
        <f t="shared" ca="1" si="99"/>
        <v>171652.1389644593</v>
      </c>
      <c r="AZ84" s="321">
        <f ca="1">StateModDepletions_ThisScenario!AG74</f>
        <v>45345.663845403571</v>
      </c>
      <c r="BA84" s="321">
        <f ca="1">StateModDepletions_ThisScenario!AF74</f>
        <v>18166.549132131022</v>
      </c>
      <c r="BB84" s="321">
        <f ca="1">StateModDepletions_ThisScenario!AH74</f>
        <v>23129.029499992728</v>
      </c>
      <c r="BC84" s="321">
        <f ca="1">StateModDepletions_ThisScenario!AI74</f>
        <v>24586.673842687014</v>
      </c>
      <c r="BD84" s="321">
        <f ca="1">StateModDepletions_ThisScenario!N74</f>
        <v>1326.6977829933167</v>
      </c>
      <c r="BE84" s="321">
        <f ca="1">StateModDepletions_ThisScenario!V74</f>
        <v>16793.071511268616</v>
      </c>
      <c r="BF84" s="288">
        <f t="shared" ca="1" si="100"/>
        <v>129347.68561447627</v>
      </c>
      <c r="BG84" s="288">
        <f t="shared" ca="1" si="101"/>
        <v>300999.82457893557</v>
      </c>
      <c r="BI84" s="288">
        <f t="shared" ca="1" si="102"/>
        <v>711894.00310740969</v>
      </c>
      <c r="BK84" s="286">
        <f>AnnualAggregations!$D76</f>
        <v>35893.000000000044</v>
      </c>
      <c r="BL84" s="286">
        <f>AnnualAggregations!$B76</f>
        <v>57174.024543631749</v>
      </c>
      <c r="BM84" s="286">
        <f>AnnualDepletions!$BK76</f>
        <v>158331.02457244843</v>
      </c>
      <c r="BN84" s="286">
        <f>AnnualAggregations!$E76</f>
        <v>5000.0000000019172</v>
      </c>
      <c r="BO84" s="287">
        <f t="shared" si="103"/>
        <v>256398.04911608214</v>
      </c>
      <c r="BP84" s="321">
        <f ca="1">StateModDepletions_ThisScenario!Y74</f>
        <v>212.11356273293495</v>
      </c>
      <c r="BQ84" s="321">
        <f ca="1">StateModDepletions_ThisScenario!AJ74</f>
        <v>140715.68216789371</v>
      </c>
      <c r="BR84" s="321">
        <f ca="1">StateModDepletions_ThisScenario!Z74</f>
        <v>199579.09180855751</v>
      </c>
      <c r="BS84" s="321">
        <f ca="1">StateModDepletions_ThisScenario!AA74</f>
        <v>58651.296077930856</v>
      </c>
      <c r="BT84" s="286">
        <f>AnnualDepletions!$BG76</f>
        <v>12296.800000006155</v>
      </c>
      <c r="BV84" s="287">
        <f t="shared" ca="1" si="104"/>
        <v>980588.85222349805</v>
      </c>
      <c r="BW84" s="287">
        <f t="shared" ca="1" si="105"/>
        <v>921937.55614556721</v>
      </c>
      <c r="BX84" s="287">
        <f t="shared" ca="1" si="92"/>
        <v>936812.55614556721</v>
      </c>
      <c r="BY84" s="287">
        <f>SJRIPSummaryRAW!$B$79</f>
        <v>14875</v>
      </c>
      <c r="CC84" s="282">
        <v>1997</v>
      </c>
      <c r="CD84" s="286">
        <f>AnnualAggregations!K76</f>
        <v>227653.14554067893</v>
      </c>
      <c r="CE84" s="442" t="s">
        <v>597</v>
      </c>
      <c r="CF84" s="286">
        <f>AnnualDeplReqs!$AM76</f>
        <v>12099.999999999995</v>
      </c>
      <c r="CG84" s="286">
        <f>AnnualDeplReqs!$AK76</f>
        <v>7969.9999999999973</v>
      </c>
      <c r="CH84" s="286">
        <f>AnnualDeplReqs!$L76</f>
        <v>900.00000000000011</v>
      </c>
      <c r="CI84" s="443">
        <f t="shared" si="106"/>
        <v>244641.75462957806</v>
      </c>
      <c r="CJ84" s="286">
        <f>AnnualDeplReqs!$AO76</f>
        <v>1004.9999999998837</v>
      </c>
      <c r="CK84" s="286">
        <f>AnnualDeplReqs!$AY76</f>
        <v>1603.9999999998165</v>
      </c>
      <c r="CL84" s="286">
        <f>AnnualAggregations!$N76</f>
        <v>27790.999999996806</v>
      </c>
      <c r="CM84" s="286">
        <f>AnnualAggregations!$O76</f>
        <v>10103.999999998843</v>
      </c>
      <c r="CN84" s="286">
        <f>AnnualAggregations!$P76</f>
        <v>11401.999999998692</v>
      </c>
      <c r="CO84" s="286">
        <f>AnnualDeplReqs!$AL76</f>
        <v>9570.9999999988995</v>
      </c>
      <c r="CP84" s="286">
        <f>AnnualDeplReqs!$AG76</f>
        <v>8870.9999999989705</v>
      </c>
      <c r="CQ84" s="286">
        <f>AnnualDeplReqs!$AN76</f>
        <v>2984.9999999996553</v>
      </c>
      <c r="CR84" s="287">
        <f t="shared" si="107"/>
        <v>72327.999999991676</v>
      </c>
      <c r="CS84" s="287">
        <f t="shared" si="108"/>
        <v>317974.75462956959</v>
      </c>
      <c r="CT84" s="286">
        <f>AnnualDeplReqs!$AP76</f>
        <v>340.98999999997505</v>
      </c>
      <c r="CU84" s="442" t="s">
        <v>597</v>
      </c>
      <c r="CV84" s="286">
        <f>AnnualDeplReqs!$AJ76</f>
        <v>38999.999998983854</v>
      </c>
      <c r="CW84" s="286">
        <f>AnnualDeplReqs!$BC76</f>
        <v>16199.99999897049</v>
      </c>
      <c r="CX84" s="286">
        <f>AnnualDeplReqs!$J76</f>
        <v>2499.9900000012672</v>
      </c>
      <c r="CY84" s="286">
        <f>AnnualAggregations!$Q76</f>
        <v>11624.990000001573</v>
      </c>
      <c r="CZ84" s="287">
        <f t="shared" si="109"/>
        <v>69665.96999795716</v>
      </c>
      <c r="DA84" s="443">
        <f t="shared" si="110"/>
        <v>95128.376004989332</v>
      </c>
      <c r="DB84" s="287">
        <f t="shared" si="111"/>
        <v>413103.13063455891</v>
      </c>
      <c r="DD84" s="440" t="s">
        <v>628</v>
      </c>
      <c r="DE84" s="440" t="s">
        <v>628</v>
      </c>
      <c r="DF84" s="440" t="s">
        <v>628</v>
      </c>
      <c r="DG84" s="440" t="s">
        <v>628</v>
      </c>
      <c r="DH84" s="440" t="s">
        <v>628</v>
      </c>
      <c r="DI84" s="440" t="s">
        <v>628</v>
      </c>
      <c r="DJ84" s="440" t="s">
        <v>628</v>
      </c>
      <c r="DK84" s="440" t="s">
        <v>628</v>
      </c>
      <c r="DL84" s="440" t="s">
        <v>628</v>
      </c>
      <c r="DM84" s="440" t="s">
        <v>628</v>
      </c>
      <c r="DN84" s="440" t="s">
        <v>628</v>
      </c>
      <c r="DO84" s="440" t="s">
        <v>628</v>
      </c>
      <c r="DP84" s="440" t="s">
        <v>628</v>
      </c>
      <c r="DR84" s="440" t="s">
        <v>628</v>
      </c>
      <c r="DT84" s="286">
        <f>AnnualAggregations!$L76</f>
        <v>35893.000000000073</v>
      </c>
      <c r="DU84" s="443">
        <f>AnnualAggregations!$J76</f>
        <v>57174.024543631749</v>
      </c>
      <c r="DV84" s="442" t="s">
        <v>597</v>
      </c>
      <c r="DW84" s="286">
        <f>AnnualAggregations!$M76</f>
        <v>5000.0000000019172</v>
      </c>
      <c r="DX84" s="442" t="s">
        <v>597</v>
      </c>
      <c r="DY84" s="440" t="s">
        <v>628</v>
      </c>
      <c r="DZ84" s="440" t="s">
        <v>628</v>
      </c>
      <c r="EA84" s="440" t="s">
        <v>628</v>
      </c>
      <c r="EB84" s="440" t="s">
        <v>628</v>
      </c>
      <c r="EC84" s="286">
        <f>AnnualDeplReqs!$BG76</f>
        <v>12296.800000006155</v>
      </c>
      <c r="EE84" s="440" t="s">
        <v>628</v>
      </c>
      <c r="EF84" s="440" t="s">
        <v>628</v>
      </c>
      <c r="EG84" s="440" t="s">
        <v>628</v>
      </c>
      <c r="EH84" s="442" t="s">
        <v>597</v>
      </c>
      <c r="EL84" s="282">
        <v>1997</v>
      </c>
      <c r="EM84" s="286">
        <f>AnnualAggregations!S76</f>
        <v>284566.43192585016</v>
      </c>
      <c r="EN84" s="442" t="s">
        <v>597</v>
      </c>
      <c r="EO84" s="286">
        <f>AnnualDiversions!$AM76</f>
        <v>24160.880683190011</v>
      </c>
      <c r="EP84" s="286">
        <f>AnnualDiversions!$AK76</f>
        <v>15864.246446422741</v>
      </c>
      <c r="EQ84" s="286">
        <f>AnnualDiversions!$L76</f>
        <v>1800.0000000000002</v>
      </c>
      <c r="ER84" s="287">
        <f t="shared" si="112"/>
        <v>326391.55905546295</v>
      </c>
      <c r="ES84" s="286">
        <f>AnnualDiversions!$AO76</f>
        <v>2009.9999999997674</v>
      </c>
      <c r="ET84" s="286">
        <f>AnnualDiversions!$AY76</f>
        <v>2903.1674208141444</v>
      </c>
      <c r="EU84" s="286">
        <f>AnnualAggregations!$V76</f>
        <v>46649.84077557682</v>
      </c>
      <c r="EV84" s="286">
        <f>AnnualAggregations!$W76</f>
        <v>15273.230394185501</v>
      </c>
      <c r="EW84" s="286">
        <f>AnnualAggregations!$X76</f>
        <v>17475.616005041848</v>
      </c>
      <c r="EX84" s="286">
        <f>AnnualDiversions!$AL76</f>
        <v>11353.499406878886</v>
      </c>
      <c r="EY84" s="286">
        <f>AnnualDiversions!$AG76</f>
        <v>16812.280867997677</v>
      </c>
      <c r="EZ84" s="286">
        <f>AnnualDiversions!$AN76</f>
        <v>5612.4847231355761</v>
      </c>
      <c r="FA84" s="287">
        <f t="shared" si="113"/>
        <v>116080.11959363044</v>
      </c>
      <c r="FB84" s="287">
        <f t="shared" si="114"/>
        <v>444481.67864909314</v>
      </c>
      <c r="FC84" s="286">
        <f>AnnualDiversions!$AP76</f>
        <v>378.87777777775057</v>
      </c>
      <c r="FD84" s="442" t="s">
        <v>597</v>
      </c>
      <c r="FE84" s="286">
        <f>AnnualDiversions!$AJ76</f>
        <v>38999.999998983854</v>
      </c>
      <c r="FF84" s="286">
        <f>AnnualDiversions!$BC76</f>
        <v>16199.99999897049</v>
      </c>
      <c r="FG84" s="286">
        <f>AnnualDiversions!$J76</f>
        <v>4166.6500000021233</v>
      </c>
      <c r="FH84" s="286">
        <f>AnnualAggregations!$Y76</f>
        <v>19374.983333335964</v>
      </c>
      <c r="FI84" s="287">
        <f t="shared" si="115"/>
        <v>79120.511109070183</v>
      </c>
      <c r="FJ84" s="287">
        <f t="shared" si="116"/>
        <v>79120.511109070183</v>
      </c>
      <c r="FK84" s="287">
        <f t="shared" si="117"/>
        <v>523602.18975816329</v>
      </c>
      <c r="FM84" s="440" t="s">
        <v>628</v>
      </c>
      <c r="FN84" s="440" t="s">
        <v>628</v>
      </c>
      <c r="FO84" s="440" t="s">
        <v>628</v>
      </c>
      <c r="FP84" s="440" t="s">
        <v>628</v>
      </c>
      <c r="FQ84" s="440" t="s">
        <v>628</v>
      </c>
      <c r="FR84" s="440" t="s">
        <v>628</v>
      </c>
      <c r="FS84" s="440" t="s">
        <v>628</v>
      </c>
      <c r="FT84" s="440" t="s">
        <v>628</v>
      </c>
      <c r="FU84" s="440" t="s">
        <v>628</v>
      </c>
      <c r="FV84" s="440" t="s">
        <v>628</v>
      </c>
      <c r="FW84" s="440" t="s">
        <v>628</v>
      </c>
      <c r="FX84" s="440" t="s">
        <v>628</v>
      </c>
      <c r="FY84" s="440" t="s">
        <v>628</v>
      </c>
      <c r="GA84" s="440" t="s">
        <v>628</v>
      </c>
      <c r="GC84" s="286">
        <f>AnnualAggregations!$T76</f>
        <v>37764.238566617605</v>
      </c>
      <c r="GD84" s="286">
        <f>AnnualAggregations!$R76</f>
        <v>109067.13000005133</v>
      </c>
      <c r="GE84" s="443">
        <f t="shared" si="118"/>
        <v>158331.02457244843</v>
      </c>
      <c r="GF84" s="286">
        <f>AnnualAggregations!$U76</f>
        <v>5000.0000000019172</v>
      </c>
      <c r="GG84" s="287">
        <f t="shared" si="119"/>
        <v>310162.39313911932</v>
      </c>
      <c r="GH84" s="440" t="s">
        <v>628</v>
      </c>
      <c r="GI84" s="440" t="s">
        <v>628</v>
      </c>
      <c r="GJ84" s="440" t="s">
        <v>628</v>
      </c>
      <c r="GK84" s="440" t="s">
        <v>628</v>
      </c>
      <c r="GL84" s="286">
        <f>AnnualDiversions!$BG76</f>
        <v>12296.800000006155</v>
      </c>
      <c r="GN84" s="440" t="s">
        <v>628</v>
      </c>
      <c r="GO84" s="440" t="s">
        <v>628</v>
      </c>
      <c r="GP84" s="440" t="s">
        <v>628</v>
      </c>
      <c r="GQ84" s="442" t="s">
        <v>597</v>
      </c>
      <c r="GU84" s="282">
        <v>1997</v>
      </c>
      <c r="GV84" s="286">
        <f>AnnualAggregations!AA76</f>
        <v>284566.43192585016</v>
      </c>
      <c r="GW84" s="442" t="s">
        <v>597</v>
      </c>
      <c r="GX84" s="286">
        <f>AnnualDivReqs!$AM76</f>
        <v>24160.880683190011</v>
      </c>
      <c r="GY84" s="286">
        <f>AnnualDivReqs!$AK76</f>
        <v>15864.246446422741</v>
      </c>
      <c r="GZ84" s="286">
        <f>AnnualDivReqs!$L76</f>
        <v>1800.0000000000002</v>
      </c>
      <c r="HA84" s="287">
        <f t="shared" si="120"/>
        <v>326391.55905546295</v>
      </c>
      <c r="HB84" s="286">
        <f>AnnualDivReqs!$AO76</f>
        <v>2009.9999999997674</v>
      </c>
      <c r="HC84" s="286">
        <f>AnnualDivReqs!$AY76</f>
        <v>2903.1674208141444</v>
      </c>
      <c r="HD84" s="286">
        <f>AnnualAggregations!$AD76</f>
        <v>46649.84077557682</v>
      </c>
      <c r="HE84" s="286">
        <f>AnnualAggregations!$AE76</f>
        <v>18095.439771043842</v>
      </c>
      <c r="HF84" s="286">
        <f>AnnualAggregations!$AF76</f>
        <v>17475.616005041848</v>
      </c>
      <c r="HG84" s="286">
        <f>AnnualDivReqs!$AL76</f>
        <v>11353.499406878886</v>
      </c>
      <c r="HH84" s="286">
        <f>AnnualDivReqs!$AG76</f>
        <v>16812.280867997677</v>
      </c>
      <c r="HI84" s="286">
        <f>AnnualDivReqs!$AN76</f>
        <v>5612.4847231355761</v>
      </c>
      <c r="HJ84" s="287">
        <f t="shared" si="121"/>
        <v>118902.32897048877</v>
      </c>
      <c r="HK84" s="287">
        <f t="shared" si="122"/>
        <v>447303.88802595146</v>
      </c>
      <c r="HL84" s="286">
        <f>AnnualDivReqs!$AP76</f>
        <v>378.87777777775057</v>
      </c>
      <c r="HM84" s="442" t="s">
        <v>597</v>
      </c>
      <c r="HN84" s="286">
        <f>AnnualDivReqs!$AJ76</f>
        <v>38999.999998983854</v>
      </c>
      <c r="HO84" s="286">
        <f>AnnualDivReqs!$BC76</f>
        <v>16199.99999897049</v>
      </c>
      <c r="HP84" s="286">
        <f>AnnualDivReqs!$J76</f>
        <v>4166.6500000021233</v>
      </c>
      <c r="HQ84" s="286">
        <f>AnnualAggregations!$AG76</f>
        <v>19374.983333335964</v>
      </c>
      <c r="HR84" s="287">
        <f t="shared" si="123"/>
        <v>79120.511109070183</v>
      </c>
      <c r="HS84" s="287">
        <f t="shared" si="124"/>
        <v>79120.511109070183</v>
      </c>
      <c r="HT84" s="287">
        <f t="shared" si="125"/>
        <v>526424.39913502161</v>
      </c>
      <c r="HV84" s="440" t="s">
        <v>628</v>
      </c>
      <c r="HW84" s="440" t="s">
        <v>628</v>
      </c>
      <c r="HX84" s="440" t="s">
        <v>628</v>
      </c>
      <c r="HY84" s="440" t="s">
        <v>628</v>
      </c>
      <c r="HZ84" s="440" t="s">
        <v>628</v>
      </c>
      <c r="IA84" s="440" t="s">
        <v>628</v>
      </c>
      <c r="IB84" s="440" t="s">
        <v>628</v>
      </c>
      <c r="IC84" s="440" t="s">
        <v>628</v>
      </c>
      <c r="ID84" s="440" t="s">
        <v>628</v>
      </c>
      <c r="IE84" s="440" t="s">
        <v>628</v>
      </c>
      <c r="IF84" s="440" t="s">
        <v>628</v>
      </c>
      <c r="IG84" s="440" t="s">
        <v>628</v>
      </c>
      <c r="IH84" s="440" t="s">
        <v>628</v>
      </c>
      <c r="IJ84" s="440" t="s">
        <v>628</v>
      </c>
      <c r="IL84" s="286">
        <f>AnnualAggregations!$AB76</f>
        <v>37764.238566617634</v>
      </c>
      <c r="IM84" s="286">
        <f>AnnualAggregations!$Z76</f>
        <v>109067.13000005133</v>
      </c>
      <c r="IN84" s="442" t="s">
        <v>597</v>
      </c>
      <c r="IO84" s="286">
        <f>AnnualAggregations!$AC76</f>
        <v>5000.0000000019172</v>
      </c>
      <c r="IP84" s="442" t="s">
        <v>597</v>
      </c>
      <c r="IQ84" s="440" t="s">
        <v>628</v>
      </c>
      <c r="IR84" s="440" t="s">
        <v>628</v>
      </c>
      <c r="IS84" s="440" t="s">
        <v>628</v>
      </c>
      <c r="IT84" s="440" t="s">
        <v>628</v>
      </c>
      <c r="IU84" s="286">
        <f>AnnualDivReqs!$BG76</f>
        <v>12296.800000006155</v>
      </c>
      <c r="IW84" s="440" t="s">
        <v>628</v>
      </c>
      <c r="IX84" s="440" t="s">
        <v>628</v>
      </c>
      <c r="IY84" s="440" t="s">
        <v>628</v>
      </c>
      <c r="IZ84" s="442" t="s">
        <v>597</v>
      </c>
    </row>
    <row r="85" spans="20:260" x14ac:dyDescent="0.25">
      <c r="T85" s="282">
        <v>1998</v>
      </c>
      <c r="U85" s="286">
        <f>AnnualAggregations!$C77</f>
        <v>258778.16284057341</v>
      </c>
      <c r="V85" s="286">
        <f>AnnualDepletions!$BI77</f>
        <v>2243.6125488780126</v>
      </c>
      <c r="W85" s="286">
        <f>AnnualDepletions!$AM77</f>
        <v>12100.000000000009</v>
      </c>
      <c r="X85" s="286">
        <f>AnnualDepletions!$AK77</f>
        <v>7970.0000000000036</v>
      </c>
      <c r="Y85" s="286">
        <f>AnnualDepletions!$L77</f>
        <v>899.99999999999943</v>
      </c>
      <c r="Z85" s="287">
        <f t="shared" si="93"/>
        <v>281991.77538945142</v>
      </c>
      <c r="AA85" s="286">
        <f>AnnualDepletions!$AO77</f>
        <v>1219.9999999998595</v>
      </c>
      <c r="AB85" s="286">
        <f>AnnualDepletions!$AY77</f>
        <v>1757.9999999997974</v>
      </c>
      <c r="AC85" s="286">
        <f>AnnualAggregations!$F77</f>
        <v>31845.400761973386</v>
      </c>
      <c r="AD85" s="286">
        <f>AnnualAggregations!$G77</f>
        <v>2743.016759715465</v>
      </c>
      <c r="AE85" s="286">
        <f>AnnualAggregations!$H77</f>
        <v>12562.999999998563</v>
      </c>
      <c r="AF85" s="286">
        <f>AnnualDepletions!$AL77</f>
        <v>10662.99999999877</v>
      </c>
      <c r="AG85" s="286">
        <f>AnnualDepletions!$AG77</f>
        <v>9284.999999998925</v>
      </c>
      <c r="AH85" s="286">
        <f>AnnualDepletions!$AN77</f>
        <v>3225.9999999996289</v>
      </c>
      <c r="AI85" s="287">
        <f t="shared" si="94"/>
        <v>72083.417521684547</v>
      </c>
      <c r="AJ85" s="287">
        <f t="shared" si="95"/>
        <v>355295.19291113585</v>
      </c>
      <c r="AK85" s="286">
        <f>AnnualDepletions!$AP77</f>
        <v>340.98999999997505</v>
      </c>
      <c r="AL85" s="286">
        <f>AnnualDepletions!$BH77</f>
        <v>29587.450363252741</v>
      </c>
      <c r="AM85" s="286">
        <f>AnnualDepletions!$AJ77</f>
        <v>38999.999998983854</v>
      </c>
      <c r="AN85" s="286">
        <f>AnnualDepletions!$BC77</f>
        <v>16199.99999897049</v>
      </c>
      <c r="AO85" s="286">
        <f>AnnualDepletions!$J77</f>
        <v>2499.9900000012672</v>
      </c>
      <c r="AP85" s="286">
        <f>AnnualAggregations!$I77</f>
        <v>11624.990000001573</v>
      </c>
      <c r="AQ85" s="287">
        <f t="shared" si="96"/>
        <v>69665.96999795716</v>
      </c>
      <c r="AR85" s="287">
        <f t="shared" si="97"/>
        <v>99253.420361209923</v>
      </c>
      <c r="AS85" s="287">
        <f t="shared" si="98"/>
        <v>454548.61327234574</v>
      </c>
      <c r="AU85" s="321">
        <f ca="1">StateModDepletions_ThisScenario!AC75</f>
        <v>34203.191862687469</v>
      </c>
      <c r="AV85" s="321">
        <f ca="1">StateModDepletions_ThisScenario!AD75</f>
        <v>18599.48062799871</v>
      </c>
      <c r="AW85" s="321">
        <f ca="1">StateModDepletions_ThisScenario!AE75</f>
        <v>106207.74603436887</v>
      </c>
      <c r="AX85" s="321">
        <f ca="1">StateModDepletions_ThisScenario!AB75</f>
        <v>24765.810481309891</v>
      </c>
      <c r="AY85" s="288">
        <f t="shared" ca="1" si="99"/>
        <v>183776.22900636494</v>
      </c>
      <c r="AZ85" s="321">
        <f ca="1">StateModDepletions_ThisScenario!AG75</f>
        <v>42555.005263934363</v>
      </c>
      <c r="BA85" s="321">
        <f ca="1">StateModDepletions_ThisScenario!AF75</f>
        <v>19672.989029452205</v>
      </c>
      <c r="BB85" s="321">
        <f ca="1">StateModDepletions_ThisScenario!AH75</f>
        <v>18171.056316748261</v>
      </c>
      <c r="BC85" s="321">
        <f ca="1">StateModDepletions_ThisScenario!AI75</f>
        <v>18241.702541222454</v>
      </c>
      <c r="BD85" s="321">
        <f ca="1">StateModDepletions_ThisScenario!N75</f>
        <v>1326.6977829933167</v>
      </c>
      <c r="BE85" s="321">
        <f ca="1">StateModDepletions_ThisScenario!V75</f>
        <v>12114.775233268738</v>
      </c>
      <c r="BF85" s="288">
        <f t="shared" ca="1" si="100"/>
        <v>112082.22616761934</v>
      </c>
      <c r="BG85" s="288">
        <f t="shared" ca="1" si="101"/>
        <v>295858.45517398429</v>
      </c>
      <c r="BI85" s="288">
        <f t="shared" ca="1" si="102"/>
        <v>750407.06844633003</v>
      </c>
      <c r="BK85" s="286">
        <f>AnnualAggregations!$D77</f>
        <v>35893.000000000051</v>
      </c>
      <c r="BL85" s="286">
        <f>AnnualAggregations!$B77</f>
        <v>57173.463874063724</v>
      </c>
      <c r="BM85" s="286">
        <f>AnnualDepletions!$BK77</f>
        <v>95210.955644643909</v>
      </c>
      <c r="BN85" s="286">
        <f>AnnualAggregations!$E77</f>
        <v>5000.0000000019172</v>
      </c>
      <c r="BO85" s="287">
        <f t="shared" si="103"/>
        <v>193277.41951870959</v>
      </c>
      <c r="BP85" s="321">
        <f ca="1">StateModDepletions_ThisScenario!Y75</f>
        <v>212.11356273293495</v>
      </c>
      <c r="BQ85" s="321">
        <f ca="1">StateModDepletions_ThisScenario!AJ75</f>
        <v>153874.07717331842</v>
      </c>
      <c r="BR85" s="321">
        <f ca="1">StateModDepletions_ThisScenario!Z75</f>
        <v>208180.59205627441</v>
      </c>
      <c r="BS85" s="321">
        <f ca="1">StateModDepletions_ThisScenario!AA75</f>
        <v>54094.401320223056</v>
      </c>
      <c r="BT85" s="286">
        <f>AnnualDepletions!$BG77</f>
        <v>12296.800000006155</v>
      </c>
      <c r="BV85" s="287">
        <f t="shared" ca="1" si="104"/>
        <v>955981.28796504578</v>
      </c>
      <c r="BW85" s="287">
        <f t="shared" ca="1" si="105"/>
        <v>901886.88664482278</v>
      </c>
      <c r="BX85" s="287">
        <f t="shared" ca="1" si="92"/>
        <v>916761.88664482278</v>
      </c>
      <c r="BY85" s="287">
        <f>SJRIPSummaryRAW!$B$79</f>
        <v>14875</v>
      </c>
      <c r="CC85" s="282">
        <v>1998</v>
      </c>
      <c r="CD85" s="286">
        <f>AnnualAggregations!K77</f>
        <v>258778.16284057341</v>
      </c>
      <c r="CE85" s="442" t="s">
        <v>597</v>
      </c>
      <c r="CF85" s="286">
        <f>AnnualDeplReqs!$AM77</f>
        <v>12100.000000000009</v>
      </c>
      <c r="CG85" s="286">
        <f>AnnualDeplReqs!$AK77</f>
        <v>7970.0000000000036</v>
      </c>
      <c r="CH85" s="286">
        <f>AnnualDeplReqs!$L77</f>
        <v>899.99999999999943</v>
      </c>
      <c r="CI85" s="443">
        <f t="shared" si="106"/>
        <v>281991.77538945142</v>
      </c>
      <c r="CJ85" s="286">
        <f>AnnualDeplReqs!$AO77</f>
        <v>1219.9999999998595</v>
      </c>
      <c r="CK85" s="286">
        <f>AnnualDeplReqs!$AY77</f>
        <v>1757.9999999997974</v>
      </c>
      <c r="CL85" s="286">
        <f>AnnualAggregations!$N77</f>
        <v>31845.400761973386</v>
      </c>
      <c r="CM85" s="286">
        <f>AnnualAggregations!$O77</f>
        <v>11761.99999999865</v>
      </c>
      <c r="CN85" s="286">
        <f>AnnualAggregations!$P77</f>
        <v>12562.999999998563</v>
      </c>
      <c r="CO85" s="286">
        <f>AnnualDeplReqs!$AL77</f>
        <v>10662.99999999877</v>
      </c>
      <c r="CP85" s="286">
        <f>AnnualDeplReqs!$AG77</f>
        <v>9284.999999998925</v>
      </c>
      <c r="CQ85" s="286">
        <f>AnnualDeplReqs!$AN77</f>
        <v>3225.9999999996289</v>
      </c>
      <c r="CR85" s="287">
        <f t="shared" si="107"/>
        <v>81102.4007619677</v>
      </c>
      <c r="CS85" s="287">
        <f t="shared" si="108"/>
        <v>364314.176151419</v>
      </c>
      <c r="CT85" s="286">
        <f>AnnualDeplReqs!$AP77</f>
        <v>340.98999999997505</v>
      </c>
      <c r="CU85" s="442" t="s">
        <v>597</v>
      </c>
      <c r="CV85" s="286">
        <f>AnnualDeplReqs!$AJ77</f>
        <v>38999.999998983854</v>
      </c>
      <c r="CW85" s="286">
        <f>AnnualDeplReqs!$BC77</f>
        <v>16199.99999897049</v>
      </c>
      <c r="CX85" s="286">
        <f>AnnualDeplReqs!$J77</f>
        <v>2499.9900000012672</v>
      </c>
      <c r="CY85" s="286">
        <f>AnnualAggregations!$Q77</f>
        <v>11624.990000001573</v>
      </c>
      <c r="CZ85" s="287">
        <f t="shared" si="109"/>
        <v>69665.96999795716</v>
      </c>
      <c r="DA85" s="443">
        <f t="shared" si="110"/>
        <v>99253.420361209894</v>
      </c>
      <c r="DB85" s="287">
        <f t="shared" si="111"/>
        <v>463567.59651262889</v>
      </c>
      <c r="DD85" s="440" t="s">
        <v>628</v>
      </c>
      <c r="DE85" s="440" t="s">
        <v>628</v>
      </c>
      <c r="DF85" s="440" t="s">
        <v>628</v>
      </c>
      <c r="DG85" s="440" t="s">
        <v>628</v>
      </c>
      <c r="DH85" s="440" t="s">
        <v>628</v>
      </c>
      <c r="DI85" s="440" t="s">
        <v>628</v>
      </c>
      <c r="DJ85" s="440" t="s">
        <v>628</v>
      </c>
      <c r="DK85" s="440" t="s">
        <v>628</v>
      </c>
      <c r="DL85" s="440" t="s">
        <v>628</v>
      </c>
      <c r="DM85" s="440" t="s">
        <v>628</v>
      </c>
      <c r="DN85" s="440" t="s">
        <v>628</v>
      </c>
      <c r="DO85" s="440" t="s">
        <v>628</v>
      </c>
      <c r="DP85" s="440" t="s">
        <v>628</v>
      </c>
      <c r="DR85" s="440" t="s">
        <v>628</v>
      </c>
      <c r="DT85" s="286">
        <f>AnnualAggregations!$L77</f>
        <v>35893.000000000073</v>
      </c>
      <c r="DU85" s="443">
        <f>AnnualAggregations!$J77</f>
        <v>57173.463874063724</v>
      </c>
      <c r="DV85" s="442" t="s">
        <v>597</v>
      </c>
      <c r="DW85" s="286">
        <f>AnnualAggregations!$M77</f>
        <v>5000.0000000019172</v>
      </c>
      <c r="DX85" s="442" t="s">
        <v>597</v>
      </c>
      <c r="DY85" s="440" t="s">
        <v>628</v>
      </c>
      <c r="DZ85" s="440" t="s">
        <v>628</v>
      </c>
      <c r="EA85" s="440" t="s">
        <v>628</v>
      </c>
      <c r="EB85" s="440" t="s">
        <v>628</v>
      </c>
      <c r="EC85" s="286">
        <f>AnnualDeplReqs!$BG77</f>
        <v>12296.800000006155</v>
      </c>
      <c r="EE85" s="440" t="s">
        <v>628</v>
      </c>
      <c r="EF85" s="440" t="s">
        <v>628</v>
      </c>
      <c r="EG85" s="440" t="s">
        <v>628</v>
      </c>
      <c r="EH85" s="442" t="s">
        <v>597</v>
      </c>
      <c r="EL85" s="282">
        <v>1998</v>
      </c>
      <c r="EM85" s="286">
        <f>AnnualAggregations!S77</f>
        <v>323472.70355071744</v>
      </c>
      <c r="EN85" s="442" t="s">
        <v>597</v>
      </c>
      <c r="EO85" s="286">
        <f>AnnualDiversions!$AM77</f>
        <v>24160.880683190015</v>
      </c>
      <c r="EP85" s="286">
        <f>AnnualDiversions!$AK77</f>
        <v>15864.246446422723</v>
      </c>
      <c r="EQ85" s="286">
        <f>AnnualDiversions!$L77</f>
        <v>1799.9999999999989</v>
      </c>
      <c r="ER85" s="287">
        <f t="shared" si="112"/>
        <v>365297.83068033017</v>
      </c>
      <c r="ES85" s="286">
        <f>AnnualDiversions!$AO77</f>
        <v>2439.999999999719</v>
      </c>
      <c r="ET85" s="286">
        <f>AnnualDiversions!$AY77</f>
        <v>3181.9004524883208</v>
      </c>
      <c r="EU85" s="286">
        <f>AnnualAggregations!$V77</f>
        <v>53465.859332406013</v>
      </c>
      <c r="EV85" s="286">
        <f>AnnualAggregations!$W77</f>
        <v>4899.752423182209</v>
      </c>
      <c r="EW85" s="286">
        <f>AnnualAggregations!$X77</f>
        <v>19256.534204782143</v>
      </c>
      <c r="EX85" s="286">
        <f>AnnualDiversions!$AL77</f>
        <v>12648.873072359171</v>
      </c>
      <c r="EY85" s="286">
        <f>AnnualDiversions!$AG77</f>
        <v>17596.891879084498</v>
      </c>
      <c r="EZ85" s="286">
        <f>AnnualDiversions!$AN77</f>
        <v>6065.6200056399848</v>
      </c>
      <c r="FA85" s="287">
        <f t="shared" si="113"/>
        <v>117115.43136994234</v>
      </c>
      <c r="FB85" s="287">
        <f t="shared" si="114"/>
        <v>484853.2620502722</v>
      </c>
      <c r="FC85" s="286">
        <f>AnnualDiversions!$AP77</f>
        <v>378.87777777775057</v>
      </c>
      <c r="FD85" s="442" t="s">
        <v>597</v>
      </c>
      <c r="FE85" s="286">
        <f>AnnualDiversions!$AJ77</f>
        <v>38999.999998983854</v>
      </c>
      <c r="FF85" s="286">
        <f>AnnualDiversions!$BC77</f>
        <v>16199.99999897049</v>
      </c>
      <c r="FG85" s="286">
        <f>AnnualDiversions!$J77</f>
        <v>4166.6500000021233</v>
      </c>
      <c r="FH85" s="286">
        <f>AnnualAggregations!$Y77</f>
        <v>19374.983333335964</v>
      </c>
      <c r="FI85" s="287">
        <f t="shared" si="115"/>
        <v>79120.511109070183</v>
      </c>
      <c r="FJ85" s="287">
        <f t="shared" si="116"/>
        <v>79120.511109070183</v>
      </c>
      <c r="FK85" s="287">
        <f t="shared" si="117"/>
        <v>563973.77315934235</v>
      </c>
      <c r="FM85" s="440" t="s">
        <v>628</v>
      </c>
      <c r="FN85" s="440" t="s">
        <v>628</v>
      </c>
      <c r="FO85" s="440" t="s">
        <v>628</v>
      </c>
      <c r="FP85" s="440" t="s">
        <v>628</v>
      </c>
      <c r="FQ85" s="440" t="s">
        <v>628</v>
      </c>
      <c r="FR85" s="440" t="s">
        <v>628</v>
      </c>
      <c r="FS85" s="440" t="s">
        <v>628</v>
      </c>
      <c r="FT85" s="440" t="s">
        <v>628</v>
      </c>
      <c r="FU85" s="440" t="s">
        <v>628</v>
      </c>
      <c r="FV85" s="440" t="s">
        <v>628</v>
      </c>
      <c r="FW85" s="440" t="s">
        <v>628</v>
      </c>
      <c r="FX85" s="440" t="s">
        <v>628</v>
      </c>
      <c r="FY85" s="440" t="s">
        <v>628</v>
      </c>
      <c r="GA85" s="440" t="s">
        <v>628</v>
      </c>
      <c r="GC85" s="286">
        <f>AnnualAggregations!$T77</f>
        <v>37764.238566617612</v>
      </c>
      <c r="GD85" s="286">
        <f>AnnualAggregations!$R77</f>
        <v>109067.13000005133</v>
      </c>
      <c r="GE85" s="443">
        <f t="shared" si="118"/>
        <v>95210.955644643909</v>
      </c>
      <c r="GF85" s="286">
        <f>AnnualAggregations!$U77</f>
        <v>5000.0000000019172</v>
      </c>
      <c r="GG85" s="287">
        <f t="shared" si="119"/>
        <v>247042.32421131479</v>
      </c>
      <c r="GH85" s="440" t="s">
        <v>628</v>
      </c>
      <c r="GI85" s="440" t="s">
        <v>628</v>
      </c>
      <c r="GJ85" s="440" t="s">
        <v>628</v>
      </c>
      <c r="GK85" s="440" t="s">
        <v>628</v>
      </c>
      <c r="GL85" s="286">
        <f>AnnualDiversions!$BG77</f>
        <v>12296.800000006155</v>
      </c>
      <c r="GN85" s="440" t="s">
        <v>628</v>
      </c>
      <c r="GO85" s="440" t="s">
        <v>628</v>
      </c>
      <c r="GP85" s="440" t="s">
        <v>628</v>
      </c>
      <c r="GQ85" s="442" t="s">
        <v>597</v>
      </c>
      <c r="GU85" s="282">
        <v>1998</v>
      </c>
      <c r="GV85" s="286">
        <f>AnnualAggregations!AA77</f>
        <v>323472.70355071744</v>
      </c>
      <c r="GW85" s="442" t="s">
        <v>597</v>
      </c>
      <c r="GX85" s="286">
        <f>AnnualDivReqs!$AM77</f>
        <v>24160.880683190015</v>
      </c>
      <c r="GY85" s="286">
        <f>AnnualDivReqs!$AK77</f>
        <v>15864.246446422723</v>
      </c>
      <c r="GZ85" s="286">
        <f>AnnualDivReqs!$L77</f>
        <v>1799.9999999999989</v>
      </c>
      <c r="HA85" s="287">
        <f t="shared" si="120"/>
        <v>365297.83068033017</v>
      </c>
      <c r="HB85" s="286">
        <f>AnnualDivReqs!$AO77</f>
        <v>2439.999999999719</v>
      </c>
      <c r="HC85" s="286">
        <f>AnnualDivReqs!$AY77</f>
        <v>3181.9004524883208</v>
      </c>
      <c r="HD85" s="286">
        <f>AnnualAggregations!$AD77</f>
        <v>53465.859332406013</v>
      </c>
      <c r="HE85" s="286">
        <f>AnnualAggregations!$AE77</f>
        <v>21065.991742692026</v>
      </c>
      <c r="HF85" s="286">
        <f>AnnualAggregations!$AF77</f>
        <v>19256.534204782143</v>
      </c>
      <c r="HG85" s="286">
        <f>AnnualDivReqs!$AL77</f>
        <v>12648.873072359171</v>
      </c>
      <c r="HH85" s="286">
        <f>AnnualDivReqs!$AG77</f>
        <v>17596.891879084498</v>
      </c>
      <c r="HI85" s="286">
        <f>AnnualDivReqs!$AN77</f>
        <v>6065.6200056399848</v>
      </c>
      <c r="HJ85" s="287">
        <f t="shared" si="121"/>
        <v>133281.67068945218</v>
      </c>
      <c r="HK85" s="287">
        <f t="shared" si="122"/>
        <v>501019.50136978202</v>
      </c>
      <c r="HL85" s="286">
        <f>AnnualDivReqs!$AP77</f>
        <v>378.87777777775057</v>
      </c>
      <c r="HM85" s="442" t="s">
        <v>597</v>
      </c>
      <c r="HN85" s="286">
        <f>AnnualDivReqs!$AJ77</f>
        <v>38999.999998983854</v>
      </c>
      <c r="HO85" s="286">
        <f>AnnualDivReqs!$BC77</f>
        <v>16199.99999897049</v>
      </c>
      <c r="HP85" s="286">
        <f>AnnualDivReqs!$J77</f>
        <v>4166.6500000021233</v>
      </c>
      <c r="HQ85" s="286">
        <f>AnnualAggregations!$AG77</f>
        <v>19374.983333335964</v>
      </c>
      <c r="HR85" s="287">
        <f t="shared" si="123"/>
        <v>79120.511109070183</v>
      </c>
      <c r="HS85" s="287">
        <f t="shared" si="124"/>
        <v>79120.511109070183</v>
      </c>
      <c r="HT85" s="287">
        <f t="shared" si="125"/>
        <v>580140.01247885218</v>
      </c>
      <c r="HV85" s="440" t="s">
        <v>628</v>
      </c>
      <c r="HW85" s="440" t="s">
        <v>628</v>
      </c>
      <c r="HX85" s="440" t="s">
        <v>628</v>
      </c>
      <c r="HY85" s="440" t="s">
        <v>628</v>
      </c>
      <c r="HZ85" s="440" t="s">
        <v>628</v>
      </c>
      <c r="IA85" s="440" t="s">
        <v>628</v>
      </c>
      <c r="IB85" s="440" t="s">
        <v>628</v>
      </c>
      <c r="IC85" s="440" t="s">
        <v>628</v>
      </c>
      <c r="ID85" s="440" t="s">
        <v>628</v>
      </c>
      <c r="IE85" s="440" t="s">
        <v>628</v>
      </c>
      <c r="IF85" s="440" t="s">
        <v>628</v>
      </c>
      <c r="IG85" s="440" t="s">
        <v>628</v>
      </c>
      <c r="IH85" s="440" t="s">
        <v>628</v>
      </c>
      <c r="IJ85" s="440" t="s">
        <v>628</v>
      </c>
      <c r="IL85" s="286">
        <f>AnnualAggregations!$AB77</f>
        <v>37764.238566617634</v>
      </c>
      <c r="IM85" s="286">
        <f>AnnualAggregations!$Z77</f>
        <v>109067.13000005133</v>
      </c>
      <c r="IN85" s="442" t="s">
        <v>597</v>
      </c>
      <c r="IO85" s="286">
        <f>AnnualAggregations!$AC77</f>
        <v>5000.0000000019172</v>
      </c>
      <c r="IP85" s="442" t="s">
        <v>597</v>
      </c>
      <c r="IQ85" s="440" t="s">
        <v>628</v>
      </c>
      <c r="IR85" s="440" t="s">
        <v>628</v>
      </c>
      <c r="IS85" s="440" t="s">
        <v>628</v>
      </c>
      <c r="IT85" s="440" t="s">
        <v>628</v>
      </c>
      <c r="IU85" s="286">
        <f>AnnualDivReqs!$BG77</f>
        <v>12296.800000006155</v>
      </c>
      <c r="IW85" s="440" t="s">
        <v>628</v>
      </c>
      <c r="IX85" s="440" t="s">
        <v>628</v>
      </c>
      <c r="IY85" s="440" t="s">
        <v>628</v>
      </c>
      <c r="IZ85" s="442" t="s">
        <v>597</v>
      </c>
    </row>
    <row r="86" spans="20:260" x14ac:dyDescent="0.25">
      <c r="T86" s="282">
        <v>1999</v>
      </c>
      <c r="U86" s="286">
        <f>AnnualAggregations!$C78</f>
        <v>206996.03654918703</v>
      </c>
      <c r="V86" s="286">
        <f>AnnualDepletions!$BI78</f>
        <v>-8112.812709399378</v>
      </c>
      <c r="W86" s="286">
        <f>AnnualDepletions!$AM78</f>
        <v>12100.000000000002</v>
      </c>
      <c r="X86" s="286">
        <f>AnnualDepletions!$AK78</f>
        <v>7970.0000000000064</v>
      </c>
      <c r="Y86" s="286">
        <f>AnnualDepletions!$L78</f>
        <v>900.00000000000125</v>
      </c>
      <c r="Z86" s="287">
        <f t="shared" si="93"/>
        <v>219853.22383978765</v>
      </c>
      <c r="AA86" s="286">
        <f>AnnualDepletions!$AO78</f>
        <v>900.99999999989541</v>
      </c>
      <c r="AB86" s="286">
        <f>AnnualDepletions!$AY78</f>
        <v>1537.999999999824</v>
      </c>
      <c r="AC86" s="286">
        <f>AnnualAggregations!$F78</f>
        <v>27438.99999999685</v>
      </c>
      <c r="AD86" s="286">
        <f>AnnualAggregations!$G78</f>
        <v>6037.3356053113876</v>
      </c>
      <c r="AE86" s="286">
        <f>AnnualAggregations!$H78</f>
        <v>11920.999999998632</v>
      </c>
      <c r="AF86" s="286">
        <f>AnnualDepletions!$AL78</f>
        <v>10068.999999998838</v>
      </c>
      <c r="AG86" s="286">
        <f>AnnualDepletions!$AG78</f>
        <v>9039.9999999989559</v>
      </c>
      <c r="AH86" s="286">
        <f>AnnualDepletions!$AN78</f>
        <v>2993.9999999996562</v>
      </c>
      <c r="AI86" s="287">
        <f t="shared" si="94"/>
        <v>69038.335605304135</v>
      </c>
      <c r="AJ86" s="287">
        <f t="shared" si="95"/>
        <v>289792.55944509164</v>
      </c>
      <c r="AK86" s="286">
        <f>AnnualDepletions!$AP78</f>
        <v>340.98999999997505</v>
      </c>
      <c r="AL86" s="286">
        <f>AnnualDepletions!$BH78</f>
        <v>27524.511125171517</v>
      </c>
      <c r="AM86" s="286">
        <f>AnnualDepletions!$AJ78</f>
        <v>38999.999998983854</v>
      </c>
      <c r="AN86" s="286">
        <f>AnnualDepletions!$BC78</f>
        <v>16199.99999897049</v>
      </c>
      <c r="AO86" s="286">
        <f>AnnualDepletions!$J78</f>
        <v>2499.9900000012672</v>
      </c>
      <c r="AP86" s="286">
        <f>AnnualAggregations!$I78</f>
        <v>11624.990000001573</v>
      </c>
      <c r="AQ86" s="287">
        <f t="shared" si="96"/>
        <v>69665.96999795716</v>
      </c>
      <c r="AR86" s="287">
        <f t="shared" si="97"/>
        <v>97190.481123128688</v>
      </c>
      <c r="AS86" s="287">
        <f t="shared" si="98"/>
        <v>386983.04056822031</v>
      </c>
      <c r="AU86" s="321">
        <f ca="1">StateModDepletions_ThisScenario!AC76</f>
        <v>33990.876755662262</v>
      </c>
      <c r="AV86" s="321">
        <f ca="1">StateModDepletions_ThisScenario!AD76</f>
        <v>18565.91405248642</v>
      </c>
      <c r="AW86" s="321">
        <f ca="1">StateModDepletions_ThisScenario!AE76</f>
        <v>101599.8758007586</v>
      </c>
      <c r="AX86" s="321">
        <f ca="1">StateModDepletions_ThisScenario!AB76</f>
        <v>24765.810481309891</v>
      </c>
      <c r="AY86" s="288">
        <f t="shared" ca="1" si="99"/>
        <v>178922.47709021717</v>
      </c>
      <c r="AZ86" s="321">
        <f ca="1">StateModDepletions_ThisScenario!AG76</f>
        <v>42977.20136168458</v>
      </c>
      <c r="BA86" s="321">
        <f ca="1">StateModDepletions_ThisScenario!AF76</f>
        <v>17318.761718899001</v>
      </c>
      <c r="BB86" s="321">
        <f ca="1">StateModDepletions_ThisScenario!AH76</f>
        <v>20044.567316539586</v>
      </c>
      <c r="BC86" s="321">
        <f ca="1">StateModDepletions_ThisScenario!AI76</f>
        <v>19341.955093705154</v>
      </c>
      <c r="BD86" s="321">
        <f ca="1">StateModDepletions_ThisScenario!N76</f>
        <v>1326.6977829933167</v>
      </c>
      <c r="BE86" s="321">
        <f ca="1">StateModDepletions_ThisScenario!V76</f>
        <v>15258.390456199646</v>
      </c>
      <c r="BF86" s="288">
        <f t="shared" ca="1" si="100"/>
        <v>116267.57373002128</v>
      </c>
      <c r="BG86" s="288">
        <f t="shared" ca="1" si="101"/>
        <v>295190.05082023842</v>
      </c>
      <c r="BI86" s="288">
        <f t="shared" ca="1" si="102"/>
        <v>682173.09138845874</v>
      </c>
      <c r="BK86" s="286">
        <f>AnnualAggregations!$D78</f>
        <v>35893.000000000036</v>
      </c>
      <c r="BL86" s="286">
        <f>AnnualAggregations!$B78</f>
        <v>57174.017058238955</v>
      </c>
      <c r="BM86" s="286">
        <f>AnnualDepletions!$BK78</f>
        <v>115567.67773603335</v>
      </c>
      <c r="BN86" s="286">
        <f>AnnualAggregations!$E78</f>
        <v>5000.0000000019172</v>
      </c>
      <c r="BO86" s="287">
        <f t="shared" si="103"/>
        <v>213634.69479427428</v>
      </c>
      <c r="BP86" s="321">
        <f ca="1">StateModDepletions_ThisScenario!Y76</f>
        <v>212.11356273293495</v>
      </c>
      <c r="BQ86" s="321">
        <f ca="1">StateModDepletions_ThisScenario!AJ76</f>
        <v>139435.97670163558</v>
      </c>
      <c r="BR86" s="321">
        <f ca="1">StateModDepletions_ThisScenario!Z76</f>
        <v>218006.16120147705</v>
      </c>
      <c r="BS86" s="321">
        <f ca="1">StateModDepletions_ThisScenario!AA76</f>
        <v>78358.07093710854</v>
      </c>
      <c r="BT86" s="286">
        <f>AnnualDepletions!$BG78</f>
        <v>12296.800000006155</v>
      </c>
      <c r="BV86" s="287">
        <f t="shared" ca="1" si="104"/>
        <v>908104.58618273912</v>
      </c>
      <c r="BW86" s="287">
        <f t="shared" ca="1" si="105"/>
        <v>829746.51524563064</v>
      </c>
      <c r="BX86" s="287">
        <f t="shared" ca="1" si="92"/>
        <v>844621.51524563064</v>
      </c>
      <c r="BY86" s="287">
        <f>SJRIPSummaryRAW!$B$79</f>
        <v>14875</v>
      </c>
      <c r="CC86" s="282">
        <v>1999</v>
      </c>
      <c r="CD86" s="286">
        <f>AnnualAggregations!K78</f>
        <v>206996.03654918703</v>
      </c>
      <c r="CE86" s="442" t="s">
        <v>597</v>
      </c>
      <c r="CF86" s="286">
        <f>AnnualDeplReqs!$AM78</f>
        <v>12100.000000000002</v>
      </c>
      <c r="CG86" s="286">
        <f>AnnualDeplReqs!$AK78</f>
        <v>7970.0000000000064</v>
      </c>
      <c r="CH86" s="286">
        <f>AnnualDeplReqs!$L78</f>
        <v>900.00000000000125</v>
      </c>
      <c r="CI86" s="443">
        <f t="shared" si="106"/>
        <v>219853.22383978765</v>
      </c>
      <c r="CJ86" s="286">
        <f>AnnualDeplReqs!$AO78</f>
        <v>900.99999999989541</v>
      </c>
      <c r="CK86" s="286">
        <f>AnnualDeplReqs!$AY78</f>
        <v>1537.999999999824</v>
      </c>
      <c r="CL86" s="286">
        <f>AnnualAggregations!$N78</f>
        <v>27438.99999999685</v>
      </c>
      <c r="CM86" s="286">
        <f>AnnualAggregations!$O78</f>
        <v>9877.9999999988613</v>
      </c>
      <c r="CN86" s="286">
        <f>AnnualAggregations!$P78</f>
        <v>11920.999999998632</v>
      </c>
      <c r="CO86" s="286">
        <f>AnnualDeplReqs!$AL78</f>
        <v>10068.999999998838</v>
      </c>
      <c r="CP86" s="286">
        <f>AnnualDeplReqs!$AG78</f>
        <v>9039.9999999989559</v>
      </c>
      <c r="CQ86" s="286">
        <f>AnnualDeplReqs!$AN78</f>
        <v>2993.9999999996562</v>
      </c>
      <c r="CR86" s="287">
        <f t="shared" si="107"/>
        <v>72878.999999991604</v>
      </c>
      <c r="CS86" s="287">
        <f t="shared" si="108"/>
        <v>293633.22383977915</v>
      </c>
      <c r="CT86" s="286">
        <f>AnnualDeplReqs!$AP78</f>
        <v>340.98999999997505</v>
      </c>
      <c r="CU86" s="442" t="s">
        <v>597</v>
      </c>
      <c r="CV86" s="286">
        <f>AnnualDeplReqs!$AJ78</f>
        <v>38999.999998983854</v>
      </c>
      <c r="CW86" s="286">
        <f>AnnualDeplReqs!$BC78</f>
        <v>16199.99999897049</v>
      </c>
      <c r="CX86" s="286">
        <f>AnnualDeplReqs!$J78</f>
        <v>2499.9900000012672</v>
      </c>
      <c r="CY86" s="286">
        <f>AnnualAggregations!$Q78</f>
        <v>11624.990000001573</v>
      </c>
      <c r="CZ86" s="287">
        <f t="shared" si="109"/>
        <v>69665.96999795716</v>
      </c>
      <c r="DA86" s="443">
        <f t="shared" si="110"/>
        <v>97190.481123128673</v>
      </c>
      <c r="DB86" s="287">
        <f t="shared" si="111"/>
        <v>390823.70496290782</v>
      </c>
      <c r="DD86" s="440" t="s">
        <v>628</v>
      </c>
      <c r="DE86" s="440" t="s">
        <v>628</v>
      </c>
      <c r="DF86" s="440" t="s">
        <v>628</v>
      </c>
      <c r="DG86" s="440" t="s">
        <v>628</v>
      </c>
      <c r="DH86" s="440" t="s">
        <v>628</v>
      </c>
      <c r="DI86" s="440" t="s">
        <v>628</v>
      </c>
      <c r="DJ86" s="440" t="s">
        <v>628</v>
      </c>
      <c r="DK86" s="440" t="s">
        <v>628</v>
      </c>
      <c r="DL86" s="440" t="s">
        <v>628</v>
      </c>
      <c r="DM86" s="440" t="s">
        <v>628</v>
      </c>
      <c r="DN86" s="440" t="s">
        <v>628</v>
      </c>
      <c r="DO86" s="440" t="s">
        <v>628</v>
      </c>
      <c r="DP86" s="440" t="s">
        <v>628</v>
      </c>
      <c r="DR86" s="440" t="s">
        <v>628</v>
      </c>
      <c r="DT86" s="286">
        <f>AnnualAggregations!$L78</f>
        <v>35893.000000000073</v>
      </c>
      <c r="DU86" s="443">
        <f>AnnualAggregations!$J78</f>
        <v>57174.017058238955</v>
      </c>
      <c r="DV86" s="442" t="s">
        <v>597</v>
      </c>
      <c r="DW86" s="286">
        <f>AnnualAggregations!$M78</f>
        <v>5000.0000000019172</v>
      </c>
      <c r="DX86" s="442" t="s">
        <v>597</v>
      </c>
      <c r="DY86" s="440" t="s">
        <v>628</v>
      </c>
      <c r="DZ86" s="440" t="s">
        <v>628</v>
      </c>
      <c r="EA86" s="440" t="s">
        <v>628</v>
      </c>
      <c r="EB86" s="440" t="s">
        <v>628</v>
      </c>
      <c r="EC86" s="286">
        <f>AnnualDeplReqs!$BG78</f>
        <v>12296.800000006155</v>
      </c>
      <c r="EE86" s="440" t="s">
        <v>628</v>
      </c>
      <c r="EF86" s="440" t="s">
        <v>628</v>
      </c>
      <c r="EG86" s="440" t="s">
        <v>628</v>
      </c>
      <c r="EH86" s="442" t="s">
        <v>597</v>
      </c>
      <c r="EL86" s="282">
        <v>1999</v>
      </c>
      <c r="EM86" s="286">
        <f>AnnualAggregations!S78</f>
        <v>258745.04568648356</v>
      </c>
      <c r="EN86" s="442" t="s">
        <v>597</v>
      </c>
      <c r="EO86" s="286">
        <f>AnnualDiversions!$AM78</f>
        <v>24160.880683190011</v>
      </c>
      <c r="EP86" s="286">
        <f>AnnualDiversions!$AK78</f>
        <v>15864.246446422736</v>
      </c>
      <c r="EQ86" s="286">
        <f>AnnualDiversions!$L78</f>
        <v>1800.0000000000025</v>
      </c>
      <c r="ER86" s="287">
        <f t="shared" si="112"/>
        <v>300570.17281609628</v>
      </c>
      <c r="ES86" s="286">
        <f>AnnualDiversions!$AO78</f>
        <v>1801.9999999997908</v>
      </c>
      <c r="ET86" s="286">
        <f>AnnualDiversions!$AY78</f>
        <v>2783.7104072394986</v>
      </c>
      <c r="EU86" s="286">
        <f>AnnualAggregations!$V78</f>
        <v>46104.744421734606</v>
      </c>
      <c r="EV86" s="286">
        <f>AnnualAggregations!$W78</f>
        <v>12003.921574055081</v>
      </c>
      <c r="EW86" s="286">
        <f>AnnualAggregations!$X78</f>
        <v>18272.828836635636</v>
      </c>
      <c r="EX86" s="286">
        <f>AnnualDiversions!$AL78</f>
        <v>11944.246737839672</v>
      </c>
      <c r="EY86" s="286">
        <f>AnnualDiversions!$AG78</f>
        <v>17132.568937740856</v>
      </c>
      <c r="EZ86" s="286">
        <f>AnnualDiversions!$AN78</f>
        <v>5629.4067876274403</v>
      </c>
      <c r="FA86" s="287">
        <f t="shared" si="113"/>
        <v>113871.42770287278</v>
      </c>
      <c r="FB86" s="287">
        <f t="shared" si="114"/>
        <v>416243.60051896883</v>
      </c>
      <c r="FC86" s="286">
        <f>AnnualDiversions!$AP78</f>
        <v>378.87777777775057</v>
      </c>
      <c r="FD86" s="442" t="s">
        <v>597</v>
      </c>
      <c r="FE86" s="286">
        <f>AnnualDiversions!$AJ78</f>
        <v>38999.999998983854</v>
      </c>
      <c r="FF86" s="286">
        <f>AnnualDiversions!$BC78</f>
        <v>16199.99999897049</v>
      </c>
      <c r="FG86" s="286">
        <f>AnnualDiversions!$J78</f>
        <v>4166.6500000021233</v>
      </c>
      <c r="FH86" s="286">
        <f>AnnualAggregations!$Y78</f>
        <v>19374.983333335964</v>
      </c>
      <c r="FI86" s="287">
        <f t="shared" si="115"/>
        <v>79120.511109070183</v>
      </c>
      <c r="FJ86" s="287">
        <f t="shared" si="116"/>
        <v>79120.511109070183</v>
      </c>
      <c r="FK86" s="287">
        <f t="shared" si="117"/>
        <v>495364.11162803904</v>
      </c>
      <c r="FM86" s="440" t="s">
        <v>628</v>
      </c>
      <c r="FN86" s="440" t="s">
        <v>628</v>
      </c>
      <c r="FO86" s="440" t="s">
        <v>628</v>
      </c>
      <c r="FP86" s="440" t="s">
        <v>628</v>
      </c>
      <c r="FQ86" s="440" t="s">
        <v>628</v>
      </c>
      <c r="FR86" s="440" t="s">
        <v>628</v>
      </c>
      <c r="FS86" s="440" t="s">
        <v>628</v>
      </c>
      <c r="FT86" s="440" t="s">
        <v>628</v>
      </c>
      <c r="FU86" s="440" t="s">
        <v>628</v>
      </c>
      <c r="FV86" s="440" t="s">
        <v>628</v>
      </c>
      <c r="FW86" s="440" t="s">
        <v>628</v>
      </c>
      <c r="FX86" s="440" t="s">
        <v>628</v>
      </c>
      <c r="FY86" s="440" t="s">
        <v>628</v>
      </c>
      <c r="GA86" s="440" t="s">
        <v>628</v>
      </c>
      <c r="GC86" s="286">
        <f>AnnualAggregations!$T78</f>
        <v>37764.238566617598</v>
      </c>
      <c r="GD86" s="286">
        <f>AnnualAggregations!$R78</f>
        <v>109067.13000005133</v>
      </c>
      <c r="GE86" s="443">
        <f t="shared" si="118"/>
        <v>115567.67773603335</v>
      </c>
      <c r="GF86" s="286">
        <f>AnnualAggregations!$U78</f>
        <v>5000.0000000019172</v>
      </c>
      <c r="GG86" s="287">
        <f t="shared" si="119"/>
        <v>267399.0463027042</v>
      </c>
      <c r="GH86" s="440" t="s">
        <v>628</v>
      </c>
      <c r="GI86" s="440" t="s">
        <v>628</v>
      </c>
      <c r="GJ86" s="440" t="s">
        <v>628</v>
      </c>
      <c r="GK86" s="440" t="s">
        <v>628</v>
      </c>
      <c r="GL86" s="286">
        <f>AnnualDiversions!$BG78</f>
        <v>12296.800000006155</v>
      </c>
      <c r="GN86" s="440" t="s">
        <v>628</v>
      </c>
      <c r="GO86" s="440" t="s">
        <v>628</v>
      </c>
      <c r="GP86" s="440" t="s">
        <v>628</v>
      </c>
      <c r="GQ86" s="442" t="s">
        <v>597</v>
      </c>
      <c r="GU86" s="282">
        <v>1999</v>
      </c>
      <c r="GV86" s="286">
        <f>AnnualAggregations!AA78</f>
        <v>258745.04568648356</v>
      </c>
      <c r="GW86" s="442" t="s">
        <v>597</v>
      </c>
      <c r="GX86" s="286">
        <f>AnnualDivReqs!$AM78</f>
        <v>24160.880683190011</v>
      </c>
      <c r="GY86" s="286">
        <f>AnnualDivReqs!$AK78</f>
        <v>15864.246446422736</v>
      </c>
      <c r="GZ86" s="286">
        <f>AnnualDivReqs!$L78</f>
        <v>1800.0000000000025</v>
      </c>
      <c r="HA86" s="287">
        <f t="shared" si="120"/>
        <v>300570.17281609628</v>
      </c>
      <c r="HB86" s="286">
        <f>AnnualDivReqs!$AO78</f>
        <v>1801.9999999997908</v>
      </c>
      <c r="HC86" s="286">
        <f>AnnualDivReqs!$AY78</f>
        <v>2783.7104072394986</v>
      </c>
      <c r="HD86" s="286">
        <f>AnnualAggregations!$AD78</f>
        <v>46104.744421734606</v>
      </c>
      <c r="HE86" s="286">
        <f>AnnualAggregations!$AE78</f>
        <v>17696.476739661808</v>
      </c>
      <c r="HF86" s="286">
        <f>AnnualAggregations!$AF78</f>
        <v>18272.828836635636</v>
      </c>
      <c r="HG86" s="286">
        <f>AnnualDivReqs!$AL78</f>
        <v>11944.246737839672</v>
      </c>
      <c r="HH86" s="286">
        <f>AnnualDivReqs!$AG78</f>
        <v>17132.568937740856</v>
      </c>
      <c r="HI86" s="286">
        <f>AnnualDivReqs!$AN78</f>
        <v>5629.4067876274403</v>
      </c>
      <c r="HJ86" s="287">
        <f t="shared" si="121"/>
        <v>119563.98286847951</v>
      </c>
      <c r="HK86" s="287">
        <f t="shared" si="122"/>
        <v>421936.15568457555</v>
      </c>
      <c r="HL86" s="286">
        <f>AnnualDivReqs!$AP78</f>
        <v>378.87777777775057</v>
      </c>
      <c r="HM86" s="442" t="s">
        <v>597</v>
      </c>
      <c r="HN86" s="286">
        <f>AnnualDivReqs!$AJ78</f>
        <v>38999.999998983854</v>
      </c>
      <c r="HO86" s="286">
        <f>AnnualDivReqs!$BC78</f>
        <v>16199.99999897049</v>
      </c>
      <c r="HP86" s="286">
        <f>AnnualDivReqs!$J78</f>
        <v>4166.6500000021233</v>
      </c>
      <c r="HQ86" s="286">
        <f>AnnualAggregations!$AG78</f>
        <v>19374.983333335964</v>
      </c>
      <c r="HR86" s="287">
        <f t="shared" si="123"/>
        <v>79120.511109070183</v>
      </c>
      <c r="HS86" s="287">
        <f t="shared" si="124"/>
        <v>79120.511109070183</v>
      </c>
      <c r="HT86" s="287">
        <f t="shared" si="125"/>
        <v>501056.66679364571</v>
      </c>
      <c r="HV86" s="440" t="s">
        <v>628</v>
      </c>
      <c r="HW86" s="440" t="s">
        <v>628</v>
      </c>
      <c r="HX86" s="440" t="s">
        <v>628</v>
      </c>
      <c r="HY86" s="440" t="s">
        <v>628</v>
      </c>
      <c r="HZ86" s="440" t="s">
        <v>628</v>
      </c>
      <c r="IA86" s="440" t="s">
        <v>628</v>
      </c>
      <c r="IB86" s="440" t="s">
        <v>628</v>
      </c>
      <c r="IC86" s="440" t="s">
        <v>628</v>
      </c>
      <c r="ID86" s="440" t="s">
        <v>628</v>
      </c>
      <c r="IE86" s="440" t="s">
        <v>628</v>
      </c>
      <c r="IF86" s="440" t="s">
        <v>628</v>
      </c>
      <c r="IG86" s="440" t="s">
        <v>628</v>
      </c>
      <c r="IH86" s="440" t="s">
        <v>628</v>
      </c>
      <c r="IJ86" s="440" t="s">
        <v>628</v>
      </c>
      <c r="IL86" s="286">
        <f>AnnualAggregations!$AB78</f>
        <v>37764.238566617634</v>
      </c>
      <c r="IM86" s="286">
        <f>AnnualAggregations!$Z78</f>
        <v>109067.13000005133</v>
      </c>
      <c r="IN86" s="442" t="s">
        <v>597</v>
      </c>
      <c r="IO86" s="286">
        <f>AnnualAggregations!$AC78</f>
        <v>5000.0000000019172</v>
      </c>
      <c r="IP86" s="442" t="s">
        <v>597</v>
      </c>
      <c r="IQ86" s="440" t="s">
        <v>628</v>
      </c>
      <c r="IR86" s="440" t="s">
        <v>628</v>
      </c>
      <c r="IS86" s="440" t="s">
        <v>628</v>
      </c>
      <c r="IT86" s="440" t="s">
        <v>628</v>
      </c>
      <c r="IU86" s="286">
        <f>AnnualDivReqs!$BG78</f>
        <v>12296.800000006155</v>
      </c>
      <c r="IW86" s="440" t="s">
        <v>628</v>
      </c>
      <c r="IX86" s="440" t="s">
        <v>628</v>
      </c>
      <c r="IY86" s="440" t="s">
        <v>628</v>
      </c>
      <c r="IZ86" s="442" t="s">
        <v>597</v>
      </c>
    </row>
    <row r="87" spans="20:260" x14ac:dyDescent="0.25">
      <c r="T87" s="282">
        <v>2000</v>
      </c>
      <c r="U87" s="286">
        <f>AnnualAggregations!$C79</f>
        <v>289778.66461234522</v>
      </c>
      <c r="V87" s="286">
        <f>AnnualDepletions!$BI79</f>
        <v>8308.0635333164664</v>
      </c>
      <c r="W87" s="286">
        <f>AnnualDepletions!$AM79</f>
        <v>12100.000000000002</v>
      </c>
      <c r="X87" s="286">
        <f>AnnualDepletions!$AK79</f>
        <v>7970.0000000000036</v>
      </c>
      <c r="Y87" s="286">
        <f>AnnualDepletions!$L79</f>
        <v>899.99999999999955</v>
      </c>
      <c r="Z87" s="287">
        <f t="shared" si="93"/>
        <v>319056.72814566171</v>
      </c>
      <c r="AA87" s="286">
        <f>AnnualDepletions!$AO79</f>
        <v>1628.9999999998124</v>
      </c>
      <c r="AB87" s="286">
        <f>AnnualDepletions!$AY79</f>
        <v>2141.9999999997558</v>
      </c>
      <c r="AC87" s="286">
        <f>AnnualAggregations!$F79</f>
        <v>37366.617595614945</v>
      </c>
      <c r="AD87" s="286">
        <f>AnnualAggregations!$G79</f>
        <v>2572.1492226774799</v>
      </c>
      <c r="AE87" s="286">
        <f>AnnualAggregations!$H79</f>
        <v>15006.999999998281</v>
      </c>
      <c r="AF87" s="286">
        <f>AnnualDepletions!$AL79</f>
        <v>12812.99999999853</v>
      </c>
      <c r="AG87" s="286">
        <f>AnnualDepletions!$AG79</f>
        <v>10672.18659267023</v>
      </c>
      <c r="AH87" s="286">
        <f>AnnualDepletions!$AN79</f>
        <v>3538.9999999995921</v>
      </c>
      <c r="AI87" s="287">
        <f t="shared" si="94"/>
        <v>84111.953410958813</v>
      </c>
      <c r="AJ87" s="287">
        <f t="shared" si="95"/>
        <v>404797.68155662034</v>
      </c>
      <c r="AK87" s="286">
        <f>AnnualDepletions!$AP79</f>
        <v>340.98999999997511</v>
      </c>
      <c r="AL87" s="286">
        <f>AnnualDepletions!$BH79</f>
        <v>27640.06091337882</v>
      </c>
      <c r="AM87" s="286">
        <f>AnnualDepletions!$AJ79</f>
        <v>38999.999998983862</v>
      </c>
      <c r="AN87" s="286">
        <f>AnnualDepletions!$BC79</f>
        <v>16199.999998970494</v>
      </c>
      <c r="AO87" s="286">
        <f>AnnualDepletions!$J79</f>
        <v>2499.9900000012672</v>
      </c>
      <c r="AP87" s="286">
        <f>AnnualAggregations!$I79</f>
        <v>11624.990000001573</v>
      </c>
      <c r="AQ87" s="287">
        <f t="shared" si="96"/>
        <v>69665.969997957174</v>
      </c>
      <c r="AR87" s="287">
        <f t="shared" si="97"/>
        <v>97306.030911335998</v>
      </c>
      <c r="AS87" s="287">
        <f t="shared" si="98"/>
        <v>502103.71246795636</v>
      </c>
      <c r="AU87" s="321">
        <f ca="1">StateModDepletions_ThisScenario!AC77</f>
        <v>30370.585904408246</v>
      </c>
      <c r="AV87" s="321">
        <f ca="1">StateModDepletions_ThisScenario!AD77</f>
        <v>17225.155638605356</v>
      </c>
      <c r="AW87" s="321">
        <f ca="1">StateModDepletions_ThisScenario!AE77</f>
        <v>103894.65031006932</v>
      </c>
      <c r="AX87" s="321">
        <f ca="1">StateModDepletions_ThisScenario!AB77</f>
        <v>24765.810481309891</v>
      </c>
      <c r="AY87" s="288">
        <f t="shared" ca="1" si="99"/>
        <v>176256.20233439282</v>
      </c>
      <c r="AZ87" s="321">
        <f ca="1">StateModDepletions_ThisScenario!AG77</f>
        <v>32303.260300098435</v>
      </c>
      <c r="BA87" s="321">
        <f ca="1">StateModDepletions_ThisScenario!AF77</f>
        <v>20230.661121584468</v>
      </c>
      <c r="BB87" s="321">
        <f ca="1">StateModDepletions_ThisScenario!AH77</f>
        <v>14416.168841302395</v>
      </c>
      <c r="BC87" s="321">
        <f ca="1">StateModDepletions_ThisScenario!AI77</f>
        <v>15237.998194333288</v>
      </c>
      <c r="BD87" s="321">
        <f ca="1">StateModDepletions_ThisScenario!N77</f>
        <v>1326.6977829933167</v>
      </c>
      <c r="BE87" s="321">
        <f ca="1">StateModDepletions_ThisScenario!V77</f>
        <v>8371.530348777771</v>
      </c>
      <c r="BF87" s="288">
        <f t="shared" ca="1" si="100"/>
        <v>91886.316589089663</v>
      </c>
      <c r="BG87" s="288">
        <f t="shared" ca="1" si="101"/>
        <v>268142.51892348251</v>
      </c>
      <c r="BI87" s="288">
        <f t="shared" ca="1" si="102"/>
        <v>770246.23139143887</v>
      </c>
      <c r="BK87" s="286">
        <f>AnnualAggregations!$D79</f>
        <v>35893.000000000058</v>
      </c>
      <c r="BL87" s="286">
        <f>AnnualAggregations!$B79</f>
        <v>57103.827328755295</v>
      </c>
      <c r="BM87" s="286">
        <f>AnnualDepletions!$BK79</f>
        <v>43274.40509322963</v>
      </c>
      <c r="BN87" s="286">
        <f>AnnualAggregations!$E79</f>
        <v>5000.0000000019463</v>
      </c>
      <c r="BO87" s="287">
        <f t="shared" si="103"/>
        <v>141271.23242198693</v>
      </c>
      <c r="BP87" s="321">
        <f ca="1">StateModDepletions_ThisScenario!Y77</f>
        <v>212.11356273293495</v>
      </c>
      <c r="BQ87" s="321">
        <f ca="1">StateModDepletions_ThisScenario!AJ77</f>
        <v>168542.3329720904</v>
      </c>
      <c r="BR87" s="321">
        <f ca="1">StateModDepletions_ThisScenario!Z77</f>
        <v>217884.83100879192</v>
      </c>
      <c r="BS87" s="321">
        <f ca="1">StateModDepletions_ThisScenario!AA77</f>
        <v>49130.384473968588</v>
      </c>
      <c r="BT87" s="286">
        <f>AnnualDepletions!$BG79</f>
        <v>12296.800000006155</v>
      </c>
      <c r="BV87" s="287">
        <f t="shared" ca="1" si="104"/>
        <v>923814.26381343196</v>
      </c>
      <c r="BW87" s="287">
        <f t="shared" ca="1" si="105"/>
        <v>874683.87933946331</v>
      </c>
      <c r="BX87" s="287">
        <f t="shared" ca="1" si="92"/>
        <v>889558.87933946331</v>
      </c>
      <c r="BY87" s="287">
        <f>SJRIPSummaryRAW!$B$79</f>
        <v>14875</v>
      </c>
      <c r="CC87" s="282">
        <v>2000</v>
      </c>
      <c r="CD87" s="286">
        <f>AnnualAggregations!K79</f>
        <v>289778.66461234522</v>
      </c>
      <c r="CE87" s="442" t="s">
        <v>597</v>
      </c>
      <c r="CF87" s="286">
        <f>AnnualDeplReqs!$AM79</f>
        <v>12100.000000000002</v>
      </c>
      <c r="CG87" s="286">
        <f>AnnualDeplReqs!$AK79</f>
        <v>7970.0000000000036</v>
      </c>
      <c r="CH87" s="286">
        <f>AnnualDeplReqs!$L79</f>
        <v>899.99999999999955</v>
      </c>
      <c r="CI87" s="443">
        <f t="shared" si="106"/>
        <v>319056.72814566171</v>
      </c>
      <c r="CJ87" s="286">
        <f>AnnualDeplReqs!$AO79</f>
        <v>1628.9999999998124</v>
      </c>
      <c r="CK87" s="286">
        <f>AnnualDeplReqs!$AY79</f>
        <v>2141.9999999997558</v>
      </c>
      <c r="CL87" s="286">
        <f>AnnualAggregations!$N79</f>
        <v>37366.617595614945</v>
      </c>
      <c r="CM87" s="286">
        <f>AnnualAggregations!$O79</f>
        <v>14013.999999998387</v>
      </c>
      <c r="CN87" s="286">
        <f>AnnualAggregations!$P79</f>
        <v>15006.999999998281</v>
      </c>
      <c r="CO87" s="286">
        <f>AnnualDeplReqs!$AL79</f>
        <v>12812.99999999853</v>
      </c>
      <c r="CP87" s="286">
        <f>AnnualDeplReqs!$AG79</f>
        <v>10685.999999998763</v>
      </c>
      <c r="CQ87" s="286">
        <f>AnnualDeplReqs!$AN79</f>
        <v>3538.9999999995921</v>
      </c>
      <c r="CR87" s="287">
        <f t="shared" si="107"/>
        <v>95567.617595608244</v>
      </c>
      <c r="CS87" s="287">
        <f t="shared" si="108"/>
        <v>416253.34574126976</v>
      </c>
      <c r="CT87" s="286">
        <f>AnnualDeplReqs!$AP79</f>
        <v>340.98999999997511</v>
      </c>
      <c r="CU87" s="442" t="s">
        <v>597</v>
      </c>
      <c r="CV87" s="286">
        <f>AnnualDeplReqs!$AJ79</f>
        <v>38999.999998983862</v>
      </c>
      <c r="CW87" s="286">
        <f>AnnualDeplReqs!$BC79</f>
        <v>16199.999998970494</v>
      </c>
      <c r="CX87" s="286">
        <f>AnnualDeplReqs!$J79</f>
        <v>2499.9900000012672</v>
      </c>
      <c r="CY87" s="286">
        <f>AnnualAggregations!$Q79</f>
        <v>11624.990000001573</v>
      </c>
      <c r="CZ87" s="287">
        <f t="shared" si="109"/>
        <v>69665.969997957174</v>
      </c>
      <c r="DA87" s="443">
        <f t="shared" si="110"/>
        <v>97306.030911335998</v>
      </c>
      <c r="DB87" s="287">
        <f t="shared" si="111"/>
        <v>513559.37665260577</v>
      </c>
      <c r="DD87" s="440" t="s">
        <v>628</v>
      </c>
      <c r="DE87" s="440" t="s">
        <v>628</v>
      </c>
      <c r="DF87" s="440" t="s">
        <v>628</v>
      </c>
      <c r="DG87" s="440" t="s">
        <v>628</v>
      </c>
      <c r="DH87" s="440" t="s">
        <v>628</v>
      </c>
      <c r="DI87" s="440" t="s">
        <v>628</v>
      </c>
      <c r="DJ87" s="440" t="s">
        <v>628</v>
      </c>
      <c r="DK87" s="440" t="s">
        <v>628</v>
      </c>
      <c r="DL87" s="440" t="s">
        <v>628</v>
      </c>
      <c r="DM87" s="440" t="s">
        <v>628</v>
      </c>
      <c r="DN87" s="440" t="s">
        <v>628</v>
      </c>
      <c r="DO87" s="440" t="s">
        <v>628</v>
      </c>
      <c r="DP87" s="440" t="s">
        <v>628</v>
      </c>
      <c r="DR87" s="440" t="s">
        <v>628</v>
      </c>
      <c r="DT87" s="286">
        <f>AnnualAggregations!$L79</f>
        <v>35893.000000000073</v>
      </c>
      <c r="DU87" s="443">
        <f>AnnualAggregations!$J79</f>
        <v>57310.979900741448</v>
      </c>
      <c r="DV87" s="442" t="s">
        <v>597</v>
      </c>
      <c r="DW87" s="286">
        <f>AnnualAggregations!$M79</f>
        <v>5000.0000000019463</v>
      </c>
      <c r="DX87" s="442" t="s">
        <v>597</v>
      </c>
      <c r="DY87" s="440" t="s">
        <v>628</v>
      </c>
      <c r="DZ87" s="440" t="s">
        <v>628</v>
      </c>
      <c r="EA87" s="440" t="s">
        <v>628</v>
      </c>
      <c r="EB87" s="440" t="s">
        <v>628</v>
      </c>
      <c r="EC87" s="286">
        <f>AnnualDeplReqs!$BG79</f>
        <v>12296.800000006155</v>
      </c>
      <c r="EE87" s="440" t="s">
        <v>628</v>
      </c>
      <c r="EF87" s="440" t="s">
        <v>628</v>
      </c>
      <c r="EG87" s="440" t="s">
        <v>628</v>
      </c>
      <c r="EH87" s="442" t="s">
        <v>597</v>
      </c>
      <c r="EL87" s="282">
        <v>2000</v>
      </c>
      <c r="EM87" s="286">
        <f>AnnualAggregations!S79</f>
        <v>362223.33076543163</v>
      </c>
      <c r="EN87" s="442" t="s">
        <v>597</v>
      </c>
      <c r="EO87" s="286">
        <f>AnnualDiversions!$AM79</f>
        <v>24160.880683189996</v>
      </c>
      <c r="EP87" s="286">
        <f>AnnualDiversions!$AK79</f>
        <v>15864.246446422729</v>
      </c>
      <c r="EQ87" s="286">
        <f>AnnualDiversions!$L79</f>
        <v>1799.9999999999991</v>
      </c>
      <c r="ER87" s="287">
        <f t="shared" si="112"/>
        <v>404048.45789504435</v>
      </c>
      <c r="ES87" s="286">
        <f>AnnualDiversions!$AO79</f>
        <v>3257.9999999996248</v>
      </c>
      <c r="ET87" s="286">
        <f>AnnualDiversions!$AY79</f>
        <v>3876.9230769226324</v>
      </c>
      <c r="EU87" s="286">
        <f>AnnualAggregations!$V79</f>
        <v>62731.077729849974</v>
      </c>
      <c r="EV87" s="286">
        <f>AnnualAggregations!$W79</f>
        <v>4348.7438046857378</v>
      </c>
      <c r="EW87" s="286">
        <f>AnnualAggregations!$X79</f>
        <v>23004.853073953469</v>
      </c>
      <c r="EX87" s="286">
        <f>AnnualDiversions!$AL79</f>
        <v>15199.288256226017</v>
      </c>
      <c r="EY87" s="286">
        <f>AnnualDiversions!$AG79</f>
        <v>20225.881915417867</v>
      </c>
      <c r="EZ87" s="286">
        <f>AnnualDiversions!$AN79</f>
        <v>6654.131804079334</v>
      </c>
      <c r="FA87" s="287">
        <f t="shared" si="113"/>
        <v>136040.89966113502</v>
      </c>
      <c r="FB87" s="287">
        <f t="shared" si="114"/>
        <v>543347.35755617905</v>
      </c>
      <c r="FC87" s="286">
        <f>AnnualDiversions!$AP79</f>
        <v>378.87777777775057</v>
      </c>
      <c r="FD87" s="442" t="s">
        <v>597</v>
      </c>
      <c r="FE87" s="286">
        <f>AnnualDiversions!$AJ79</f>
        <v>38999.999998983862</v>
      </c>
      <c r="FF87" s="286">
        <f>AnnualDiversions!$BC79</f>
        <v>16199.999998970494</v>
      </c>
      <c r="FG87" s="286">
        <f>AnnualDiversions!$J79</f>
        <v>4166.6500000021233</v>
      </c>
      <c r="FH87" s="286">
        <f>AnnualAggregations!$Y79</f>
        <v>19374.983333335967</v>
      </c>
      <c r="FI87" s="287">
        <f t="shared" si="115"/>
        <v>79120.511109070212</v>
      </c>
      <c r="FJ87" s="287">
        <f t="shared" si="116"/>
        <v>79120.511109070198</v>
      </c>
      <c r="FK87" s="287">
        <f t="shared" si="117"/>
        <v>622467.8686652492</v>
      </c>
      <c r="FM87" s="440" t="s">
        <v>628</v>
      </c>
      <c r="FN87" s="440" t="s">
        <v>628</v>
      </c>
      <c r="FO87" s="440" t="s">
        <v>628</v>
      </c>
      <c r="FP87" s="440" t="s">
        <v>628</v>
      </c>
      <c r="FQ87" s="440" t="s">
        <v>628</v>
      </c>
      <c r="FR87" s="440" t="s">
        <v>628</v>
      </c>
      <c r="FS87" s="440" t="s">
        <v>628</v>
      </c>
      <c r="FT87" s="440" t="s">
        <v>628</v>
      </c>
      <c r="FU87" s="440" t="s">
        <v>628</v>
      </c>
      <c r="FV87" s="440" t="s">
        <v>628</v>
      </c>
      <c r="FW87" s="440" t="s">
        <v>628</v>
      </c>
      <c r="FX87" s="440" t="s">
        <v>628</v>
      </c>
      <c r="FY87" s="440" t="s">
        <v>628</v>
      </c>
      <c r="GA87" s="440" t="s">
        <v>628</v>
      </c>
      <c r="GC87" s="286">
        <f>AnnualAggregations!$T79</f>
        <v>37763.476493275433</v>
      </c>
      <c r="GD87" s="286">
        <f>AnnualAggregations!$R79</f>
        <v>109067.13000005134</v>
      </c>
      <c r="GE87" s="443">
        <f t="shared" si="118"/>
        <v>43274.40509322963</v>
      </c>
      <c r="GF87" s="286">
        <f>AnnualAggregations!$U79</f>
        <v>5000.0000000019463</v>
      </c>
      <c r="GG87" s="287">
        <f t="shared" si="119"/>
        <v>195105.01158655836</v>
      </c>
      <c r="GH87" s="440" t="s">
        <v>628</v>
      </c>
      <c r="GI87" s="440" t="s">
        <v>628</v>
      </c>
      <c r="GJ87" s="440" t="s">
        <v>628</v>
      </c>
      <c r="GK87" s="440" t="s">
        <v>628</v>
      </c>
      <c r="GL87" s="286">
        <f>AnnualDiversions!$BG79</f>
        <v>12296.800000006155</v>
      </c>
      <c r="GN87" s="440" t="s">
        <v>628</v>
      </c>
      <c r="GO87" s="440" t="s">
        <v>628</v>
      </c>
      <c r="GP87" s="440" t="s">
        <v>628</v>
      </c>
      <c r="GQ87" s="442" t="s">
        <v>597</v>
      </c>
      <c r="GU87" s="282">
        <v>2000</v>
      </c>
      <c r="GV87" s="286">
        <f>AnnualAggregations!AA79</f>
        <v>362223.33076543163</v>
      </c>
      <c r="GW87" s="442" t="s">
        <v>597</v>
      </c>
      <c r="GX87" s="286">
        <f>AnnualDivReqs!$AM79</f>
        <v>24160.880683189996</v>
      </c>
      <c r="GY87" s="286">
        <f>AnnualDivReqs!$AK79</f>
        <v>15864.246446422729</v>
      </c>
      <c r="GZ87" s="286">
        <f>AnnualDivReqs!$L79</f>
        <v>1799.9999999999991</v>
      </c>
      <c r="HA87" s="287">
        <f t="shared" si="120"/>
        <v>404048.45789504435</v>
      </c>
      <c r="HB87" s="286">
        <f>AnnualDivReqs!$AO79</f>
        <v>3257.9999999996248</v>
      </c>
      <c r="HC87" s="286">
        <f>AnnualDivReqs!$AY79</f>
        <v>3876.9230769226324</v>
      </c>
      <c r="HD87" s="286">
        <f>AnnualAggregations!$AD79</f>
        <v>62731.077729849974</v>
      </c>
      <c r="HE87" s="286">
        <f>AnnualAggregations!$AE79</f>
        <v>25097.863462788249</v>
      </c>
      <c r="HF87" s="286">
        <f>AnnualAggregations!$AF79</f>
        <v>23004.853073953469</v>
      </c>
      <c r="HG87" s="286">
        <f>AnnualDivReqs!$AL79</f>
        <v>15199.288256226017</v>
      </c>
      <c r="HH87" s="286">
        <f>AnnualDivReqs!$AG79</f>
        <v>20252.061025298539</v>
      </c>
      <c r="HI87" s="286">
        <f>AnnualDivReqs!$AN79</f>
        <v>6654.131804079334</v>
      </c>
      <c r="HJ87" s="287">
        <f t="shared" si="121"/>
        <v>156816.19842911823</v>
      </c>
      <c r="HK87" s="287">
        <f t="shared" si="122"/>
        <v>564122.65632416226</v>
      </c>
      <c r="HL87" s="286">
        <f>AnnualDivReqs!$AP79</f>
        <v>378.87777777775057</v>
      </c>
      <c r="HM87" s="442" t="s">
        <v>597</v>
      </c>
      <c r="HN87" s="286">
        <f>AnnualDivReqs!$AJ79</f>
        <v>38999.999998983862</v>
      </c>
      <c r="HO87" s="286">
        <f>AnnualDivReqs!$BC79</f>
        <v>16199.999998970494</v>
      </c>
      <c r="HP87" s="286">
        <f>AnnualDivReqs!$J79</f>
        <v>4166.6500000021233</v>
      </c>
      <c r="HQ87" s="286">
        <f>AnnualAggregations!$AG79</f>
        <v>19374.983333335967</v>
      </c>
      <c r="HR87" s="287">
        <f t="shared" si="123"/>
        <v>79120.511109070212</v>
      </c>
      <c r="HS87" s="287">
        <f t="shared" si="124"/>
        <v>79120.511109070198</v>
      </c>
      <c r="HT87" s="287">
        <f t="shared" si="125"/>
        <v>643243.16743323242</v>
      </c>
      <c r="HV87" s="440" t="s">
        <v>628</v>
      </c>
      <c r="HW87" s="440" t="s">
        <v>628</v>
      </c>
      <c r="HX87" s="440" t="s">
        <v>628</v>
      </c>
      <c r="HY87" s="440" t="s">
        <v>628</v>
      </c>
      <c r="HZ87" s="440" t="s">
        <v>628</v>
      </c>
      <c r="IA87" s="440" t="s">
        <v>628</v>
      </c>
      <c r="IB87" s="440" t="s">
        <v>628</v>
      </c>
      <c r="IC87" s="440" t="s">
        <v>628</v>
      </c>
      <c r="ID87" s="440" t="s">
        <v>628</v>
      </c>
      <c r="IE87" s="440" t="s">
        <v>628</v>
      </c>
      <c r="IF87" s="440" t="s">
        <v>628</v>
      </c>
      <c r="IG87" s="440" t="s">
        <v>628</v>
      </c>
      <c r="IH87" s="440" t="s">
        <v>628</v>
      </c>
      <c r="IJ87" s="440" t="s">
        <v>628</v>
      </c>
      <c r="IL87" s="286">
        <f>AnnualAggregations!$AB79</f>
        <v>37763.476493275448</v>
      </c>
      <c r="IM87" s="286">
        <f>AnnualAggregations!$Z79</f>
        <v>109481.43514402365</v>
      </c>
      <c r="IN87" s="442" t="s">
        <v>597</v>
      </c>
      <c r="IO87" s="286">
        <f>AnnualAggregations!$AC79</f>
        <v>5000.0000000019463</v>
      </c>
      <c r="IP87" s="442" t="s">
        <v>597</v>
      </c>
      <c r="IQ87" s="440" t="s">
        <v>628</v>
      </c>
      <c r="IR87" s="440" t="s">
        <v>628</v>
      </c>
      <c r="IS87" s="440" t="s">
        <v>628</v>
      </c>
      <c r="IT87" s="440" t="s">
        <v>628</v>
      </c>
      <c r="IU87" s="286">
        <f>AnnualDivReqs!$BG79</f>
        <v>12296.800000006155</v>
      </c>
      <c r="IW87" s="440" t="s">
        <v>628</v>
      </c>
      <c r="IX87" s="440" t="s">
        <v>628</v>
      </c>
      <c r="IY87" s="440" t="s">
        <v>628</v>
      </c>
      <c r="IZ87" s="442" t="s">
        <v>597</v>
      </c>
    </row>
    <row r="88" spans="20:260" x14ac:dyDescent="0.25">
      <c r="T88" s="282">
        <v>2001</v>
      </c>
      <c r="U88" s="286">
        <f>AnnualAggregations!$C80</f>
        <v>271594.97844870068</v>
      </c>
      <c r="V88" s="286">
        <f>AnnualDepletions!$BI80</f>
        <v>4806.9756705034179</v>
      </c>
      <c r="W88" s="286">
        <f>AnnualDepletions!$AM80</f>
        <v>12099.999999999995</v>
      </c>
      <c r="X88" s="286">
        <f>AnnualDepletions!$AK80</f>
        <v>7970.0000000000064</v>
      </c>
      <c r="Y88" s="286">
        <f>AnnualDepletions!$L80</f>
        <v>900.00000000000034</v>
      </c>
      <c r="Z88" s="287">
        <f t="shared" si="93"/>
        <v>297371.95411920408</v>
      </c>
      <c r="AA88" s="286">
        <f>AnnualDepletions!$AO80</f>
        <v>1210.9999999998608</v>
      </c>
      <c r="AB88" s="286">
        <f>AnnualDepletions!$AY80</f>
        <v>1809.9999999997915</v>
      </c>
      <c r="AC88" s="286">
        <f>AnnualAggregations!$F80</f>
        <v>36714.614447607848</v>
      </c>
      <c r="AD88" s="286">
        <f>AnnualAggregations!$G80</f>
        <v>3266.2904850864134</v>
      </c>
      <c r="AE88" s="286">
        <f>AnnualAggregations!$H80</f>
        <v>14129.999999998379</v>
      </c>
      <c r="AF88" s="286">
        <f>AnnualDepletions!$AL80</f>
        <v>11934.99999999863</v>
      </c>
      <c r="AG88" s="286">
        <f>AnnualDepletions!$AG80</f>
        <v>9934.9999999988559</v>
      </c>
      <c r="AH88" s="286">
        <f>AnnualDepletions!$AN80</f>
        <v>3508.9999999995925</v>
      </c>
      <c r="AI88" s="287">
        <f t="shared" si="94"/>
        <v>81299.904932689504</v>
      </c>
      <c r="AJ88" s="287">
        <f t="shared" si="95"/>
        <v>379882.85905189347</v>
      </c>
      <c r="AK88" s="286">
        <f>AnnualDepletions!$AP80</f>
        <v>340.98999999997505</v>
      </c>
      <c r="AL88" s="286">
        <f>AnnualDepletions!$BH80</f>
        <v>28664.449471524342</v>
      </c>
      <c r="AM88" s="286">
        <f>AnnualDepletions!$AJ80</f>
        <v>38999.999998983854</v>
      </c>
      <c r="AN88" s="286">
        <f>AnnualDepletions!$BC80</f>
        <v>16199.99999897049</v>
      </c>
      <c r="AO88" s="286">
        <f>AnnualDepletions!$J80</f>
        <v>2499.9900000012672</v>
      </c>
      <c r="AP88" s="286">
        <f>AnnualAggregations!$I80</f>
        <v>11624.990000001573</v>
      </c>
      <c r="AQ88" s="287">
        <f t="shared" si="96"/>
        <v>69665.96999795716</v>
      </c>
      <c r="AR88" s="287">
        <f t="shared" si="97"/>
        <v>98330.419469481509</v>
      </c>
      <c r="AS88" s="287">
        <f t="shared" si="98"/>
        <v>478213.27852137497</v>
      </c>
      <c r="AU88" s="321">
        <f ca="1">StateModDepletions_ThisScenario!AC78</f>
        <v>34803.55055565387</v>
      </c>
      <c r="AV88" s="321">
        <f ca="1">StateModDepletions_ThisScenario!AD78</f>
        <v>19115.031351417303</v>
      </c>
      <c r="AW88" s="321">
        <f ca="1">StateModDepletions_ThisScenario!AE78</f>
        <v>112243.96970271319</v>
      </c>
      <c r="AX88" s="321">
        <f ca="1">StateModDepletions_ThisScenario!AB78</f>
        <v>24765.810481309891</v>
      </c>
      <c r="AY88" s="288">
        <f t="shared" ca="1" si="99"/>
        <v>190928.36209109426</v>
      </c>
      <c r="AZ88" s="321">
        <f ca="1">StateModDepletions_ThisScenario!AG78</f>
        <v>43810.359875886221</v>
      </c>
      <c r="BA88" s="321">
        <f ca="1">StateModDepletions_ThisScenario!AF78</f>
        <v>21872.030249141142</v>
      </c>
      <c r="BB88" s="321">
        <f ca="1">StateModDepletions_ThisScenario!AH78</f>
        <v>16856.432319462299</v>
      </c>
      <c r="BC88" s="321">
        <f ca="1">StateModDepletions_ThisScenario!AI78</f>
        <v>18033.323428570257</v>
      </c>
      <c r="BD88" s="321">
        <f ca="1">StateModDepletions_ThisScenario!N78</f>
        <v>1326.6977829933167</v>
      </c>
      <c r="BE88" s="321">
        <f ca="1">StateModDepletions_ThisScenario!V78</f>
        <v>11804.499000549316</v>
      </c>
      <c r="BF88" s="288">
        <f t="shared" ca="1" si="100"/>
        <v>113703.34265660256</v>
      </c>
      <c r="BG88" s="288">
        <f t="shared" ca="1" si="101"/>
        <v>304631.70474769681</v>
      </c>
      <c r="BI88" s="288">
        <f t="shared" ca="1" si="102"/>
        <v>782844.98326907179</v>
      </c>
      <c r="BK88" s="286">
        <f>AnnualAggregations!$D80</f>
        <v>35893.000000000065</v>
      </c>
      <c r="BL88" s="286">
        <f>AnnualAggregations!$B80</f>
        <v>57157.976672619683</v>
      </c>
      <c r="BM88" s="286">
        <f>AnnualDepletions!$BK80</f>
        <v>110278.94257695759</v>
      </c>
      <c r="BN88" s="286">
        <f>AnnualAggregations!$E80</f>
        <v>5000.0000000019172</v>
      </c>
      <c r="BO88" s="287">
        <f t="shared" si="103"/>
        <v>208329.91924957925</v>
      </c>
      <c r="BP88" s="321">
        <f ca="1">StateModDepletions_ThisScenario!Y78</f>
        <v>212.11356273293495</v>
      </c>
      <c r="BQ88" s="321">
        <f ca="1">StateModDepletions_ThisScenario!AJ78</f>
        <v>162294.72091117146</v>
      </c>
      <c r="BR88" s="321">
        <f ca="1">StateModDepletions_ThisScenario!Z78</f>
        <v>229907.88041687012</v>
      </c>
      <c r="BS88" s="321">
        <f ca="1">StateModDepletions_ThisScenario!AA78</f>
        <v>67401.04594296572</v>
      </c>
      <c r="BT88" s="286">
        <f>AnnualDepletions!$BG80</f>
        <v>12296.800000006155</v>
      </c>
      <c r="BV88" s="287">
        <f t="shared" ca="1" si="104"/>
        <v>1003471.7025186572</v>
      </c>
      <c r="BW88" s="287">
        <f t="shared" ca="1" si="105"/>
        <v>936070.65657569142</v>
      </c>
      <c r="BX88" s="287">
        <f t="shared" ca="1" si="92"/>
        <v>950945.65657569142</v>
      </c>
      <c r="BY88" s="287">
        <f>SJRIPSummaryRAW!$B$79</f>
        <v>14875</v>
      </c>
      <c r="CC88" s="282">
        <v>2001</v>
      </c>
      <c r="CD88" s="286">
        <f>AnnualAggregations!K80</f>
        <v>271594.97844870068</v>
      </c>
      <c r="CE88" s="442" t="s">
        <v>597</v>
      </c>
      <c r="CF88" s="286">
        <f>AnnualDeplReqs!$AM80</f>
        <v>12099.999999999995</v>
      </c>
      <c r="CG88" s="286">
        <f>AnnualDeplReqs!$AK80</f>
        <v>7970.0000000000064</v>
      </c>
      <c r="CH88" s="286">
        <f>AnnualDeplReqs!$L80</f>
        <v>900.00000000000034</v>
      </c>
      <c r="CI88" s="443">
        <f t="shared" si="106"/>
        <v>297371.95411920408</v>
      </c>
      <c r="CJ88" s="286">
        <f>AnnualDeplReqs!$AO80</f>
        <v>1210.9999999998608</v>
      </c>
      <c r="CK88" s="286">
        <f>AnnualDeplReqs!$AY80</f>
        <v>1809.9999999997915</v>
      </c>
      <c r="CL88" s="286">
        <f>AnnualAggregations!$N80</f>
        <v>36714.614447607848</v>
      </c>
      <c r="CM88" s="286">
        <f>AnnualAggregations!$O80</f>
        <v>13463.999999998437</v>
      </c>
      <c r="CN88" s="286">
        <f>AnnualAggregations!$P80</f>
        <v>14129.999999998379</v>
      </c>
      <c r="CO88" s="286">
        <f>AnnualDeplReqs!$AL80</f>
        <v>11934.99999999863</v>
      </c>
      <c r="CP88" s="286">
        <f>AnnualDeplReqs!$AG80</f>
        <v>9934.9999999988559</v>
      </c>
      <c r="CQ88" s="286">
        <f>AnnualDeplReqs!$AN80</f>
        <v>3508.9999999995925</v>
      </c>
      <c r="CR88" s="287">
        <f t="shared" si="107"/>
        <v>91497.614447601532</v>
      </c>
      <c r="CS88" s="287">
        <f t="shared" si="108"/>
        <v>390080.56856680551</v>
      </c>
      <c r="CT88" s="286">
        <f>AnnualDeplReqs!$AP80</f>
        <v>340.98999999997505</v>
      </c>
      <c r="CU88" s="442" t="s">
        <v>597</v>
      </c>
      <c r="CV88" s="286">
        <f>AnnualDeplReqs!$AJ80</f>
        <v>38999.999998983854</v>
      </c>
      <c r="CW88" s="286">
        <f>AnnualDeplReqs!$BC80</f>
        <v>16199.99999897049</v>
      </c>
      <c r="CX88" s="286">
        <f>AnnualDeplReqs!$J80</f>
        <v>2499.9900000012672</v>
      </c>
      <c r="CY88" s="286">
        <f>AnnualAggregations!$Q80</f>
        <v>11624.990000001573</v>
      </c>
      <c r="CZ88" s="287">
        <f t="shared" si="109"/>
        <v>69665.96999795716</v>
      </c>
      <c r="DA88" s="443">
        <f t="shared" si="110"/>
        <v>98330.419469481509</v>
      </c>
      <c r="DB88" s="287">
        <f t="shared" si="111"/>
        <v>488410.98803628702</v>
      </c>
      <c r="DD88" s="440" t="s">
        <v>628</v>
      </c>
      <c r="DE88" s="440" t="s">
        <v>628</v>
      </c>
      <c r="DF88" s="440" t="s">
        <v>628</v>
      </c>
      <c r="DG88" s="440" t="s">
        <v>628</v>
      </c>
      <c r="DH88" s="440" t="s">
        <v>628</v>
      </c>
      <c r="DI88" s="440" t="s">
        <v>628</v>
      </c>
      <c r="DJ88" s="440" t="s">
        <v>628</v>
      </c>
      <c r="DK88" s="440" t="s">
        <v>628</v>
      </c>
      <c r="DL88" s="440" t="s">
        <v>628</v>
      </c>
      <c r="DM88" s="440" t="s">
        <v>628</v>
      </c>
      <c r="DN88" s="440" t="s">
        <v>628</v>
      </c>
      <c r="DO88" s="440" t="s">
        <v>628</v>
      </c>
      <c r="DP88" s="440" t="s">
        <v>628</v>
      </c>
      <c r="DR88" s="440" t="s">
        <v>628</v>
      </c>
      <c r="DT88" s="286">
        <f>AnnualAggregations!$L80</f>
        <v>35893.000000000073</v>
      </c>
      <c r="DU88" s="443">
        <f>AnnualAggregations!$J80</f>
        <v>57270.684339286432</v>
      </c>
      <c r="DV88" s="442" t="s">
        <v>597</v>
      </c>
      <c r="DW88" s="286">
        <f>AnnualAggregations!$M80</f>
        <v>5000.0000000019172</v>
      </c>
      <c r="DX88" s="442" t="s">
        <v>597</v>
      </c>
      <c r="DY88" s="440" t="s">
        <v>628</v>
      </c>
      <c r="DZ88" s="440" t="s">
        <v>628</v>
      </c>
      <c r="EA88" s="440" t="s">
        <v>628</v>
      </c>
      <c r="EB88" s="440" t="s">
        <v>628</v>
      </c>
      <c r="EC88" s="286">
        <f>AnnualDeplReqs!$BG80</f>
        <v>12296.800000006155</v>
      </c>
      <c r="EE88" s="440" t="s">
        <v>628</v>
      </c>
      <c r="EF88" s="440" t="s">
        <v>628</v>
      </c>
      <c r="EG88" s="440" t="s">
        <v>628</v>
      </c>
      <c r="EH88" s="442" t="s">
        <v>597</v>
      </c>
      <c r="EL88" s="282">
        <v>2001</v>
      </c>
      <c r="EM88" s="286">
        <f>AnnualAggregations!S80</f>
        <v>339493.72306087543</v>
      </c>
      <c r="EN88" s="442" t="s">
        <v>597</v>
      </c>
      <c r="EO88" s="286">
        <f>AnnualDiversions!$AM80</f>
        <v>24160.880683190004</v>
      </c>
      <c r="EP88" s="286">
        <f>AnnualDiversions!$AK80</f>
        <v>15864.246446422745</v>
      </c>
      <c r="EQ88" s="286">
        <f>AnnualDiversions!$L80</f>
        <v>1800.0000000000007</v>
      </c>
      <c r="ER88" s="287">
        <f t="shared" si="112"/>
        <v>381318.85019048821</v>
      </c>
      <c r="ES88" s="286">
        <f>AnnualDiversions!$AO80</f>
        <v>2421.9999999997217</v>
      </c>
      <c r="ET88" s="286">
        <f>AnnualDiversions!$AY80</f>
        <v>3276.0180995471346</v>
      </c>
      <c r="EU88" s="286">
        <f>AnnualAggregations!$V80</f>
        <v>61625.486253345764</v>
      </c>
      <c r="EV88" s="286">
        <f>AnnualAggregations!$W80</f>
        <v>5642.0633432935683</v>
      </c>
      <c r="EW88" s="286">
        <f>AnnualAggregations!$X80</f>
        <v>21659.448214886204</v>
      </c>
      <c r="EX88" s="286">
        <f>AnnualDiversions!$AL80</f>
        <v>14157.769869512023</v>
      </c>
      <c r="EY88" s="286">
        <f>AnnualDiversions!$AG80</f>
        <v>18828.769070404356</v>
      </c>
      <c r="EZ88" s="286">
        <f>AnnualDiversions!$AN80</f>
        <v>6597.7249224397747</v>
      </c>
      <c r="FA88" s="287">
        <f t="shared" si="113"/>
        <v>131787.27977342883</v>
      </c>
      <c r="FB88" s="287">
        <f t="shared" si="114"/>
        <v>515528.12996391673</v>
      </c>
      <c r="FC88" s="286">
        <f>AnnualDiversions!$AP80</f>
        <v>378.87777777775057</v>
      </c>
      <c r="FD88" s="442" t="s">
        <v>597</v>
      </c>
      <c r="FE88" s="286">
        <f>AnnualDiversions!$AJ80</f>
        <v>38999.999998983854</v>
      </c>
      <c r="FF88" s="286">
        <f>AnnualDiversions!$BC80</f>
        <v>16199.99999897049</v>
      </c>
      <c r="FG88" s="286">
        <f>AnnualDiversions!$J80</f>
        <v>4166.6500000021233</v>
      </c>
      <c r="FH88" s="286">
        <f>AnnualAggregations!$Y80</f>
        <v>19374.983333335964</v>
      </c>
      <c r="FI88" s="287">
        <f t="shared" si="115"/>
        <v>79120.511109070183</v>
      </c>
      <c r="FJ88" s="287">
        <f t="shared" si="116"/>
        <v>79120.511109070183</v>
      </c>
      <c r="FK88" s="287">
        <f t="shared" si="117"/>
        <v>594648.64107298688</v>
      </c>
      <c r="FM88" s="440" t="s">
        <v>628</v>
      </c>
      <c r="FN88" s="440" t="s">
        <v>628</v>
      </c>
      <c r="FO88" s="440" t="s">
        <v>628</v>
      </c>
      <c r="FP88" s="440" t="s">
        <v>628</v>
      </c>
      <c r="FQ88" s="440" t="s">
        <v>628</v>
      </c>
      <c r="FR88" s="440" t="s">
        <v>628</v>
      </c>
      <c r="FS88" s="440" t="s">
        <v>628</v>
      </c>
      <c r="FT88" s="440" t="s">
        <v>628</v>
      </c>
      <c r="FU88" s="440" t="s">
        <v>628</v>
      </c>
      <c r="FV88" s="440" t="s">
        <v>628</v>
      </c>
      <c r="FW88" s="440" t="s">
        <v>628</v>
      </c>
      <c r="FX88" s="440" t="s">
        <v>628</v>
      </c>
      <c r="FY88" s="440" t="s">
        <v>628</v>
      </c>
      <c r="GA88" s="440" t="s">
        <v>628</v>
      </c>
      <c r="GC88" s="286">
        <f>AnnualAggregations!$T80</f>
        <v>37764.238566617627</v>
      </c>
      <c r="GD88" s="286">
        <f>AnnualAggregations!$R80</f>
        <v>109067.13000005134</v>
      </c>
      <c r="GE88" s="443">
        <f t="shared" si="118"/>
        <v>110278.94257695759</v>
      </c>
      <c r="GF88" s="286">
        <f>AnnualAggregations!$U80</f>
        <v>5000.0000000019172</v>
      </c>
      <c r="GG88" s="287">
        <f t="shared" si="119"/>
        <v>262110.3111436285</v>
      </c>
      <c r="GH88" s="440" t="s">
        <v>628</v>
      </c>
      <c r="GI88" s="440" t="s">
        <v>628</v>
      </c>
      <c r="GJ88" s="440" t="s">
        <v>628</v>
      </c>
      <c r="GK88" s="440" t="s">
        <v>628</v>
      </c>
      <c r="GL88" s="286">
        <f>AnnualDiversions!$BG80</f>
        <v>12296.800000006155</v>
      </c>
      <c r="GN88" s="440" t="s">
        <v>628</v>
      </c>
      <c r="GO88" s="440" t="s">
        <v>628</v>
      </c>
      <c r="GP88" s="440" t="s">
        <v>628</v>
      </c>
      <c r="GQ88" s="442" t="s">
        <v>597</v>
      </c>
      <c r="GU88" s="282">
        <v>2001</v>
      </c>
      <c r="GV88" s="286">
        <f>AnnualAggregations!AA80</f>
        <v>339493.72306087543</v>
      </c>
      <c r="GW88" s="442" t="s">
        <v>597</v>
      </c>
      <c r="GX88" s="286">
        <f>AnnualDivReqs!$AM80</f>
        <v>24160.880683190004</v>
      </c>
      <c r="GY88" s="286">
        <f>AnnualDivReqs!$AK80</f>
        <v>15864.246446422745</v>
      </c>
      <c r="GZ88" s="286">
        <f>AnnualDivReqs!$L80</f>
        <v>1800.0000000000007</v>
      </c>
      <c r="HA88" s="287">
        <f t="shared" si="120"/>
        <v>381318.85019048821</v>
      </c>
      <c r="HB88" s="286">
        <f>AnnualDivReqs!$AO80</f>
        <v>2421.9999999997217</v>
      </c>
      <c r="HC88" s="286">
        <f>AnnualDivReqs!$AY80</f>
        <v>3276.0180995471346</v>
      </c>
      <c r="HD88" s="286">
        <f>AnnualAggregations!$AD80</f>
        <v>61625.486253345764</v>
      </c>
      <c r="HE88" s="286">
        <f>AnnualAggregations!$AE80</f>
        <v>24115.066085258579</v>
      </c>
      <c r="HF88" s="286">
        <f>AnnualAggregations!$AF80</f>
        <v>21659.448214886204</v>
      </c>
      <c r="HG88" s="286">
        <f>AnnualDivReqs!$AL80</f>
        <v>14157.769869512023</v>
      </c>
      <c r="HH88" s="286">
        <f>AnnualDivReqs!$AG80</f>
        <v>18828.769070404356</v>
      </c>
      <c r="HI88" s="286">
        <f>AnnualDivReqs!$AN80</f>
        <v>6597.7249224397747</v>
      </c>
      <c r="HJ88" s="287">
        <f t="shared" si="121"/>
        <v>150260.28251539383</v>
      </c>
      <c r="HK88" s="287">
        <f t="shared" si="122"/>
        <v>534001.13270588173</v>
      </c>
      <c r="HL88" s="286">
        <f>AnnualDivReqs!$AP80</f>
        <v>378.87777777775057</v>
      </c>
      <c r="HM88" s="442" t="s">
        <v>597</v>
      </c>
      <c r="HN88" s="286">
        <f>AnnualDivReqs!$AJ80</f>
        <v>38999.999998983854</v>
      </c>
      <c r="HO88" s="286">
        <f>AnnualDivReqs!$BC80</f>
        <v>16199.99999897049</v>
      </c>
      <c r="HP88" s="286">
        <f>AnnualDivReqs!$J80</f>
        <v>4166.6500000021233</v>
      </c>
      <c r="HQ88" s="286">
        <f>AnnualAggregations!$AG80</f>
        <v>19374.983333335964</v>
      </c>
      <c r="HR88" s="287">
        <f t="shared" si="123"/>
        <v>79120.511109070183</v>
      </c>
      <c r="HS88" s="287">
        <f t="shared" si="124"/>
        <v>79120.511109070183</v>
      </c>
      <c r="HT88" s="287">
        <f t="shared" si="125"/>
        <v>613121.64381495188</v>
      </c>
      <c r="HV88" s="440" t="s">
        <v>628</v>
      </c>
      <c r="HW88" s="440" t="s">
        <v>628</v>
      </c>
      <c r="HX88" s="440" t="s">
        <v>628</v>
      </c>
      <c r="HY88" s="440" t="s">
        <v>628</v>
      </c>
      <c r="HZ88" s="440" t="s">
        <v>628</v>
      </c>
      <c r="IA88" s="440" t="s">
        <v>628</v>
      </c>
      <c r="IB88" s="440" t="s">
        <v>628</v>
      </c>
      <c r="IC88" s="440" t="s">
        <v>628</v>
      </c>
      <c r="ID88" s="440" t="s">
        <v>628</v>
      </c>
      <c r="IE88" s="440" t="s">
        <v>628</v>
      </c>
      <c r="IF88" s="440" t="s">
        <v>628</v>
      </c>
      <c r="IG88" s="440" t="s">
        <v>628</v>
      </c>
      <c r="IH88" s="440" t="s">
        <v>628</v>
      </c>
      <c r="IJ88" s="440" t="s">
        <v>628</v>
      </c>
      <c r="IL88" s="286">
        <f>AnnualAggregations!$AB80</f>
        <v>37764.238566617634</v>
      </c>
      <c r="IM88" s="286">
        <f>AnnualAggregations!$Z80</f>
        <v>109292.54533338484</v>
      </c>
      <c r="IN88" s="442" t="s">
        <v>597</v>
      </c>
      <c r="IO88" s="286">
        <f>AnnualAggregations!$AC80</f>
        <v>5000.0000000019172</v>
      </c>
      <c r="IP88" s="442" t="s">
        <v>597</v>
      </c>
      <c r="IQ88" s="440" t="s">
        <v>628</v>
      </c>
      <c r="IR88" s="440" t="s">
        <v>628</v>
      </c>
      <c r="IS88" s="440" t="s">
        <v>628</v>
      </c>
      <c r="IT88" s="440" t="s">
        <v>628</v>
      </c>
      <c r="IU88" s="286">
        <f>AnnualDivReqs!$BG80</f>
        <v>12296.800000006155</v>
      </c>
      <c r="IW88" s="440" t="s">
        <v>628</v>
      </c>
      <c r="IX88" s="440" t="s">
        <v>628</v>
      </c>
      <c r="IY88" s="440" t="s">
        <v>628</v>
      </c>
      <c r="IZ88" s="442" t="s">
        <v>597</v>
      </c>
    </row>
    <row r="89" spans="20:260" x14ac:dyDescent="0.25">
      <c r="T89" s="282">
        <v>2002</v>
      </c>
      <c r="U89" s="286">
        <f>AnnualAggregations!$C81</f>
        <v>250684.80985579669</v>
      </c>
      <c r="V89" s="286">
        <f>AnnualDepletions!$BI81</f>
        <v>624.94195192244729</v>
      </c>
      <c r="W89" s="286">
        <f>AnnualDepletions!$AM81</f>
        <v>12099.999999999998</v>
      </c>
      <c r="X89" s="286">
        <f>AnnualDepletions!$AK81</f>
        <v>7970.0000000000091</v>
      </c>
      <c r="Y89" s="286">
        <f>AnnualDepletions!$L81</f>
        <v>899.99999999999977</v>
      </c>
      <c r="Z89" s="287">
        <f t="shared" si="93"/>
        <v>272279.75180771912</v>
      </c>
      <c r="AA89" s="286">
        <f>AnnualDepletions!$AO81</f>
        <v>1516.9999999998263</v>
      </c>
      <c r="AB89" s="286">
        <f>AnnualDepletions!$AY81</f>
        <v>1860.9999999997851</v>
      </c>
      <c r="AC89" s="286">
        <f>AnnualAggregations!$F81</f>
        <v>36015.052790397014</v>
      </c>
      <c r="AD89" s="286">
        <f>AnnualAggregations!$G81</f>
        <v>609.41459971539052</v>
      </c>
      <c r="AE89" s="286">
        <f>AnnualAggregations!$H81</f>
        <v>14246.999999998363</v>
      </c>
      <c r="AF89" s="286">
        <f>AnnualDepletions!$AL81</f>
        <v>12147.999999998594</v>
      </c>
      <c r="AG89" s="286">
        <f>AnnualDepletions!$AG81</f>
        <v>6879.628677763264</v>
      </c>
      <c r="AH89" s="286">
        <f>AnnualDepletions!$AN81</f>
        <v>3362.999999999613</v>
      </c>
      <c r="AI89" s="287">
        <f t="shared" si="94"/>
        <v>75123.096067872015</v>
      </c>
      <c r="AJ89" s="287">
        <f t="shared" si="95"/>
        <v>348919.84787559096</v>
      </c>
      <c r="AK89" s="286">
        <f>AnnualDepletions!$AP81</f>
        <v>340.98999999997505</v>
      </c>
      <c r="AL89" s="286">
        <f>AnnualDepletions!$BH81</f>
        <v>22516.106275070768</v>
      </c>
      <c r="AM89" s="286">
        <f>AnnualDepletions!$AJ81</f>
        <v>38999.999998983854</v>
      </c>
      <c r="AN89" s="286">
        <f>AnnualDepletions!$BC81</f>
        <v>16199.99999897049</v>
      </c>
      <c r="AO89" s="286">
        <f>AnnualDepletions!$J81</f>
        <v>2499.9900000012672</v>
      </c>
      <c r="AP89" s="286">
        <f>AnnualAggregations!$I81</f>
        <v>11624.990000001573</v>
      </c>
      <c r="AQ89" s="287">
        <f t="shared" si="96"/>
        <v>69665.96999795716</v>
      </c>
      <c r="AR89" s="287">
        <f t="shared" si="97"/>
        <v>92182.076273027938</v>
      </c>
      <c r="AS89" s="287">
        <f t="shared" si="98"/>
        <v>441101.92414861888</v>
      </c>
      <c r="AU89" s="321">
        <f ca="1">StateModDepletions_ThisScenario!AC79</f>
        <v>27790.860133875161</v>
      </c>
      <c r="AV89" s="321">
        <f ca="1">StateModDepletions_ThisScenario!AD79</f>
        <v>11955.725285999477</v>
      </c>
      <c r="AW89" s="321">
        <f ca="1">StateModDepletions_ThisScenario!AE79</f>
        <v>72955.914783716202</v>
      </c>
      <c r="AX89" s="321">
        <f ca="1">StateModDepletions_ThisScenario!AB79</f>
        <v>23585.286906480789</v>
      </c>
      <c r="AY89" s="288">
        <f t="shared" ca="1" si="99"/>
        <v>136287.78711007163</v>
      </c>
      <c r="AZ89" s="321">
        <f ca="1">StateModDepletions_ThisScenario!AG79</f>
        <v>11987.918047180623</v>
      </c>
      <c r="BA89" s="321">
        <f ca="1">StateModDepletions_ThisScenario!AF79</f>
        <v>21632.326256833974</v>
      </c>
      <c r="BB89" s="321">
        <f ca="1">StateModDepletions_ThisScenario!AH79</f>
        <v>5703.4624698832631</v>
      </c>
      <c r="BC89" s="321">
        <f ca="1">StateModDepletions_ThisScenario!AI79</f>
        <v>5804.9668499975278</v>
      </c>
      <c r="BD89" s="321">
        <f ca="1">StateModDepletions_ThisScenario!N79</f>
        <v>1326.6977829933167</v>
      </c>
      <c r="BE89" s="321">
        <f ca="1">StateModDepletions_ThisScenario!V79</f>
        <v>3064.0313931107521</v>
      </c>
      <c r="BF89" s="288">
        <f t="shared" ca="1" si="100"/>
        <v>49519.402799999458</v>
      </c>
      <c r="BG89" s="288">
        <f t="shared" ca="1" si="101"/>
        <v>185807.18991007109</v>
      </c>
      <c r="BI89" s="288">
        <f t="shared" ca="1" si="102"/>
        <v>626909.11405868991</v>
      </c>
      <c r="BK89" s="286">
        <f>AnnualAggregations!$D81</f>
        <v>35893.000000000058</v>
      </c>
      <c r="BL89" s="286">
        <f>AnnualAggregations!$B81</f>
        <v>56779.741140745704</v>
      </c>
      <c r="BM89" s="286">
        <f>AnnualDepletions!$BK81</f>
        <v>7345.5348732380489</v>
      </c>
      <c r="BN89" s="286">
        <f>AnnualAggregations!$E81</f>
        <v>4908.395374850008</v>
      </c>
      <c r="BO89" s="287">
        <f t="shared" si="103"/>
        <v>104926.67138883381</v>
      </c>
      <c r="BP89" s="321">
        <f ca="1">StateModDepletions_ThisScenario!Y79</f>
        <v>212.11356273293495</v>
      </c>
      <c r="BQ89" s="321">
        <f ca="1">StateModDepletions_ThisScenario!AJ79</f>
        <v>84245.374887656028</v>
      </c>
      <c r="BR89" s="321">
        <f ca="1">StateModDepletions_ThisScenario!Z79</f>
        <v>130283.96319517493</v>
      </c>
      <c r="BS89" s="321">
        <f ca="1">StateModDepletions_ThisScenario!AA79</f>
        <v>45826.47474478597</v>
      </c>
      <c r="BT89" s="286">
        <f>AnnualDepletions!$BG81</f>
        <v>12296.800000006155</v>
      </c>
      <c r="BV89" s="287">
        <f t="shared" ca="1" si="104"/>
        <v>744132.58544752991</v>
      </c>
      <c r="BW89" s="287">
        <f t="shared" ca="1" si="105"/>
        <v>698306.11070274399</v>
      </c>
      <c r="BX89" s="287">
        <f t="shared" ca="1" si="92"/>
        <v>713181.11070274399</v>
      </c>
      <c r="BY89" s="287">
        <f>SJRIPSummaryRAW!$B$79</f>
        <v>14875</v>
      </c>
      <c r="CC89" s="282">
        <v>2002</v>
      </c>
      <c r="CD89" s="286">
        <f>AnnualAggregations!K81</f>
        <v>250684.80985579669</v>
      </c>
      <c r="CE89" s="442" t="s">
        <v>597</v>
      </c>
      <c r="CF89" s="286">
        <f>AnnualDeplReqs!$AM81</f>
        <v>12099.999999999998</v>
      </c>
      <c r="CG89" s="286">
        <f>AnnualDeplReqs!$AK81</f>
        <v>7970.0000000000091</v>
      </c>
      <c r="CH89" s="286">
        <f>AnnualDeplReqs!$L81</f>
        <v>899.99999999999977</v>
      </c>
      <c r="CI89" s="443">
        <f t="shared" si="106"/>
        <v>272279.75180771912</v>
      </c>
      <c r="CJ89" s="286">
        <f>AnnualDeplReqs!$AO81</f>
        <v>1516.9999999998263</v>
      </c>
      <c r="CK89" s="286">
        <f>AnnualDeplReqs!$AY81</f>
        <v>1860.9999999997851</v>
      </c>
      <c r="CL89" s="286">
        <f>AnnualAggregations!$N81</f>
        <v>36173.250895748817</v>
      </c>
      <c r="CM89" s="286">
        <f>AnnualAggregations!$O81</f>
        <v>13454.99999999845</v>
      </c>
      <c r="CN89" s="286">
        <f>AnnualAggregations!$P81</f>
        <v>14246.999999998363</v>
      </c>
      <c r="CO89" s="286">
        <f>AnnualDeplReqs!$AL81</f>
        <v>12147.999999998594</v>
      </c>
      <c r="CP89" s="286">
        <f>AnnualDeplReqs!$AG81</f>
        <v>10790.999999998759</v>
      </c>
      <c r="CQ89" s="286">
        <f>AnnualDeplReqs!$AN81</f>
        <v>3362.999999999613</v>
      </c>
      <c r="CR89" s="287">
        <f t="shared" si="107"/>
        <v>92038.250895742371</v>
      </c>
      <c r="CS89" s="287">
        <f t="shared" si="108"/>
        <v>365835.00270346133</v>
      </c>
      <c r="CT89" s="286">
        <f>AnnualDeplReqs!$AP81</f>
        <v>340.98999999997505</v>
      </c>
      <c r="CU89" s="442" t="s">
        <v>597</v>
      </c>
      <c r="CV89" s="286">
        <f>AnnualDeplReqs!$AJ81</f>
        <v>38999.999998983854</v>
      </c>
      <c r="CW89" s="286">
        <f>AnnualDeplReqs!$BC81</f>
        <v>16199.99999897049</v>
      </c>
      <c r="CX89" s="286">
        <f>AnnualDeplReqs!$J81</f>
        <v>2499.9900000012672</v>
      </c>
      <c r="CY89" s="286">
        <f>AnnualAggregations!$Q81</f>
        <v>11624.990000001573</v>
      </c>
      <c r="CZ89" s="287">
        <f t="shared" si="109"/>
        <v>69665.96999795716</v>
      </c>
      <c r="DA89" s="443">
        <f t="shared" si="110"/>
        <v>92182.076273027924</v>
      </c>
      <c r="DB89" s="287">
        <f t="shared" si="111"/>
        <v>458017.07897648925</v>
      </c>
      <c r="DD89" s="440" t="s">
        <v>628</v>
      </c>
      <c r="DE89" s="440" t="s">
        <v>628</v>
      </c>
      <c r="DF89" s="440" t="s">
        <v>628</v>
      </c>
      <c r="DG89" s="440" t="s">
        <v>628</v>
      </c>
      <c r="DH89" s="440" t="s">
        <v>628</v>
      </c>
      <c r="DI89" s="440" t="s">
        <v>628</v>
      </c>
      <c r="DJ89" s="440" t="s">
        <v>628</v>
      </c>
      <c r="DK89" s="440" t="s">
        <v>628</v>
      </c>
      <c r="DL89" s="440" t="s">
        <v>628</v>
      </c>
      <c r="DM89" s="440" t="s">
        <v>628</v>
      </c>
      <c r="DN89" s="440" t="s">
        <v>628</v>
      </c>
      <c r="DO89" s="440" t="s">
        <v>628</v>
      </c>
      <c r="DP89" s="440" t="s">
        <v>628</v>
      </c>
      <c r="DR89" s="440" t="s">
        <v>628</v>
      </c>
      <c r="DT89" s="286">
        <f>AnnualAggregations!$L81</f>
        <v>35893.000000000073</v>
      </c>
      <c r="DU89" s="443">
        <f>AnnualAggregations!$J81</f>
        <v>57516.439309786183</v>
      </c>
      <c r="DV89" s="442" t="s">
        <v>597</v>
      </c>
      <c r="DW89" s="286">
        <f>AnnualAggregations!$M81</f>
        <v>5000.0000000019172</v>
      </c>
      <c r="DX89" s="442" t="s">
        <v>597</v>
      </c>
      <c r="DY89" s="440" t="s">
        <v>628</v>
      </c>
      <c r="DZ89" s="440" t="s">
        <v>628</v>
      </c>
      <c r="EA89" s="440" t="s">
        <v>628</v>
      </c>
      <c r="EB89" s="440" t="s">
        <v>628</v>
      </c>
      <c r="EC89" s="286">
        <f>AnnualDeplReqs!$BG81</f>
        <v>12296.800000006155</v>
      </c>
      <c r="EE89" s="440" t="s">
        <v>628</v>
      </c>
      <c r="EF89" s="440" t="s">
        <v>628</v>
      </c>
      <c r="EG89" s="440" t="s">
        <v>628</v>
      </c>
      <c r="EH89" s="442" t="s">
        <v>597</v>
      </c>
      <c r="EL89" s="282">
        <v>2002</v>
      </c>
      <c r="EM89" s="286">
        <f>AnnualAggregations!S81</f>
        <v>313356.01231974614</v>
      </c>
      <c r="EN89" s="442" t="s">
        <v>597</v>
      </c>
      <c r="EO89" s="286">
        <f>AnnualDiversions!$AM81</f>
        <v>24160.880683190007</v>
      </c>
      <c r="EP89" s="286">
        <f>AnnualDiversions!$AK81</f>
        <v>15864.246446422729</v>
      </c>
      <c r="EQ89" s="286">
        <f>AnnualDiversions!$L81</f>
        <v>1799.9999999999995</v>
      </c>
      <c r="ER89" s="287">
        <f t="shared" si="112"/>
        <v>355181.13944935886</v>
      </c>
      <c r="ES89" s="286">
        <f>AnnualDiversions!$AO81</f>
        <v>3033.9999999996526</v>
      </c>
      <c r="ET89" s="286">
        <f>AnnualDiversions!$AY81</f>
        <v>3368.3257918548165</v>
      </c>
      <c r="EU89" s="286">
        <f>AnnualAggregations!$V81</f>
        <v>60406.694096244792</v>
      </c>
      <c r="EV89" s="286">
        <f>AnnualAggregations!$W81</f>
        <v>1058.7748767801397</v>
      </c>
      <c r="EW89" s="286">
        <f>AnnualAggregations!$X81</f>
        <v>21838.838846136034</v>
      </c>
      <c r="EX89" s="286">
        <f>AnnualDiversions!$AL81</f>
        <v>14410.438908657896</v>
      </c>
      <c r="EY89" s="286">
        <f>AnnualDiversions!$AG81</f>
        <v>13038.242542903939</v>
      </c>
      <c r="EZ89" s="286">
        <f>AnnualDiversions!$AN81</f>
        <v>6323.2114317939522</v>
      </c>
      <c r="FA89" s="287">
        <f t="shared" si="113"/>
        <v>120444.52649437157</v>
      </c>
      <c r="FB89" s="287">
        <f t="shared" si="114"/>
        <v>478659.6659437301</v>
      </c>
      <c r="FC89" s="286">
        <f>AnnualDiversions!$AP81</f>
        <v>378.87777777775057</v>
      </c>
      <c r="FD89" s="442" t="s">
        <v>597</v>
      </c>
      <c r="FE89" s="286">
        <f>AnnualDiversions!$AJ81</f>
        <v>38999.999998983854</v>
      </c>
      <c r="FF89" s="286">
        <f>AnnualDiversions!$BC81</f>
        <v>16199.99999897049</v>
      </c>
      <c r="FG89" s="286">
        <f>AnnualDiversions!$J81</f>
        <v>4166.6500000021233</v>
      </c>
      <c r="FH89" s="286">
        <f>AnnualAggregations!$Y81</f>
        <v>19374.983333335964</v>
      </c>
      <c r="FI89" s="287">
        <f t="shared" si="115"/>
        <v>79120.511109070183</v>
      </c>
      <c r="FJ89" s="287">
        <f t="shared" si="116"/>
        <v>79120.511109070183</v>
      </c>
      <c r="FK89" s="287">
        <f t="shared" si="117"/>
        <v>557780.17705280031</v>
      </c>
      <c r="FM89" s="440" t="s">
        <v>628</v>
      </c>
      <c r="FN89" s="440" t="s">
        <v>628</v>
      </c>
      <c r="FO89" s="440" t="s">
        <v>628</v>
      </c>
      <c r="FP89" s="440" t="s">
        <v>628</v>
      </c>
      <c r="FQ89" s="440" t="s">
        <v>628</v>
      </c>
      <c r="FR89" s="440" t="s">
        <v>628</v>
      </c>
      <c r="FS89" s="440" t="s">
        <v>628</v>
      </c>
      <c r="FT89" s="440" t="s">
        <v>628</v>
      </c>
      <c r="FU89" s="440" t="s">
        <v>628</v>
      </c>
      <c r="FV89" s="440" t="s">
        <v>628</v>
      </c>
      <c r="FW89" s="440" t="s">
        <v>628</v>
      </c>
      <c r="FX89" s="440" t="s">
        <v>628</v>
      </c>
      <c r="FY89" s="440" t="s">
        <v>628</v>
      </c>
      <c r="GA89" s="440" t="s">
        <v>628</v>
      </c>
      <c r="GC89" s="286">
        <f>AnnualAggregations!$T81</f>
        <v>37764.23856661762</v>
      </c>
      <c r="GD89" s="286">
        <f>AnnualAggregations!$R81</f>
        <v>109006.69832863759</v>
      </c>
      <c r="GE89" s="443">
        <f t="shared" si="118"/>
        <v>7345.5348732380489</v>
      </c>
      <c r="GF89" s="286">
        <f>AnnualAggregations!$U81</f>
        <v>4908.395374850008</v>
      </c>
      <c r="GG89" s="287">
        <f t="shared" si="119"/>
        <v>159024.86714334326</v>
      </c>
      <c r="GH89" s="440" t="s">
        <v>628</v>
      </c>
      <c r="GI89" s="440" t="s">
        <v>628</v>
      </c>
      <c r="GJ89" s="440" t="s">
        <v>628</v>
      </c>
      <c r="GK89" s="440" t="s">
        <v>628</v>
      </c>
      <c r="GL89" s="286">
        <f>AnnualDiversions!$BG81</f>
        <v>12296.800000006155</v>
      </c>
      <c r="GN89" s="440" t="s">
        <v>628</v>
      </c>
      <c r="GO89" s="440" t="s">
        <v>628</v>
      </c>
      <c r="GP89" s="440" t="s">
        <v>628</v>
      </c>
      <c r="GQ89" s="442" t="s">
        <v>597</v>
      </c>
      <c r="GU89" s="282">
        <v>2002</v>
      </c>
      <c r="GV89" s="286">
        <f>AnnualAggregations!AA81</f>
        <v>313356.01231974614</v>
      </c>
      <c r="GW89" s="442" t="s">
        <v>597</v>
      </c>
      <c r="GX89" s="286">
        <f>AnnualDivReqs!$AM81</f>
        <v>24160.880683190007</v>
      </c>
      <c r="GY89" s="286">
        <f>AnnualDivReqs!$AK81</f>
        <v>15864.246446422729</v>
      </c>
      <c r="GZ89" s="286">
        <f>AnnualDivReqs!$L81</f>
        <v>1799.9999999999995</v>
      </c>
      <c r="HA89" s="287">
        <f t="shared" si="120"/>
        <v>355181.13944935886</v>
      </c>
      <c r="HB89" s="286">
        <f>AnnualDivReqs!$AO81</f>
        <v>3033.9999999996526</v>
      </c>
      <c r="HC89" s="286">
        <f>AnnualDivReqs!$AY81</f>
        <v>3368.3257918548165</v>
      </c>
      <c r="HD89" s="286">
        <f>AnnualAggregations!$AD81</f>
        <v>60669.303982742756</v>
      </c>
      <c r="HE89" s="286">
        <f>AnnualAggregations!$AE81</f>
        <v>24097.679325564015</v>
      </c>
      <c r="HF89" s="286">
        <f>AnnualAggregations!$AF81</f>
        <v>21838.838846136034</v>
      </c>
      <c r="HG89" s="286">
        <f>AnnualDivReqs!$AL81</f>
        <v>14410.438908657896</v>
      </c>
      <c r="HH89" s="286">
        <f>AnnualDivReqs!$AG81</f>
        <v>20451.056571588662</v>
      </c>
      <c r="HI89" s="286">
        <f>AnnualDivReqs!$AN81</f>
        <v>6323.2114317939522</v>
      </c>
      <c r="HJ89" s="287">
        <f t="shared" si="121"/>
        <v>151158.85485833816</v>
      </c>
      <c r="HK89" s="287">
        <f t="shared" si="122"/>
        <v>509373.9943076967</v>
      </c>
      <c r="HL89" s="286">
        <f>AnnualDivReqs!$AP81</f>
        <v>378.87777777775057</v>
      </c>
      <c r="HM89" s="442" t="s">
        <v>597</v>
      </c>
      <c r="HN89" s="286">
        <f>AnnualDivReqs!$AJ81</f>
        <v>38999.999998983854</v>
      </c>
      <c r="HO89" s="286">
        <f>AnnualDivReqs!$BC81</f>
        <v>16199.99999897049</v>
      </c>
      <c r="HP89" s="286">
        <f>AnnualDivReqs!$J81</f>
        <v>4166.6500000021233</v>
      </c>
      <c r="HQ89" s="286">
        <f>AnnualAggregations!$AG81</f>
        <v>19374.983333335964</v>
      </c>
      <c r="HR89" s="287">
        <f t="shared" si="123"/>
        <v>79120.511109070183</v>
      </c>
      <c r="HS89" s="287">
        <f t="shared" si="124"/>
        <v>79120.511109070183</v>
      </c>
      <c r="HT89" s="287">
        <f t="shared" si="125"/>
        <v>588494.50541676686</v>
      </c>
      <c r="HV89" s="440" t="s">
        <v>628</v>
      </c>
      <c r="HW89" s="440" t="s">
        <v>628</v>
      </c>
      <c r="HX89" s="440" t="s">
        <v>628</v>
      </c>
      <c r="HY89" s="440" t="s">
        <v>628</v>
      </c>
      <c r="HZ89" s="440" t="s">
        <v>628</v>
      </c>
      <c r="IA89" s="440" t="s">
        <v>628</v>
      </c>
      <c r="IB89" s="440" t="s">
        <v>628</v>
      </c>
      <c r="IC89" s="440" t="s">
        <v>628</v>
      </c>
      <c r="ID89" s="440" t="s">
        <v>628</v>
      </c>
      <c r="IE89" s="440" t="s">
        <v>628</v>
      </c>
      <c r="IF89" s="440" t="s">
        <v>628</v>
      </c>
      <c r="IG89" s="440" t="s">
        <v>628</v>
      </c>
      <c r="IH89" s="440" t="s">
        <v>628</v>
      </c>
      <c r="IJ89" s="440" t="s">
        <v>628</v>
      </c>
      <c r="IL89" s="286">
        <f>AnnualAggregations!$AB81</f>
        <v>37764.238566617634</v>
      </c>
      <c r="IM89" s="286">
        <f>AnnualAggregations!$Z81</f>
        <v>110480.09466671855</v>
      </c>
      <c r="IN89" s="442" t="s">
        <v>597</v>
      </c>
      <c r="IO89" s="286">
        <f>AnnualAggregations!$AC81</f>
        <v>5000.0000000019172</v>
      </c>
      <c r="IP89" s="442" t="s">
        <v>597</v>
      </c>
      <c r="IQ89" s="440" t="s">
        <v>628</v>
      </c>
      <c r="IR89" s="440" t="s">
        <v>628</v>
      </c>
      <c r="IS89" s="440" t="s">
        <v>628</v>
      </c>
      <c r="IT89" s="440" t="s">
        <v>628</v>
      </c>
      <c r="IU89" s="286">
        <f>AnnualDivReqs!$BG81</f>
        <v>12296.800000006155</v>
      </c>
      <c r="IW89" s="440" t="s">
        <v>628</v>
      </c>
      <c r="IX89" s="440" t="s">
        <v>628</v>
      </c>
      <c r="IY89" s="440" t="s">
        <v>628</v>
      </c>
      <c r="IZ89" s="442" t="s">
        <v>597</v>
      </c>
    </row>
    <row r="90" spans="20:260" x14ac:dyDescent="0.25">
      <c r="T90" s="282">
        <v>2003</v>
      </c>
      <c r="U90" s="286">
        <f>AnnualAggregations!$C82</f>
        <v>173409.68026580906</v>
      </c>
      <c r="V90" s="286">
        <f>AnnualDepletions!$BI82</f>
        <v>-14830.083966075032</v>
      </c>
      <c r="W90" s="286">
        <f>AnnualDepletions!$AM82</f>
        <v>8778.4985311485234</v>
      </c>
      <c r="X90" s="286">
        <f>AnnualDepletions!$AK82</f>
        <v>5782.2010986160012</v>
      </c>
      <c r="Y90" s="286">
        <f>AnnualDepletions!$L82</f>
        <v>652.94617173831989</v>
      </c>
      <c r="Z90" s="287">
        <f t="shared" si="93"/>
        <v>173793.24210123689</v>
      </c>
      <c r="AA90" s="286">
        <f>AnnualDepletions!$AO82</f>
        <v>1400.9999999998392</v>
      </c>
      <c r="AB90" s="286">
        <f>AnnualDepletions!$AY82</f>
        <v>1834.9999999997888</v>
      </c>
      <c r="AC90" s="286">
        <f>AnnualAggregations!$F82</f>
        <v>35416.944128743024</v>
      </c>
      <c r="AD90" s="286">
        <f>AnnualAggregations!$G82</f>
        <v>2011.6769203250121</v>
      </c>
      <c r="AE90" s="286">
        <f>AnnualAggregations!$H82</f>
        <v>10721.878412109862</v>
      </c>
      <c r="AF90" s="286">
        <f>AnnualDepletions!$AL82</f>
        <v>8885.146405864758</v>
      </c>
      <c r="AG90" s="286">
        <f>AnnualDepletions!$AG82</f>
        <v>7374.9629046088194</v>
      </c>
      <c r="AH90" s="286">
        <f>AnnualDepletions!$AN82</f>
        <v>2585.6668400834492</v>
      </c>
      <c r="AI90" s="287">
        <f t="shared" si="94"/>
        <v>68831.275611734716</v>
      </c>
      <c r="AJ90" s="287">
        <f t="shared" si="95"/>
        <v>244025.51771297143</v>
      </c>
      <c r="AK90" s="286">
        <f>AnnualDepletions!$AP82</f>
        <v>340.98999999997505</v>
      </c>
      <c r="AL90" s="286">
        <f>AnnualDepletions!$BH82</f>
        <v>17908.818234993741</v>
      </c>
      <c r="AM90" s="286">
        <f>AnnualDepletions!$AJ82</f>
        <v>23306.78364195428</v>
      </c>
      <c r="AN90" s="286">
        <f>AnnualDepletions!$BC82</f>
        <v>9681.2793586026637</v>
      </c>
      <c r="AO90" s="286">
        <f>AnnualDepletions!$J82</f>
        <v>2499.9900000012672</v>
      </c>
      <c r="AP90" s="286">
        <f>AnnualAggregations!$I82</f>
        <v>9613.0351610433954</v>
      </c>
      <c r="AQ90" s="287">
        <f t="shared" si="96"/>
        <v>45442.078161601574</v>
      </c>
      <c r="AR90" s="287">
        <f t="shared" si="97"/>
        <v>63350.896396595315</v>
      </c>
      <c r="AS90" s="287">
        <f t="shared" si="98"/>
        <v>307376.41410956671</v>
      </c>
      <c r="AU90" s="321">
        <f ca="1">StateModDepletions_ThisScenario!AC80</f>
        <v>32607.700990274549</v>
      </c>
      <c r="AV90" s="321">
        <f ca="1">StateModDepletions_ThisScenario!AD80</f>
        <v>16817.022379547358</v>
      </c>
      <c r="AW90" s="321">
        <f ca="1">StateModDepletions_ThisScenario!AE80</f>
        <v>86483.527508467436</v>
      </c>
      <c r="AX90" s="321">
        <f ca="1">StateModDepletions_ThisScenario!AB80</f>
        <v>24765.810481309891</v>
      </c>
      <c r="AY90" s="288">
        <f t="shared" ca="1" si="99"/>
        <v>160674.06135959923</v>
      </c>
      <c r="AZ90" s="321">
        <f ca="1">StateModDepletions_ThisScenario!AG80</f>
        <v>26163.41571017772</v>
      </c>
      <c r="BA90" s="321">
        <f ca="1">StateModDepletions_ThisScenario!AF80</f>
        <v>20755.960827499614</v>
      </c>
      <c r="BB90" s="321">
        <f ca="1">StateModDepletions_ThisScenario!AH80</f>
        <v>12970.911361116916</v>
      </c>
      <c r="BC90" s="321">
        <f ca="1">StateModDepletions_ThisScenario!AI80</f>
        <v>12465.712011919246</v>
      </c>
      <c r="BD90" s="321">
        <f ca="1">StateModDepletions_ThisScenario!N80</f>
        <v>1326.6977829933167</v>
      </c>
      <c r="BE90" s="321">
        <f ca="1">StateModDepletions_ThisScenario!V80</f>
        <v>8501.7762340307236</v>
      </c>
      <c r="BF90" s="288">
        <f t="shared" ca="1" si="100"/>
        <v>82184.473927737534</v>
      </c>
      <c r="BG90" s="288">
        <f t="shared" ca="1" si="101"/>
        <v>242858.53528733677</v>
      </c>
      <c r="BI90" s="288">
        <f t="shared" ca="1" si="102"/>
        <v>550234.94939690351</v>
      </c>
      <c r="BK90" s="286">
        <f>AnnualAggregations!$D82</f>
        <v>21450.009879037338</v>
      </c>
      <c r="BL90" s="286">
        <f>AnnualAggregations!$B82</f>
        <v>56587.390162499345</v>
      </c>
      <c r="BM90" s="286">
        <f>AnnualDepletions!$BK82</f>
        <v>62408.514211163114</v>
      </c>
      <c r="BN90" s="286">
        <f>AnnualAggregations!$E82</f>
        <v>5000.0000000019172</v>
      </c>
      <c r="BO90" s="287">
        <f t="shared" si="103"/>
        <v>145445.91425270174</v>
      </c>
      <c r="BP90" s="321">
        <f ca="1">StateModDepletions_ThisScenario!Y80</f>
        <v>212.11356273293495</v>
      </c>
      <c r="BQ90" s="321">
        <f ca="1">StateModDepletions_ThisScenario!AJ80</f>
        <v>114066.22780059338</v>
      </c>
      <c r="BR90" s="321">
        <f ca="1">StateModDepletions_ThisScenario!Z80</f>
        <v>199370.26995080709</v>
      </c>
      <c r="BS90" s="321">
        <f ca="1">StateModDepletions_ThisScenario!AA80</f>
        <v>85091.928587480783</v>
      </c>
      <c r="BT90" s="286">
        <f>AnnualDepletions!$BG82</f>
        <v>12296.800000006155</v>
      </c>
      <c r="BV90" s="287">
        <f t="shared" ca="1" si="104"/>
        <v>707977.66364961141</v>
      </c>
      <c r="BW90" s="287">
        <f t="shared" ca="1" si="105"/>
        <v>622885.73506213061</v>
      </c>
      <c r="BX90" s="287">
        <f t="shared" ca="1" si="92"/>
        <v>637760.73506213061</v>
      </c>
      <c r="BY90" s="287">
        <f>SJRIPSummaryRAW!$B$79</f>
        <v>14875</v>
      </c>
      <c r="CC90" s="282">
        <v>2003</v>
      </c>
      <c r="CD90" s="286">
        <f>AnnualAggregations!K82</f>
        <v>290172.06466946361</v>
      </c>
      <c r="CE90" s="442" t="s">
        <v>597</v>
      </c>
      <c r="CF90" s="286">
        <f>AnnualDeplReqs!$AM82</f>
        <v>12100.000000000005</v>
      </c>
      <c r="CG90" s="286">
        <f>AnnualDeplReqs!$AK82</f>
        <v>7970.0000000000018</v>
      </c>
      <c r="CH90" s="286">
        <f>AnnualDeplReqs!$L82</f>
        <v>899.99999999999955</v>
      </c>
      <c r="CI90" s="443">
        <f t="shared" si="106"/>
        <v>296311.98070338857</v>
      </c>
      <c r="CJ90" s="286">
        <f>AnnualDeplReqs!$AO82</f>
        <v>1400.9999999998392</v>
      </c>
      <c r="CK90" s="286">
        <f>AnnualDeplReqs!$AY82</f>
        <v>1834.9999999997888</v>
      </c>
      <c r="CL90" s="286">
        <f>AnnualAggregations!$N82</f>
        <v>35416.944128743024</v>
      </c>
      <c r="CM90" s="286">
        <f>AnnualAggregations!$O82</f>
        <v>12905.999999998528</v>
      </c>
      <c r="CN90" s="286">
        <f>AnnualAggregations!$P82</f>
        <v>14405.999999998332</v>
      </c>
      <c r="CO90" s="286">
        <f>AnnualDeplReqs!$AL82</f>
        <v>12246.999999998599</v>
      </c>
      <c r="CP90" s="286">
        <f>AnnualDeplReqs!$AG82</f>
        <v>10631.999999998769</v>
      </c>
      <c r="CQ90" s="286">
        <f>AnnualDeplReqs!$AN82</f>
        <v>3563.9999999995903</v>
      </c>
      <c r="CR90" s="287">
        <f t="shared" si="107"/>
        <v>91006.944128736635</v>
      </c>
      <c r="CS90" s="287">
        <f t="shared" si="108"/>
        <v>388719.92483212502</v>
      </c>
      <c r="CT90" s="286">
        <f>AnnualDeplReqs!$AP82</f>
        <v>340.98999999997505</v>
      </c>
      <c r="CU90" s="442" t="s">
        <v>597</v>
      </c>
      <c r="CV90" s="286">
        <f>AnnualDeplReqs!$AJ82</f>
        <v>38999.999998983854</v>
      </c>
      <c r="CW90" s="286">
        <f>AnnualDeplReqs!$BC82</f>
        <v>16199.99999897049</v>
      </c>
      <c r="CX90" s="286">
        <f>AnnualDeplReqs!$J82</f>
        <v>2499.9900000012672</v>
      </c>
      <c r="CY90" s="286">
        <f>AnnualAggregations!$Q82</f>
        <v>11624.990000001573</v>
      </c>
      <c r="CZ90" s="287">
        <f t="shared" si="109"/>
        <v>69665.96999795716</v>
      </c>
      <c r="DA90" s="443">
        <f t="shared" si="110"/>
        <v>87574.788232950901</v>
      </c>
      <c r="DB90" s="287">
        <f t="shared" si="111"/>
        <v>476294.71306507592</v>
      </c>
      <c r="DD90" s="440" t="s">
        <v>628</v>
      </c>
      <c r="DE90" s="440" t="s">
        <v>628</v>
      </c>
      <c r="DF90" s="440" t="s">
        <v>628</v>
      </c>
      <c r="DG90" s="440" t="s">
        <v>628</v>
      </c>
      <c r="DH90" s="440" t="s">
        <v>628</v>
      </c>
      <c r="DI90" s="440" t="s">
        <v>628</v>
      </c>
      <c r="DJ90" s="440" t="s">
        <v>628</v>
      </c>
      <c r="DK90" s="440" t="s">
        <v>628</v>
      </c>
      <c r="DL90" s="440" t="s">
        <v>628</v>
      </c>
      <c r="DM90" s="440" t="s">
        <v>628</v>
      </c>
      <c r="DN90" s="440" t="s">
        <v>628</v>
      </c>
      <c r="DO90" s="440" t="s">
        <v>628</v>
      </c>
      <c r="DP90" s="440" t="s">
        <v>628</v>
      </c>
      <c r="DR90" s="440" t="s">
        <v>628</v>
      </c>
      <c r="DT90" s="286">
        <f>AnnualAggregations!$L82</f>
        <v>35893.000000000073</v>
      </c>
      <c r="DU90" s="443">
        <f>AnnualAggregations!$J82</f>
        <v>56863.245001209027</v>
      </c>
      <c r="DV90" s="442" t="s">
        <v>597</v>
      </c>
      <c r="DW90" s="286">
        <f>AnnualAggregations!$M82</f>
        <v>5000.0000000019172</v>
      </c>
      <c r="DX90" s="442" t="s">
        <v>597</v>
      </c>
      <c r="DY90" s="440" t="s">
        <v>628</v>
      </c>
      <c r="DZ90" s="440" t="s">
        <v>628</v>
      </c>
      <c r="EA90" s="440" t="s">
        <v>628</v>
      </c>
      <c r="EB90" s="440" t="s">
        <v>628</v>
      </c>
      <c r="EC90" s="286">
        <f>AnnualDeplReqs!$BG82</f>
        <v>12296.800000006155</v>
      </c>
      <c r="EE90" s="440" t="s">
        <v>628</v>
      </c>
      <c r="EF90" s="440" t="s">
        <v>628</v>
      </c>
      <c r="EG90" s="440" t="s">
        <v>628</v>
      </c>
      <c r="EH90" s="442" t="s">
        <v>597</v>
      </c>
      <c r="EL90" s="282">
        <v>2003</v>
      </c>
      <c r="EM90" s="286">
        <f>AnnualAggregations!S82</f>
        <v>216762.10033226138</v>
      </c>
      <c r="EN90" s="442" t="s">
        <v>597</v>
      </c>
      <c r="EO90" s="286">
        <f>AnnualDiversions!$AM82</f>
        <v>17528.616164350231</v>
      </c>
      <c r="EP90" s="286">
        <f>AnnualDiversions!$AK82</f>
        <v>11509.443316338855</v>
      </c>
      <c r="EQ90" s="286">
        <f>AnnualDiversions!$L82</f>
        <v>1305.8923434766398</v>
      </c>
      <c r="ER90" s="287">
        <f t="shared" si="112"/>
        <v>247106.05215642712</v>
      </c>
      <c r="ES90" s="286">
        <f>AnnualDiversions!$AO82</f>
        <v>2801.9999999996785</v>
      </c>
      <c r="ET90" s="286">
        <f>AnnualDiversions!$AY82</f>
        <v>3321.2669683254094</v>
      </c>
      <c r="EU90" s="286">
        <f>AnnualAggregations!$V82</f>
        <v>59381.910704703259</v>
      </c>
      <c r="EV90" s="286">
        <f>AnnualAggregations!$W82</f>
        <v>3579.615492085175</v>
      </c>
      <c r="EW90" s="286">
        <f>AnnualAggregations!$X82</f>
        <v>16547.563892252016</v>
      </c>
      <c r="EX90" s="286">
        <f>AnnualDiversions!$AL82</f>
        <v>10539.912699720946</v>
      </c>
      <c r="EY90" s="286">
        <f>AnnualDiversions!$AG82</f>
        <v>13976.997829259581</v>
      </c>
      <c r="EZ90" s="286">
        <f>AnnualDiversions!$AN82</f>
        <v>4861.6467802640764</v>
      </c>
      <c r="FA90" s="287">
        <f t="shared" si="113"/>
        <v>112208.91436661044</v>
      </c>
      <c r="FB90" s="287">
        <f t="shared" si="114"/>
        <v>362116.96652303723</v>
      </c>
      <c r="FC90" s="286">
        <f>AnnualDiversions!$AP82</f>
        <v>378.87777777775057</v>
      </c>
      <c r="FD90" s="442" t="s">
        <v>597</v>
      </c>
      <c r="FE90" s="286">
        <f>AnnualDiversions!$AJ82</f>
        <v>23306.78364195428</v>
      </c>
      <c r="FF90" s="286">
        <f>AnnualDiversions!$BC82</f>
        <v>9681.2793586026637</v>
      </c>
      <c r="FG90" s="286">
        <f>AnnualDiversions!$J82</f>
        <v>4166.6500000021233</v>
      </c>
      <c r="FH90" s="286">
        <f>AnnualAggregations!$Y82</f>
        <v>16021.725268405691</v>
      </c>
      <c r="FI90" s="287">
        <f t="shared" si="115"/>
        <v>53555.316046742511</v>
      </c>
      <c r="FJ90" s="287">
        <f t="shared" si="116"/>
        <v>53555.316046742519</v>
      </c>
      <c r="FK90" s="287">
        <f t="shared" si="117"/>
        <v>415672.28256977978</v>
      </c>
      <c r="FM90" s="440" t="s">
        <v>628</v>
      </c>
      <c r="FN90" s="440" t="s">
        <v>628</v>
      </c>
      <c r="FO90" s="440" t="s">
        <v>628</v>
      </c>
      <c r="FP90" s="440" t="s">
        <v>628</v>
      </c>
      <c r="FQ90" s="440" t="s">
        <v>628</v>
      </c>
      <c r="FR90" s="440" t="s">
        <v>628</v>
      </c>
      <c r="FS90" s="440" t="s">
        <v>628</v>
      </c>
      <c r="FT90" s="440" t="s">
        <v>628</v>
      </c>
      <c r="FU90" s="440" t="s">
        <v>628</v>
      </c>
      <c r="FV90" s="440" t="s">
        <v>628</v>
      </c>
      <c r="FW90" s="440" t="s">
        <v>628</v>
      </c>
      <c r="FX90" s="440" t="s">
        <v>628</v>
      </c>
      <c r="FY90" s="440" t="s">
        <v>628</v>
      </c>
      <c r="GA90" s="440" t="s">
        <v>628</v>
      </c>
      <c r="GC90" s="286">
        <f>AnnualAggregations!$T82</f>
        <v>22568.280453800864</v>
      </c>
      <c r="GD90" s="286">
        <f>AnnualAggregations!$R82</f>
        <v>109067.13000005134</v>
      </c>
      <c r="GE90" s="443">
        <f t="shared" si="118"/>
        <v>62408.514211163114</v>
      </c>
      <c r="GF90" s="286">
        <f>AnnualAggregations!$U82</f>
        <v>5000.0000000019172</v>
      </c>
      <c r="GG90" s="287">
        <f t="shared" si="119"/>
        <v>199043.92466501723</v>
      </c>
      <c r="GH90" s="440" t="s">
        <v>628</v>
      </c>
      <c r="GI90" s="440" t="s">
        <v>628</v>
      </c>
      <c r="GJ90" s="440" t="s">
        <v>628</v>
      </c>
      <c r="GK90" s="440" t="s">
        <v>628</v>
      </c>
      <c r="GL90" s="286">
        <f>AnnualDiversions!$BG82</f>
        <v>12296.800000006155</v>
      </c>
      <c r="GN90" s="440" t="s">
        <v>628</v>
      </c>
      <c r="GO90" s="440" t="s">
        <v>628</v>
      </c>
      <c r="GP90" s="440" t="s">
        <v>628</v>
      </c>
      <c r="GQ90" s="442" t="s">
        <v>597</v>
      </c>
      <c r="GU90" s="282">
        <v>2003</v>
      </c>
      <c r="GV90" s="286">
        <f>AnnualAggregations!AA82</f>
        <v>362715.08083682926</v>
      </c>
      <c r="GW90" s="442" t="s">
        <v>597</v>
      </c>
      <c r="GX90" s="286">
        <f>AnnualDivReqs!$AM82</f>
        <v>24160.880683189996</v>
      </c>
      <c r="GY90" s="286">
        <f>AnnualDivReqs!$AK82</f>
        <v>15864.24644642272</v>
      </c>
      <c r="GZ90" s="286">
        <f>AnnualDivReqs!$L82</f>
        <v>1799.9999999999991</v>
      </c>
      <c r="HA90" s="287">
        <f t="shared" si="120"/>
        <v>404540.20796644199</v>
      </c>
      <c r="HB90" s="286">
        <f>AnnualDivReqs!$AO82</f>
        <v>2801.9999999996785</v>
      </c>
      <c r="HC90" s="286">
        <f>AnnualDivReqs!$AY82</f>
        <v>3321.2669683254094</v>
      </c>
      <c r="HD90" s="286">
        <f>AnnualAggregations!$AD82</f>
        <v>59381.910704703259</v>
      </c>
      <c r="HE90" s="286">
        <f>AnnualAggregations!$AE82</f>
        <v>23115.686929289357</v>
      </c>
      <c r="HF90" s="286">
        <f>AnnualAggregations!$AF82</f>
        <v>22083.018159983185</v>
      </c>
      <c r="HG90" s="286">
        <f>AnnualDivReqs!$AL82</f>
        <v>14527.876631077801</v>
      </c>
      <c r="HH90" s="286">
        <f>AnnualDivReqs!$AG82</f>
        <v>20149.720458635038</v>
      </c>
      <c r="HI90" s="286">
        <f>AnnualDivReqs!$AN82</f>
        <v>6701.1375387789567</v>
      </c>
      <c r="HJ90" s="287">
        <f t="shared" si="121"/>
        <v>149280.61739079299</v>
      </c>
      <c r="HK90" s="287">
        <f t="shared" si="122"/>
        <v>556622.82535723457</v>
      </c>
      <c r="HL90" s="286">
        <f>AnnualDivReqs!$AP82</f>
        <v>378.87777777775057</v>
      </c>
      <c r="HM90" s="442" t="s">
        <v>597</v>
      </c>
      <c r="HN90" s="286">
        <f>AnnualDivReqs!$AJ82</f>
        <v>38999.999998983854</v>
      </c>
      <c r="HO90" s="286">
        <f>AnnualDivReqs!$BC82</f>
        <v>16199.99999897049</v>
      </c>
      <c r="HP90" s="286">
        <f>AnnualDivReqs!$J82</f>
        <v>4166.6500000021233</v>
      </c>
      <c r="HQ90" s="286">
        <f>AnnualAggregations!$AG82</f>
        <v>19374.983333335964</v>
      </c>
      <c r="HR90" s="287">
        <f t="shared" si="123"/>
        <v>79120.511109070183</v>
      </c>
      <c r="HS90" s="287">
        <f t="shared" si="124"/>
        <v>79120.511109070183</v>
      </c>
      <c r="HT90" s="287">
        <f t="shared" si="125"/>
        <v>635743.33646630473</v>
      </c>
      <c r="HV90" s="440" t="s">
        <v>628</v>
      </c>
      <c r="HW90" s="440" t="s">
        <v>628</v>
      </c>
      <c r="HX90" s="440" t="s">
        <v>628</v>
      </c>
      <c r="HY90" s="440" t="s">
        <v>628</v>
      </c>
      <c r="HZ90" s="440" t="s">
        <v>628</v>
      </c>
      <c r="IA90" s="440" t="s">
        <v>628</v>
      </c>
      <c r="IB90" s="440" t="s">
        <v>628</v>
      </c>
      <c r="IC90" s="440" t="s">
        <v>628</v>
      </c>
      <c r="ID90" s="440" t="s">
        <v>628</v>
      </c>
      <c r="IE90" s="440" t="s">
        <v>628</v>
      </c>
      <c r="IF90" s="440" t="s">
        <v>628</v>
      </c>
      <c r="IG90" s="440" t="s">
        <v>628</v>
      </c>
      <c r="IH90" s="440" t="s">
        <v>628</v>
      </c>
      <c r="IJ90" s="440" t="s">
        <v>628</v>
      </c>
      <c r="IL90" s="286">
        <f>AnnualAggregations!$AB82</f>
        <v>37764.238566617634</v>
      </c>
      <c r="IM90" s="286">
        <f>AnnualAggregations!$Z82</f>
        <v>109618.83967747071</v>
      </c>
      <c r="IN90" s="442" t="s">
        <v>597</v>
      </c>
      <c r="IO90" s="286">
        <f>AnnualAggregations!$AC82</f>
        <v>5000.0000000019172</v>
      </c>
      <c r="IP90" s="442" t="s">
        <v>597</v>
      </c>
      <c r="IQ90" s="440" t="s">
        <v>628</v>
      </c>
      <c r="IR90" s="440" t="s">
        <v>628</v>
      </c>
      <c r="IS90" s="440" t="s">
        <v>628</v>
      </c>
      <c r="IT90" s="440" t="s">
        <v>628</v>
      </c>
      <c r="IU90" s="286">
        <f>AnnualDivReqs!$BG82</f>
        <v>12296.800000006155</v>
      </c>
      <c r="IW90" s="440" t="s">
        <v>628</v>
      </c>
      <c r="IX90" s="440" t="s">
        <v>628</v>
      </c>
      <c r="IY90" s="440" t="s">
        <v>628</v>
      </c>
      <c r="IZ90" s="442" t="s">
        <v>597</v>
      </c>
    </row>
    <row r="91" spans="20:260" x14ac:dyDescent="0.25">
      <c r="T91" s="282">
        <v>2004</v>
      </c>
      <c r="U91" s="286">
        <f>AnnualAggregations!$C83</f>
        <v>268047.8686433718</v>
      </c>
      <c r="V91" s="286">
        <f>AnnualDepletions!$BI83</f>
        <v>3961.90433952179</v>
      </c>
      <c r="W91" s="286">
        <f>AnnualDepletions!$AM83</f>
        <v>12100.000000000007</v>
      </c>
      <c r="X91" s="286">
        <f>AnnualDepletions!$AK83</f>
        <v>7970.0000000000127</v>
      </c>
      <c r="Y91" s="286">
        <f>AnnualDepletions!$L83</f>
        <v>900.00000000000034</v>
      </c>
      <c r="Z91" s="287">
        <f t="shared" si="93"/>
        <v>292979.77298289357</v>
      </c>
      <c r="AA91" s="286">
        <f>AnnualDepletions!$AO83</f>
        <v>1277.9999999998536</v>
      </c>
      <c r="AB91" s="286">
        <f>AnnualDepletions!$AY83</f>
        <v>1528.9999999998242</v>
      </c>
      <c r="AC91" s="286">
        <f>AnnualAggregations!$F83</f>
        <v>34191.035267160943</v>
      </c>
      <c r="AD91" s="286">
        <f>AnnualAggregations!$G83</f>
        <v>4662.2954064466967</v>
      </c>
      <c r="AE91" s="286">
        <f>AnnualAggregations!$H83</f>
        <v>13408.999999998459</v>
      </c>
      <c r="AF91" s="286">
        <f>AnnualDepletions!$AL83</f>
        <v>11421.999999998685</v>
      </c>
      <c r="AG91" s="286">
        <f>AnnualDepletions!$AG83</f>
        <v>9132.9999999989413</v>
      </c>
      <c r="AH91" s="286">
        <f>AnnualDepletions!$AN83</f>
        <v>3205.9999999996321</v>
      </c>
      <c r="AI91" s="287">
        <f t="shared" si="94"/>
        <v>77552.330673603181</v>
      </c>
      <c r="AJ91" s="287">
        <f t="shared" si="95"/>
        <v>371810.10365649656</v>
      </c>
      <c r="AK91" s="286">
        <f>AnnualDepletions!$AP83</f>
        <v>340.98999999997511</v>
      </c>
      <c r="AL91" s="286">
        <f>AnnualDepletions!$BH83</f>
        <v>18128.783034361179</v>
      </c>
      <c r="AM91" s="286">
        <f>AnnualDepletions!$AJ83</f>
        <v>38999.999998983862</v>
      </c>
      <c r="AN91" s="286">
        <f>AnnualDepletions!$BC83</f>
        <v>16199.999998970494</v>
      </c>
      <c r="AO91" s="286">
        <f>AnnualDepletions!$J83</f>
        <v>2499.9900000012672</v>
      </c>
      <c r="AP91" s="286">
        <f>AnnualAggregations!$I83</f>
        <v>11624.990000001573</v>
      </c>
      <c r="AQ91" s="287">
        <f t="shared" si="96"/>
        <v>69665.969997957174</v>
      </c>
      <c r="AR91" s="287">
        <f t="shared" si="97"/>
        <v>87794.75303231836</v>
      </c>
      <c r="AS91" s="287">
        <f t="shared" si="98"/>
        <v>459604.85668881494</v>
      </c>
      <c r="AU91" s="321">
        <f ca="1">StateModDepletions_ThisScenario!AC81</f>
        <v>32481.869789049029</v>
      </c>
      <c r="AV91" s="321">
        <f ca="1">StateModDepletions_ThisScenario!AD81</f>
        <v>17277.983355268836</v>
      </c>
      <c r="AW91" s="321">
        <f ca="1">StateModDepletions_ThisScenario!AE81</f>
        <v>108148.13211168349</v>
      </c>
      <c r="AX91" s="321">
        <f ca="1">StateModDepletions_ThisScenario!AB81</f>
        <v>24765.810481309891</v>
      </c>
      <c r="AY91" s="288">
        <f t="shared" ca="1" si="99"/>
        <v>182673.79573731124</v>
      </c>
      <c r="AZ91" s="321">
        <f ca="1">StateModDepletions_ThisScenario!AG81</f>
        <v>36925.349612394799</v>
      </c>
      <c r="BA91" s="321">
        <f ca="1">StateModDepletions_ThisScenario!AF81</f>
        <v>19721.936302140348</v>
      </c>
      <c r="BB91" s="321">
        <f ca="1">StateModDepletions_ThisScenario!AH81</f>
        <v>13290.285578563809</v>
      </c>
      <c r="BC91" s="321">
        <f ca="1">StateModDepletions_ThisScenario!AI81</f>
        <v>15846.767189604339</v>
      </c>
      <c r="BD91" s="321">
        <f ca="1">StateModDepletions_ThisScenario!N81</f>
        <v>1326.6977829933167</v>
      </c>
      <c r="BE91" s="321">
        <f ca="1">StateModDepletions_ThisScenario!V81</f>
        <v>11147.685513496399</v>
      </c>
      <c r="BF91" s="288">
        <f t="shared" ca="1" si="100"/>
        <v>98258.721979193011</v>
      </c>
      <c r="BG91" s="288">
        <f t="shared" ca="1" si="101"/>
        <v>280932.51771650428</v>
      </c>
      <c r="BI91" s="288">
        <f t="shared" ca="1" si="102"/>
        <v>740537.37440531922</v>
      </c>
      <c r="BK91" s="286">
        <f>AnnualAggregations!$D83</f>
        <v>35893.000000000058</v>
      </c>
      <c r="BL91" s="286">
        <f>AnnualAggregations!$B83</f>
        <v>56863.560402384297</v>
      </c>
      <c r="BM91" s="286">
        <f>AnnualDepletions!$BK83</f>
        <v>87912.719746710325</v>
      </c>
      <c r="BN91" s="286">
        <f>AnnualAggregations!$E83</f>
        <v>5000.0000000019463</v>
      </c>
      <c r="BO91" s="287">
        <f t="shared" si="103"/>
        <v>185669.28014909662</v>
      </c>
      <c r="BP91" s="321">
        <f ca="1">StateModDepletions_ThisScenario!Y81</f>
        <v>212.11356273293495</v>
      </c>
      <c r="BQ91" s="321">
        <f ca="1">StateModDepletions_ThisScenario!AJ81</f>
        <v>126368.60121934794</v>
      </c>
      <c r="BR91" s="321">
        <f ca="1">StateModDepletions_ThisScenario!Z81</f>
        <v>245619.79559373856</v>
      </c>
      <c r="BS91" s="321">
        <f ca="1">StateModDepletions_ThisScenario!AA81</f>
        <v>119039.08081165768</v>
      </c>
      <c r="BT91" s="286">
        <f>AnnualDepletions!$BG83</f>
        <v>12296.800000006155</v>
      </c>
      <c r="BV91" s="287">
        <f t="shared" ca="1" si="104"/>
        <v>938503.45455442206</v>
      </c>
      <c r="BW91" s="287">
        <f t="shared" ca="1" si="105"/>
        <v>819464.37374276435</v>
      </c>
      <c r="BX91" s="287">
        <f t="shared" ca="1" si="92"/>
        <v>834339.37374276435</v>
      </c>
      <c r="BY91" s="287">
        <f>SJRIPSummaryRAW!$B$79</f>
        <v>14875</v>
      </c>
      <c r="CC91" s="282">
        <v>2004</v>
      </c>
      <c r="CD91" s="286">
        <f>AnnualAggregations!K83</f>
        <v>268047.8686433718</v>
      </c>
      <c r="CE91" s="442" t="s">
        <v>597</v>
      </c>
      <c r="CF91" s="286">
        <f>AnnualDeplReqs!$AM83</f>
        <v>12100.000000000007</v>
      </c>
      <c r="CG91" s="286">
        <f>AnnualDeplReqs!$AK83</f>
        <v>7970.0000000000127</v>
      </c>
      <c r="CH91" s="286">
        <f>AnnualDeplReqs!$L83</f>
        <v>900.00000000000034</v>
      </c>
      <c r="CI91" s="443">
        <f t="shared" si="106"/>
        <v>292979.77298289357</v>
      </c>
      <c r="CJ91" s="286">
        <f>AnnualDeplReqs!$AO83</f>
        <v>1277.9999999998536</v>
      </c>
      <c r="CK91" s="286">
        <f>AnnualDeplReqs!$AY83</f>
        <v>1528.9999999998242</v>
      </c>
      <c r="CL91" s="286">
        <f>AnnualAggregations!$N83</f>
        <v>34191.035267160943</v>
      </c>
      <c r="CM91" s="286">
        <f>AnnualAggregations!$O83</f>
        <v>12489.999999998563</v>
      </c>
      <c r="CN91" s="286">
        <f>AnnualAggregations!$P83</f>
        <v>13408.999999998459</v>
      </c>
      <c r="CO91" s="286">
        <f>AnnualDeplReqs!$AL83</f>
        <v>11421.999999998685</v>
      </c>
      <c r="CP91" s="286">
        <f>AnnualDeplReqs!$AG83</f>
        <v>9132.9999999989413</v>
      </c>
      <c r="CQ91" s="286">
        <f>AnnualDeplReqs!$AN83</f>
        <v>3205.9999999996321</v>
      </c>
      <c r="CR91" s="287">
        <f t="shared" si="107"/>
        <v>85380.03526715505</v>
      </c>
      <c r="CS91" s="287">
        <f t="shared" si="108"/>
        <v>379637.80825004843</v>
      </c>
      <c r="CT91" s="286">
        <f>AnnualDeplReqs!$AP83</f>
        <v>340.98999999997511</v>
      </c>
      <c r="CU91" s="442" t="s">
        <v>597</v>
      </c>
      <c r="CV91" s="286">
        <f>AnnualDeplReqs!$AJ83</f>
        <v>38999.999998983862</v>
      </c>
      <c r="CW91" s="286">
        <f>AnnualDeplReqs!$BC83</f>
        <v>16199.999998970494</v>
      </c>
      <c r="CX91" s="286">
        <f>AnnualDeplReqs!$J83</f>
        <v>2499.9900000012672</v>
      </c>
      <c r="CY91" s="286">
        <f>AnnualAggregations!$Q83</f>
        <v>11624.990000001573</v>
      </c>
      <c r="CZ91" s="287">
        <f t="shared" si="109"/>
        <v>69665.969997957174</v>
      </c>
      <c r="DA91" s="443">
        <f t="shared" si="110"/>
        <v>87794.753032318346</v>
      </c>
      <c r="DB91" s="287">
        <f t="shared" si="111"/>
        <v>467432.56128236675</v>
      </c>
      <c r="DD91" s="440" t="s">
        <v>628</v>
      </c>
      <c r="DE91" s="440" t="s">
        <v>628</v>
      </c>
      <c r="DF91" s="440" t="s">
        <v>628</v>
      </c>
      <c r="DG91" s="440" t="s">
        <v>628</v>
      </c>
      <c r="DH91" s="440" t="s">
        <v>628</v>
      </c>
      <c r="DI91" s="440" t="s">
        <v>628</v>
      </c>
      <c r="DJ91" s="440" t="s">
        <v>628</v>
      </c>
      <c r="DK91" s="440" t="s">
        <v>628</v>
      </c>
      <c r="DL91" s="440" t="s">
        <v>628</v>
      </c>
      <c r="DM91" s="440" t="s">
        <v>628</v>
      </c>
      <c r="DN91" s="440" t="s">
        <v>628</v>
      </c>
      <c r="DO91" s="440" t="s">
        <v>628</v>
      </c>
      <c r="DP91" s="440" t="s">
        <v>628</v>
      </c>
      <c r="DR91" s="440" t="s">
        <v>628</v>
      </c>
      <c r="DT91" s="286">
        <f>AnnualAggregations!$L83</f>
        <v>35893.000000000073</v>
      </c>
      <c r="DU91" s="443">
        <f>AnnualAggregations!$J83</f>
        <v>56984.713316362926</v>
      </c>
      <c r="DV91" s="442" t="s">
        <v>597</v>
      </c>
      <c r="DW91" s="286">
        <f>AnnualAggregations!$M83</f>
        <v>5000.0000000019463</v>
      </c>
      <c r="DX91" s="442" t="s">
        <v>597</v>
      </c>
      <c r="DY91" s="440" t="s">
        <v>628</v>
      </c>
      <c r="DZ91" s="440" t="s">
        <v>628</v>
      </c>
      <c r="EA91" s="440" t="s">
        <v>628</v>
      </c>
      <c r="EB91" s="440" t="s">
        <v>628</v>
      </c>
      <c r="EC91" s="286">
        <f>AnnualDeplReqs!$BG83</f>
        <v>12296.800000006155</v>
      </c>
      <c r="EE91" s="440" t="s">
        <v>628</v>
      </c>
      <c r="EF91" s="440" t="s">
        <v>628</v>
      </c>
      <c r="EG91" s="440" t="s">
        <v>628</v>
      </c>
      <c r="EH91" s="442" t="s">
        <v>597</v>
      </c>
      <c r="EL91" s="282">
        <v>2004</v>
      </c>
      <c r="EM91" s="286">
        <f>AnnualAggregations!S83</f>
        <v>335059.83580421394</v>
      </c>
      <c r="EN91" s="442" t="s">
        <v>597</v>
      </c>
      <c r="EO91" s="286">
        <f>AnnualDiversions!$AM83</f>
        <v>24160.880683189993</v>
      </c>
      <c r="EP91" s="286">
        <f>AnnualDiversions!$AK83</f>
        <v>15864.246446422745</v>
      </c>
      <c r="EQ91" s="286">
        <f>AnnualDiversions!$L83</f>
        <v>1800.0000000000007</v>
      </c>
      <c r="ER91" s="287">
        <f t="shared" si="112"/>
        <v>376884.96293382673</v>
      </c>
      <c r="ES91" s="286">
        <f>AnnualDiversions!$AO83</f>
        <v>2555.9999999997071</v>
      </c>
      <c r="ET91" s="286">
        <f>AnnualDiversions!$AY83</f>
        <v>2767.4208144793188</v>
      </c>
      <c r="EU91" s="286">
        <f>AnnualAggregations!$V83</f>
        <v>57373.107989471711</v>
      </c>
      <c r="EV91" s="286">
        <f>AnnualAggregations!$W83</f>
        <v>8197.6694526436422</v>
      </c>
      <c r="EW91" s="286">
        <f>AnnualAggregations!$X83</f>
        <v>20555.284307521037</v>
      </c>
      <c r="EX91" s="286">
        <f>AnnualDiversions!$AL83</f>
        <v>13549.228944245171</v>
      </c>
      <c r="EY91" s="286">
        <f>AnnualDiversions!$AG83</f>
        <v>17308.82213588354</v>
      </c>
      <c r="EZ91" s="286">
        <f>AnnualDiversions!$AN83</f>
        <v>6028.0154178802886</v>
      </c>
      <c r="FA91" s="287">
        <f t="shared" si="113"/>
        <v>125779.54906212472</v>
      </c>
      <c r="FB91" s="287">
        <f t="shared" si="114"/>
        <v>505220.51199595118</v>
      </c>
      <c r="FC91" s="286">
        <f>AnnualDiversions!$AP83</f>
        <v>378.87777777775057</v>
      </c>
      <c r="FD91" s="442" t="s">
        <v>597</v>
      </c>
      <c r="FE91" s="286">
        <f>AnnualDiversions!$AJ83</f>
        <v>38999.999998983862</v>
      </c>
      <c r="FF91" s="286">
        <f>AnnualDiversions!$BC83</f>
        <v>16199.999998970494</v>
      </c>
      <c r="FG91" s="286">
        <f>AnnualDiversions!$J83</f>
        <v>4166.6500000021233</v>
      </c>
      <c r="FH91" s="286">
        <f>AnnualAggregations!$Y83</f>
        <v>19374.983333335967</v>
      </c>
      <c r="FI91" s="287">
        <f t="shared" si="115"/>
        <v>79120.511109070212</v>
      </c>
      <c r="FJ91" s="287">
        <f t="shared" si="116"/>
        <v>79120.511109070198</v>
      </c>
      <c r="FK91" s="287">
        <f t="shared" si="117"/>
        <v>584341.02310502133</v>
      </c>
      <c r="FM91" s="440" t="s">
        <v>628</v>
      </c>
      <c r="FN91" s="440" t="s">
        <v>628</v>
      </c>
      <c r="FO91" s="440" t="s">
        <v>628</v>
      </c>
      <c r="FP91" s="440" t="s">
        <v>628</v>
      </c>
      <c r="FQ91" s="440" t="s">
        <v>628</v>
      </c>
      <c r="FR91" s="440" t="s">
        <v>628</v>
      </c>
      <c r="FS91" s="440" t="s">
        <v>628</v>
      </c>
      <c r="FT91" s="440" t="s">
        <v>628</v>
      </c>
      <c r="FU91" s="440" t="s">
        <v>628</v>
      </c>
      <c r="FV91" s="440" t="s">
        <v>628</v>
      </c>
      <c r="FW91" s="440" t="s">
        <v>628</v>
      </c>
      <c r="FX91" s="440" t="s">
        <v>628</v>
      </c>
      <c r="FY91" s="440" t="s">
        <v>628</v>
      </c>
      <c r="GA91" s="440" t="s">
        <v>628</v>
      </c>
      <c r="GC91" s="286">
        <f>AnnualAggregations!$T83</f>
        <v>37763.476493275433</v>
      </c>
      <c r="GD91" s="286">
        <f>AnnualAggregations!$R83</f>
        <v>109067.13000005131</v>
      </c>
      <c r="GE91" s="443">
        <f t="shared" si="118"/>
        <v>87912.719746710325</v>
      </c>
      <c r="GF91" s="286">
        <f>AnnualAggregations!$U83</f>
        <v>5000.0000000019463</v>
      </c>
      <c r="GG91" s="287">
        <f t="shared" si="119"/>
        <v>239743.32624003902</v>
      </c>
      <c r="GH91" s="440" t="s">
        <v>628</v>
      </c>
      <c r="GI91" s="440" t="s">
        <v>628</v>
      </c>
      <c r="GJ91" s="440" t="s">
        <v>628</v>
      </c>
      <c r="GK91" s="440" t="s">
        <v>628</v>
      </c>
      <c r="GL91" s="286">
        <f>AnnualDiversions!$BG83</f>
        <v>12296.800000006155</v>
      </c>
      <c r="GN91" s="440" t="s">
        <v>628</v>
      </c>
      <c r="GO91" s="440" t="s">
        <v>628</v>
      </c>
      <c r="GP91" s="440" t="s">
        <v>628</v>
      </c>
      <c r="GQ91" s="442" t="s">
        <v>597</v>
      </c>
      <c r="GU91" s="282">
        <v>2004</v>
      </c>
      <c r="GV91" s="286">
        <f>AnnualAggregations!AA83</f>
        <v>335059.83580421394</v>
      </c>
      <c r="GW91" s="442" t="s">
        <v>597</v>
      </c>
      <c r="GX91" s="286">
        <f>AnnualDivReqs!$AM83</f>
        <v>24160.880683189993</v>
      </c>
      <c r="GY91" s="286">
        <f>AnnualDivReqs!$AK83</f>
        <v>15864.246446422745</v>
      </c>
      <c r="GZ91" s="286">
        <f>AnnualDivReqs!$L83</f>
        <v>1800.0000000000007</v>
      </c>
      <c r="HA91" s="287">
        <f t="shared" si="120"/>
        <v>376884.96293382673</v>
      </c>
      <c r="HB91" s="286">
        <f>AnnualDivReqs!$AO83</f>
        <v>2555.9999999997071</v>
      </c>
      <c r="HC91" s="286">
        <f>AnnualDivReqs!$AY83</f>
        <v>2767.4208144793188</v>
      </c>
      <c r="HD91" s="286">
        <f>AnnualAggregations!$AD83</f>
        <v>57373.107989471711</v>
      </c>
      <c r="HE91" s="286">
        <f>AnnualAggregations!$AE83</f>
        <v>22371.080819864794</v>
      </c>
      <c r="HF91" s="286">
        <f>AnnualAggregations!$AF83</f>
        <v>20555.284307521037</v>
      </c>
      <c r="HG91" s="286">
        <f>AnnualDivReqs!$AL83</f>
        <v>13549.228944245171</v>
      </c>
      <c r="HH91" s="286">
        <f>AnnualDivReqs!$AG83</f>
        <v>17308.82213588354</v>
      </c>
      <c r="HI91" s="286">
        <f>AnnualDivReqs!$AN83</f>
        <v>6028.0154178802886</v>
      </c>
      <c r="HJ91" s="287">
        <f t="shared" si="121"/>
        <v>139952.96042934587</v>
      </c>
      <c r="HK91" s="287">
        <f t="shared" si="122"/>
        <v>519393.92336317233</v>
      </c>
      <c r="HL91" s="286">
        <f>AnnualDivReqs!$AP83</f>
        <v>378.87777777775057</v>
      </c>
      <c r="HM91" s="442" t="s">
        <v>597</v>
      </c>
      <c r="HN91" s="286">
        <f>AnnualDivReqs!$AJ83</f>
        <v>38999.999998983862</v>
      </c>
      <c r="HO91" s="286">
        <f>AnnualDivReqs!$BC83</f>
        <v>16199.999998970494</v>
      </c>
      <c r="HP91" s="286">
        <f>AnnualDivReqs!$J83</f>
        <v>4166.6500000021233</v>
      </c>
      <c r="HQ91" s="286">
        <f>AnnualAggregations!$AG83</f>
        <v>19374.983333335967</v>
      </c>
      <c r="HR91" s="287">
        <f t="shared" si="123"/>
        <v>79120.511109070212</v>
      </c>
      <c r="HS91" s="287">
        <f t="shared" si="124"/>
        <v>79120.511109070198</v>
      </c>
      <c r="HT91" s="287">
        <f t="shared" si="125"/>
        <v>598514.43447224249</v>
      </c>
      <c r="HV91" s="440" t="s">
        <v>628</v>
      </c>
      <c r="HW91" s="440" t="s">
        <v>628</v>
      </c>
      <c r="HX91" s="440" t="s">
        <v>628</v>
      </c>
      <c r="HY91" s="440" t="s">
        <v>628</v>
      </c>
      <c r="HZ91" s="440" t="s">
        <v>628</v>
      </c>
      <c r="IA91" s="440" t="s">
        <v>628</v>
      </c>
      <c r="IB91" s="440" t="s">
        <v>628</v>
      </c>
      <c r="IC91" s="440" t="s">
        <v>628</v>
      </c>
      <c r="ID91" s="440" t="s">
        <v>628</v>
      </c>
      <c r="IE91" s="440" t="s">
        <v>628</v>
      </c>
      <c r="IF91" s="440" t="s">
        <v>628</v>
      </c>
      <c r="IG91" s="440" t="s">
        <v>628</v>
      </c>
      <c r="IH91" s="440" t="s">
        <v>628</v>
      </c>
      <c r="IJ91" s="440" t="s">
        <v>628</v>
      </c>
      <c r="IL91" s="286">
        <f>AnnualAggregations!$AB83</f>
        <v>37763.476493275448</v>
      </c>
      <c r="IM91" s="286">
        <f>AnnualAggregations!$Z83</f>
        <v>109309.43582800857</v>
      </c>
      <c r="IN91" s="442" t="s">
        <v>597</v>
      </c>
      <c r="IO91" s="286">
        <f>AnnualAggregations!$AC83</f>
        <v>5000.0000000019463</v>
      </c>
      <c r="IP91" s="442" t="s">
        <v>597</v>
      </c>
      <c r="IQ91" s="440" t="s">
        <v>628</v>
      </c>
      <c r="IR91" s="440" t="s">
        <v>628</v>
      </c>
      <c r="IS91" s="440" t="s">
        <v>628</v>
      </c>
      <c r="IT91" s="440" t="s">
        <v>628</v>
      </c>
      <c r="IU91" s="286">
        <f>AnnualDivReqs!$BG83</f>
        <v>12296.800000006155</v>
      </c>
      <c r="IW91" s="440" t="s">
        <v>628</v>
      </c>
      <c r="IX91" s="440" t="s">
        <v>628</v>
      </c>
      <c r="IY91" s="440" t="s">
        <v>628</v>
      </c>
      <c r="IZ91" s="442" t="s">
        <v>597</v>
      </c>
    </row>
    <row r="92" spans="20:260" x14ac:dyDescent="0.25">
      <c r="T92" s="282">
        <v>2005</v>
      </c>
      <c r="U92" s="286">
        <f>AnnualAggregations!$C84</f>
        <v>273206.44201006158</v>
      </c>
      <c r="V92" s="286">
        <f>AnnualDepletions!$BI84</f>
        <v>5129.2683827755964</v>
      </c>
      <c r="W92" s="286">
        <f>AnnualDepletions!$AM84</f>
        <v>12099.999999999998</v>
      </c>
      <c r="X92" s="286">
        <f>AnnualDepletions!$AK84</f>
        <v>7970</v>
      </c>
      <c r="Y92" s="286">
        <f>AnnualDepletions!$L84</f>
        <v>900.00000000000034</v>
      </c>
      <c r="Z92" s="287">
        <f t="shared" si="93"/>
        <v>299305.71039283718</v>
      </c>
      <c r="AA92" s="286">
        <f>AnnualDepletions!$AO84</f>
        <v>1312.9999999998493</v>
      </c>
      <c r="AB92" s="286">
        <f>AnnualDepletions!$AY84</f>
        <v>1647.9999999998106</v>
      </c>
      <c r="AC92" s="286">
        <f>AnnualAggregations!$F84</f>
        <v>33754.137626638018</v>
      </c>
      <c r="AD92" s="286">
        <f>AnnualAggregations!$G84</f>
        <v>5438.1354418515057</v>
      </c>
      <c r="AE92" s="286">
        <f>AnnualAggregations!$H84</f>
        <v>13407.999999998463</v>
      </c>
      <c r="AF92" s="286">
        <f>AnnualDepletions!$AL84</f>
        <v>11450.999999998678</v>
      </c>
      <c r="AG92" s="286">
        <f>AnnualDepletions!$AG84</f>
        <v>9351.9999999989232</v>
      </c>
      <c r="AH92" s="286">
        <f>AnnualDepletions!$AN84</f>
        <v>3336.9999999996157</v>
      </c>
      <c r="AI92" s="287">
        <f t="shared" si="94"/>
        <v>78388.273068485025</v>
      </c>
      <c r="AJ92" s="287">
        <f t="shared" si="95"/>
        <v>379006.98346132203</v>
      </c>
      <c r="AK92" s="286">
        <f>AnnualDepletions!$AP84</f>
        <v>340.98999999997505</v>
      </c>
      <c r="AL92" s="286">
        <f>AnnualDepletions!$BH84</f>
        <v>27458.931062313084</v>
      </c>
      <c r="AM92" s="286">
        <f>AnnualDepletions!$AJ84</f>
        <v>38999.999998983854</v>
      </c>
      <c r="AN92" s="286">
        <f>AnnualDepletions!$BC84</f>
        <v>16199.99999897049</v>
      </c>
      <c r="AO92" s="286">
        <f>AnnualDepletions!$J84</f>
        <v>2499.9900000012672</v>
      </c>
      <c r="AP92" s="286">
        <f>AnnualAggregations!$I84</f>
        <v>11624.990000001573</v>
      </c>
      <c r="AQ92" s="287">
        <f t="shared" si="96"/>
        <v>69665.96999795716</v>
      </c>
      <c r="AR92" s="287">
        <f t="shared" si="97"/>
        <v>97124.901060270262</v>
      </c>
      <c r="AS92" s="287">
        <f t="shared" si="98"/>
        <v>476131.88452159229</v>
      </c>
      <c r="AU92" s="321">
        <f ca="1">StateModDepletions_ThisScenario!AC82</f>
        <v>35725.981562107801</v>
      </c>
      <c r="AV92" s="321">
        <f ca="1">StateModDepletions_ThisScenario!AD82</f>
        <v>19347.219241753221</v>
      </c>
      <c r="AW92" s="321">
        <f ca="1">StateModDepletions_ThisScenario!AE82</f>
        <v>108890.17602033913</v>
      </c>
      <c r="AX92" s="321">
        <f ca="1">StateModDepletions_ThisScenario!AB82</f>
        <v>24765.810481309891</v>
      </c>
      <c r="AY92" s="288">
        <f t="shared" ca="1" si="99"/>
        <v>188729.18730551004</v>
      </c>
      <c r="AZ92" s="321">
        <f ca="1">StateModDepletions_ThisScenario!AG82</f>
        <v>49761.19559535243</v>
      </c>
      <c r="BA92" s="321">
        <f ca="1">StateModDepletions_ThisScenario!AF82</f>
        <v>20191.400201335549</v>
      </c>
      <c r="BB92" s="321">
        <f ca="1">StateModDepletions_ThisScenario!AH82</f>
        <v>20301.490180850029</v>
      </c>
      <c r="BC92" s="321">
        <f ca="1">StateModDepletions_ThisScenario!AI82</f>
        <v>23203.990369212253</v>
      </c>
      <c r="BD92" s="321">
        <f ca="1">StateModDepletions_ThisScenario!N82</f>
        <v>1326.6977829933167</v>
      </c>
      <c r="BE92" s="321">
        <f ca="1">StateModDepletions_ThisScenario!V82</f>
        <v>14510.001776695251</v>
      </c>
      <c r="BF92" s="288">
        <f t="shared" ca="1" si="100"/>
        <v>129294.77590643882</v>
      </c>
      <c r="BG92" s="288">
        <f t="shared" ca="1" si="101"/>
        <v>318023.96321194887</v>
      </c>
      <c r="BI92" s="288">
        <f t="shared" ca="1" si="102"/>
        <v>794155.84773354116</v>
      </c>
      <c r="BK92" s="286">
        <f>AnnualAggregations!$D84</f>
        <v>35893.000000000044</v>
      </c>
      <c r="BL92" s="286">
        <f>AnnualAggregations!$B84</f>
        <v>57171.723625444029</v>
      </c>
      <c r="BM92" s="286">
        <f>AnnualDepletions!$BK84</f>
        <v>168580.84417970228</v>
      </c>
      <c r="BN92" s="286">
        <f>AnnualAggregations!$E84</f>
        <v>5000.0000000019172</v>
      </c>
      <c r="BO92" s="287">
        <f t="shared" si="103"/>
        <v>266645.56780514825</v>
      </c>
      <c r="BP92" s="321">
        <f ca="1">StateModDepletions_ThisScenario!Y82</f>
        <v>212.11356273293495</v>
      </c>
      <c r="BQ92" s="321">
        <f ca="1">StateModDepletions_ThisScenario!AJ82</f>
        <v>143745.52338957699</v>
      </c>
      <c r="BR92" s="321">
        <f ca="1">StateModDepletions_ThisScenario!Z82</f>
        <v>201277.04602241516</v>
      </c>
      <c r="BS92" s="321">
        <f ca="1">StateModDepletions_ThisScenario!AA82</f>
        <v>57319.409070105241</v>
      </c>
      <c r="BT92" s="286">
        <f>AnnualDepletions!$BG84</f>
        <v>12296.800000006155</v>
      </c>
      <c r="BV92" s="287">
        <f t="shared" ca="1" si="104"/>
        <v>1073098.2155386955</v>
      </c>
      <c r="BW92" s="287">
        <f t="shared" ca="1" si="105"/>
        <v>1015778.8064685902</v>
      </c>
      <c r="BX92" s="287">
        <f t="shared" ca="1" si="92"/>
        <v>1030653.8064685902</v>
      </c>
      <c r="BY92" s="287">
        <f>SJRIPSummaryRAW!$B$79</f>
        <v>14875</v>
      </c>
      <c r="CC92" s="282">
        <v>2005</v>
      </c>
      <c r="CD92" s="286">
        <f>AnnualAggregations!K84</f>
        <v>273206.44201006158</v>
      </c>
      <c r="CE92" s="442" t="s">
        <v>597</v>
      </c>
      <c r="CF92" s="286">
        <f>AnnualDeplReqs!$AM84</f>
        <v>12099.999999999998</v>
      </c>
      <c r="CG92" s="286">
        <f>AnnualDeplReqs!$AK84</f>
        <v>7970</v>
      </c>
      <c r="CH92" s="286">
        <f>AnnualDeplReqs!$L84</f>
        <v>900.00000000000034</v>
      </c>
      <c r="CI92" s="443">
        <f t="shared" si="106"/>
        <v>299305.71039283718</v>
      </c>
      <c r="CJ92" s="286">
        <f>AnnualDeplReqs!$AO84</f>
        <v>1312.9999999998493</v>
      </c>
      <c r="CK92" s="286">
        <f>AnnualDeplReqs!$AY84</f>
        <v>1647.9999999998106</v>
      </c>
      <c r="CL92" s="286">
        <f>AnnualAggregations!$N84</f>
        <v>33754.137626638018</v>
      </c>
      <c r="CM92" s="286">
        <f>AnnualAggregations!$O84</f>
        <v>12360.999999998574</v>
      </c>
      <c r="CN92" s="286">
        <f>AnnualAggregations!$P84</f>
        <v>13407.999999998463</v>
      </c>
      <c r="CO92" s="286">
        <f>AnnualDeplReqs!$AL84</f>
        <v>11450.999999998678</v>
      </c>
      <c r="CP92" s="286">
        <f>AnnualDeplReqs!$AG84</f>
        <v>9351.9999999989232</v>
      </c>
      <c r="CQ92" s="286">
        <f>AnnualDeplReqs!$AN84</f>
        <v>3336.9999999996157</v>
      </c>
      <c r="CR92" s="287">
        <f t="shared" si="107"/>
        <v>85311.137626632088</v>
      </c>
      <c r="CS92" s="287">
        <f t="shared" si="108"/>
        <v>385929.84801946906</v>
      </c>
      <c r="CT92" s="286">
        <f>AnnualDeplReqs!$AP84</f>
        <v>340.98999999997505</v>
      </c>
      <c r="CU92" s="442" t="s">
        <v>597</v>
      </c>
      <c r="CV92" s="286">
        <f>AnnualDeplReqs!$AJ84</f>
        <v>38999.999998983854</v>
      </c>
      <c r="CW92" s="286">
        <f>AnnualDeplReqs!$BC84</f>
        <v>16199.99999897049</v>
      </c>
      <c r="CX92" s="286">
        <f>AnnualDeplReqs!$J84</f>
        <v>2499.9900000012672</v>
      </c>
      <c r="CY92" s="286">
        <f>AnnualAggregations!$Q84</f>
        <v>11624.990000001573</v>
      </c>
      <c r="CZ92" s="287">
        <f t="shared" si="109"/>
        <v>69665.96999795716</v>
      </c>
      <c r="DA92" s="443">
        <f t="shared" si="110"/>
        <v>97124.901060270247</v>
      </c>
      <c r="DB92" s="287">
        <f t="shared" si="111"/>
        <v>483054.74907973933</v>
      </c>
      <c r="DD92" s="440" t="s">
        <v>628</v>
      </c>
      <c r="DE92" s="440" t="s">
        <v>628</v>
      </c>
      <c r="DF92" s="440" t="s">
        <v>628</v>
      </c>
      <c r="DG92" s="440" t="s">
        <v>628</v>
      </c>
      <c r="DH92" s="440" t="s">
        <v>628</v>
      </c>
      <c r="DI92" s="440" t="s">
        <v>628</v>
      </c>
      <c r="DJ92" s="440" t="s">
        <v>628</v>
      </c>
      <c r="DK92" s="440" t="s">
        <v>628</v>
      </c>
      <c r="DL92" s="440" t="s">
        <v>628</v>
      </c>
      <c r="DM92" s="440" t="s">
        <v>628</v>
      </c>
      <c r="DN92" s="440" t="s">
        <v>628</v>
      </c>
      <c r="DO92" s="440" t="s">
        <v>628</v>
      </c>
      <c r="DP92" s="440" t="s">
        <v>628</v>
      </c>
      <c r="DR92" s="440" t="s">
        <v>628</v>
      </c>
      <c r="DT92" s="286">
        <f>AnnualAggregations!$L84</f>
        <v>35893.000000000073</v>
      </c>
      <c r="DU92" s="443">
        <f>AnnualAggregations!$J84</f>
        <v>57171.723625444029</v>
      </c>
      <c r="DV92" s="442" t="s">
        <v>597</v>
      </c>
      <c r="DW92" s="286">
        <f>AnnualAggregations!$M84</f>
        <v>5000.0000000019172</v>
      </c>
      <c r="DX92" s="442" t="s">
        <v>597</v>
      </c>
      <c r="DY92" s="440" t="s">
        <v>628</v>
      </c>
      <c r="DZ92" s="440" t="s">
        <v>628</v>
      </c>
      <c r="EA92" s="440" t="s">
        <v>628</v>
      </c>
      <c r="EB92" s="440" t="s">
        <v>628</v>
      </c>
      <c r="EC92" s="286">
        <f>AnnualDeplReqs!$BG84</f>
        <v>12296.800000006155</v>
      </c>
      <c r="EE92" s="440" t="s">
        <v>628</v>
      </c>
      <c r="EF92" s="440" t="s">
        <v>628</v>
      </c>
      <c r="EG92" s="440" t="s">
        <v>628</v>
      </c>
      <c r="EH92" s="442" t="s">
        <v>597</v>
      </c>
      <c r="EL92" s="282">
        <v>2005</v>
      </c>
      <c r="EM92" s="286">
        <f>AnnualAggregations!S84</f>
        <v>341508.05251257704</v>
      </c>
      <c r="EN92" s="442" t="s">
        <v>597</v>
      </c>
      <c r="EO92" s="286">
        <f>AnnualDiversions!$AM84</f>
        <v>24160.880683189986</v>
      </c>
      <c r="EP92" s="286">
        <f>AnnualDiversions!$AK84</f>
        <v>15864.246446422736</v>
      </c>
      <c r="EQ92" s="286">
        <f>AnnualDiversions!$L84</f>
        <v>1800.0000000000007</v>
      </c>
      <c r="ER92" s="287">
        <f t="shared" si="112"/>
        <v>383333.1796421897</v>
      </c>
      <c r="ES92" s="286">
        <f>AnnualDiversions!$AO84</f>
        <v>2625.9999999996985</v>
      </c>
      <c r="ET92" s="286">
        <f>AnnualDiversions!$AY84</f>
        <v>2982.8054298639113</v>
      </c>
      <c r="EU92" s="286">
        <f>AnnualAggregations!$V84</f>
        <v>56608.599894381994</v>
      </c>
      <c r="EV92" s="286">
        <f>AnnualAggregations!$W84</f>
        <v>9567.151003960038</v>
      </c>
      <c r="EW92" s="286">
        <f>AnnualAggregations!$X84</f>
        <v>20553.781790805529</v>
      </c>
      <c r="EX92" s="286">
        <f>AnnualDiversions!$AL84</f>
        <v>13583.629893236874</v>
      </c>
      <c r="EY92" s="286">
        <f>AnnualDiversions!$AG84</f>
        <v>17723.869989574381</v>
      </c>
      <c r="EZ92" s="286">
        <f>AnnualDiversions!$AN84</f>
        <v>6274.3254677063387</v>
      </c>
      <c r="FA92" s="287">
        <f t="shared" si="113"/>
        <v>127294.16346952906</v>
      </c>
      <c r="FB92" s="287">
        <f t="shared" si="114"/>
        <v>513253.34311171848</v>
      </c>
      <c r="FC92" s="286">
        <f>AnnualDiversions!$AP84</f>
        <v>378.87777777775057</v>
      </c>
      <c r="FD92" s="442" t="s">
        <v>597</v>
      </c>
      <c r="FE92" s="286">
        <f>AnnualDiversions!$AJ84</f>
        <v>38999.999998983854</v>
      </c>
      <c r="FF92" s="286">
        <f>AnnualDiversions!$BC84</f>
        <v>16199.99999897049</v>
      </c>
      <c r="FG92" s="286">
        <f>AnnualDiversions!$J84</f>
        <v>4166.6500000021233</v>
      </c>
      <c r="FH92" s="286">
        <f>AnnualAggregations!$Y84</f>
        <v>19374.983333335964</v>
      </c>
      <c r="FI92" s="287">
        <f t="shared" si="115"/>
        <v>79120.511109070183</v>
      </c>
      <c r="FJ92" s="287">
        <f t="shared" si="116"/>
        <v>79120.511109070183</v>
      </c>
      <c r="FK92" s="287">
        <f t="shared" si="117"/>
        <v>592373.85422078869</v>
      </c>
      <c r="FM92" s="440" t="s">
        <v>628</v>
      </c>
      <c r="FN92" s="440" t="s">
        <v>628</v>
      </c>
      <c r="FO92" s="440" t="s">
        <v>628</v>
      </c>
      <c r="FP92" s="440" t="s">
        <v>628</v>
      </c>
      <c r="FQ92" s="440" t="s">
        <v>628</v>
      </c>
      <c r="FR92" s="440" t="s">
        <v>628</v>
      </c>
      <c r="FS92" s="440" t="s">
        <v>628</v>
      </c>
      <c r="FT92" s="440" t="s">
        <v>628</v>
      </c>
      <c r="FU92" s="440" t="s">
        <v>628</v>
      </c>
      <c r="FV92" s="440" t="s">
        <v>628</v>
      </c>
      <c r="FW92" s="440" t="s">
        <v>628</v>
      </c>
      <c r="FX92" s="440" t="s">
        <v>628</v>
      </c>
      <c r="FY92" s="440" t="s">
        <v>628</v>
      </c>
      <c r="GA92" s="440" t="s">
        <v>628</v>
      </c>
      <c r="GC92" s="286">
        <f>AnnualAggregations!$T84</f>
        <v>37764.238566617605</v>
      </c>
      <c r="GD92" s="286">
        <f>AnnualAggregations!$R84</f>
        <v>109067.13000005133</v>
      </c>
      <c r="GE92" s="443">
        <f t="shared" si="118"/>
        <v>168580.84417970228</v>
      </c>
      <c r="GF92" s="286">
        <f>AnnualAggregations!$U84</f>
        <v>5000.0000000019172</v>
      </c>
      <c r="GG92" s="287">
        <f t="shared" si="119"/>
        <v>320412.21274637314</v>
      </c>
      <c r="GH92" s="440" t="s">
        <v>628</v>
      </c>
      <c r="GI92" s="440" t="s">
        <v>628</v>
      </c>
      <c r="GJ92" s="440" t="s">
        <v>628</v>
      </c>
      <c r="GK92" s="440" t="s">
        <v>628</v>
      </c>
      <c r="GL92" s="286">
        <f>AnnualDiversions!$BG84</f>
        <v>12296.800000006155</v>
      </c>
      <c r="GN92" s="440" t="s">
        <v>628</v>
      </c>
      <c r="GO92" s="440" t="s">
        <v>628</v>
      </c>
      <c r="GP92" s="440" t="s">
        <v>628</v>
      </c>
      <c r="GQ92" s="442" t="s">
        <v>597</v>
      </c>
      <c r="GU92" s="282">
        <v>2005</v>
      </c>
      <c r="GV92" s="286">
        <f>AnnualAggregations!AA84</f>
        <v>341508.05251257704</v>
      </c>
      <c r="GW92" s="442" t="s">
        <v>597</v>
      </c>
      <c r="GX92" s="286">
        <f>AnnualDivReqs!$AM84</f>
        <v>24160.880683189986</v>
      </c>
      <c r="GY92" s="286">
        <f>AnnualDivReqs!$AK84</f>
        <v>15864.246446422736</v>
      </c>
      <c r="GZ92" s="286">
        <f>AnnualDivReqs!$L84</f>
        <v>1800.0000000000007</v>
      </c>
      <c r="HA92" s="287">
        <f t="shared" si="120"/>
        <v>383333.1796421897</v>
      </c>
      <c r="HB92" s="286">
        <f>AnnualDivReqs!$AO84</f>
        <v>2625.9999999996985</v>
      </c>
      <c r="HC92" s="286">
        <f>AnnualDivReqs!$AY84</f>
        <v>2982.8054298639113</v>
      </c>
      <c r="HD92" s="286">
        <f>AnnualAggregations!$AD84</f>
        <v>56608.599894381994</v>
      </c>
      <c r="HE92" s="286">
        <f>AnnualAggregations!$AE84</f>
        <v>22138.435747294723</v>
      </c>
      <c r="HF92" s="286">
        <f>AnnualAggregations!$AF84</f>
        <v>20553.781790805529</v>
      </c>
      <c r="HG92" s="286">
        <f>AnnualDivReqs!$AL84</f>
        <v>13583.629893236874</v>
      </c>
      <c r="HH92" s="286">
        <f>AnnualDivReqs!$AG84</f>
        <v>17723.869989574381</v>
      </c>
      <c r="HI92" s="286">
        <f>AnnualDivReqs!$AN84</f>
        <v>6274.3254677063387</v>
      </c>
      <c r="HJ92" s="287">
        <f t="shared" si="121"/>
        <v>139865.44821286376</v>
      </c>
      <c r="HK92" s="287">
        <f t="shared" si="122"/>
        <v>525824.62785505317</v>
      </c>
      <c r="HL92" s="286">
        <f>AnnualDivReqs!$AP84</f>
        <v>378.87777777775057</v>
      </c>
      <c r="HM92" s="442" t="s">
        <v>597</v>
      </c>
      <c r="HN92" s="286">
        <f>AnnualDivReqs!$AJ84</f>
        <v>38999.999998983854</v>
      </c>
      <c r="HO92" s="286">
        <f>AnnualDivReqs!$BC84</f>
        <v>16199.99999897049</v>
      </c>
      <c r="HP92" s="286">
        <f>AnnualDivReqs!$J84</f>
        <v>4166.6500000021233</v>
      </c>
      <c r="HQ92" s="286">
        <f>AnnualAggregations!$AG84</f>
        <v>19374.983333335964</v>
      </c>
      <c r="HR92" s="287">
        <f t="shared" si="123"/>
        <v>79120.511109070183</v>
      </c>
      <c r="HS92" s="287">
        <f t="shared" si="124"/>
        <v>79120.511109070183</v>
      </c>
      <c r="HT92" s="287">
        <f t="shared" si="125"/>
        <v>604945.13896412333</v>
      </c>
      <c r="HV92" s="440" t="s">
        <v>628</v>
      </c>
      <c r="HW92" s="440" t="s">
        <v>628</v>
      </c>
      <c r="HX92" s="440" t="s">
        <v>628</v>
      </c>
      <c r="HY92" s="440" t="s">
        <v>628</v>
      </c>
      <c r="HZ92" s="440" t="s">
        <v>628</v>
      </c>
      <c r="IA92" s="440" t="s">
        <v>628</v>
      </c>
      <c r="IB92" s="440" t="s">
        <v>628</v>
      </c>
      <c r="IC92" s="440" t="s">
        <v>628</v>
      </c>
      <c r="ID92" s="440" t="s">
        <v>628</v>
      </c>
      <c r="IE92" s="440" t="s">
        <v>628</v>
      </c>
      <c r="IF92" s="440" t="s">
        <v>628</v>
      </c>
      <c r="IG92" s="440" t="s">
        <v>628</v>
      </c>
      <c r="IH92" s="440" t="s">
        <v>628</v>
      </c>
      <c r="IJ92" s="440" t="s">
        <v>628</v>
      </c>
      <c r="IL92" s="286">
        <f>AnnualAggregations!$AB84</f>
        <v>37764.238566617634</v>
      </c>
      <c r="IM92" s="286">
        <f>AnnualAggregations!$Z84</f>
        <v>109067.13000005133</v>
      </c>
      <c r="IN92" s="442" t="s">
        <v>597</v>
      </c>
      <c r="IO92" s="286">
        <f>AnnualAggregations!$AC84</f>
        <v>5000.0000000019172</v>
      </c>
      <c r="IP92" s="442" t="s">
        <v>597</v>
      </c>
      <c r="IQ92" s="440" t="s">
        <v>628</v>
      </c>
      <c r="IR92" s="440" t="s">
        <v>628</v>
      </c>
      <c r="IS92" s="440" t="s">
        <v>628</v>
      </c>
      <c r="IT92" s="440" t="s">
        <v>628</v>
      </c>
      <c r="IU92" s="286">
        <f>AnnualDivReqs!$BG84</f>
        <v>12296.800000006155</v>
      </c>
      <c r="IW92" s="440" t="s">
        <v>628</v>
      </c>
      <c r="IX92" s="440" t="s">
        <v>628</v>
      </c>
      <c r="IY92" s="440" t="s">
        <v>628</v>
      </c>
      <c r="IZ92" s="442" t="s">
        <v>597</v>
      </c>
    </row>
    <row r="93" spans="20:260" x14ac:dyDescent="0.25">
      <c r="T93" s="282">
        <v>2006</v>
      </c>
      <c r="U93" s="286">
        <f>AnnualAggregations!$C85</f>
        <v>260282.23893224815</v>
      </c>
      <c r="V93" s="286">
        <f>AnnualDepletions!$BI85</f>
        <v>2544.4277672128819</v>
      </c>
      <c r="W93" s="286">
        <f>AnnualDepletions!$AM85</f>
        <v>12099.999999999995</v>
      </c>
      <c r="X93" s="286">
        <f>AnnualDepletions!$AK85</f>
        <v>7969.9999999999955</v>
      </c>
      <c r="Y93" s="286">
        <f>AnnualDepletions!$L85</f>
        <v>899.99999999999955</v>
      </c>
      <c r="Z93" s="287">
        <f t="shared" si="93"/>
        <v>283796.66669946106</v>
      </c>
      <c r="AA93" s="286">
        <f>AnnualDepletions!$AO85</f>
        <v>1073.9999999998765</v>
      </c>
      <c r="AB93" s="286">
        <f>AnnualDepletions!$AY85</f>
        <v>1524.9999999998251</v>
      </c>
      <c r="AC93" s="286">
        <f>AnnualAggregations!$F85</f>
        <v>34552.342675525273</v>
      </c>
      <c r="AD93" s="286">
        <f>AnnualAggregations!$G85</f>
        <v>2172.4544947025297</v>
      </c>
      <c r="AE93" s="286">
        <f>AnnualAggregations!$H85</f>
        <v>12922.99999999851</v>
      </c>
      <c r="AF93" s="286">
        <f>AnnualDepletions!$AL85</f>
        <v>11033.999999998741</v>
      </c>
      <c r="AG93" s="286">
        <f>AnnualDepletions!$AG85</f>
        <v>8948.9999999989705</v>
      </c>
      <c r="AH93" s="286">
        <f>AnnualDepletions!$AN85</f>
        <v>3221.9999999996267</v>
      </c>
      <c r="AI93" s="287">
        <f t="shared" si="94"/>
        <v>74377.797170223464</v>
      </c>
      <c r="AJ93" s="287">
        <f t="shared" si="95"/>
        <v>359248.46386968438</v>
      </c>
      <c r="AK93" s="286">
        <f>AnnualDepletions!$AP85</f>
        <v>340.98999999997505</v>
      </c>
      <c r="AL93" s="286">
        <f>AnnualDepletions!$BH85</f>
        <v>29247.173154576438</v>
      </c>
      <c r="AM93" s="286">
        <f>AnnualDepletions!$AJ85</f>
        <v>38999.999998983854</v>
      </c>
      <c r="AN93" s="286">
        <f>AnnualDepletions!$BC85</f>
        <v>16199.99999897049</v>
      </c>
      <c r="AO93" s="286">
        <f>AnnualDepletions!$J85</f>
        <v>2499.9900000012672</v>
      </c>
      <c r="AP93" s="286">
        <f>AnnualAggregations!$I85</f>
        <v>11624.990000001573</v>
      </c>
      <c r="AQ93" s="287">
        <f t="shared" si="96"/>
        <v>69665.96999795716</v>
      </c>
      <c r="AR93" s="287">
        <f t="shared" si="97"/>
        <v>98913.143152533608</v>
      </c>
      <c r="AS93" s="287">
        <f t="shared" si="98"/>
        <v>458161.607022218</v>
      </c>
      <c r="AU93" s="321">
        <f ca="1">StateModDepletions_ThisScenario!AC83</f>
        <v>27918.106909126043</v>
      </c>
      <c r="AV93" s="321">
        <f ca="1">StateModDepletions_ThisScenario!AD83</f>
        <v>15263.29549497366</v>
      </c>
      <c r="AW93" s="321">
        <f ca="1">StateModDepletions_ThisScenario!AE83</f>
        <v>98851.474684253335</v>
      </c>
      <c r="AX93" s="321">
        <f ca="1">StateModDepletions_ThisScenario!AB83</f>
        <v>24765.810481309891</v>
      </c>
      <c r="AY93" s="288">
        <f t="shared" ca="1" si="99"/>
        <v>166798.68756966293</v>
      </c>
      <c r="AZ93" s="321">
        <f ca="1">StateModDepletions_ThisScenario!AG83</f>
        <v>36473.195557101149</v>
      </c>
      <c r="BA93" s="321">
        <f ca="1">StateModDepletions_ThisScenario!AF83</f>
        <v>19094.397825330492</v>
      </c>
      <c r="BB93" s="321">
        <f ca="1">StateModDepletions_ThisScenario!AH83</f>
        <v>11969.929893086664</v>
      </c>
      <c r="BC93" s="321">
        <f ca="1">StateModDepletions_ThisScenario!AI83</f>
        <v>12489.208112601847</v>
      </c>
      <c r="BD93" s="321">
        <f ca="1">StateModDepletions_ThisScenario!N83</f>
        <v>1326.6977829933167</v>
      </c>
      <c r="BE93" s="321">
        <f ca="1">StateModDepletions_ThisScenario!V83</f>
        <v>9071.5415697097778</v>
      </c>
      <c r="BF93" s="288">
        <f t="shared" ca="1" si="100"/>
        <v>90424.97074082325</v>
      </c>
      <c r="BG93" s="288">
        <f t="shared" ca="1" si="101"/>
        <v>257223.65831048618</v>
      </c>
      <c r="BI93" s="288">
        <f t="shared" ca="1" si="102"/>
        <v>715385.26533270418</v>
      </c>
      <c r="BK93" s="286">
        <f>AnnualAggregations!$D85</f>
        <v>35893.000000000073</v>
      </c>
      <c r="BL93" s="286">
        <f>AnnualAggregations!$B85</f>
        <v>57173.828123633604</v>
      </c>
      <c r="BM93" s="286">
        <f>AnnualDepletions!$BK85</f>
        <v>87525.787851443121</v>
      </c>
      <c r="BN93" s="286">
        <f>AnnualAggregations!$E85</f>
        <v>5000.0000000019172</v>
      </c>
      <c r="BO93" s="287">
        <f t="shared" si="103"/>
        <v>185592.61597507872</v>
      </c>
      <c r="BP93" s="321">
        <f ca="1">StateModDepletions_ThisScenario!Y83</f>
        <v>212.11356273293495</v>
      </c>
      <c r="BQ93" s="321">
        <f ca="1">StateModDepletions_ThisScenario!AJ83</f>
        <v>145205.7878399521</v>
      </c>
      <c r="BR93" s="321">
        <f ca="1">StateModDepletions_ThisScenario!Z83</f>
        <v>264037.38139343262</v>
      </c>
      <c r="BS93" s="321">
        <f ca="1">StateModDepletions_ThisScenario!AA83</f>
        <v>118619.4799907476</v>
      </c>
      <c r="BT93" s="286">
        <f>AnnualDepletions!$BG85</f>
        <v>12296.800000006155</v>
      </c>
      <c r="BV93" s="287">
        <f t="shared" ca="1" si="104"/>
        <v>913274.68130778905</v>
      </c>
      <c r="BW93" s="287">
        <f t="shared" ca="1" si="105"/>
        <v>794655.20131704141</v>
      </c>
      <c r="BX93" s="287">
        <f t="shared" ca="1" si="92"/>
        <v>809530.20131704141</v>
      </c>
      <c r="BY93" s="287">
        <f>SJRIPSummaryRAW!$B$79</f>
        <v>14875</v>
      </c>
      <c r="CC93" s="282">
        <v>2006</v>
      </c>
      <c r="CD93" s="286">
        <f>AnnualAggregations!K85</f>
        <v>260282.23893224815</v>
      </c>
      <c r="CE93" s="442" t="s">
        <v>597</v>
      </c>
      <c r="CF93" s="286">
        <f>AnnualDeplReqs!$AM85</f>
        <v>12099.999999999995</v>
      </c>
      <c r="CG93" s="286">
        <f>AnnualDeplReqs!$AK85</f>
        <v>7969.9999999999955</v>
      </c>
      <c r="CH93" s="286">
        <f>AnnualDeplReqs!$L85</f>
        <v>899.99999999999955</v>
      </c>
      <c r="CI93" s="443">
        <f t="shared" si="106"/>
        <v>283796.66669946106</v>
      </c>
      <c r="CJ93" s="286">
        <f>AnnualDeplReqs!$AO85</f>
        <v>1073.9999999998765</v>
      </c>
      <c r="CK93" s="286">
        <f>AnnualDeplReqs!$AY85</f>
        <v>1524.9999999998251</v>
      </c>
      <c r="CL93" s="286">
        <f>AnnualAggregations!$N85</f>
        <v>34552.342675525273</v>
      </c>
      <c r="CM93" s="286">
        <f>AnnualAggregations!$O85</f>
        <v>12702.999999998538</v>
      </c>
      <c r="CN93" s="286">
        <f>AnnualAggregations!$P85</f>
        <v>12922.99999999851</v>
      </c>
      <c r="CO93" s="286">
        <f>AnnualDeplReqs!$AL85</f>
        <v>11033.999999998741</v>
      </c>
      <c r="CP93" s="286">
        <f>AnnualDeplReqs!$AG85</f>
        <v>8948.9999999989705</v>
      </c>
      <c r="CQ93" s="286">
        <f>AnnualDeplReqs!$AN85</f>
        <v>3221.9999999996267</v>
      </c>
      <c r="CR93" s="287">
        <f t="shared" si="107"/>
        <v>84908.342675519481</v>
      </c>
      <c r="CS93" s="287">
        <f t="shared" si="108"/>
        <v>369779.00937498041</v>
      </c>
      <c r="CT93" s="286">
        <f>AnnualDeplReqs!$AP85</f>
        <v>340.98999999997505</v>
      </c>
      <c r="CU93" s="442" t="s">
        <v>597</v>
      </c>
      <c r="CV93" s="286">
        <f>AnnualDeplReqs!$AJ85</f>
        <v>38999.999998983854</v>
      </c>
      <c r="CW93" s="286">
        <f>AnnualDeplReqs!$BC85</f>
        <v>16199.99999897049</v>
      </c>
      <c r="CX93" s="286">
        <f>AnnualDeplReqs!$J85</f>
        <v>2499.9900000012672</v>
      </c>
      <c r="CY93" s="286">
        <f>AnnualAggregations!$Q85</f>
        <v>11624.990000001573</v>
      </c>
      <c r="CZ93" s="287">
        <f t="shared" si="109"/>
        <v>69665.96999795716</v>
      </c>
      <c r="DA93" s="443">
        <f t="shared" si="110"/>
        <v>98913.143152533594</v>
      </c>
      <c r="DB93" s="287">
        <f t="shared" si="111"/>
        <v>468692.15252751403</v>
      </c>
      <c r="DD93" s="440" t="s">
        <v>628</v>
      </c>
      <c r="DE93" s="440" t="s">
        <v>628</v>
      </c>
      <c r="DF93" s="440" t="s">
        <v>628</v>
      </c>
      <c r="DG93" s="440" t="s">
        <v>628</v>
      </c>
      <c r="DH93" s="440" t="s">
        <v>628</v>
      </c>
      <c r="DI93" s="440" t="s">
        <v>628</v>
      </c>
      <c r="DJ93" s="440" t="s">
        <v>628</v>
      </c>
      <c r="DK93" s="440" t="s">
        <v>628</v>
      </c>
      <c r="DL93" s="440" t="s">
        <v>628</v>
      </c>
      <c r="DM93" s="440" t="s">
        <v>628</v>
      </c>
      <c r="DN93" s="440" t="s">
        <v>628</v>
      </c>
      <c r="DO93" s="440" t="s">
        <v>628</v>
      </c>
      <c r="DP93" s="440" t="s">
        <v>628</v>
      </c>
      <c r="DR93" s="440" t="s">
        <v>628</v>
      </c>
      <c r="DT93" s="286">
        <f>AnnualAggregations!$L85</f>
        <v>35893.000000000073</v>
      </c>
      <c r="DU93" s="443">
        <f>AnnualAggregations!$J85</f>
        <v>57173.828123633604</v>
      </c>
      <c r="DV93" s="442" t="s">
        <v>597</v>
      </c>
      <c r="DW93" s="286">
        <f>AnnualAggregations!$M85</f>
        <v>5000.0000000019172</v>
      </c>
      <c r="DX93" s="442" t="s">
        <v>597</v>
      </c>
      <c r="DY93" s="440" t="s">
        <v>628</v>
      </c>
      <c r="DZ93" s="440" t="s">
        <v>628</v>
      </c>
      <c r="EA93" s="440" t="s">
        <v>628</v>
      </c>
      <c r="EB93" s="440" t="s">
        <v>628</v>
      </c>
      <c r="EC93" s="286">
        <f>AnnualDeplReqs!$BG85</f>
        <v>12296.800000006155</v>
      </c>
      <c r="EE93" s="440" t="s">
        <v>628</v>
      </c>
      <c r="EF93" s="440" t="s">
        <v>628</v>
      </c>
      <c r="EG93" s="440" t="s">
        <v>628</v>
      </c>
      <c r="EH93" s="442" t="s">
        <v>597</v>
      </c>
      <c r="EL93" s="282">
        <v>2006</v>
      </c>
      <c r="EM93" s="286">
        <f>AnnualAggregations!S85</f>
        <v>325352.79866531043</v>
      </c>
      <c r="EN93" s="442" t="s">
        <v>597</v>
      </c>
      <c r="EO93" s="286">
        <f>AnnualDiversions!$AM85</f>
        <v>24160.880683189996</v>
      </c>
      <c r="EP93" s="286">
        <f>AnnualDiversions!$AK85</f>
        <v>15864.246446422714</v>
      </c>
      <c r="EQ93" s="286">
        <f>AnnualDiversions!$L85</f>
        <v>1799.9999999999991</v>
      </c>
      <c r="ER93" s="287">
        <f t="shared" si="112"/>
        <v>367177.92579492315</v>
      </c>
      <c r="ES93" s="286">
        <f>AnnualDiversions!$AO85</f>
        <v>2147.9999999997531</v>
      </c>
      <c r="ET93" s="286">
        <f>AnnualDiversions!$AY85</f>
        <v>2760.1809954747923</v>
      </c>
      <c r="EU93" s="286">
        <f>AnnualAggregations!$V85</f>
        <v>57992.057307998315</v>
      </c>
      <c r="EV93" s="286">
        <f>AnnualAggregations!$W85</f>
        <v>3709.3207529848987</v>
      </c>
      <c r="EW93" s="286">
        <f>AnnualAggregations!$X85</f>
        <v>19810.065205813295</v>
      </c>
      <c r="EX93" s="286">
        <f>AnnualDiversions!$AL85</f>
        <v>13088.967971528748</v>
      </c>
      <c r="EY93" s="286">
        <f>AnnualDiversions!$AG85</f>
        <v>16960.106130956094</v>
      </c>
      <c r="EZ93" s="286">
        <f>AnnualDiversions!$AN85</f>
        <v>6058.0990880880445</v>
      </c>
      <c r="FA93" s="287">
        <f t="shared" si="113"/>
        <v>120378.79745284418</v>
      </c>
      <c r="FB93" s="287">
        <f t="shared" si="114"/>
        <v>489704.72324776708</v>
      </c>
      <c r="FC93" s="286">
        <f>AnnualDiversions!$AP85</f>
        <v>378.87777777775057</v>
      </c>
      <c r="FD93" s="442" t="s">
        <v>597</v>
      </c>
      <c r="FE93" s="286">
        <f>AnnualDiversions!$AJ85</f>
        <v>38999.999998983854</v>
      </c>
      <c r="FF93" s="286">
        <f>AnnualDiversions!$BC85</f>
        <v>16199.99999897049</v>
      </c>
      <c r="FG93" s="286">
        <f>AnnualDiversions!$J85</f>
        <v>4166.6500000021233</v>
      </c>
      <c r="FH93" s="286">
        <f>AnnualAggregations!$Y85</f>
        <v>19374.983333335964</v>
      </c>
      <c r="FI93" s="287">
        <f t="shared" si="115"/>
        <v>79120.511109070183</v>
      </c>
      <c r="FJ93" s="287">
        <f t="shared" si="116"/>
        <v>79120.511109070183</v>
      </c>
      <c r="FK93" s="287">
        <f t="shared" si="117"/>
        <v>568825.23435683723</v>
      </c>
      <c r="FM93" s="440" t="s">
        <v>628</v>
      </c>
      <c r="FN93" s="440" t="s">
        <v>628</v>
      </c>
      <c r="FO93" s="440" t="s">
        <v>628</v>
      </c>
      <c r="FP93" s="440" t="s">
        <v>628</v>
      </c>
      <c r="FQ93" s="440" t="s">
        <v>628</v>
      </c>
      <c r="FR93" s="440" t="s">
        <v>628</v>
      </c>
      <c r="FS93" s="440" t="s">
        <v>628</v>
      </c>
      <c r="FT93" s="440" t="s">
        <v>628</v>
      </c>
      <c r="FU93" s="440" t="s">
        <v>628</v>
      </c>
      <c r="FV93" s="440" t="s">
        <v>628</v>
      </c>
      <c r="FW93" s="440" t="s">
        <v>628</v>
      </c>
      <c r="FX93" s="440" t="s">
        <v>628</v>
      </c>
      <c r="FY93" s="440" t="s">
        <v>628</v>
      </c>
      <c r="GA93" s="440" t="s">
        <v>628</v>
      </c>
      <c r="GC93" s="286">
        <f>AnnualAggregations!$T85</f>
        <v>37764.238566617634</v>
      </c>
      <c r="GD93" s="286">
        <f>AnnualAggregations!$R85</f>
        <v>109067.13000005133</v>
      </c>
      <c r="GE93" s="443">
        <f t="shared" si="118"/>
        <v>87525.787851443121</v>
      </c>
      <c r="GF93" s="286">
        <f>AnnualAggregations!$U85</f>
        <v>5000.0000000019172</v>
      </c>
      <c r="GG93" s="287">
        <f t="shared" si="119"/>
        <v>239357.15641811403</v>
      </c>
      <c r="GH93" s="440" t="s">
        <v>628</v>
      </c>
      <c r="GI93" s="440" t="s">
        <v>628</v>
      </c>
      <c r="GJ93" s="440" t="s">
        <v>628</v>
      </c>
      <c r="GK93" s="440" t="s">
        <v>628</v>
      </c>
      <c r="GL93" s="286">
        <f>AnnualDiversions!$BG85</f>
        <v>12296.800000006155</v>
      </c>
      <c r="GN93" s="440" t="s">
        <v>628</v>
      </c>
      <c r="GO93" s="440" t="s">
        <v>628</v>
      </c>
      <c r="GP93" s="440" t="s">
        <v>628</v>
      </c>
      <c r="GQ93" s="442" t="s">
        <v>597</v>
      </c>
      <c r="GU93" s="282">
        <v>2006</v>
      </c>
      <c r="GV93" s="286">
        <f>AnnualAggregations!AA85</f>
        <v>325352.79866531043</v>
      </c>
      <c r="GW93" s="442" t="s">
        <v>597</v>
      </c>
      <c r="GX93" s="286">
        <f>AnnualDivReqs!$AM85</f>
        <v>24160.880683189996</v>
      </c>
      <c r="GY93" s="286">
        <f>AnnualDivReqs!$AK85</f>
        <v>15864.246446422714</v>
      </c>
      <c r="GZ93" s="286">
        <f>AnnualDivReqs!$L85</f>
        <v>1799.9999999999991</v>
      </c>
      <c r="HA93" s="287">
        <f t="shared" si="120"/>
        <v>367177.92579492315</v>
      </c>
      <c r="HB93" s="286">
        <f>AnnualDivReqs!$AO85</f>
        <v>2147.9999999997531</v>
      </c>
      <c r="HC93" s="286">
        <f>AnnualDivReqs!$AY85</f>
        <v>2760.1809954747923</v>
      </c>
      <c r="HD93" s="286">
        <f>AnnualAggregations!$AD85</f>
        <v>57992.057307998315</v>
      </c>
      <c r="HE93" s="286">
        <f>AnnualAggregations!$AE85</f>
        <v>22753.493937891806</v>
      </c>
      <c r="HF93" s="286">
        <f>AnnualAggregations!$AF85</f>
        <v>19810.065205813295</v>
      </c>
      <c r="HG93" s="286">
        <f>AnnualDivReqs!$AL85</f>
        <v>13088.967971528748</v>
      </c>
      <c r="HH93" s="286">
        <f>AnnualDivReqs!$AG85</f>
        <v>16960.106130956094</v>
      </c>
      <c r="HI93" s="286">
        <f>AnnualDivReqs!$AN85</f>
        <v>6058.0990880880445</v>
      </c>
      <c r="HJ93" s="287">
        <f t="shared" si="121"/>
        <v>139422.97063775113</v>
      </c>
      <c r="HK93" s="287">
        <f t="shared" si="122"/>
        <v>508748.89643267402</v>
      </c>
      <c r="HL93" s="286">
        <f>AnnualDivReqs!$AP85</f>
        <v>378.87777777775057</v>
      </c>
      <c r="HM93" s="442" t="s">
        <v>597</v>
      </c>
      <c r="HN93" s="286">
        <f>AnnualDivReqs!$AJ85</f>
        <v>38999.999998983854</v>
      </c>
      <c r="HO93" s="286">
        <f>AnnualDivReqs!$BC85</f>
        <v>16199.99999897049</v>
      </c>
      <c r="HP93" s="286">
        <f>AnnualDivReqs!$J85</f>
        <v>4166.6500000021233</v>
      </c>
      <c r="HQ93" s="286">
        <f>AnnualAggregations!$AG85</f>
        <v>19374.983333335964</v>
      </c>
      <c r="HR93" s="287">
        <f t="shared" si="123"/>
        <v>79120.511109070183</v>
      </c>
      <c r="HS93" s="287">
        <f t="shared" si="124"/>
        <v>79120.511109070183</v>
      </c>
      <c r="HT93" s="287">
        <f t="shared" si="125"/>
        <v>587869.40754174418</v>
      </c>
      <c r="HV93" s="440" t="s">
        <v>628</v>
      </c>
      <c r="HW93" s="440" t="s">
        <v>628</v>
      </c>
      <c r="HX93" s="440" t="s">
        <v>628</v>
      </c>
      <c r="HY93" s="440" t="s">
        <v>628</v>
      </c>
      <c r="HZ93" s="440" t="s">
        <v>628</v>
      </c>
      <c r="IA93" s="440" t="s">
        <v>628</v>
      </c>
      <c r="IB93" s="440" t="s">
        <v>628</v>
      </c>
      <c r="IC93" s="440" t="s">
        <v>628</v>
      </c>
      <c r="ID93" s="440" t="s">
        <v>628</v>
      </c>
      <c r="IE93" s="440" t="s">
        <v>628</v>
      </c>
      <c r="IF93" s="440" t="s">
        <v>628</v>
      </c>
      <c r="IG93" s="440" t="s">
        <v>628</v>
      </c>
      <c r="IH93" s="440" t="s">
        <v>628</v>
      </c>
      <c r="IJ93" s="440" t="s">
        <v>628</v>
      </c>
      <c r="IL93" s="286">
        <f>AnnualAggregations!$AB85</f>
        <v>37764.238566617634</v>
      </c>
      <c r="IM93" s="286">
        <f>AnnualAggregations!$Z85</f>
        <v>109067.13000005133</v>
      </c>
      <c r="IN93" s="442" t="s">
        <v>597</v>
      </c>
      <c r="IO93" s="286">
        <f>AnnualAggregations!$AC85</f>
        <v>5000.0000000019172</v>
      </c>
      <c r="IP93" s="442" t="s">
        <v>597</v>
      </c>
      <c r="IQ93" s="440" t="s">
        <v>628</v>
      </c>
      <c r="IR93" s="440" t="s">
        <v>628</v>
      </c>
      <c r="IS93" s="440" t="s">
        <v>628</v>
      </c>
      <c r="IT93" s="440" t="s">
        <v>628</v>
      </c>
      <c r="IU93" s="286">
        <f>AnnualDivReqs!$BG85</f>
        <v>12296.800000006155</v>
      </c>
      <c r="IW93" s="440" t="s">
        <v>628</v>
      </c>
      <c r="IX93" s="440" t="s">
        <v>628</v>
      </c>
      <c r="IY93" s="440" t="s">
        <v>628</v>
      </c>
      <c r="IZ93" s="442" t="s">
        <v>597</v>
      </c>
    </row>
    <row r="94" spans="20:260" x14ac:dyDescent="0.25">
      <c r="T94" s="282">
        <v>2007</v>
      </c>
      <c r="U94" s="286">
        <f>AnnualAggregations!$C86</f>
        <v>265220.16767019412</v>
      </c>
      <c r="V94" s="286">
        <f>AnnualDepletions!$BI86</f>
        <v>3532.0135148020386</v>
      </c>
      <c r="W94" s="286">
        <f>AnnualDepletions!$AM86</f>
        <v>12099.999999999989</v>
      </c>
      <c r="X94" s="286">
        <f>AnnualDepletions!$AK86</f>
        <v>7970.0000000000127</v>
      </c>
      <c r="Y94" s="286">
        <f>AnnualDepletions!$L86</f>
        <v>899.99999999999943</v>
      </c>
      <c r="Z94" s="287">
        <f t="shared" si="93"/>
        <v>289722.18118499615</v>
      </c>
      <c r="AA94" s="286">
        <f>AnnualDepletions!$AO86</f>
        <v>1299.9999999998502</v>
      </c>
      <c r="AB94" s="286">
        <f>AnnualDepletions!$AY86</f>
        <v>1735.9999999998001</v>
      </c>
      <c r="AC94" s="286">
        <f>AnnualAggregations!$F86</f>
        <v>35020.86290169361</v>
      </c>
      <c r="AD94" s="286">
        <f>AnnualAggregations!$G86</f>
        <v>2546.9373877256494</v>
      </c>
      <c r="AE94" s="286">
        <f>AnnualAggregations!$H86</f>
        <v>13691.999999998432</v>
      </c>
      <c r="AF94" s="286">
        <f>AnnualDepletions!$AL86</f>
        <v>11562.999999998672</v>
      </c>
      <c r="AG94" s="286">
        <f>AnnualDepletions!$AG86</f>
        <v>9353.9999999989213</v>
      </c>
      <c r="AH94" s="286">
        <f>AnnualDepletions!$AN86</f>
        <v>3433.9999999996076</v>
      </c>
      <c r="AI94" s="287">
        <f t="shared" si="94"/>
        <v>77346.800289414707</v>
      </c>
      <c r="AJ94" s="287">
        <f t="shared" si="95"/>
        <v>368368.98147441068</v>
      </c>
      <c r="AK94" s="286">
        <f>AnnualDepletions!$AP86</f>
        <v>340.98999999997505</v>
      </c>
      <c r="AL94" s="286">
        <f>AnnualDepletions!$BH86</f>
        <v>28092.608799444362</v>
      </c>
      <c r="AM94" s="286">
        <f>AnnualDepletions!$AJ86</f>
        <v>38999.999998983854</v>
      </c>
      <c r="AN94" s="286">
        <f>AnnualDepletions!$BC86</f>
        <v>16199.99999897049</v>
      </c>
      <c r="AO94" s="286">
        <f>AnnualDepletions!$J86</f>
        <v>2499.9900000012672</v>
      </c>
      <c r="AP94" s="286">
        <f>AnnualAggregations!$I86</f>
        <v>11624.990000001573</v>
      </c>
      <c r="AQ94" s="287">
        <f t="shared" si="96"/>
        <v>69665.96999795716</v>
      </c>
      <c r="AR94" s="287">
        <f t="shared" si="97"/>
        <v>97758.57879740154</v>
      </c>
      <c r="AS94" s="287">
        <f t="shared" si="98"/>
        <v>466127.56027181225</v>
      </c>
      <c r="AU94" s="321">
        <f ca="1">StateModDepletions_ThisScenario!AC84</f>
        <v>33109.035073637962</v>
      </c>
      <c r="AV94" s="321">
        <f ca="1">StateModDepletions_ThisScenario!AD84</f>
        <v>17872.825640454888</v>
      </c>
      <c r="AW94" s="321">
        <f ca="1">StateModDepletions_ThisScenario!AE84</f>
        <v>106501.20480512828</v>
      </c>
      <c r="AX94" s="321">
        <f ca="1">StateModDepletions_ThisScenario!AB84</f>
        <v>24765.810481309891</v>
      </c>
      <c r="AY94" s="288">
        <f t="shared" ca="1" si="99"/>
        <v>182248.87600053102</v>
      </c>
      <c r="AZ94" s="321">
        <f ca="1">StateModDepletions_ThisScenario!AG84</f>
        <v>43614.324846713323</v>
      </c>
      <c r="BA94" s="321">
        <f ca="1">StateModDepletions_ThisScenario!AF84</f>
        <v>20622.855689860873</v>
      </c>
      <c r="BB94" s="321">
        <f ca="1">StateModDepletions_ThisScenario!AH84</f>
        <v>14456.466463595629</v>
      </c>
      <c r="BC94" s="321">
        <f ca="1">StateModDepletions_ThisScenario!AI84</f>
        <v>15954.485617439152</v>
      </c>
      <c r="BD94" s="321">
        <f ca="1">StateModDepletions_ThisScenario!N84</f>
        <v>1326.6977829933167</v>
      </c>
      <c r="BE94" s="321">
        <f ca="1">StateModDepletions_ThisScenario!V84</f>
        <v>11992.852585792542</v>
      </c>
      <c r="BF94" s="288">
        <f t="shared" ca="1" si="100"/>
        <v>107967.68298639482</v>
      </c>
      <c r="BG94" s="288">
        <f t="shared" ca="1" si="101"/>
        <v>290216.55898692587</v>
      </c>
      <c r="BI94" s="288">
        <f t="shared" ca="1" si="102"/>
        <v>756344.11925873812</v>
      </c>
      <c r="BK94" s="286">
        <f>AnnualAggregations!$D86</f>
        <v>35893.000000000044</v>
      </c>
      <c r="BL94" s="286">
        <f>AnnualAggregations!$B86</f>
        <v>57173.624020819196</v>
      </c>
      <c r="BM94" s="286">
        <f>AnnualDepletions!$BK86</f>
        <v>110696.21304040719</v>
      </c>
      <c r="BN94" s="286">
        <f>AnnualAggregations!$E86</f>
        <v>5000.0000000019172</v>
      </c>
      <c r="BO94" s="287">
        <f t="shared" si="103"/>
        <v>208762.83706122835</v>
      </c>
      <c r="BP94" s="321">
        <f ca="1">StateModDepletions_ThisScenario!Y84</f>
        <v>212.11356273293495</v>
      </c>
      <c r="BQ94" s="321">
        <f ca="1">StateModDepletions_ThisScenario!AJ84</f>
        <v>146947.58641651296</v>
      </c>
      <c r="BR94" s="321">
        <f ca="1">StateModDepletions_ThisScenario!Z84</f>
        <v>201517.66971969604</v>
      </c>
      <c r="BS94" s="321">
        <f ca="1">StateModDepletions_ThisScenario!AA84</f>
        <v>54357.969740450149</v>
      </c>
      <c r="BT94" s="286">
        <f>AnnualDepletions!$BG86</f>
        <v>12296.800000006155</v>
      </c>
      <c r="BV94" s="287">
        <f t="shared" ca="1" si="104"/>
        <v>977403.75631997269</v>
      </c>
      <c r="BW94" s="287">
        <f t="shared" ca="1" si="105"/>
        <v>923045.78657952254</v>
      </c>
      <c r="BX94" s="287">
        <f t="shared" ca="1" si="92"/>
        <v>937920.78657952254</v>
      </c>
      <c r="BY94" s="287">
        <f>SJRIPSummaryRAW!$B$79</f>
        <v>14875</v>
      </c>
      <c r="CC94" s="282">
        <v>2007</v>
      </c>
      <c r="CD94" s="286">
        <f>AnnualAggregations!K86</f>
        <v>265220.16767019412</v>
      </c>
      <c r="CE94" s="442" t="s">
        <v>597</v>
      </c>
      <c r="CF94" s="286">
        <f>AnnualDeplReqs!$AM86</f>
        <v>12099.999999999989</v>
      </c>
      <c r="CG94" s="286">
        <f>AnnualDeplReqs!$AK86</f>
        <v>7970.0000000000127</v>
      </c>
      <c r="CH94" s="286">
        <f>AnnualDeplReqs!$L86</f>
        <v>899.99999999999943</v>
      </c>
      <c r="CI94" s="443">
        <f t="shared" si="106"/>
        <v>289722.18118499615</v>
      </c>
      <c r="CJ94" s="286">
        <f>AnnualDeplReqs!$AO86</f>
        <v>1299.9999999998502</v>
      </c>
      <c r="CK94" s="286">
        <f>AnnualDeplReqs!$AY86</f>
        <v>1735.9999999998001</v>
      </c>
      <c r="CL94" s="286">
        <f>AnnualAggregations!$N86</f>
        <v>35020.86290169361</v>
      </c>
      <c r="CM94" s="286">
        <f>AnnualAggregations!$O86</f>
        <v>12779.999999998534</v>
      </c>
      <c r="CN94" s="286">
        <f>AnnualAggregations!$P86</f>
        <v>13691.999999998432</v>
      </c>
      <c r="CO94" s="286">
        <f>AnnualDeplReqs!$AL86</f>
        <v>11562.999999998672</v>
      </c>
      <c r="CP94" s="286">
        <f>AnnualDeplReqs!$AG86</f>
        <v>9353.9999999989213</v>
      </c>
      <c r="CQ94" s="286">
        <f>AnnualDeplReqs!$AN86</f>
        <v>3433.9999999996076</v>
      </c>
      <c r="CR94" s="287">
        <f t="shared" si="107"/>
        <v>87579.862901687578</v>
      </c>
      <c r="CS94" s="287">
        <f t="shared" si="108"/>
        <v>378602.04408668354</v>
      </c>
      <c r="CT94" s="286">
        <f>AnnualDeplReqs!$AP86</f>
        <v>340.98999999997505</v>
      </c>
      <c r="CU94" s="442" t="s">
        <v>597</v>
      </c>
      <c r="CV94" s="286">
        <f>AnnualDeplReqs!$AJ86</f>
        <v>38999.999998983854</v>
      </c>
      <c r="CW94" s="286">
        <f>AnnualDeplReqs!$BC86</f>
        <v>16199.99999897049</v>
      </c>
      <c r="CX94" s="286">
        <f>AnnualDeplReqs!$J86</f>
        <v>2499.9900000012672</v>
      </c>
      <c r="CY94" s="286">
        <f>AnnualAggregations!$Q86</f>
        <v>11624.990000001573</v>
      </c>
      <c r="CZ94" s="287">
        <f t="shared" si="109"/>
        <v>69665.96999795716</v>
      </c>
      <c r="DA94" s="443">
        <f t="shared" si="110"/>
        <v>97758.578797401526</v>
      </c>
      <c r="DB94" s="287">
        <f t="shared" si="111"/>
        <v>476360.62288408505</v>
      </c>
      <c r="DD94" s="440" t="s">
        <v>628</v>
      </c>
      <c r="DE94" s="440" t="s">
        <v>628</v>
      </c>
      <c r="DF94" s="440" t="s">
        <v>628</v>
      </c>
      <c r="DG94" s="440" t="s">
        <v>628</v>
      </c>
      <c r="DH94" s="440" t="s">
        <v>628</v>
      </c>
      <c r="DI94" s="440" t="s">
        <v>628</v>
      </c>
      <c r="DJ94" s="440" t="s">
        <v>628</v>
      </c>
      <c r="DK94" s="440" t="s">
        <v>628</v>
      </c>
      <c r="DL94" s="440" t="s">
        <v>628</v>
      </c>
      <c r="DM94" s="440" t="s">
        <v>628</v>
      </c>
      <c r="DN94" s="440" t="s">
        <v>628</v>
      </c>
      <c r="DO94" s="440" t="s">
        <v>628</v>
      </c>
      <c r="DP94" s="440" t="s">
        <v>628</v>
      </c>
      <c r="DR94" s="440" t="s">
        <v>628</v>
      </c>
      <c r="DT94" s="286">
        <f>AnnualAggregations!$L86</f>
        <v>35893.000000000073</v>
      </c>
      <c r="DU94" s="443">
        <f>AnnualAggregations!$J86</f>
        <v>57173.624020819196</v>
      </c>
      <c r="DV94" s="442" t="s">
        <v>597</v>
      </c>
      <c r="DW94" s="286">
        <f>AnnualAggregations!$M86</f>
        <v>5000.0000000019172</v>
      </c>
      <c r="DX94" s="442" t="s">
        <v>597</v>
      </c>
      <c r="DY94" s="440" t="s">
        <v>628</v>
      </c>
      <c r="DZ94" s="440" t="s">
        <v>628</v>
      </c>
      <c r="EA94" s="440" t="s">
        <v>628</v>
      </c>
      <c r="EB94" s="440" t="s">
        <v>628</v>
      </c>
      <c r="EC94" s="286">
        <f>AnnualDeplReqs!$BG86</f>
        <v>12296.800000006155</v>
      </c>
      <c r="EE94" s="440" t="s">
        <v>628</v>
      </c>
      <c r="EF94" s="440" t="s">
        <v>628</v>
      </c>
      <c r="EG94" s="440" t="s">
        <v>628</v>
      </c>
      <c r="EH94" s="442" t="s">
        <v>597</v>
      </c>
      <c r="EL94" s="282">
        <v>2007</v>
      </c>
      <c r="EM94" s="286">
        <f>AnnualAggregations!S86</f>
        <v>331525.20958774234</v>
      </c>
      <c r="EN94" s="442" t="s">
        <v>597</v>
      </c>
      <c r="EO94" s="286">
        <f>AnnualDiversions!$AM86</f>
        <v>24160.88068318996</v>
      </c>
      <c r="EP94" s="286">
        <f>AnnualDiversions!$AK86</f>
        <v>15864.246446422741</v>
      </c>
      <c r="EQ94" s="286">
        <f>AnnualDiversions!$L86</f>
        <v>1799.9999999999989</v>
      </c>
      <c r="ER94" s="287">
        <f t="shared" si="112"/>
        <v>373350.33671735507</v>
      </c>
      <c r="ES94" s="286">
        <f>AnnualDiversions!$AO86</f>
        <v>2599.9999999997003</v>
      </c>
      <c r="ET94" s="286">
        <f>AnnualDiversions!$AY86</f>
        <v>3142.0814479634382</v>
      </c>
      <c r="EU94" s="286">
        <f>AnnualAggregations!$V86</f>
        <v>58774.410366527234</v>
      </c>
      <c r="EV94" s="286">
        <f>AnnualAggregations!$W86</f>
        <v>5114.5705341002295</v>
      </c>
      <c r="EW94" s="286">
        <f>AnnualAggregations!$X86</f>
        <v>20986.69392251108</v>
      </c>
      <c r="EX94" s="286">
        <f>AnnualDiversions!$AL86</f>
        <v>13716.488730722038</v>
      </c>
      <c r="EY94" s="286">
        <f>AnnualDiversions!$AG86</f>
        <v>17727.660380932291</v>
      </c>
      <c r="EZ94" s="286">
        <f>AnnualDiversions!$AN86</f>
        <v>6456.7077183408937</v>
      </c>
      <c r="FA94" s="287">
        <f t="shared" si="113"/>
        <v>125918.61310109722</v>
      </c>
      <c r="FB94" s="287">
        <f t="shared" si="114"/>
        <v>501868.94981845201</v>
      </c>
      <c r="FC94" s="286">
        <f>AnnualDiversions!$AP86</f>
        <v>378.87777777775057</v>
      </c>
      <c r="FD94" s="442" t="s">
        <v>597</v>
      </c>
      <c r="FE94" s="286">
        <f>AnnualDiversions!$AJ86</f>
        <v>38999.999998983854</v>
      </c>
      <c r="FF94" s="286">
        <f>AnnualDiversions!$BC86</f>
        <v>16199.99999897049</v>
      </c>
      <c r="FG94" s="286">
        <f>AnnualDiversions!$J86</f>
        <v>4166.6500000021233</v>
      </c>
      <c r="FH94" s="286">
        <f>AnnualAggregations!$Y86</f>
        <v>19374.983333335964</v>
      </c>
      <c r="FI94" s="287">
        <f t="shared" si="115"/>
        <v>79120.511109070183</v>
      </c>
      <c r="FJ94" s="287">
        <f t="shared" si="116"/>
        <v>79120.511109070183</v>
      </c>
      <c r="FK94" s="287">
        <f t="shared" si="117"/>
        <v>580989.46092752216</v>
      </c>
      <c r="FM94" s="440" t="s">
        <v>628</v>
      </c>
      <c r="FN94" s="440" t="s">
        <v>628</v>
      </c>
      <c r="FO94" s="440" t="s">
        <v>628</v>
      </c>
      <c r="FP94" s="440" t="s">
        <v>628</v>
      </c>
      <c r="FQ94" s="440" t="s">
        <v>628</v>
      </c>
      <c r="FR94" s="440" t="s">
        <v>628</v>
      </c>
      <c r="FS94" s="440" t="s">
        <v>628</v>
      </c>
      <c r="FT94" s="440" t="s">
        <v>628</v>
      </c>
      <c r="FU94" s="440" t="s">
        <v>628</v>
      </c>
      <c r="FV94" s="440" t="s">
        <v>628</v>
      </c>
      <c r="FW94" s="440" t="s">
        <v>628</v>
      </c>
      <c r="FX94" s="440" t="s">
        <v>628</v>
      </c>
      <c r="FY94" s="440" t="s">
        <v>628</v>
      </c>
      <c r="GA94" s="440" t="s">
        <v>628</v>
      </c>
      <c r="GC94" s="286">
        <f>AnnualAggregations!$T86</f>
        <v>37764.238566617605</v>
      </c>
      <c r="GD94" s="286">
        <f>AnnualAggregations!$R86</f>
        <v>109067.13000005133</v>
      </c>
      <c r="GE94" s="443">
        <f t="shared" si="118"/>
        <v>110696.21304040719</v>
      </c>
      <c r="GF94" s="286">
        <f>AnnualAggregations!$U86</f>
        <v>5000.0000000019172</v>
      </c>
      <c r="GG94" s="287">
        <f t="shared" si="119"/>
        <v>262527.58160707803</v>
      </c>
      <c r="GH94" s="440" t="s">
        <v>628</v>
      </c>
      <c r="GI94" s="440" t="s">
        <v>628</v>
      </c>
      <c r="GJ94" s="440" t="s">
        <v>628</v>
      </c>
      <c r="GK94" s="440" t="s">
        <v>628</v>
      </c>
      <c r="GL94" s="286">
        <f>AnnualDiversions!$BG86</f>
        <v>12296.800000006155</v>
      </c>
      <c r="GN94" s="440" t="s">
        <v>628</v>
      </c>
      <c r="GO94" s="440" t="s">
        <v>628</v>
      </c>
      <c r="GP94" s="440" t="s">
        <v>628</v>
      </c>
      <c r="GQ94" s="442" t="s">
        <v>597</v>
      </c>
      <c r="GU94" s="282">
        <v>2007</v>
      </c>
      <c r="GV94" s="286">
        <f>AnnualAggregations!AA86</f>
        <v>331525.20958774234</v>
      </c>
      <c r="GW94" s="442" t="s">
        <v>597</v>
      </c>
      <c r="GX94" s="286">
        <f>AnnualDivReqs!$AM86</f>
        <v>24160.88068318996</v>
      </c>
      <c r="GY94" s="286">
        <f>AnnualDivReqs!$AK86</f>
        <v>15864.246446422741</v>
      </c>
      <c r="GZ94" s="286">
        <f>AnnualDivReqs!$L86</f>
        <v>1799.9999999999989</v>
      </c>
      <c r="HA94" s="287">
        <f t="shared" si="120"/>
        <v>373350.33671735507</v>
      </c>
      <c r="HB94" s="286">
        <f>AnnualDivReqs!$AO86</f>
        <v>2599.9999999997003</v>
      </c>
      <c r="HC94" s="286">
        <f>AnnualDivReqs!$AY86</f>
        <v>3142.0814479634382</v>
      </c>
      <c r="HD94" s="286">
        <f>AnnualAggregations!$AD86</f>
        <v>58774.410366527234</v>
      </c>
      <c r="HE94" s="286">
        <f>AnnualAggregations!$AE86</f>
        <v>22890.527764684022</v>
      </c>
      <c r="HF94" s="286">
        <f>AnnualAggregations!$AF86</f>
        <v>20986.69392251108</v>
      </c>
      <c r="HG94" s="286">
        <f>AnnualDivReqs!$AL86</f>
        <v>13716.488730722038</v>
      </c>
      <c r="HH94" s="286">
        <f>AnnualDivReqs!$AG86</f>
        <v>17727.660380932291</v>
      </c>
      <c r="HI94" s="286">
        <f>AnnualDivReqs!$AN86</f>
        <v>6456.7077183408937</v>
      </c>
      <c r="HJ94" s="287">
        <f t="shared" si="121"/>
        <v>143694.570331681</v>
      </c>
      <c r="HK94" s="287">
        <f t="shared" si="122"/>
        <v>519644.90704903577</v>
      </c>
      <c r="HL94" s="286">
        <f>AnnualDivReqs!$AP86</f>
        <v>378.87777777775057</v>
      </c>
      <c r="HM94" s="442" t="s">
        <v>597</v>
      </c>
      <c r="HN94" s="286">
        <f>AnnualDivReqs!$AJ86</f>
        <v>38999.999998983854</v>
      </c>
      <c r="HO94" s="286">
        <f>AnnualDivReqs!$BC86</f>
        <v>16199.99999897049</v>
      </c>
      <c r="HP94" s="286">
        <f>AnnualDivReqs!$J86</f>
        <v>4166.6500000021233</v>
      </c>
      <c r="HQ94" s="286">
        <f>AnnualAggregations!$AG86</f>
        <v>19374.983333335964</v>
      </c>
      <c r="HR94" s="287">
        <f t="shared" si="123"/>
        <v>79120.511109070183</v>
      </c>
      <c r="HS94" s="287">
        <f t="shared" si="124"/>
        <v>79120.511109070183</v>
      </c>
      <c r="HT94" s="287">
        <f t="shared" si="125"/>
        <v>598765.41815810592</v>
      </c>
      <c r="HV94" s="440" t="s">
        <v>628</v>
      </c>
      <c r="HW94" s="440" t="s">
        <v>628</v>
      </c>
      <c r="HX94" s="440" t="s">
        <v>628</v>
      </c>
      <c r="HY94" s="440" t="s">
        <v>628</v>
      </c>
      <c r="HZ94" s="440" t="s">
        <v>628</v>
      </c>
      <c r="IA94" s="440" t="s">
        <v>628</v>
      </c>
      <c r="IB94" s="440" t="s">
        <v>628</v>
      </c>
      <c r="IC94" s="440" t="s">
        <v>628</v>
      </c>
      <c r="ID94" s="440" t="s">
        <v>628</v>
      </c>
      <c r="IE94" s="440" t="s">
        <v>628</v>
      </c>
      <c r="IF94" s="440" t="s">
        <v>628</v>
      </c>
      <c r="IG94" s="440" t="s">
        <v>628</v>
      </c>
      <c r="IH94" s="440" t="s">
        <v>628</v>
      </c>
      <c r="IJ94" s="440" t="s">
        <v>628</v>
      </c>
      <c r="IL94" s="286">
        <f>AnnualAggregations!$AB86</f>
        <v>37764.238566617634</v>
      </c>
      <c r="IM94" s="286">
        <f>AnnualAggregations!$Z86</f>
        <v>109067.13000005133</v>
      </c>
      <c r="IN94" s="442" t="s">
        <v>597</v>
      </c>
      <c r="IO94" s="286">
        <f>AnnualAggregations!$AC86</f>
        <v>5000.0000000019172</v>
      </c>
      <c r="IP94" s="442" t="s">
        <v>597</v>
      </c>
      <c r="IQ94" s="440" t="s">
        <v>628</v>
      </c>
      <c r="IR94" s="440" t="s">
        <v>628</v>
      </c>
      <c r="IS94" s="440" t="s">
        <v>628</v>
      </c>
      <c r="IT94" s="440" t="s">
        <v>628</v>
      </c>
      <c r="IU94" s="286">
        <f>AnnualDivReqs!$BG86</f>
        <v>12296.800000006155</v>
      </c>
      <c r="IW94" s="440" t="s">
        <v>628</v>
      </c>
      <c r="IX94" s="440" t="s">
        <v>628</v>
      </c>
      <c r="IY94" s="440" t="s">
        <v>628</v>
      </c>
      <c r="IZ94" s="442" t="s">
        <v>597</v>
      </c>
    </row>
    <row r="95" spans="20:260" x14ac:dyDescent="0.25">
      <c r="T95" s="282">
        <v>2008</v>
      </c>
      <c r="U95" s="286">
        <f>AnnualAggregations!$C87</f>
        <v>236758.73859864601</v>
      </c>
      <c r="V95" s="286">
        <f>AnnualDepletions!$BI87</f>
        <v>-2295.9216694233423</v>
      </c>
      <c r="W95" s="286">
        <f>AnnualDepletions!$AM87</f>
        <v>12100.000000000007</v>
      </c>
      <c r="X95" s="286">
        <f>AnnualDepletions!$AK87</f>
        <v>7969.9999999999991</v>
      </c>
      <c r="Y95" s="286">
        <f>AnnualDepletions!$L87</f>
        <v>899.99999999999977</v>
      </c>
      <c r="Z95" s="287">
        <f t="shared" si="93"/>
        <v>255432.81692922267</v>
      </c>
      <c r="AA95" s="286">
        <f>AnnualDepletions!$AO87</f>
        <v>1266.9999999998538</v>
      </c>
      <c r="AB95" s="286">
        <f>AnnualDepletions!$AY87</f>
        <v>1731.9999999998022</v>
      </c>
      <c r="AC95" s="286">
        <f>AnnualAggregations!$F87</f>
        <v>34207.846215238969</v>
      </c>
      <c r="AD95" s="286">
        <f>AnnualAggregations!$G87</f>
        <v>3188.6452603764137</v>
      </c>
      <c r="AE95" s="286">
        <f>AnnualAggregations!$H87</f>
        <v>12135.999999998603</v>
      </c>
      <c r="AF95" s="286">
        <f>AnnualDepletions!$AL87</f>
        <v>10202.999999998818</v>
      </c>
      <c r="AG95" s="286">
        <f>AnnualDepletions!$AG87</f>
        <v>8945.9999999989632</v>
      </c>
      <c r="AH95" s="286">
        <f>AnnualDepletions!$AN87</f>
        <v>3049.9999999996498</v>
      </c>
      <c r="AI95" s="287">
        <f t="shared" si="94"/>
        <v>73463.491475611227</v>
      </c>
      <c r="AJ95" s="287">
        <f t="shared" si="95"/>
        <v>330163.30840483378</v>
      </c>
      <c r="AK95" s="286">
        <f>AnnualDepletions!$AP87</f>
        <v>340.98999999997511</v>
      </c>
      <c r="AL95" s="286">
        <f>AnnualDepletions!$BH87</f>
        <v>27641.182364578966</v>
      </c>
      <c r="AM95" s="286">
        <f>AnnualDepletions!$AJ87</f>
        <v>38999.999998983862</v>
      </c>
      <c r="AN95" s="286">
        <f>AnnualDepletions!$BC87</f>
        <v>16199.999998970494</v>
      </c>
      <c r="AO95" s="286">
        <f>AnnualDepletions!$J87</f>
        <v>2499.9900000012672</v>
      </c>
      <c r="AP95" s="286">
        <f>AnnualAggregations!$I87</f>
        <v>11624.990000001573</v>
      </c>
      <c r="AQ95" s="287">
        <f t="shared" si="96"/>
        <v>69665.969997957174</v>
      </c>
      <c r="AR95" s="287">
        <f t="shared" si="97"/>
        <v>97307.152362536144</v>
      </c>
      <c r="AS95" s="287">
        <f t="shared" si="98"/>
        <v>427470.46076736995</v>
      </c>
      <c r="AU95" s="321">
        <f ca="1">StateModDepletions_ThisScenario!AC85</f>
        <v>34404.828040853143</v>
      </c>
      <c r="AV95" s="321">
        <f ca="1">StateModDepletions_ThisScenario!AD85</f>
        <v>18591.818437159061</v>
      </c>
      <c r="AW95" s="321">
        <f ca="1">StateModDepletions_ThisScenario!AE85</f>
        <v>113285.54712675139</v>
      </c>
      <c r="AX95" s="321">
        <f ca="1">StateModDepletions_ThisScenario!AB85</f>
        <v>24765.810481309891</v>
      </c>
      <c r="AY95" s="288">
        <f t="shared" ca="1" si="99"/>
        <v>191048.00408607349</v>
      </c>
      <c r="AZ95" s="321">
        <f ca="1">StateModDepletions_ThisScenario!AG85</f>
        <v>45410.199230416198</v>
      </c>
      <c r="BA95" s="321">
        <f ca="1">StateModDepletions_ThisScenario!AF85</f>
        <v>20152.411914758395</v>
      </c>
      <c r="BB95" s="321">
        <f ca="1">StateModDepletions_ThisScenario!AH85</f>
        <v>17675.21547113359</v>
      </c>
      <c r="BC95" s="321">
        <f ca="1">StateModDepletions_ThisScenario!AI85</f>
        <v>21885.474856490269</v>
      </c>
      <c r="BD95" s="321">
        <f ca="1">StateModDepletions_ThisScenario!N85</f>
        <v>1326.6977829933167</v>
      </c>
      <c r="BE95" s="321">
        <f ca="1">StateModDepletions_ThisScenario!V85</f>
        <v>13559.119305610657</v>
      </c>
      <c r="BF95" s="288">
        <f t="shared" ca="1" si="100"/>
        <v>120009.11856140243</v>
      </c>
      <c r="BG95" s="288">
        <f t="shared" ca="1" si="101"/>
        <v>311057.12264747592</v>
      </c>
      <c r="BI95" s="288">
        <f t="shared" ca="1" si="102"/>
        <v>738527.58341484587</v>
      </c>
      <c r="BK95" s="286">
        <f>AnnualAggregations!$D87</f>
        <v>35893.000000000051</v>
      </c>
      <c r="BL95" s="286">
        <f>AnnualAggregations!$B87</f>
        <v>57165.910744377928</v>
      </c>
      <c r="BM95" s="286">
        <f>AnnualDepletions!$BK87</f>
        <v>140654.19732086756</v>
      </c>
      <c r="BN95" s="286">
        <f>AnnualAggregations!$E87</f>
        <v>5000.0000000019463</v>
      </c>
      <c r="BO95" s="287">
        <f t="shared" si="103"/>
        <v>238713.10806524751</v>
      </c>
      <c r="BP95" s="321">
        <f ca="1">StateModDepletions_ThisScenario!Y85</f>
        <v>212.11356273293495</v>
      </c>
      <c r="BQ95" s="321">
        <f ca="1">StateModDepletions_ThisScenario!AJ85</f>
        <v>141535.35029127268</v>
      </c>
      <c r="BR95" s="321">
        <f ca="1">StateModDepletions_ThisScenario!Z85</f>
        <v>198992.18550491333</v>
      </c>
      <c r="BS95" s="321">
        <f ca="1">StateModDepletions_ThisScenario!AA85</f>
        <v>57244.721650907712</v>
      </c>
      <c r="BT95" s="286">
        <f>AnnualDepletions!$BG87</f>
        <v>12296.800000006155</v>
      </c>
      <c r="BV95" s="287">
        <f t="shared" ca="1" si="104"/>
        <v>989537.4914800995</v>
      </c>
      <c r="BW95" s="287">
        <f t="shared" ca="1" si="105"/>
        <v>932292.76982919173</v>
      </c>
      <c r="BX95" s="287">
        <f t="shared" ca="1" si="92"/>
        <v>947167.76982919173</v>
      </c>
      <c r="BY95" s="287">
        <f>SJRIPSummaryRAW!$B$79</f>
        <v>14875</v>
      </c>
      <c r="CC95" s="282">
        <v>2008</v>
      </c>
      <c r="CD95" s="286">
        <f>AnnualAggregations!K87</f>
        <v>236758.73859864601</v>
      </c>
      <c r="CE95" s="442" t="s">
        <v>597</v>
      </c>
      <c r="CF95" s="286">
        <f>AnnualDeplReqs!$AM87</f>
        <v>12100.000000000007</v>
      </c>
      <c r="CG95" s="286">
        <f>AnnualDeplReqs!$AK87</f>
        <v>7969.9999999999991</v>
      </c>
      <c r="CH95" s="286">
        <f>AnnualDeplReqs!$L87</f>
        <v>899.99999999999977</v>
      </c>
      <c r="CI95" s="443">
        <f t="shared" si="106"/>
        <v>255432.81692922267</v>
      </c>
      <c r="CJ95" s="286">
        <f>AnnualDeplReqs!$AO87</f>
        <v>1266.9999999998538</v>
      </c>
      <c r="CK95" s="286">
        <f>AnnualDeplReqs!$AY87</f>
        <v>1731.9999999998022</v>
      </c>
      <c r="CL95" s="286">
        <f>AnnualAggregations!$N87</f>
        <v>34207.846215238969</v>
      </c>
      <c r="CM95" s="286">
        <f>AnnualAggregations!$O87</f>
        <v>12637.999999998543</v>
      </c>
      <c r="CN95" s="286">
        <f>AnnualAggregations!$P87</f>
        <v>12135.999999998603</v>
      </c>
      <c r="CO95" s="286">
        <f>AnnualDeplReqs!$AL87</f>
        <v>10202.999999998818</v>
      </c>
      <c r="CP95" s="286">
        <f>AnnualDeplReqs!$AG87</f>
        <v>8945.9999999989632</v>
      </c>
      <c r="CQ95" s="286">
        <f>AnnualDeplReqs!$AN87</f>
        <v>3049.9999999996498</v>
      </c>
      <c r="CR95" s="287">
        <f t="shared" si="107"/>
        <v>82912.846215233352</v>
      </c>
      <c r="CS95" s="287">
        <f t="shared" si="108"/>
        <v>339612.66314445587</v>
      </c>
      <c r="CT95" s="286">
        <f>AnnualDeplReqs!$AP87</f>
        <v>340.98999999997511</v>
      </c>
      <c r="CU95" s="442" t="s">
        <v>597</v>
      </c>
      <c r="CV95" s="286">
        <f>AnnualDeplReqs!$AJ87</f>
        <v>38999.999998983862</v>
      </c>
      <c r="CW95" s="286">
        <f>AnnualDeplReqs!$BC87</f>
        <v>16199.999998970494</v>
      </c>
      <c r="CX95" s="286">
        <f>AnnualDeplReqs!$J87</f>
        <v>2499.9900000012672</v>
      </c>
      <c r="CY95" s="286">
        <f>AnnualAggregations!$Q87</f>
        <v>11624.990000001573</v>
      </c>
      <c r="CZ95" s="287">
        <f t="shared" si="109"/>
        <v>69665.969997957174</v>
      </c>
      <c r="DA95" s="443">
        <f t="shared" si="110"/>
        <v>97307.152362536144</v>
      </c>
      <c r="DB95" s="287">
        <f t="shared" si="111"/>
        <v>436919.81550699205</v>
      </c>
      <c r="DD95" s="440" t="s">
        <v>628</v>
      </c>
      <c r="DE95" s="440" t="s">
        <v>628</v>
      </c>
      <c r="DF95" s="440" t="s">
        <v>628</v>
      </c>
      <c r="DG95" s="440" t="s">
        <v>628</v>
      </c>
      <c r="DH95" s="440" t="s">
        <v>628</v>
      </c>
      <c r="DI95" s="440" t="s">
        <v>628</v>
      </c>
      <c r="DJ95" s="440" t="s">
        <v>628</v>
      </c>
      <c r="DK95" s="440" t="s">
        <v>628</v>
      </c>
      <c r="DL95" s="440" t="s">
        <v>628</v>
      </c>
      <c r="DM95" s="440" t="s">
        <v>628</v>
      </c>
      <c r="DN95" s="440" t="s">
        <v>628</v>
      </c>
      <c r="DO95" s="440" t="s">
        <v>628</v>
      </c>
      <c r="DP95" s="440" t="s">
        <v>628</v>
      </c>
      <c r="DR95" s="440" t="s">
        <v>628</v>
      </c>
      <c r="DT95" s="286">
        <f>AnnualAggregations!$L87</f>
        <v>35893.000000000073</v>
      </c>
      <c r="DU95" s="443">
        <f>AnnualAggregations!$J87</f>
        <v>57165.910744377928</v>
      </c>
      <c r="DV95" s="442" t="s">
        <v>597</v>
      </c>
      <c r="DW95" s="286">
        <f>AnnualAggregations!$M87</f>
        <v>5000.0000000019463</v>
      </c>
      <c r="DX95" s="442" t="s">
        <v>597</v>
      </c>
      <c r="DY95" s="440" t="s">
        <v>628</v>
      </c>
      <c r="DZ95" s="440" t="s">
        <v>628</v>
      </c>
      <c r="EA95" s="440" t="s">
        <v>628</v>
      </c>
      <c r="EB95" s="440" t="s">
        <v>628</v>
      </c>
      <c r="EC95" s="286">
        <f>AnnualDeplReqs!$BG87</f>
        <v>12296.800000006155</v>
      </c>
      <c r="EE95" s="440" t="s">
        <v>628</v>
      </c>
      <c r="EF95" s="440" t="s">
        <v>628</v>
      </c>
      <c r="EG95" s="440" t="s">
        <v>628</v>
      </c>
      <c r="EH95" s="442" t="s">
        <v>597</v>
      </c>
      <c r="EL95" s="282">
        <v>2008</v>
      </c>
      <c r="EM95" s="286">
        <f>AnnualAggregations!S87</f>
        <v>295948.42324830737</v>
      </c>
      <c r="EN95" s="442" t="s">
        <v>597</v>
      </c>
      <c r="EO95" s="286">
        <f>AnnualDiversions!$AM87</f>
        <v>24160.880683190007</v>
      </c>
      <c r="EP95" s="286">
        <f>AnnualDiversions!$AK87</f>
        <v>15864.24644642272</v>
      </c>
      <c r="EQ95" s="286">
        <f>AnnualDiversions!$L87</f>
        <v>1799.9999999999995</v>
      </c>
      <c r="ER95" s="287">
        <f t="shared" si="112"/>
        <v>337773.5503779201</v>
      </c>
      <c r="ES95" s="286">
        <f>AnnualDiversions!$AO87</f>
        <v>2533.9999999997076</v>
      </c>
      <c r="ET95" s="286">
        <f>AnnualDiversions!$AY87</f>
        <v>3134.8416289589159</v>
      </c>
      <c r="EU95" s="286">
        <f>AnnualAggregations!$V87</f>
        <v>57442.115760271423</v>
      </c>
      <c r="EV95" s="286">
        <f>AnnualAggregations!$W87</f>
        <v>5466.1080898042192</v>
      </c>
      <c r="EW95" s="286">
        <f>AnnualAggregations!$X87</f>
        <v>18601.646569835193</v>
      </c>
      <c r="EX95" s="286">
        <f>AnnualDiversions!$AL87</f>
        <v>12103.2028469737</v>
      </c>
      <c r="EY95" s="286">
        <f>AnnualDiversions!$AG87</f>
        <v>16954.420543919208</v>
      </c>
      <c r="EZ95" s="286">
        <f>AnnualDiversions!$AN87</f>
        <v>5734.6996333546094</v>
      </c>
      <c r="FA95" s="287">
        <f t="shared" si="113"/>
        <v>119437.03507311727</v>
      </c>
      <c r="FB95" s="287">
        <f t="shared" si="114"/>
        <v>459744.58545103704</v>
      </c>
      <c r="FC95" s="286">
        <f>AnnualDiversions!$AP87</f>
        <v>378.87777777775057</v>
      </c>
      <c r="FD95" s="442" t="s">
        <v>597</v>
      </c>
      <c r="FE95" s="286">
        <f>AnnualDiversions!$AJ87</f>
        <v>38999.999998983862</v>
      </c>
      <c r="FF95" s="286">
        <f>AnnualDiversions!$BC87</f>
        <v>16199.999998970494</v>
      </c>
      <c r="FG95" s="286">
        <f>AnnualDiversions!$J87</f>
        <v>4166.6500000021233</v>
      </c>
      <c r="FH95" s="286">
        <f>AnnualAggregations!$Y87</f>
        <v>19374.983333335967</v>
      </c>
      <c r="FI95" s="287">
        <f t="shared" si="115"/>
        <v>79120.511109070212</v>
      </c>
      <c r="FJ95" s="287">
        <f t="shared" si="116"/>
        <v>79120.511109070198</v>
      </c>
      <c r="FK95" s="287">
        <f t="shared" si="117"/>
        <v>538865.09656010719</v>
      </c>
      <c r="FM95" s="440" t="s">
        <v>628</v>
      </c>
      <c r="FN95" s="440" t="s">
        <v>628</v>
      </c>
      <c r="FO95" s="440" t="s">
        <v>628</v>
      </c>
      <c r="FP95" s="440" t="s">
        <v>628</v>
      </c>
      <c r="FQ95" s="440" t="s">
        <v>628</v>
      </c>
      <c r="FR95" s="440" t="s">
        <v>628</v>
      </c>
      <c r="FS95" s="440" t="s">
        <v>628</v>
      </c>
      <c r="FT95" s="440" t="s">
        <v>628</v>
      </c>
      <c r="FU95" s="440" t="s">
        <v>628</v>
      </c>
      <c r="FV95" s="440" t="s">
        <v>628</v>
      </c>
      <c r="FW95" s="440" t="s">
        <v>628</v>
      </c>
      <c r="FX95" s="440" t="s">
        <v>628</v>
      </c>
      <c r="FY95" s="440" t="s">
        <v>628</v>
      </c>
      <c r="GA95" s="440" t="s">
        <v>628</v>
      </c>
      <c r="GC95" s="286">
        <f>AnnualAggregations!$T87</f>
        <v>37763.476493275426</v>
      </c>
      <c r="GD95" s="286">
        <f>AnnualAggregations!$R87</f>
        <v>109067.13000005131</v>
      </c>
      <c r="GE95" s="443">
        <f t="shared" si="118"/>
        <v>140654.19732086756</v>
      </c>
      <c r="GF95" s="286">
        <f>AnnualAggregations!$U87</f>
        <v>5000.0000000019463</v>
      </c>
      <c r="GG95" s="287">
        <f t="shared" si="119"/>
        <v>292484.8038141962</v>
      </c>
      <c r="GH95" s="440" t="s">
        <v>628</v>
      </c>
      <c r="GI95" s="440" t="s">
        <v>628</v>
      </c>
      <c r="GJ95" s="440" t="s">
        <v>628</v>
      </c>
      <c r="GK95" s="440" t="s">
        <v>628</v>
      </c>
      <c r="GL95" s="286">
        <f>AnnualDiversions!$BG87</f>
        <v>12296.800000006155</v>
      </c>
      <c r="GN95" s="440" t="s">
        <v>628</v>
      </c>
      <c r="GO95" s="440" t="s">
        <v>628</v>
      </c>
      <c r="GP95" s="440" t="s">
        <v>628</v>
      </c>
      <c r="GQ95" s="442" t="s">
        <v>597</v>
      </c>
      <c r="GU95" s="282">
        <v>2008</v>
      </c>
      <c r="GV95" s="286">
        <f>AnnualAggregations!AA87</f>
        <v>295948.42324830737</v>
      </c>
      <c r="GW95" s="442" t="s">
        <v>597</v>
      </c>
      <c r="GX95" s="286">
        <f>AnnualDivReqs!$AM87</f>
        <v>24160.880683190007</v>
      </c>
      <c r="GY95" s="286">
        <f>AnnualDivReqs!$AK87</f>
        <v>15864.24644642272</v>
      </c>
      <c r="GZ95" s="286">
        <f>AnnualDivReqs!$L87</f>
        <v>1799.9999999999995</v>
      </c>
      <c r="HA95" s="287">
        <f t="shared" si="120"/>
        <v>337773.5503779201</v>
      </c>
      <c r="HB95" s="286">
        <f>AnnualDivReqs!$AO87</f>
        <v>2533.9999999997076</v>
      </c>
      <c r="HC95" s="286">
        <f>AnnualDivReqs!$AY87</f>
        <v>3134.8416289589159</v>
      </c>
      <c r="HD95" s="286">
        <f>AnnualAggregations!$AD87</f>
        <v>57442.115760271423</v>
      </c>
      <c r="HE95" s="286">
        <f>AnnualAggregations!$AE87</f>
        <v>22636.768910979274</v>
      </c>
      <c r="HF95" s="286">
        <f>AnnualAggregations!$AF87</f>
        <v>18601.646569835193</v>
      </c>
      <c r="HG95" s="286">
        <f>AnnualDivReqs!$AL87</f>
        <v>12103.2028469737</v>
      </c>
      <c r="HH95" s="286">
        <f>AnnualDivReqs!$AG87</f>
        <v>16954.420543919208</v>
      </c>
      <c r="HI95" s="286">
        <f>AnnualDivReqs!$AN87</f>
        <v>5734.6996333546094</v>
      </c>
      <c r="HJ95" s="287">
        <f t="shared" si="121"/>
        <v>136607.69589429232</v>
      </c>
      <c r="HK95" s="287">
        <f t="shared" si="122"/>
        <v>476915.24627221213</v>
      </c>
      <c r="HL95" s="286">
        <f>AnnualDivReqs!$AP87</f>
        <v>378.87777777775057</v>
      </c>
      <c r="HM95" s="442" t="s">
        <v>597</v>
      </c>
      <c r="HN95" s="286">
        <f>AnnualDivReqs!$AJ87</f>
        <v>38999.999998983862</v>
      </c>
      <c r="HO95" s="286">
        <f>AnnualDivReqs!$BC87</f>
        <v>16199.999998970494</v>
      </c>
      <c r="HP95" s="286">
        <f>AnnualDivReqs!$J87</f>
        <v>4166.6500000021233</v>
      </c>
      <c r="HQ95" s="286">
        <f>AnnualAggregations!$AG87</f>
        <v>19374.983333335967</v>
      </c>
      <c r="HR95" s="287">
        <f t="shared" si="123"/>
        <v>79120.511109070212</v>
      </c>
      <c r="HS95" s="287">
        <f t="shared" si="124"/>
        <v>79120.511109070198</v>
      </c>
      <c r="HT95" s="287">
        <f t="shared" si="125"/>
        <v>556035.75738128228</v>
      </c>
      <c r="HV95" s="440" t="s">
        <v>628</v>
      </c>
      <c r="HW95" s="440" t="s">
        <v>628</v>
      </c>
      <c r="HX95" s="440" t="s">
        <v>628</v>
      </c>
      <c r="HY95" s="440" t="s">
        <v>628</v>
      </c>
      <c r="HZ95" s="440" t="s">
        <v>628</v>
      </c>
      <c r="IA95" s="440" t="s">
        <v>628</v>
      </c>
      <c r="IB95" s="440" t="s">
        <v>628</v>
      </c>
      <c r="IC95" s="440" t="s">
        <v>628</v>
      </c>
      <c r="ID95" s="440" t="s">
        <v>628</v>
      </c>
      <c r="IE95" s="440" t="s">
        <v>628</v>
      </c>
      <c r="IF95" s="440" t="s">
        <v>628</v>
      </c>
      <c r="IG95" s="440" t="s">
        <v>628</v>
      </c>
      <c r="IH95" s="440" t="s">
        <v>628</v>
      </c>
      <c r="IJ95" s="440" t="s">
        <v>628</v>
      </c>
      <c r="IL95" s="286">
        <f>AnnualAggregations!$AB87</f>
        <v>37763.476493275448</v>
      </c>
      <c r="IM95" s="286">
        <f>AnnualAggregations!$Z87</f>
        <v>109067.13000005131</v>
      </c>
      <c r="IN95" s="442" t="s">
        <v>597</v>
      </c>
      <c r="IO95" s="286">
        <f>AnnualAggregations!$AC87</f>
        <v>5000.0000000019463</v>
      </c>
      <c r="IP95" s="442" t="s">
        <v>597</v>
      </c>
      <c r="IQ95" s="440" t="s">
        <v>628</v>
      </c>
      <c r="IR95" s="440" t="s">
        <v>628</v>
      </c>
      <c r="IS95" s="440" t="s">
        <v>628</v>
      </c>
      <c r="IT95" s="440" t="s">
        <v>628</v>
      </c>
      <c r="IU95" s="286">
        <f>AnnualDivReqs!$BG87</f>
        <v>12296.800000006155</v>
      </c>
      <c r="IW95" s="440" t="s">
        <v>628</v>
      </c>
      <c r="IX95" s="440" t="s">
        <v>628</v>
      </c>
      <c r="IY95" s="440" t="s">
        <v>628</v>
      </c>
      <c r="IZ95" s="442" t="s">
        <v>597</v>
      </c>
    </row>
    <row r="96" spans="20:260" x14ac:dyDescent="0.25">
      <c r="T96" s="282">
        <v>2009</v>
      </c>
      <c r="U96" s="286">
        <f>AnnualAggregations!$C88</f>
        <v>260971.88082980562</v>
      </c>
      <c r="V96" s="286">
        <f>AnnualDepletions!$BI88</f>
        <v>2682.3561467242621</v>
      </c>
      <c r="W96" s="286">
        <f>AnnualDepletions!$AM88</f>
        <v>12099.999999999998</v>
      </c>
      <c r="X96" s="286">
        <f>AnnualDepletions!$AK88</f>
        <v>7970.0000000000091</v>
      </c>
      <c r="Y96" s="286">
        <f>AnnualDepletions!$L88</f>
        <v>899.99999999999977</v>
      </c>
      <c r="Z96" s="287">
        <f t="shared" si="93"/>
        <v>284624.23697652988</v>
      </c>
      <c r="AA96" s="286">
        <f>AnnualDepletions!$AO88</f>
        <v>1123.9999999998715</v>
      </c>
      <c r="AB96" s="286">
        <f>AnnualDepletions!$AY88</f>
        <v>1675.9999999998079</v>
      </c>
      <c r="AC96" s="286">
        <f>AnnualAggregations!$F88</f>
        <v>35051.929880039526</v>
      </c>
      <c r="AD96" s="286">
        <f>AnnualAggregations!$G88</f>
        <v>2335.6490462928373</v>
      </c>
      <c r="AE96" s="286">
        <f>AnnualAggregations!$H88</f>
        <v>13413.999999998467</v>
      </c>
      <c r="AF96" s="286">
        <f>AnnualDepletions!$AL88</f>
        <v>11359.999999998685</v>
      </c>
      <c r="AG96" s="286">
        <f>AnnualDepletions!$AG88</f>
        <v>8868.5113877418225</v>
      </c>
      <c r="AH96" s="286">
        <f>AnnualDepletions!$AN88</f>
        <v>3051.9999999996476</v>
      </c>
      <c r="AI96" s="287">
        <f t="shared" si="94"/>
        <v>75758.090314070796</v>
      </c>
      <c r="AJ96" s="287">
        <f t="shared" si="95"/>
        <v>361506.32729060057</v>
      </c>
      <c r="AK96" s="286">
        <f>AnnualDepletions!$AP88</f>
        <v>340.98999999997505</v>
      </c>
      <c r="AL96" s="286">
        <f>AnnualDepletions!$BH88</f>
        <v>28140.707407500991</v>
      </c>
      <c r="AM96" s="286">
        <f>AnnualDepletions!$AJ88</f>
        <v>38999.999998983854</v>
      </c>
      <c r="AN96" s="286">
        <f>AnnualDepletions!$BC88</f>
        <v>16199.99999897049</v>
      </c>
      <c r="AO96" s="286">
        <f>AnnualDepletions!$J88</f>
        <v>2499.9900000012672</v>
      </c>
      <c r="AP96" s="286">
        <f>AnnualAggregations!$I88</f>
        <v>11624.990000001573</v>
      </c>
      <c r="AQ96" s="287">
        <f t="shared" si="96"/>
        <v>69665.96999795716</v>
      </c>
      <c r="AR96" s="287">
        <f t="shared" si="97"/>
        <v>97806.677405458162</v>
      </c>
      <c r="AS96" s="287">
        <f t="shared" si="98"/>
        <v>459313.00469605875</v>
      </c>
      <c r="AU96" s="321">
        <f ca="1">StateModDepletions_ThisScenario!AC86</f>
        <v>31751.941636323929</v>
      </c>
      <c r="AV96" s="321">
        <f ca="1">StateModDepletions_ThisScenario!AD86</f>
        <v>16643.217089161277</v>
      </c>
      <c r="AW96" s="321">
        <f ca="1">StateModDepletions_ThisScenario!AE86</f>
        <v>106828.74521145225</v>
      </c>
      <c r="AX96" s="321">
        <f ca="1">StateModDepletions_ThisScenario!AB86</f>
        <v>24765.810481309891</v>
      </c>
      <c r="AY96" s="288">
        <f t="shared" ca="1" si="99"/>
        <v>179989.71441824734</v>
      </c>
      <c r="AZ96" s="321">
        <f ca="1">StateModDepletions_ThisScenario!AG86</f>
        <v>33754.993768087108</v>
      </c>
      <c r="BA96" s="321">
        <f ca="1">StateModDepletions_ThisScenario!AF86</f>
        <v>19287.062567688517</v>
      </c>
      <c r="BB96" s="321">
        <f ca="1">StateModDepletions_ThisScenario!AH86</f>
        <v>14842.857238337398</v>
      </c>
      <c r="BC96" s="321">
        <f ca="1">StateModDepletions_ThisScenario!AI86</f>
        <v>16780.143347416404</v>
      </c>
      <c r="BD96" s="321">
        <f ca="1">StateModDepletions_ThisScenario!N86</f>
        <v>1326.6977829933167</v>
      </c>
      <c r="BE96" s="321">
        <f ca="1">StateModDepletions_ThisScenario!V86</f>
        <v>9852.8582468032837</v>
      </c>
      <c r="BF96" s="288">
        <f t="shared" ca="1" si="100"/>
        <v>95844.612951326024</v>
      </c>
      <c r="BG96" s="288">
        <f t="shared" ca="1" si="101"/>
        <v>275834.32736957335</v>
      </c>
      <c r="BI96" s="288">
        <f t="shared" ca="1" si="102"/>
        <v>735147.3320656321</v>
      </c>
      <c r="BK96" s="286">
        <f>AnnualAggregations!$D88</f>
        <v>35893.000000000044</v>
      </c>
      <c r="BL96" s="286">
        <f>AnnualAggregations!$B88</f>
        <v>57106.2353455181</v>
      </c>
      <c r="BM96" s="286">
        <f>AnnualDepletions!$BK88</f>
        <v>106706.37686413618</v>
      </c>
      <c r="BN96" s="286">
        <f>AnnualAggregations!$E88</f>
        <v>5000.0000000019172</v>
      </c>
      <c r="BO96" s="287">
        <f t="shared" si="103"/>
        <v>204705.61220965625</v>
      </c>
      <c r="BP96" s="321">
        <f ca="1">StateModDepletions_ThisScenario!Y86</f>
        <v>212.11356273293495</v>
      </c>
      <c r="BQ96" s="321">
        <f ca="1">StateModDepletions_ThisScenario!AJ86</f>
        <v>146939.38907167659</v>
      </c>
      <c r="BR96" s="321">
        <f ca="1">StateModDepletions_ThisScenario!Z86</f>
        <v>232946.2184753418</v>
      </c>
      <c r="BS96" s="321">
        <f ca="1">StateModDepletions_ThisScenario!AA86</f>
        <v>85794.715840932273</v>
      </c>
      <c r="BT96" s="286">
        <f>AnnualDepletions!$BG88</f>
        <v>12296.800000006155</v>
      </c>
      <c r="BV96" s="287">
        <f t="shared" ca="1" si="104"/>
        <v>952149.74427529448</v>
      </c>
      <c r="BW96" s="287">
        <f t="shared" ca="1" si="105"/>
        <v>866355.02843436226</v>
      </c>
      <c r="BX96" s="287">
        <f t="shared" ca="1" si="92"/>
        <v>881230.02843436226</v>
      </c>
      <c r="BY96" s="287">
        <f>SJRIPSummaryRAW!$B$79</f>
        <v>14875</v>
      </c>
      <c r="CC96" s="282">
        <v>2009</v>
      </c>
      <c r="CD96" s="286">
        <f>AnnualAggregations!K88</f>
        <v>260971.88082980562</v>
      </c>
      <c r="CE96" s="442" t="s">
        <v>597</v>
      </c>
      <c r="CF96" s="286">
        <f>AnnualDeplReqs!$AM88</f>
        <v>12099.999999999998</v>
      </c>
      <c r="CG96" s="286">
        <f>AnnualDeplReqs!$AK88</f>
        <v>7970.0000000000091</v>
      </c>
      <c r="CH96" s="286">
        <f>AnnualDeplReqs!$L88</f>
        <v>899.99999999999977</v>
      </c>
      <c r="CI96" s="443">
        <f t="shared" si="106"/>
        <v>284624.23697652988</v>
      </c>
      <c r="CJ96" s="286">
        <f>AnnualDeplReqs!$AO88</f>
        <v>1123.9999999998715</v>
      </c>
      <c r="CK96" s="286">
        <f>AnnualDeplReqs!$AY88</f>
        <v>1675.9999999998079</v>
      </c>
      <c r="CL96" s="286">
        <f>AnnualAggregations!$N88</f>
        <v>35051.929880039526</v>
      </c>
      <c r="CM96" s="286">
        <f>AnnualAggregations!$O88</f>
        <v>12819.999999998525</v>
      </c>
      <c r="CN96" s="286">
        <f>AnnualAggregations!$P88</f>
        <v>13413.999999998467</v>
      </c>
      <c r="CO96" s="286">
        <f>AnnualDeplReqs!$AL88</f>
        <v>11359.999999998685</v>
      </c>
      <c r="CP96" s="286">
        <f>AnnualDeplReqs!$AG88</f>
        <v>9019.9999999989577</v>
      </c>
      <c r="CQ96" s="286">
        <f>AnnualDeplReqs!$AN88</f>
        <v>3051.9999999996476</v>
      </c>
      <c r="CR96" s="287">
        <f t="shared" si="107"/>
        <v>86393.929880033611</v>
      </c>
      <c r="CS96" s="287">
        <f t="shared" si="108"/>
        <v>372142.16685656336</v>
      </c>
      <c r="CT96" s="286">
        <f>AnnualDeplReqs!$AP88</f>
        <v>340.98999999997505</v>
      </c>
      <c r="CU96" s="442" t="s">
        <v>597</v>
      </c>
      <c r="CV96" s="286">
        <f>AnnualDeplReqs!$AJ88</f>
        <v>38999.999998983854</v>
      </c>
      <c r="CW96" s="286">
        <f>AnnualDeplReqs!$BC88</f>
        <v>16199.99999897049</v>
      </c>
      <c r="CX96" s="286">
        <f>AnnualDeplReqs!$J88</f>
        <v>2499.9900000012672</v>
      </c>
      <c r="CY96" s="286">
        <f>AnnualAggregations!$Q88</f>
        <v>11624.990000001573</v>
      </c>
      <c r="CZ96" s="287">
        <f t="shared" si="109"/>
        <v>69665.96999795716</v>
      </c>
      <c r="DA96" s="443">
        <f t="shared" si="110"/>
        <v>97806.677405458147</v>
      </c>
      <c r="DB96" s="287">
        <f t="shared" si="111"/>
        <v>469948.84426202148</v>
      </c>
      <c r="DD96" s="440" t="s">
        <v>628</v>
      </c>
      <c r="DE96" s="440" t="s">
        <v>628</v>
      </c>
      <c r="DF96" s="440" t="s">
        <v>628</v>
      </c>
      <c r="DG96" s="440" t="s">
        <v>628</v>
      </c>
      <c r="DH96" s="440" t="s">
        <v>628</v>
      </c>
      <c r="DI96" s="440" t="s">
        <v>628</v>
      </c>
      <c r="DJ96" s="440" t="s">
        <v>628</v>
      </c>
      <c r="DK96" s="440" t="s">
        <v>628</v>
      </c>
      <c r="DL96" s="440" t="s">
        <v>628</v>
      </c>
      <c r="DM96" s="440" t="s">
        <v>628</v>
      </c>
      <c r="DN96" s="440" t="s">
        <v>628</v>
      </c>
      <c r="DO96" s="440" t="s">
        <v>628</v>
      </c>
      <c r="DP96" s="440" t="s">
        <v>628</v>
      </c>
      <c r="DR96" s="440" t="s">
        <v>628</v>
      </c>
      <c r="DT96" s="286">
        <f>AnnualAggregations!$L88</f>
        <v>35893.000000000073</v>
      </c>
      <c r="DU96" s="443">
        <f>AnnualAggregations!$J88</f>
        <v>57377.281150711082</v>
      </c>
      <c r="DV96" s="442" t="s">
        <v>597</v>
      </c>
      <c r="DW96" s="286">
        <f>AnnualAggregations!$M88</f>
        <v>5000.0000000019172</v>
      </c>
      <c r="DX96" s="442" t="s">
        <v>597</v>
      </c>
      <c r="DY96" s="440" t="s">
        <v>628</v>
      </c>
      <c r="DZ96" s="440" t="s">
        <v>628</v>
      </c>
      <c r="EA96" s="440" t="s">
        <v>628</v>
      </c>
      <c r="EB96" s="440" t="s">
        <v>628</v>
      </c>
      <c r="EC96" s="286">
        <f>AnnualDeplReqs!$BG88</f>
        <v>12296.800000006155</v>
      </c>
      <c r="EE96" s="440" t="s">
        <v>628</v>
      </c>
      <c r="EF96" s="440" t="s">
        <v>628</v>
      </c>
      <c r="EG96" s="440" t="s">
        <v>628</v>
      </c>
      <c r="EH96" s="442" t="s">
        <v>597</v>
      </c>
      <c r="EL96" s="282">
        <v>2009</v>
      </c>
      <c r="EM96" s="286">
        <f>AnnualAggregations!S88</f>
        <v>326214.85103725677</v>
      </c>
      <c r="EN96" s="442" t="s">
        <v>597</v>
      </c>
      <c r="EO96" s="286">
        <f>AnnualDiversions!$AM88</f>
        <v>24160.880683190007</v>
      </c>
      <c r="EP96" s="286">
        <f>AnnualDiversions!$AK88</f>
        <v>15864.246446422741</v>
      </c>
      <c r="EQ96" s="286">
        <f>AnnualDiversions!$L88</f>
        <v>1799.9999999999995</v>
      </c>
      <c r="ER96" s="287">
        <f t="shared" si="112"/>
        <v>368039.97816686955</v>
      </c>
      <c r="ES96" s="286">
        <f>AnnualDiversions!$AO88</f>
        <v>2247.9999999997431</v>
      </c>
      <c r="ET96" s="286">
        <f>AnnualDiversions!$AY88</f>
        <v>3033.4841628955787</v>
      </c>
      <c r="EU96" s="286">
        <f>AnnualAggregations!$V88</f>
        <v>58832.971021343976</v>
      </c>
      <c r="EV96" s="286">
        <f>AnnualAggregations!$W88</f>
        <v>3945.9856309517108</v>
      </c>
      <c r="EW96" s="286">
        <f>AnnualAggregations!$X88</f>
        <v>20562.299407814007</v>
      </c>
      <c r="EX96" s="286">
        <f>AnnualDiversions!$AL88</f>
        <v>13475.682087780177</v>
      </c>
      <c r="EY96" s="286">
        <f>AnnualDiversions!$AG88</f>
        <v>16807.564460801335</v>
      </c>
      <c r="EZ96" s="286">
        <f>AnnualDiversions!$AN88</f>
        <v>5738.4600921305801</v>
      </c>
      <c r="FA96" s="287">
        <f t="shared" si="113"/>
        <v>122396.44686371737</v>
      </c>
      <c r="FB96" s="287">
        <f t="shared" si="114"/>
        <v>492684.42503058666</v>
      </c>
      <c r="FC96" s="286">
        <f>AnnualDiversions!$AP88</f>
        <v>378.87777777775057</v>
      </c>
      <c r="FD96" s="442" t="s">
        <v>597</v>
      </c>
      <c r="FE96" s="286">
        <f>AnnualDiversions!$AJ88</f>
        <v>38999.999998983854</v>
      </c>
      <c r="FF96" s="286">
        <f>AnnualDiversions!$BC88</f>
        <v>16199.99999897049</v>
      </c>
      <c r="FG96" s="286">
        <f>AnnualDiversions!$J88</f>
        <v>4166.6500000021233</v>
      </c>
      <c r="FH96" s="286">
        <f>AnnualAggregations!$Y88</f>
        <v>19374.983333335964</v>
      </c>
      <c r="FI96" s="287">
        <f t="shared" si="115"/>
        <v>79120.511109070183</v>
      </c>
      <c r="FJ96" s="287">
        <f t="shared" si="116"/>
        <v>79120.511109070183</v>
      </c>
      <c r="FK96" s="287">
        <f t="shared" si="117"/>
        <v>571804.93613965681</v>
      </c>
      <c r="FM96" s="440" t="s">
        <v>628</v>
      </c>
      <c r="FN96" s="440" t="s">
        <v>628</v>
      </c>
      <c r="FO96" s="440" t="s">
        <v>628</v>
      </c>
      <c r="FP96" s="440" t="s">
        <v>628</v>
      </c>
      <c r="FQ96" s="440" t="s">
        <v>628</v>
      </c>
      <c r="FR96" s="440" t="s">
        <v>628</v>
      </c>
      <c r="FS96" s="440" t="s">
        <v>628</v>
      </c>
      <c r="FT96" s="440" t="s">
        <v>628</v>
      </c>
      <c r="FU96" s="440" t="s">
        <v>628</v>
      </c>
      <c r="FV96" s="440" t="s">
        <v>628</v>
      </c>
      <c r="FW96" s="440" t="s">
        <v>628</v>
      </c>
      <c r="FX96" s="440" t="s">
        <v>628</v>
      </c>
      <c r="FY96" s="440" t="s">
        <v>628</v>
      </c>
      <c r="GA96" s="440" t="s">
        <v>628</v>
      </c>
      <c r="GC96" s="286">
        <f>AnnualAggregations!$T88</f>
        <v>37764.238566617605</v>
      </c>
      <c r="GD96" s="286">
        <f>AnnualAggregations!$R88</f>
        <v>109067.13000005133</v>
      </c>
      <c r="GE96" s="443">
        <f t="shared" si="118"/>
        <v>106706.37686413618</v>
      </c>
      <c r="GF96" s="286">
        <f>AnnualAggregations!$U88</f>
        <v>5000.0000000019172</v>
      </c>
      <c r="GG96" s="287">
        <f t="shared" si="119"/>
        <v>258537.74543080706</v>
      </c>
      <c r="GH96" s="440" t="s">
        <v>628</v>
      </c>
      <c r="GI96" s="440" t="s">
        <v>628</v>
      </c>
      <c r="GJ96" s="440" t="s">
        <v>628</v>
      </c>
      <c r="GK96" s="440" t="s">
        <v>628</v>
      </c>
      <c r="GL96" s="286">
        <f>AnnualDiversions!$BG88</f>
        <v>12296.800000006155</v>
      </c>
      <c r="GN96" s="440" t="s">
        <v>628</v>
      </c>
      <c r="GO96" s="440" t="s">
        <v>628</v>
      </c>
      <c r="GP96" s="440" t="s">
        <v>628</v>
      </c>
      <c r="GQ96" s="442" t="s">
        <v>597</v>
      </c>
      <c r="GU96" s="282">
        <v>2009</v>
      </c>
      <c r="GV96" s="286">
        <f>AnnualAggregations!AA88</f>
        <v>326214.85103725677</v>
      </c>
      <c r="GW96" s="442" t="s">
        <v>597</v>
      </c>
      <c r="GX96" s="286">
        <f>AnnualDivReqs!$AM88</f>
        <v>24160.880683190007</v>
      </c>
      <c r="GY96" s="286">
        <f>AnnualDivReqs!$AK88</f>
        <v>15864.246446422741</v>
      </c>
      <c r="GZ96" s="286">
        <f>AnnualDivReqs!$L88</f>
        <v>1799.9999999999995</v>
      </c>
      <c r="HA96" s="287">
        <f t="shared" si="120"/>
        <v>368039.97816686955</v>
      </c>
      <c r="HB96" s="286">
        <f>AnnualDivReqs!$AO88</f>
        <v>2247.9999999997431</v>
      </c>
      <c r="HC96" s="286">
        <f>AnnualDivReqs!$AY88</f>
        <v>3033.4841628955787</v>
      </c>
      <c r="HD96" s="286">
        <f>AnnualAggregations!$AD88</f>
        <v>58832.971021343976</v>
      </c>
      <c r="HE96" s="286">
        <f>AnnualAggregations!$AE88</f>
        <v>22963.29472848244</v>
      </c>
      <c r="HF96" s="286">
        <f>AnnualAggregations!$AF88</f>
        <v>20562.299407814007</v>
      </c>
      <c r="HG96" s="286">
        <f>AnnualDivReqs!$AL88</f>
        <v>13475.682087780177</v>
      </c>
      <c r="HH96" s="286">
        <f>AnnualDivReqs!$AG88</f>
        <v>17094.665024161768</v>
      </c>
      <c r="HI96" s="286">
        <f>AnnualDivReqs!$AN88</f>
        <v>5738.4600921305801</v>
      </c>
      <c r="HJ96" s="287">
        <f t="shared" si="121"/>
        <v>141700.85652460853</v>
      </c>
      <c r="HK96" s="287">
        <f t="shared" si="122"/>
        <v>511988.83469147782</v>
      </c>
      <c r="HL96" s="286">
        <f>AnnualDivReqs!$AP88</f>
        <v>378.87777777775057</v>
      </c>
      <c r="HM96" s="442" t="s">
        <v>597</v>
      </c>
      <c r="HN96" s="286">
        <f>AnnualDivReqs!$AJ88</f>
        <v>38999.999998983854</v>
      </c>
      <c r="HO96" s="286">
        <f>AnnualDivReqs!$BC88</f>
        <v>16199.99999897049</v>
      </c>
      <c r="HP96" s="286">
        <f>AnnualDivReqs!$J88</f>
        <v>4166.6500000021233</v>
      </c>
      <c r="HQ96" s="286">
        <f>AnnualAggregations!$AG88</f>
        <v>19374.983333335964</v>
      </c>
      <c r="HR96" s="287">
        <f t="shared" si="123"/>
        <v>79120.511109070183</v>
      </c>
      <c r="HS96" s="287">
        <f t="shared" si="124"/>
        <v>79120.511109070183</v>
      </c>
      <c r="HT96" s="287">
        <f t="shared" si="125"/>
        <v>591109.34580054798</v>
      </c>
      <c r="HV96" s="440" t="s">
        <v>628</v>
      </c>
      <c r="HW96" s="440" t="s">
        <v>628</v>
      </c>
      <c r="HX96" s="440" t="s">
        <v>628</v>
      </c>
      <c r="HY96" s="440" t="s">
        <v>628</v>
      </c>
      <c r="HZ96" s="440" t="s">
        <v>628</v>
      </c>
      <c r="IA96" s="440" t="s">
        <v>628</v>
      </c>
      <c r="IB96" s="440" t="s">
        <v>628</v>
      </c>
      <c r="IC96" s="440" t="s">
        <v>628</v>
      </c>
      <c r="ID96" s="440" t="s">
        <v>628</v>
      </c>
      <c r="IE96" s="440" t="s">
        <v>628</v>
      </c>
      <c r="IF96" s="440" t="s">
        <v>628</v>
      </c>
      <c r="IG96" s="440" t="s">
        <v>628</v>
      </c>
      <c r="IH96" s="440" t="s">
        <v>628</v>
      </c>
      <c r="IJ96" s="440" t="s">
        <v>628</v>
      </c>
      <c r="IL96" s="286">
        <f>AnnualAggregations!$AB88</f>
        <v>37764.238566617634</v>
      </c>
      <c r="IM96" s="286">
        <f>AnnualAggregations!$Z88</f>
        <v>109609.22161043729</v>
      </c>
      <c r="IN96" s="442" t="s">
        <v>597</v>
      </c>
      <c r="IO96" s="286">
        <f>AnnualAggregations!$AC88</f>
        <v>5000.0000000019172</v>
      </c>
      <c r="IP96" s="442" t="s">
        <v>597</v>
      </c>
      <c r="IQ96" s="440" t="s">
        <v>628</v>
      </c>
      <c r="IR96" s="440" t="s">
        <v>628</v>
      </c>
      <c r="IS96" s="440" t="s">
        <v>628</v>
      </c>
      <c r="IT96" s="440" t="s">
        <v>628</v>
      </c>
      <c r="IU96" s="286">
        <f>AnnualDivReqs!$BG88</f>
        <v>12296.800000006155</v>
      </c>
      <c r="IW96" s="440" t="s">
        <v>628</v>
      </c>
      <c r="IX96" s="440" t="s">
        <v>628</v>
      </c>
      <c r="IY96" s="440" t="s">
        <v>628</v>
      </c>
      <c r="IZ96" s="442" t="s">
        <v>597</v>
      </c>
    </row>
    <row r="97" spans="1:260" x14ac:dyDescent="0.25">
      <c r="T97" s="282">
        <v>2010</v>
      </c>
      <c r="U97" s="286">
        <f>AnnualAggregations!$C89</f>
        <v>247138.78918714239</v>
      </c>
      <c r="V97" s="286">
        <f>AnnualDepletions!$BI89</f>
        <v>-84.26218180829612</v>
      </c>
      <c r="W97" s="286">
        <f>AnnualDepletions!$AM89</f>
        <v>12099.999999999998</v>
      </c>
      <c r="X97" s="286">
        <f>AnnualDepletions!$AK89</f>
        <v>7970.0000000000064</v>
      </c>
      <c r="Y97" s="286">
        <f>AnnualDepletions!$L89</f>
        <v>899.99999999999977</v>
      </c>
      <c r="Z97" s="287">
        <f t="shared" si="93"/>
        <v>268024.52700533409</v>
      </c>
      <c r="AA97" s="286">
        <f>AnnualDepletions!$AO89</f>
        <v>1175.9999999998647</v>
      </c>
      <c r="AB97" s="286">
        <f>AnnualDepletions!$AY89</f>
        <v>1563.9999999998197</v>
      </c>
      <c r="AC97" s="286">
        <f>AnnualAggregations!$F89</f>
        <v>35245.270318161609</v>
      </c>
      <c r="AD97" s="286">
        <f>AnnualAggregations!$G89</f>
        <v>3642.8315249841316</v>
      </c>
      <c r="AE97" s="286">
        <f>AnnualAggregations!$H89</f>
        <v>12578.99999999855</v>
      </c>
      <c r="AF97" s="286">
        <f>AnnualDepletions!$AL89</f>
        <v>10698.999999998774</v>
      </c>
      <c r="AG97" s="286">
        <f>AnnualDepletions!$AG89</f>
        <v>9175.67698582706</v>
      </c>
      <c r="AH97" s="286">
        <f>AnnualDepletions!$AN89</f>
        <v>3094.9999999996417</v>
      </c>
      <c r="AI97" s="287">
        <f t="shared" si="94"/>
        <v>76000.778828969575</v>
      </c>
      <c r="AJ97" s="287">
        <f t="shared" si="95"/>
        <v>345201.30583430355</v>
      </c>
      <c r="AK97" s="286">
        <f>AnnualDepletions!$AP89</f>
        <v>340.98999999997505</v>
      </c>
      <c r="AL97" s="286">
        <f>AnnualDepletions!$BH89</f>
        <v>29087.620350761172</v>
      </c>
      <c r="AM97" s="286">
        <f>AnnualDepletions!$AJ89</f>
        <v>38999.999998983854</v>
      </c>
      <c r="AN97" s="286">
        <f>AnnualDepletions!$BC89</f>
        <v>16199.99999897049</v>
      </c>
      <c r="AO97" s="286">
        <f>AnnualDepletions!$J89</f>
        <v>2499.9900000012672</v>
      </c>
      <c r="AP97" s="286">
        <f>AnnualAggregations!$I89</f>
        <v>11624.990000001573</v>
      </c>
      <c r="AQ97" s="287">
        <f t="shared" si="96"/>
        <v>69665.96999795716</v>
      </c>
      <c r="AR97" s="287">
        <f t="shared" si="97"/>
        <v>98753.590348718339</v>
      </c>
      <c r="AS97" s="287">
        <f t="shared" si="98"/>
        <v>443954.89618302189</v>
      </c>
      <c r="AU97" s="321">
        <f ca="1">StateModDepletions_ThisScenario!AC87</f>
        <v>33948.029761999846</v>
      </c>
      <c r="AV97" s="321">
        <f ca="1">StateModDepletions_ThisScenario!AD87</f>
        <v>17901.569858409464</v>
      </c>
      <c r="AW97" s="321">
        <f ca="1">StateModDepletions_ThisScenario!AE87</f>
        <v>107786.61294043064</v>
      </c>
      <c r="AX97" s="321">
        <f ca="1">StateModDepletions_ThisScenario!AB87</f>
        <v>24765.810481309891</v>
      </c>
      <c r="AY97" s="288">
        <f t="shared" ca="1" si="99"/>
        <v>184402.02304214984</v>
      </c>
      <c r="AZ97" s="321">
        <f ca="1">StateModDepletions_ThisScenario!AG87</f>
        <v>33323.650818823357</v>
      </c>
      <c r="BA97" s="321">
        <f ca="1">StateModDepletions_ThisScenario!AF87</f>
        <v>19085.371129065748</v>
      </c>
      <c r="BB97" s="321">
        <f ca="1">StateModDepletions_ThisScenario!AH87</f>
        <v>15063.597153000534</v>
      </c>
      <c r="BC97" s="321">
        <f ca="1">StateModDepletions_ThisScenario!AI87</f>
        <v>14859.131318823736</v>
      </c>
      <c r="BD97" s="321">
        <f ca="1">StateModDepletions_ThisScenario!N87</f>
        <v>1326.6977829933167</v>
      </c>
      <c r="BE97" s="321">
        <f ca="1">StateModDepletions_ThisScenario!V87</f>
        <v>11599.043879508972</v>
      </c>
      <c r="BF97" s="288">
        <f t="shared" ca="1" si="100"/>
        <v>95257.492082215671</v>
      </c>
      <c r="BG97" s="288">
        <f t="shared" ca="1" si="101"/>
        <v>279659.51512436551</v>
      </c>
      <c r="BI97" s="288">
        <f t="shared" ca="1" si="102"/>
        <v>723614.4113073874</v>
      </c>
      <c r="BK97" s="286">
        <f>AnnualAggregations!$D89</f>
        <v>35893.000000000044</v>
      </c>
      <c r="BL97" s="286">
        <f>AnnualAggregations!$B89</f>
        <v>56966.314961923905</v>
      </c>
      <c r="BM97" s="286">
        <f>AnnualDepletions!$BK89</f>
        <v>90189.295557858321</v>
      </c>
      <c r="BN97" s="286">
        <f>AnnualAggregations!$E89</f>
        <v>5000.0000000019172</v>
      </c>
      <c r="BO97" s="287">
        <f t="shared" si="103"/>
        <v>188048.61051978421</v>
      </c>
      <c r="BP97" s="321">
        <f ca="1">StateModDepletions_ThisScenario!Y87</f>
        <v>212.11356273293495</v>
      </c>
      <c r="BQ97" s="321">
        <f ca="1">StateModDepletions_ThisScenario!AJ87</f>
        <v>141325.50506896869</v>
      </c>
      <c r="BR97" s="321">
        <f ca="1">StateModDepletions_ThisScenario!Z87</f>
        <v>240864.36229419708</v>
      </c>
      <c r="BS97" s="321">
        <f ca="1">StateModDepletions_ThisScenario!AA87</f>
        <v>99326.743662495457</v>
      </c>
      <c r="BT97" s="286">
        <f>AnnualDepletions!$BG89</f>
        <v>12296.800000006155</v>
      </c>
      <c r="BV97" s="287">
        <f t="shared" ca="1" si="104"/>
        <v>923959.82182717777</v>
      </c>
      <c r="BW97" s="287">
        <f t="shared" ca="1" si="105"/>
        <v>824633.07816468226</v>
      </c>
      <c r="BX97" s="287">
        <f t="shared" ca="1" si="92"/>
        <v>839508.07816468226</v>
      </c>
      <c r="BY97" s="287">
        <f>SJRIPSummaryRAW!$B$79</f>
        <v>14875</v>
      </c>
      <c r="CC97" s="282">
        <v>2010</v>
      </c>
      <c r="CD97" s="286">
        <f>AnnualAggregations!K89</f>
        <v>247138.78918714239</v>
      </c>
      <c r="CE97" s="442" t="s">
        <v>597</v>
      </c>
      <c r="CF97" s="286">
        <f>AnnualDeplReqs!$AM89</f>
        <v>12099.999999999998</v>
      </c>
      <c r="CG97" s="286">
        <f>AnnualDeplReqs!$AK89</f>
        <v>7970.0000000000064</v>
      </c>
      <c r="CH97" s="286">
        <f>AnnualDeplReqs!$L89</f>
        <v>899.99999999999977</v>
      </c>
      <c r="CI97" s="443">
        <f t="shared" si="106"/>
        <v>268024.52700533409</v>
      </c>
      <c r="CJ97" s="286">
        <f>AnnualDeplReqs!$AO89</f>
        <v>1175.9999999998647</v>
      </c>
      <c r="CK97" s="286">
        <f>AnnualDeplReqs!$AY89</f>
        <v>1563.9999999998197</v>
      </c>
      <c r="CL97" s="286">
        <f>AnnualAggregations!$N89</f>
        <v>35245.270318161609</v>
      </c>
      <c r="CM97" s="286">
        <f>AnnualAggregations!$O89</f>
        <v>13248.999999998478</v>
      </c>
      <c r="CN97" s="286">
        <f>AnnualAggregations!$P89</f>
        <v>12578.99999999855</v>
      </c>
      <c r="CO97" s="286">
        <f>AnnualDeplReqs!$AL89</f>
        <v>10698.999999998774</v>
      </c>
      <c r="CP97" s="286">
        <f>AnnualDeplReqs!$AG89</f>
        <v>9198.9999999989468</v>
      </c>
      <c r="CQ97" s="286">
        <f>AnnualDeplReqs!$AN89</f>
        <v>3094.9999999996417</v>
      </c>
      <c r="CR97" s="287">
        <f t="shared" si="107"/>
        <v>85630.270318155817</v>
      </c>
      <c r="CS97" s="287">
        <f t="shared" si="108"/>
        <v>354830.79732348979</v>
      </c>
      <c r="CT97" s="286">
        <f>AnnualDeplReqs!$AP89</f>
        <v>340.98999999997505</v>
      </c>
      <c r="CU97" s="442" t="s">
        <v>597</v>
      </c>
      <c r="CV97" s="286">
        <f>AnnualDeplReqs!$AJ89</f>
        <v>38999.999998983854</v>
      </c>
      <c r="CW97" s="286">
        <f>AnnualDeplReqs!$BC89</f>
        <v>16199.99999897049</v>
      </c>
      <c r="CX97" s="286">
        <f>AnnualDeplReqs!$J89</f>
        <v>2499.9900000012672</v>
      </c>
      <c r="CY97" s="286">
        <f>AnnualAggregations!$Q89</f>
        <v>11624.990000001573</v>
      </c>
      <c r="CZ97" s="287">
        <f t="shared" si="109"/>
        <v>69665.96999795716</v>
      </c>
      <c r="DA97" s="443">
        <f t="shared" si="110"/>
        <v>98753.590348718339</v>
      </c>
      <c r="DB97" s="287">
        <f t="shared" si="111"/>
        <v>453584.38767220813</v>
      </c>
      <c r="DD97" s="440" t="s">
        <v>628</v>
      </c>
      <c r="DE97" s="440" t="s">
        <v>628</v>
      </c>
      <c r="DF97" s="440" t="s">
        <v>628</v>
      </c>
      <c r="DG97" s="440" t="s">
        <v>628</v>
      </c>
      <c r="DH97" s="440" t="s">
        <v>628</v>
      </c>
      <c r="DI97" s="440" t="s">
        <v>628</v>
      </c>
      <c r="DJ97" s="440" t="s">
        <v>628</v>
      </c>
      <c r="DK97" s="440" t="s">
        <v>628</v>
      </c>
      <c r="DL97" s="440" t="s">
        <v>628</v>
      </c>
      <c r="DM97" s="440" t="s">
        <v>628</v>
      </c>
      <c r="DN97" s="440" t="s">
        <v>628</v>
      </c>
      <c r="DO97" s="440" t="s">
        <v>628</v>
      </c>
      <c r="DP97" s="440" t="s">
        <v>628</v>
      </c>
      <c r="DR97" s="440" t="s">
        <v>628</v>
      </c>
      <c r="DT97" s="286">
        <f>AnnualAggregations!$L89</f>
        <v>35893.000000000073</v>
      </c>
      <c r="DU97" s="443">
        <f>AnnualAggregations!$J89</f>
        <v>57033.352381278724</v>
      </c>
      <c r="DV97" s="442" t="s">
        <v>597</v>
      </c>
      <c r="DW97" s="286">
        <f>AnnualAggregations!$M89</f>
        <v>5000.0000000019172</v>
      </c>
      <c r="DX97" s="442" t="s">
        <v>597</v>
      </c>
      <c r="DY97" s="440" t="s">
        <v>628</v>
      </c>
      <c r="DZ97" s="440" t="s">
        <v>628</v>
      </c>
      <c r="EA97" s="440" t="s">
        <v>628</v>
      </c>
      <c r="EB97" s="440" t="s">
        <v>628</v>
      </c>
      <c r="EC97" s="286">
        <f>AnnualDeplReqs!$BG89</f>
        <v>12296.800000006155</v>
      </c>
      <c r="EE97" s="440" t="s">
        <v>628</v>
      </c>
      <c r="EF97" s="440" t="s">
        <v>628</v>
      </c>
      <c r="EG97" s="440" t="s">
        <v>628</v>
      </c>
      <c r="EH97" s="442" t="s">
        <v>597</v>
      </c>
      <c r="EL97" s="282">
        <v>2010</v>
      </c>
      <c r="EM97" s="286">
        <f>AnnualAggregations!S89</f>
        <v>308923.48648392723</v>
      </c>
      <c r="EN97" s="442" t="s">
        <v>597</v>
      </c>
      <c r="EO97" s="286">
        <f>AnnualDiversions!$AM89</f>
        <v>24160.880683190007</v>
      </c>
      <c r="EP97" s="286">
        <f>AnnualDiversions!$AK89</f>
        <v>15864.246446422732</v>
      </c>
      <c r="EQ97" s="286">
        <f>AnnualDiversions!$L89</f>
        <v>1799.9999999999995</v>
      </c>
      <c r="ER97" s="287">
        <f t="shared" si="112"/>
        <v>350748.61361353996</v>
      </c>
      <c r="ES97" s="286">
        <f>AnnualDiversions!$AO89</f>
        <v>2351.9999999997294</v>
      </c>
      <c r="ET97" s="286">
        <f>AnnualDiversions!$AY89</f>
        <v>2830.7692307689044</v>
      </c>
      <c r="EU97" s="286">
        <f>AnnualAggregations!$V89</f>
        <v>59167.406595051325</v>
      </c>
      <c r="EV97" s="286">
        <f>AnnualAggregations!$W89</f>
        <v>6515.7440626396738</v>
      </c>
      <c r="EW97" s="286">
        <f>AnnualAggregations!$X89</f>
        <v>19282.410929072328</v>
      </c>
      <c r="EX97" s="286">
        <f>AnnualDiversions!$AL89</f>
        <v>12691.577698693674</v>
      </c>
      <c r="EY97" s="286">
        <f>AnnualDiversions!$AG89</f>
        <v>17389.703375015761</v>
      </c>
      <c r="EZ97" s="286">
        <f>AnnualDiversions!$AN89</f>
        <v>5819.3099558139402</v>
      </c>
      <c r="FA97" s="287">
        <f t="shared" si="113"/>
        <v>123696.92184705559</v>
      </c>
      <c r="FB97" s="287">
        <f t="shared" si="114"/>
        <v>476797.53546059527</v>
      </c>
      <c r="FC97" s="286">
        <f>AnnualDiversions!$AP89</f>
        <v>378.87777777775057</v>
      </c>
      <c r="FD97" s="442" t="s">
        <v>597</v>
      </c>
      <c r="FE97" s="286">
        <f>AnnualDiversions!$AJ89</f>
        <v>38999.999998983854</v>
      </c>
      <c r="FF97" s="286">
        <f>AnnualDiversions!$BC89</f>
        <v>16199.99999897049</v>
      </c>
      <c r="FG97" s="286">
        <f>AnnualDiversions!$J89</f>
        <v>4166.6500000021233</v>
      </c>
      <c r="FH97" s="286">
        <f>AnnualAggregations!$Y89</f>
        <v>19374.983333335964</v>
      </c>
      <c r="FI97" s="287">
        <f t="shared" si="115"/>
        <v>79120.511109070183</v>
      </c>
      <c r="FJ97" s="287">
        <f t="shared" si="116"/>
        <v>79120.511109070183</v>
      </c>
      <c r="FK97" s="287">
        <f t="shared" si="117"/>
        <v>555918.04656966543</v>
      </c>
      <c r="FM97" s="440" t="s">
        <v>628</v>
      </c>
      <c r="FN97" s="440" t="s">
        <v>628</v>
      </c>
      <c r="FO97" s="440" t="s">
        <v>628</v>
      </c>
      <c r="FP97" s="440" t="s">
        <v>628</v>
      </c>
      <c r="FQ97" s="440" t="s">
        <v>628</v>
      </c>
      <c r="FR97" s="440" t="s">
        <v>628</v>
      </c>
      <c r="FS97" s="440" t="s">
        <v>628</v>
      </c>
      <c r="FT97" s="440" t="s">
        <v>628</v>
      </c>
      <c r="FU97" s="440" t="s">
        <v>628</v>
      </c>
      <c r="FV97" s="440" t="s">
        <v>628</v>
      </c>
      <c r="FW97" s="440" t="s">
        <v>628</v>
      </c>
      <c r="FX97" s="440" t="s">
        <v>628</v>
      </c>
      <c r="FY97" s="440" t="s">
        <v>628</v>
      </c>
      <c r="GA97" s="440" t="s">
        <v>628</v>
      </c>
      <c r="GC97" s="286">
        <f>AnnualAggregations!$T89</f>
        <v>37764.238566617612</v>
      </c>
      <c r="GD97" s="286">
        <f>AnnualAggregations!$R89</f>
        <v>109067.13000005133</v>
      </c>
      <c r="GE97" s="443">
        <f t="shared" si="118"/>
        <v>90189.295557858321</v>
      </c>
      <c r="GF97" s="286">
        <f>AnnualAggregations!$U89</f>
        <v>5000.0000000019172</v>
      </c>
      <c r="GG97" s="287">
        <f t="shared" si="119"/>
        <v>242020.66412452917</v>
      </c>
      <c r="GH97" s="440" t="s">
        <v>628</v>
      </c>
      <c r="GI97" s="440" t="s">
        <v>628</v>
      </c>
      <c r="GJ97" s="440" t="s">
        <v>628</v>
      </c>
      <c r="GK97" s="440" t="s">
        <v>628</v>
      </c>
      <c r="GL97" s="286">
        <f>AnnualDiversions!$BG89</f>
        <v>12296.800000006155</v>
      </c>
      <c r="GN97" s="440" t="s">
        <v>628</v>
      </c>
      <c r="GO97" s="440" t="s">
        <v>628</v>
      </c>
      <c r="GP97" s="440" t="s">
        <v>628</v>
      </c>
      <c r="GQ97" s="442" t="s">
        <v>597</v>
      </c>
      <c r="GU97" s="282">
        <v>2010</v>
      </c>
      <c r="GV97" s="286">
        <f>AnnualAggregations!AA89</f>
        <v>308923.48648392723</v>
      </c>
      <c r="GW97" s="442" t="s">
        <v>597</v>
      </c>
      <c r="GX97" s="286">
        <f>AnnualDivReqs!$AM89</f>
        <v>24160.880683190007</v>
      </c>
      <c r="GY97" s="286">
        <f>AnnualDivReqs!$AK89</f>
        <v>15864.246446422732</v>
      </c>
      <c r="GZ97" s="286">
        <f>AnnualDivReqs!$L89</f>
        <v>1799.9999999999995</v>
      </c>
      <c r="HA97" s="287">
        <f t="shared" si="120"/>
        <v>350748.61361353996</v>
      </c>
      <c r="HB97" s="286">
        <f>AnnualDivReqs!$AO89</f>
        <v>2351.9999999997294</v>
      </c>
      <c r="HC97" s="286">
        <f>AnnualDivReqs!$AY89</f>
        <v>2830.7692307689044</v>
      </c>
      <c r="HD97" s="286">
        <f>AnnualAggregations!$AD89</f>
        <v>59167.406595051325</v>
      </c>
      <c r="HE97" s="286">
        <f>AnnualAggregations!$AE89</f>
        <v>23730.028811881581</v>
      </c>
      <c r="HF97" s="286">
        <f>AnnualAggregations!$AF89</f>
        <v>19282.410929072328</v>
      </c>
      <c r="HG97" s="286">
        <f>AnnualDivReqs!$AL89</f>
        <v>12691.577698693674</v>
      </c>
      <c r="HH97" s="286">
        <f>AnnualDivReqs!$AG89</f>
        <v>17433.905050694502</v>
      </c>
      <c r="HI97" s="286">
        <f>AnnualDivReqs!$AN89</f>
        <v>5819.3099558139402</v>
      </c>
      <c r="HJ97" s="287">
        <f t="shared" si="121"/>
        <v>140955.40827197625</v>
      </c>
      <c r="HK97" s="287">
        <f t="shared" si="122"/>
        <v>494056.02188551589</v>
      </c>
      <c r="HL97" s="286">
        <f>AnnualDivReqs!$AP89</f>
        <v>378.87777777775057</v>
      </c>
      <c r="HM97" s="442" t="s">
        <v>597</v>
      </c>
      <c r="HN97" s="286">
        <f>AnnualDivReqs!$AJ89</f>
        <v>38999.999998983854</v>
      </c>
      <c r="HO97" s="286">
        <f>AnnualDivReqs!$BC89</f>
        <v>16199.99999897049</v>
      </c>
      <c r="HP97" s="286">
        <f>AnnualDivReqs!$J89</f>
        <v>4166.6500000021233</v>
      </c>
      <c r="HQ97" s="286">
        <f>AnnualAggregations!$AG89</f>
        <v>19374.983333335964</v>
      </c>
      <c r="HR97" s="287">
        <f t="shared" si="123"/>
        <v>79120.511109070183</v>
      </c>
      <c r="HS97" s="287">
        <f t="shared" si="124"/>
        <v>79120.511109070183</v>
      </c>
      <c r="HT97" s="287">
        <f t="shared" si="125"/>
        <v>573176.53299458604</v>
      </c>
      <c r="HV97" s="440" t="s">
        <v>628</v>
      </c>
      <c r="HW97" s="440" t="s">
        <v>628</v>
      </c>
      <c r="HX97" s="440" t="s">
        <v>628</v>
      </c>
      <c r="HY97" s="440" t="s">
        <v>628</v>
      </c>
      <c r="HZ97" s="440" t="s">
        <v>628</v>
      </c>
      <c r="IA97" s="440" t="s">
        <v>628</v>
      </c>
      <c r="IB97" s="440" t="s">
        <v>628</v>
      </c>
      <c r="IC97" s="440" t="s">
        <v>628</v>
      </c>
      <c r="ID97" s="440" t="s">
        <v>628</v>
      </c>
      <c r="IE97" s="440" t="s">
        <v>628</v>
      </c>
      <c r="IF97" s="440" t="s">
        <v>628</v>
      </c>
      <c r="IG97" s="440" t="s">
        <v>628</v>
      </c>
      <c r="IH97" s="440" t="s">
        <v>628</v>
      </c>
      <c r="IJ97" s="440" t="s">
        <v>628</v>
      </c>
      <c r="IL97" s="286">
        <f>AnnualAggregations!$AB89</f>
        <v>37764.238566617634</v>
      </c>
      <c r="IM97" s="286">
        <f>AnnualAggregations!$Z89</f>
        <v>109201.20483876097</v>
      </c>
      <c r="IN97" s="442" t="s">
        <v>597</v>
      </c>
      <c r="IO97" s="286">
        <f>AnnualAggregations!$AC89</f>
        <v>5000.0000000019172</v>
      </c>
      <c r="IP97" s="442" t="s">
        <v>597</v>
      </c>
      <c r="IQ97" s="440" t="s">
        <v>628</v>
      </c>
      <c r="IR97" s="440" t="s">
        <v>628</v>
      </c>
      <c r="IS97" s="440" t="s">
        <v>628</v>
      </c>
      <c r="IT97" s="440" t="s">
        <v>628</v>
      </c>
      <c r="IU97" s="286">
        <f>AnnualDivReqs!$BG89</f>
        <v>12296.800000006155</v>
      </c>
      <c r="IW97" s="440" t="s">
        <v>628</v>
      </c>
      <c r="IX97" s="440" t="s">
        <v>628</v>
      </c>
      <c r="IY97" s="440" t="s">
        <v>628</v>
      </c>
      <c r="IZ97" s="442" t="s">
        <v>597</v>
      </c>
    </row>
    <row r="98" spans="1:260" s="39" customFormat="1" x14ac:dyDescent="0.25">
      <c r="A98" s="400"/>
      <c r="B98" s="400"/>
      <c r="D98" s="400"/>
      <c r="E98" s="400"/>
      <c r="F98" s="400"/>
      <c r="G98" s="400"/>
      <c r="H98"/>
      <c r="I98"/>
      <c r="J98"/>
      <c r="K98"/>
      <c r="L98"/>
      <c r="M98"/>
      <c r="N98"/>
      <c r="O98"/>
      <c r="P98"/>
      <c r="Q98"/>
      <c r="R98"/>
      <c r="S98"/>
      <c r="T98" s="282">
        <v>2011</v>
      </c>
      <c r="U98" s="286">
        <f>AnnualAggregations!$C90</f>
        <v>260553.33040099189</v>
      </c>
      <c r="V98" s="286">
        <f>AnnualDepletions!$BI90</f>
        <v>2598.6460609615751</v>
      </c>
      <c r="W98" s="286">
        <f>AnnualDepletions!$AM90</f>
        <v>12099.999999999998</v>
      </c>
      <c r="X98" s="286">
        <f>AnnualDepletions!$AK90</f>
        <v>7970.0000000000045</v>
      </c>
      <c r="Y98" s="286">
        <f>AnnualDepletions!$L90</f>
        <v>899.99999999999977</v>
      </c>
      <c r="Z98" s="287">
        <f t="shared" si="93"/>
        <v>284121.97646195348</v>
      </c>
      <c r="AA98" s="286">
        <f>AnnualDepletions!$AO90</f>
        <v>1170.9999999998661</v>
      </c>
      <c r="AB98" s="286">
        <f>AnnualDepletions!$AY90</f>
        <v>1595.9999999998154</v>
      </c>
      <c r="AC98" s="286">
        <f>AnnualAggregations!$F90</f>
        <v>34992.524840754704</v>
      </c>
      <c r="AD98" s="286">
        <f>AnnualAggregations!$G90</f>
        <v>2480.0809640079083</v>
      </c>
      <c r="AE98" s="286">
        <f>AnnualAggregations!$H90</f>
        <v>13343.999999998465</v>
      </c>
      <c r="AF98" s="286">
        <f>AnnualDepletions!$AL90</f>
        <v>11339.999999998698</v>
      </c>
      <c r="AG98" s="286">
        <f>AnnualDepletions!$AG90</f>
        <v>9366.9999999989268</v>
      </c>
      <c r="AH98" s="286">
        <f>AnnualDepletions!$AN90</f>
        <v>3129.9999999996385</v>
      </c>
      <c r="AI98" s="287">
        <f t="shared" si="94"/>
        <v>76249.605804758161</v>
      </c>
      <c r="AJ98" s="287">
        <f t="shared" si="95"/>
        <v>361542.58226671151</v>
      </c>
      <c r="AK98" s="286">
        <f>AnnualDepletions!$AP90</f>
        <v>340.98999999997505</v>
      </c>
      <c r="AL98" s="286">
        <f>AnnualDepletions!$BH90</f>
        <v>28991.517086486754</v>
      </c>
      <c r="AM98" s="286">
        <f>AnnualDepletions!$AJ90</f>
        <v>38999.999998983854</v>
      </c>
      <c r="AN98" s="286">
        <f>AnnualDepletions!$BC90</f>
        <v>16199.99999897049</v>
      </c>
      <c r="AO98" s="286">
        <f>AnnualDepletions!$J90</f>
        <v>2499.9900000012672</v>
      </c>
      <c r="AP98" s="286">
        <f>AnnualAggregations!$I90</f>
        <v>11624.990000001573</v>
      </c>
      <c r="AQ98" s="287">
        <f t="shared" si="96"/>
        <v>69665.96999795716</v>
      </c>
      <c r="AR98" s="287">
        <f t="shared" si="97"/>
        <v>98657.487084443928</v>
      </c>
      <c r="AS98" s="287">
        <f t="shared" si="98"/>
        <v>460200.06935115543</v>
      </c>
      <c r="AT98" s="291"/>
      <c r="AU98" s="321">
        <f ca="1">StateModDepletions_ThisScenario!AC88</f>
        <v>32814.938744470477</v>
      </c>
      <c r="AV98" s="321">
        <f ca="1">StateModDepletions_ThisScenario!AD88</f>
        <v>17235.386560127139</v>
      </c>
      <c r="AW98" s="321">
        <f ca="1">StateModDepletions_ThisScenario!AE88</f>
        <v>104965.53507471085</v>
      </c>
      <c r="AX98" s="321">
        <f ca="1">StateModDepletions_ThisScenario!AB88</f>
        <v>24765.810481309891</v>
      </c>
      <c r="AY98" s="288">
        <f t="shared" ca="1" si="99"/>
        <v>179781.67086061835</v>
      </c>
      <c r="AZ98" s="321">
        <f ca="1">StateModDepletions_ThisScenario!AG88</f>
        <v>36130.25716292717</v>
      </c>
      <c r="BA98" s="321">
        <f ca="1">StateModDepletions_ThisScenario!AF88</f>
        <v>19569.714134111993</v>
      </c>
      <c r="BB98" s="321">
        <f ca="1">StateModDepletions_ThisScenario!AH88</f>
        <v>15432.65749271214</v>
      </c>
      <c r="BC98" s="321">
        <f ca="1">StateModDepletions_ThisScenario!AI88</f>
        <v>18311.704721441492</v>
      </c>
      <c r="BD98" s="321">
        <f ca="1">StateModDepletions_ThisScenario!N88</f>
        <v>1326.6977829933167</v>
      </c>
      <c r="BE98" s="321">
        <f ca="1">StateModDepletions_ThisScenario!V88</f>
        <v>11748.038029670715</v>
      </c>
      <c r="BF98" s="288">
        <f t="shared" ca="1" si="100"/>
        <v>102519.06932385682</v>
      </c>
      <c r="BG98" s="288">
        <f t="shared" ca="1" si="101"/>
        <v>282300.7401844752</v>
      </c>
      <c r="BH98" s="291"/>
      <c r="BI98" s="288">
        <f t="shared" ca="1" si="102"/>
        <v>742500.80953563063</v>
      </c>
      <c r="BJ98" s="291"/>
      <c r="BK98" s="286">
        <f>AnnualAggregations!$D90</f>
        <v>35893.000000000044</v>
      </c>
      <c r="BL98" s="286">
        <f>AnnualAggregations!$B90</f>
        <v>57139.338340957198</v>
      </c>
      <c r="BM98" s="286">
        <f>AnnualDepletions!$BK90</f>
        <v>99317.325032988127</v>
      </c>
      <c r="BN98" s="286">
        <f>AnnualAggregations!$E90</f>
        <v>5000.0000000019172</v>
      </c>
      <c r="BO98" s="287">
        <f t="shared" si="103"/>
        <v>197349.66337394729</v>
      </c>
      <c r="BP98" s="321">
        <f ca="1">StateModDepletions_ThisScenario!Y88</f>
        <v>212.11356273293495</v>
      </c>
      <c r="BQ98" s="321">
        <f ca="1">StateModDepletions_ThisScenario!AJ88</f>
        <v>145379.33674015448</v>
      </c>
      <c r="BR98" s="321">
        <f ca="1">StateModDepletions_ThisScenario!Z88</f>
        <v>237612.81143569946</v>
      </c>
      <c r="BS98" s="321">
        <f ca="1">StateModDepletions_ThisScenario!AA88</f>
        <v>92021.361132812046</v>
      </c>
      <c r="BT98" s="286">
        <f>AnnualDepletions!$BG90</f>
        <v>12296.800000006155</v>
      </c>
      <c r="BU98" s="291"/>
      <c r="BV98" s="287">
        <f t="shared" ca="1" si="104"/>
        <v>952147.27290958411</v>
      </c>
      <c r="BW98" s="287">
        <f t="shared" ca="1" si="105"/>
        <v>860125.911776772</v>
      </c>
      <c r="BX98" s="287">
        <f t="shared" ca="1" si="92"/>
        <v>875000.911776772</v>
      </c>
      <c r="BY98" s="287">
        <f>SJRIPSummaryRAW!$B$79</f>
        <v>14875</v>
      </c>
      <c r="CA98" s="436"/>
      <c r="CC98" s="282">
        <v>2011</v>
      </c>
      <c r="CD98" s="286">
        <f>AnnualAggregations!K90</f>
        <v>260553.33040099189</v>
      </c>
      <c r="CE98" s="442" t="s">
        <v>597</v>
      </c>
      <c r="CF98" s="286">
        <f>AnnualDeplReqs!$AM90</f>
        <v>12099.999999999998</v>
      </c>
      <c r="CG98" s="286">
        <f>AnnualDeplReqs!$AK90</f>
        <v>7970.0000000000045</v>
      </c>
      <c r="CH98" s="286">
        <f>AnnualDeplReqs!$L90</f>
        <v>899.99999999999977</v>
      </c>
      <c r="CI98" s="443">
        <f t="shared" si="106"/>
        <v>284121.97646195348</v>
      </c>
      <c r="CJ98" s="286">
        <f>AnnualDeplReqs!$AO90</f>
        <v>1170.9999999998661</v>
      </c>
      <c r="CK98" s="286">
        <f>AnnualDeplReqs!$AY90</f>
        <v>1595.9999999998154</v>
      </c>
      <c r="CL98" s="286">
        <f>AnnualAggregations!$N90</f>
        <v>34992.524840754704</v>
      </c>
      <c r="CM98" s="286">
        <f>AnnualAggregations!$O90</f>
        <v>13060.999999998494</v>
      </c>
      <c r="CN98" s="286">
        <f>AnnualAggregations!$P90</f>
        <v>13343.999999998465</v>
      </c>
      <c r="CO98" s="286">
        <f>AnnualDeplReqs!$AL90</f>
        <v>11339.999999998698</v>
      </c>
      <c r="CP98" s="286">
        <f>AnnualDeplReqs!$AG90</f>
        <v>9366.9999999989268</v>
      </c>
      <c r="CQ98" s="286">
        <f>AnnualDeplReqs!$AN90</f>
        <v>3129.9999999996385</v>
      </c>
      <c r="CR98" s="287">
        <f t="shared" si="107"/>
        <v>86830.524840748738</v>
      </c>
      <c r="CS98" s="287">
        <f t="shared" si="108"/>
        <v>372123.50130270212</v>
      </c>
      <c r="CT98" s="286">
        <f>AnnualDeplReqs!$AP90</f>
        <v>340.98999999997505</v>
      </c>
      <c r="CU98" s="442" t="s">
        <v>597</v>
      </c>
      <c r="CV98" s="286">
        <f>AnnualDeplReqs!$AJ90</f>
        <v>38999.999998983854</v>
      </c>
      <c r="CW98" s="286">
        <f>AnnualDeplReqs!$BC90</f>
        <v>16199.99999897049</v>
      </c>
      <c r="CX98" s="286">
        <f>AnnualDeplReqs!$J90</f>
        <v>2499.9900000012672</v>
      </c>
      <c r="CY98" s="286">
        <f>AnnualAggregations!$Q90</f>
        <v>11624.990000001573</v>
      </c>
      <c r="CZ98" s="287">
        <f t="shared" si="109"/>
        <v>69665.96999795716</v>
      </c>
      <c r="DA98" s="443">
        <f t="shared" si="110"/>
        <v>98657.487084443914</v>
      </c>
      <c r="DB98" s="287">
        <f t="shared" si="111"/>
        <v>470780.98838714603</v>
      </c>
      <c r="DC98" s="291"/>
      <c r="DD98" s="440" t="s">
        <v>628</v>
      </c>
      <c r="DE98" s="440" t="s">
        <v>628</v>
      </c>
      <c r="DF98" s="440" t="s">
        <v>628</v>
      </c>
      <c r="DG98" s="440" t="s">
        <v>628</v>
      </c>
      <c r="DH98" s="440" t="s">
        <v>628</v>
      </c>
      <c r="DI98" s="440" t="s">
        <v>628</v>
      </c>
      <c r="DJ98" s="440" t="s">
        <v>628</v>
      </c>
      <c r="DK98" s="440" t="s">
        <v>628</v>
      </c>
      <c r="DL98" s="440" t="s">
        <v>628</v>
      </c>
      <c r="DM98" s="440" t="s">
        <v>628</v>
      </c>
      <c r="DN98" s="440" t="s">
        <v>628</v>
      </c>
      <c r="DO98" s="440" t="s">
        <v>628</v>
      </c>
      <c r="DP98" s="440" t="s">
        <v>628</v>
      </c>
      <c r="DQ98" s="291"/>
      <c r="DR98" s="440" t="s">
        <v>628</v>
      </c>
      <c r="DS98" s="291"/>
      <c r="DT98" s="286">
        <f>AnnualAggregations!$L90</f>
        <v>35893.000000000073</v>
      </c>
      <c r="DU98" s="443">
        <f>AnnualAggregations!$J90</f>
        <v>57221.398986118584</v>
      </c>
      <c r="DV98" s="442" t="s">
        <v>597</v>
      </c>
      <c r="DW98" s="286">
        <f>AnnualAggregations!$M90</f>
        <v>5000.0000000019172</v>
      </c>
      <c r="DX98" s="442" t="s">
        <v>597</v>
      </c>
      <c r="DY98" s="440" t="s">
        <v>628</v>
      </c>
      <c r="DZ98" s="440" t="s">
        <v>628</v>
      </c>
      <c r="EA98" s="440" t="s">
        <v>628</v>
      </c>
      <c r="EB98" s="440" t="s">
        <v>628</v>
      </c>
      <c r="EC98" s="286">
        <f>AnnualDeplReqs!$BG90</f>
        <v>12296.800000006155</v>
      </c>
      <c r="ED98" s="291"/>
      <c r="EE98" s="440" t="s">
        <v>628</v>
      </c>
      <c r="EF98" s="440" t="s">
        <v>628</v>
      </c>
      <c r="EG98" s="440" t="s">
        <v>628</v>
      </c>
      <c r="EH98" s="442" t="s">
        <v>597</v>
      </c>
      <c r="EJ98" s="436"/>
      <c r="EL98" s="282">
        <v>2011</v>
      </c>
      <c r="EM98" s="286">
        <f>AnnualAggregations!S90</f>
        <v>325691.66300124023</v>
      </c>
      <c r="EN98" s="442" t="s">
        <v>597</v>
      </c>
      <c r="EO98" s="286">
        <f>AnnualDiversions!$AM90</f>
        <v>24160.880683190007</v>
      </c>
      <c r="EP98" s="286">
        <f>AnnualDiversions!$AK90</f>
        <v>15864.246446422756</v>
      </c>
      <c r="EQ98" s="286">
        <f>AnnualDiversions!$L90</f>
        <v>1799.9999999999995</v>
      </c>
      <c r="ER98" s="287">
        <f t="shared" si="112"/>
        <v>367516.79013085301</v>
      </c>
      <c r="ES98" s="286">
        <f>AnnualDiversions!$AO90</f>
        <v>2341.9999999997322</v>
      </c>
      <c r="ET98" s="286">
        <f>AnnualDiversions!$AY90</f>
        <v>2888.6877828050992</v>
      </c>
      <c r="EU98" s="286">
        <f>AnnualAggregations!$V90</f>
        <v>58741.336192742237</v>
      </c>
      <c r="EV98" s="286">
        <f>AnnualAggregations!$W90</f>
        <v>4214.493203603005</v>
      </c>
      <c r="EW98" s="286">
        <f>AnnualAggregations!$X90</f>
        <v>20455.363519034836</v>
      </c>
      <c r="EX98" s="286">
        <f>AnnualDiversions!$AL90</f>
        <v>13451.957295372116</v>
      </c>
      <c r="EY98" s="286">
        <f>AnnualDiversions!$AG90</f>
        <v>17752.297924758688</v>
      </c>
      <c r="EZ98" s="286">
        <f>AnnualDiversions!$AN90</f>
        <v>5885.117984393416</v>
      </c>
      <c r="FA98" s="287">
        <f t="shared" si="113"/>
        <v>123389.25390270942</v>
      </c>
      <c r="FB98" s="287">
        <f t="shared" si="114"/>
        <v>493248.04403356212</v>
      </c>
      <c r="FC98" s="286">
        <f>AnnualDiversions!$AP90</f>
        <v>378.87777777775057</v>
      </c>
      <c r="FD98" s="442" t="s">
        <v>597</v>
      </c>
      <c r="FE98" s="286">
        <f>AnnualDiversions!$AJ90</f>
        <v>38999.999998983854</v>
      </c>
      <c r="FF98" s="286">
        <f>AnnualDiversions!$BC90</f>
        <v>16199.99999897049</v>
      </c>
      <c r="FG98" s="286">
        <f>AnnualDiversions!$J90</f>
        <v>4166.6500000021233</v>
      </c>
      <c r="FH98" s="286">
        <f>AnnualAggregations!$Y90</f>
        <v>19374.983333335964</v>
      </c>
      <c r="FI98" s="287">
        <f t="shared" si="115"/>
        <v>79120.511109070183</v>
      </c>
      <c r="FJ98" s="287">
        <f t="shared" si="116"/>
        <v>79120.511109070183</v>
      </c>
      <c r="FK98" s="287">
        <f t="shared" si="117"/>
        <v>572368.55514263234</v>
      </c>
      <c r="FL98" s="291"/>
      <c r="FM98" s="440" t="s">
        <v>628</v>
      </c>
      <c r="FN98" s="440" t="s">
        <v>628</v>
      </c>
      <c r="FO98" s="440" t="s">
        <v>628</v>
      </c>
      <c r="FP98" s="440" t="s">
        <v>628</v>
      </c>
      <c r="FQ98" s="440" t="s">
        <v>628</v>
      </c>
      <c r="FR98" s="440" t="s">
        <v>628</v>
      </c>
      <c r="FS98" s="440" t="s">
        <v>628</v>
      </c>
      <c r="FT98" s="440" t="s">
        <v>628</v>
      </c>
      <c r="FU98" s="440" t="s">
        <v>628</v>
      </c>
      <c r="FV98" s="440" t="s">
        <v>628</v>
      </c>
      <c r="FW98" s="440" t="s">
        <v>628</v>
      </c>
      <c r="FX98" s="440" t="s">
        <v>628</v>
      </c>
      <c r="FY98" s="440" t="s">
        <v>628</v>
      </c>
      <c r="FZ98" s="291"/>
      <c r="GA98" s="440" t="s">
        <v>628</v>
      </c>
      <c r="GB98" s="291"/>
      <c r="GC98" s="286">
        <f>AnnualAggregations!$T90</f>
        <v>37764.238566617598</v>
      </c>
      <c r="GD98" s="286">
        <f>AnnualAggregations!$R90</f>
        <v>109067.13000005133</v>
      </c>
      <c r="GE98" s="443">
        <f t="shared" si="118"/>
        <v>99317.325032988127</v>
      </c>
      <c r="GF98" s="286">
        <f>AnnualAggregations!$U90</f>
        <v>5000.0000000019172</v>
      </c>
      <c r="GG98" s="287">
        <f t="shared" si="119"/>
        <v>251148.69359965899</v>
      </c>
      <c r="GH98" s="440" t="s">
        <v>628</v>
      </c>
      <c r="GI98" s="440" t="s">
        <v>628</v>
      </c>
      <c r="GJ98" s="440" t="s">
        <v>628</v>
      </c>
      <c r="GK98" s="440" t="s">
        <v>628</v>
      </c>
      <c r="GL98" s="286">
        <f>AnnualDiversions!$BG90</f>
        <v>12296.800000006155</v>
      </c>
      <c r="GM98" s="291"/>
      <c r="GN98" s="440" t="s">
        <v>628</v>
      </c>
      <c r="GO98" s="440" t="s">
        <v>628</v>
      </c>
      <c r="GP98" s="440" t="s">
        <v>628</v>
      </c>
      <c r="GQ98" s="442" t="s">
        <v>597</v>
      </c>
      <c r="GS98" s="436"/>
      <c r="GU98" s="282">
        <v>2011</v>
      </c>
      <c r="GV98" s="286">
        <f>AnnualAggregations!AA90</f>
        <v>325691.66300124023</v>
      </c>
      <c r="GW98" s="442" t="s">
        <v>597</v>
      </c>
      <c r="GX98" s="286">
        <f>AnnualDivReqs!$AM90</f>
        <v>24160.880683190007</v>
      </c>
      <c r="GY98" s="286">
        <f>AnnualDivReqs!$AK90</f>
        <v>15864.246446422756</v>
      </c>
      <c r="GZ98" s="286">
        <f>AnnualDivReqs!$L90</f>
        <v>1799.9999999999995</v>
      </c>
      <c r="HA98" s="287">
        <f t="shared" si="120"/>
        <v>367516.79013085301</v>
      </c>
      <c r="HB98" s="286">
        <f>AnnualDivReqs!$AO90</f>
        <v>2341.9999999997322</v>
      </c>
      <c r="HC98" s="286">
        <f>AnnualDivReqs!$AY90</f>
        <v>2888.6877828050992</v>
      </c>
      <c r="HD98" s="286">
        <f>AnnualAggregations!$AD90</f>
        <v>58741.336192742237</v>
      </c>
      <c r="HE98" s="286">
        <f>AnnualAggregations!$AE90</f>
        <v>23391.573756968704</v>
      </c>
      <c r="HF98" s="286">
        <f>AnnualAggregations!$AF90</f>
        <v>20455.363519034836</v>
      </c>
      <c r="HG98" s="286">
        <f>AnnualDivReqs!$AL90</f>
        <v>13451.957295372116</v>
      </c>
      <c r="HH98" s="286">
        <f>AnnualDivReqs!$AG90</f>
        <v>17752.297924758688</v>
      </c>
      <c r="HI98" s="286">
        <f>AnnualDivReqs!$AN90</f>
        <v>5885.117984393416</v>
      </c>
      <c r="HJ98" s="287">
        <f t="shared" si="121"/>
        <v>142566.3344560751</v>
      </c>
      <c r="HK98" s="287">
        <f t="shared" si="122"/>
        <v>512425.12458692782</v>
      </c>
      <c r="HL98" s="286">
        <f>AnnualDivReqs!$AP90</f>
        <v>378.87777777775057</v>
      </c>
      <c r="HM98" s="442" t="s">
        <v>597</v>
      </c>
      <c r="HN98" s="286">
        <f>AnnualDivReqs!$AJ90</f>
        <v>38999.999998983854</v>
      </c>
      <c r="HO98" s="286">
        <f>AnnualDivReqs!$BC90</f>
        <v>16199.99999897049</v>
      </c>
      <c r="HP98" s="286">
        <f>AnnualDivReqs!$J90</f>
        <v>4166.6500000021233</v>
      </c>
      <c r="HQ98" s="286">
        <f>AnnualAggregations!$AG90</f>
        <v>19374.983333335964</v>
      </c>
      <c r="HR98" s="287">
        <f t="shared" si="123"/>
        <v>79120.511109070183</v>
      </c>
      <c r="HS98" s="287">
        <f t="shared" si="124"/>
        <v>79120.511109070183</v>
      </c>
      <c r="HT98" s="287">
        <f t="shared" si="125"/>
        <v>591545.63569599797</v>
      </c>
      <c r="HU98" s="291"/>
      <c r="HV98" s="440" t="s">
        <v>628</v>
      </c>
      <c r="HW98" s="440" t="s">
        <v>628</v>
      </c>
      <c r="HX98" s="440" t="s">
        <v>628</v>
      </c>
      <c r="HY98" s="440" t="s">
        <v>628</v>
      </c>
      <c r="HZ98" s="440" t="s">
        <v>628</v>
      </c>
      <c r="IA98" s="440" t="s">
        <v>628</v>
      </c>
      <c r="IB98" s="440" t="s">
        <v>628</v>
      </c>
      <c r="IC98" s="440" t="s">
        <v>628</v>
      </c>
      <c r="ID98" s="440" t="s">
        <v>628</v>
      </c>
      <c r="IE98" s="440" t="s">
        <v>628</v>
      </c>
      <c r="IF98" s="440" t="s">
        <v>628</v>
      </c>
      <c r="IG98" s="440" t="s">
        <v>628</v>
      </c>
      <c r="IH98" s="440" t="s">
        <v>628</v>
      </c>
      <c r="II98" s="291"/>
      <c r="IJ98" s="440" t="s">
        <v>628</v>
      </c>
      <c r="IK98" s="291"/>
      <c r="IL98" s="286">
        <f>AnnualAggregations!$AB90</f>
        <v>37764.238566617634</v>
      </c>
      <c r="IM98" s="286">
        <f>AnnualAggregations!$Z90</f>
        <v>109231.2512903741</v>
      </c>
      <c r="IN98" s="442" t="s">
        <v>597</v>
      </c>
      <c r="IO98" s="286">
        <f>AnnualAggregations!$AC90</f>
        <v>5000.0000000019172</v>
      </c>
      <c r="IP98" s="442" t="s">
        <v>597</v>
      </c>
      <c r="IQ98" s="440" t="s">
        <v>628</v>
      </c>
      <c r="IR98" s="440" t="s">
        <v>628</v>
      </c>
      <c r="IS98" s="440" t="s">
        <v>628</v>
      </c>
      <c r="IT98" s="440" t="s">
        <v>628</v>
      </c>
      <c r="IU98" s="286">
        <f>AnnualDivReqs!$BG90</f>
        <v>12296.800000006155</v>
      </c>
      <c r="IV98" s="291"/>
      <c r="IW98" s="440" t="s">
        <v>628</v>
      </c>
      <c r="IX98" s="440" t="s">
        <v>628</v>
      </c>
      <c r="IY98" s="440" t="s">
        <v>628</v>
      </c>
      <c r="IZ98" s="442" t="s">
        <v>597</v>
      </c>
    </row>
    <row r="99" spans="1:260" x14ac:dyDescent="0.25">
      <c r="T99" s="282">
        <v>2012</v>
      </c>
      <c r="U99" s="286">
        <f>AnnualAggregations!$C91</f>
        <v>277923.17316383781</v>
      </c>
      <c r="V99" s="286">
        <f>AnnualDepletions!$BI91</f>
        <v>5936.9652436150545</v>
      </c>
      <c r="W99" s="286">
        <f>AnnualDepletions!$AM91</f>
        <v>12100.000000000007</v>
      </c>
      <c r="X99" s="286">
        <f>AnnualDepletions!$AK91</f>
        <v>7970.0000000000018</v>
      </c>
      <c r="Y99" s="286">
        <f>AnnualDepletions!$L91</f>
        <v>899.99999999999977</v>
      </c>
      <c r="Z99" s="287">
        <f t="shared" si="93"/>
        <v>304830.13840745285</v>
      </c>
      <c r="AA99" s="286">
        <f>AnnualDepletions!$AO91</f>
        <v>1514.9999999998254</v>
      </c>
      <c r="AB99" s="286">
        <f>AnnualDepletions!$AY91</f>
        <v>1875.9999999997838</v>
      </c>
      <c r="AC99" s="286">
        <f>AnnualAggregations!$F91</f>
        <v>38964.931142319867</v>
      </c>
      <c r="AD99" s="286">
        <f>AnnualAggregations!$G91</f>
        <v>1119.5068619200583</v>
      </c>
      <c r="AE99" s="286">
        <f>AnnualAggregations!$H91</f>
        <v>14381.999999998354</v>
      </c>
      <c r="AF99" s="286">
        <f>AnnualDepletions!$AL91</f>
        <v>12169.999999998592</v>
      </c>
      <c r="AG99" s="286">
        <f>AnnualDepletions!$AG91</f>
        <v>10635.252599246207</v>
      </c>
      <c r="AH99" s="286">
        <f>AnnualDepletions!$AN91</f>
        <v>3372.9999999996107</v>
      </c>
      <c r="AI99" s="287">
        <f t="shared" si="94"/>
        <v>82520.690603482464</v>
      </c>
      <c r="AJ99" s="287">
        <f t="shared" si="95"/>
        <v>388865.82901093515</v>
      </c>
      <c r="AK99" s="286">
        <f>AnnualDepletions!$AP91</f>
        <v>340.98999999997511</v>
      </c>
      <c r="AL99" s="286">
        <f>AnnualDepletions!$BH91</f>
        <v>28201.697358282112</v>
      </c>
      <c r="AM99" s="286">
        <f>AnnualDepletions!$AJ91</f>
        <v>38999.999998983862</v>
      </c>
      <c r="AN99" s="286">
        <f>AnnualDepletions!$BC91</f>
        <v>16199.999998970494</v>
      </c>
      <c r="AO99" s="286">
        <f>AnnualDepletions!$J91</f>
        <v>2499.9900000012672</v>
      </c>
      <c r="AP99" s="286">
        <f>AnnualAggregations!$I91</f>
        <v>11624.990000001573</v>
      </c>
      <c r="AQ99" s="287">
        <f t="shared" si="96"/>
        <v>69665.969997957174</v>
      </c>
      <c r="AR99" s="287">
        <f t="shared" si="97"/>
        <v>97867.667356239297</v>
      </c>
      <c r="AS99" s="287">
        <f t="shared" si="98"/>
        <v>486733.49636717443</v>
      </c>
      <c r="AU99" s="321">
        <f ca="1">StateModDepletions_ThisScenario!AC89</f>
        <v>30828.805943757296</v>
      </c>
      <c r="AV99" s="321">
        <f ca="1">StateModDepletions_ThisScenario!AD89</f>
        <v>16812.557036168873</v>
      </c>
      <c r="AW99" s="321">
        <f ca="1">StateModDepletions_ThisScenario!AE89</f>
        <v>76124.640350714326</v>
      </c>
      <c r="AX99" s="321">
        <f ca="1">StateModDepletions_ThisScenario!AB89</f>
        <v>24765.810481309891</v>
      </c>
      <c r="AY99" s="288">
        <f t="shared" ca="1" si="99"/>
        <v>148531.81381195039</v>
      </c>
      <c r="AZ99" s="321">
        <f ca="1">StateModDepletions_ThisScenario!AG89</f>
        <v>26919.923399350122</v>
      </c>
      <c r="BA99" s="321">
        <f ca="1">StateModDepletions_ThisScenario!AF89</f>
        <v>21483.187166035172</v>
      </c>
      <c r="BB99" s="321">
        <f ca="1">StateModDepletions_ThisScenario!AH89</f>
        <v>9869.6731130629778</v>
      </c>
      <c r="BC99" s="321">
        <f ca="1">StateModDepletions_ThisScenario!AI89</f>
        <v>11311.52533062815</v>
      </c>
      <c r="BD99" s="321">
        <f ca="1">StateModDepletions_ThisScenario!N89</f>
        <v>1326.6977829933167</v>
      </c>
      <c r="BE99" s="321">
        <f ca="1">StateModDepletions_ThisScenario!V89</f>
        <v>5659.1552724838257</v>
      </c>
      <c r="BF99" s="288">
        <f t="shared" ca="1" si="100"/>
        <v>76570.162064553559</v>
      </c>
      <c r="BG99" s="288">
        <f t="shared" ca="1" si="101"/>
        <v>225101.97587650394</v>
      </c>
      <c r="BI99" s="288">
        <f t="shared" ca="1" si="102"/>
        <v>711835.47224367841</v>
      </c>
      <c r="BK99" s="286">
        <f>AnnualAggregations!$D91</f>
        <v>35893.000000000044</v>
      </c>
      <c r="BL99" s="286">
        <f>AnnualAggregations!$B91</f>
        <v>57032.536472434505</v>
      </c>
      <c r="BM99" s="286">
        <f>AnnualDepletions!$BK91</f>
        <v>48327.862398616518</v>
      </c>
      <c r="BN99" s="286">
        <f>AnnualAggregations!$E91</f>
        <v>4963.5656282524906</v>
      </c>
      <c r="BO99" s="287">
        <f t="shared" si="103"/>
        <v>146216.96449930358</v>
      </c>
      <c r="BP99" s="321">
        <f ca="1">StateModDepletions_ThisScenario!Y89</f>
        <v>212.11356273293495</v>
      </c>
      <c r="BQ99" s="321">
        <f ca="1">StateModDepletions_ThisScenario!AJ89</f>
        <v>149569.09252249048</v>
      </c>
      <c r="BR99" s="321">
        <f ca="1">StateModDepletions_ThisScenario!Z89</f>
        <v>205520.30726623535</v>
      </c>
      <c r="BS99" s="321">
        <f ca="1">StateModDepletions_ThisScenario!AA89</f>
        <v>55739.101181011938</v>
      </c>
      <c r="BT99" s="286">
        <f>AnnualDepletions!$BG91</f>
        <v>12296.800000006155</v>
      </c>
      <c r="BV99" s="287">
        <f t="shared" ca="1" si="104"/>
        <v>870349.23674298811</v>
      </c>
      <c r="BW99" s="287">
        <f t="shared" ca="1" si="105"/>
        <v>814610.13556197612</v>
      </c>
      <c r="BX99" s="287">
        <f t="shared" ca="1" si="92"/>
        <v>829485.13556197612</v>
      </c>
      <c r="BY99" s="287">
        <f>SJRIPSummaryRAW!$B$79</f>
        <v>14875</v>
      </c>
      <c r="CC99" s="282">
        <v>2012</v>
      </c>
      <c r="CD99" s="286">
        <f>AnnualAggregations!K91</f>
        <v>277923.17316383781</v>
      </c>
      <c r="CE99" s="442" t="s">
        <v>597</v>
      </c>
      <c r="CF99" s="286">
        <f>AnnualDeplReqs!$AM91</f>
        <v>12100.000000000007</v>
      </c>
      <c r="CG99" s="286">
        <f>AnnualDeplReqs!$AK91</f>
        <v>7970.0000000000018</v>
      </c>
      <c r="CH99" s="286">
        <f>AnnualDeplReqs!$L91</f>
        <v>899.99999999999977</v>
      </c>
      <c r="CI99" s="443">
        <f t="shared" si="106"/>
        <v>304830.13840745285</v>
      </c>
      <c r="CJ99" s="286">
        <f>AnnualDeplReqs!$AO91</f>
        <v>1514.9999999998254</v>
      </c>
      <c r="CK99" s="286">
        <f>AnnualDeplReqs!$AY91</f>
        <v>1875.9999999997838</v>
      </c>
      <c r="CL99" s="286">
        <f>AnnualAggregations!$N91</f>
        <v>38964.931142319867</v>
      </c>
      <c r="CM99" s="286">
        <f>AnnualAggregations!$O91</f>
        <v>14287.999999998347</v>
      </c>
      <c r="CN99" s="286">
        <f>AnnualAggregations!$P91</f>
        <v>14381.999999998354</v>
      </c>
      <c r="CO99" s="286">
        <f>AnnualDeplReqs!$AL91</f>
        <v>12169.999999998592</v>
      </c>
      <c r="CP99" s="286">
        <f>AnnualDeplReqs!$AG91</f>
        <v>10895.999999998747</v>
      </c>
      <c r="CQ99" s="286">
        <f>AnnualDeplReqs!$AN91</f>
        <v>3372.9999999996107</v>
      </c>
      <c r="CR99" s="287">
        <f t="shared" si="107"/>
        <v>95949.931142313289</v>
      </c>
      <c r="CS99" s="287">
        <f t="shared" si="108"/>
        <v>402295.06954976596</v>
      </c>
      <c r="CT99" s="286">
        <f>AnnualDeplReqs!$AP91</f>
        <v>340.98999999997511</v>
      </c>
      <c r="CU99" s="442" t="s">
        <v>597</v>
      </c>
      <c r="CV99" s="286">
        <f>AnnualDeplReqs!$AJ91</f>
        <v>38999.999998983862</v>
      </c>
      <c r="CW99" s="286">
        <f>AnnualDeplReqs!$BC91</f>
        <v>16199.999998970494</v>
      </c>
      <c r="CX99" s="286">
        <f>AnnualDeplReqs!$J91</f>
        <v>2499.9900000012672</v>
      </c>
      <c r="CY99" s="286">
        <f>AnnualAggregations!$Q91</f>
        <v>11624.990000001573</v>
      </c>
      <c r="CZ99" s="287">
        <f t="shared" si="109"/>
        <v>69665.969997957174</v>
      </c>
      <c r="DA99" s="443">
        <f t="shared" si="110"/>
        <v>97867.667356239283</v>
      </c>
      <c r="DB99" s="287">
        <f t="shared" si="111"/>
        <v>500162.73690600524</v>
      </c>
      <c r="DD99" s="440" t="s">
        <v>628</v>
      </c>
      <c r="DE99" s="440" t="s">
        <v>628</v>
      </c>
      <c r="DF99" s="440" t="s">
        <v>628</v>
      </c>
      <c r="DG99" s="440" t="s">
        <v>628</v>
      </c>
      <c r="DH99" s="440" t="s">
        <v>628</v>
      </c>
      <c r="DI99" s="440" t="s">
        <v>628</v>
      </c>
      <c r="DJ99" s="440" t="s">
        <v>628</v>
      </c>
      <c r="DK99" s="440" t="s">
        <v>628</v>
      </c>
      <c r="DL99" s="440" t="s">
        <v>628</v>
      </c>
      <c r="DM99" s="440" t="s">
        <v>628</v>
      </c>
      <c r="DN99" s="440" t="s">
        <v>628</v>
      </c>
      <c r="DO99" s="440" t="s">
        <v>628</v>
      </c>
      <c r="DP99" s="440" t="s">
        <v>628</v>
      </c>
      <c r="DR99" s="440" t="s">
        <v>628</v>
      </c>
      <c r="DT99" s="286">
        <f>AnnualAggregations!$L91</f>
        <v>35893.000000000073</v>
      </c>
      <c r="DU99" s="443">
        <f>AnnualAggregations!$J91</f>
        <v>57535.456821133506</v>
      </c>
      <c r="DV99" s="442" t="s">
        <v>597</v>
      </c>
      <c r="DW99" s="286">
        <f>AnnualAggregations!$M91</f>
        <v>5000.0000000019463</v>
      </c>
      <c r="DX99" s="442" t="s">
        <v>597</v>
      </c>
      <c r="DY99" s="440" t="s">
        <v>628</v>
      </c>
      <c r="DZ99" s="440" t="s">
        <v>628</v>
      </c>
      <c r="EA99" s="440" t="s">
        <v>628</v>
      </c>
      <c r="EB99" s="440" t="s">
        <v>628</v>
      </c>
      <c r="EC99" s="286">
        <f>AnnualDeplReqs!$BG91</f>
        <v>12296.800000006155</v>
      </c>
      <c r="EE99" s="440" t="s">
        <v>628</v>
      </c>
      <c r="EF99" s="440" t="s">
        <v>628</v>
      </c>
      <c r="EG99" s="440" t="s">
        <v>628</v>
      </c>
      <c r="EH99" s="442" t="s">
        <v>597</v>
      </c>
      <c r="EL99" s="282">
        <v>2012</v>
      </c>
      <c r="EM99" s="286">
        <f>AnnualAggregations!S91</f>
        <v>347403.96645479649</v>
      </c>
      <c r="EN99" s="442" t="s">
        <v>597</v>
      </c>
      <c r="EO99" s="286">
        <f>AnnualDiversions!$AM91</f>
        <v>24160.880683190007</v>
      </c>
      <c r="EP99" s="286">
        <f>AnnualDiversions!$AK91</f>
        <v>15864.246446422729</v>
      </c>
      <c r="EQ99" s="286">
        <f>AnnualDiversions!$L91</f>
        <v>1799.9999999999995</v>
      </c>
      <c r="ER99" s="287">
        <f t="shared" si="112"/>
        <v>389229.09358440922</v>
      </c>
      <c r="ES99" s="286">
        <f>AnnualDiversions!$AO91</f>
        <v>3029.9999999996508</v>
      </c>
      <c r="ET99" s="286">
        <f>AnnualDiversions!$AY91</f>
        <v>3395.4751131217827</v>
      </c>
      <c r="EU99" s="286">
        <f>AnnualAggregations!$V91</f>
        <v>65397.485404561805</v>
      </c>
      <c r="EV99" s="286">
        <f>AnnualAggregations!$W91</f>
        <v>1796.9580901133884</v>
      </c>
      <c r="EW99" s="286">
        <f>AnnualAggregations!$X91</f>
        <v>22044.700556832417</v>
      </c>
      <c r="EX99" s="286">
        <f>AnnualDiversions!$AL91</f>
        <v>14436.536180306768</v>
      </c>
      <c r="EY99" s="286">
        <f>AnnualDiversions!$AG91</f>
        <v>20155.884770674136</v>
      </c>
      <c r="EZ99" s="286">
        <f>AnnualDiversions!$AN91</f>
        <v>6342.0137256738044</v>
      </c>
      <c r="FA99" s="287">
        <f t="shared" si="113"/>
        <v>133569.0538412841</v>
      </c>
      <c r="FB99" s="287">
        <f t="shared" si="114"/>
        <v>525828.14742569299</v>
      </c>
      <c r="FC99" s="286">
        <f>AnnualDiversions!$AP91</f>
        <v>378.87777777775057</v>
      </c>
      <c r="FD99" s="442" t="s">
        <v>597</v>
      </c>
      <c r="FE99" s="286">
        <f>AnnualDiversions!$AJ91</f>
        <v>38999.999998983862</v>
      </c>
      <c r="FF99" s="286">
        <f>AnnualDiversions!$BC91</f>
        <v>16199.999998970494</v>
      </c>
      <c r="FG99" s="286">
        <f>AnnualDiversions!$J91</f>
        <v>4166.6500000021233</v>
      </c>
      <c r="FH99" s="286">
        <f>AnnualAggregations!$Y91</f>
        <v>19374.983333335967</v>
      </c>
      <c r="FI99" s="287">
        <f t="shared" si="115"/>
        <v>79120.511109070212</v>
      </c>
      <c r="FJ99" s="287">
        <f t="shared" si="116"/>
        <v>79120.511109070198</v>
      </c>
      <c r="FK99" s="287">
        <f t="shared" si="117"/>
        <v>604948.65853476315</v>
      </c>
      <c r="FM99" s="440" t="s">
        <v>628</v>
      </c>
      <c r="FN99" s="440" t="s">
        <v>628</v>
      </c>
      <c r="FO99" s="440" t="s">
        <v>628</v>
      </c>
      <c r="FP99" s="440" t="s">
        <v>628</v>
      </c>
      <c r="FQ99" s="440" t="s">
        <v>628</v>
      </c>
      <c r="FR99" s="440" t="s">
        <v>628</v>
      </c>
      <c r="FS99" s="440" t="s">
        <v>628</v>
      </c>
      <c r="FT99" s="440" t="s">
        <v>628</v>
      </c>
      <c r="FU99" s="440" t="s">
        <v>628</v>
      </c>
      <c r="FV99" s="440" t="s">
        <v>628</v>
      </c>
      <c r="FW99" s="440" t="s">
        <v>628</v>
      </c>
      <c r="FX99" s="440" t="s">
        <v>628</v>
      </c>
      <c r="FY99" s="440" t="s">
        <v>628</v>
      </c>
      <c r="GA99" s="440" t="s">
        <v>628</v>
      </c>
      <c r="GC99" s="286">
        <f>AnnualAggregations!$T91</f>
        <v>37763.476493275419</v>
      </c>
      <c r="GD99" s="286">
        <f>AnnualAggregations!$R91</f>
        <v>109067.13000005131</v>
      </c>
      <c r="GE99" s="443">
        <f t="shared" si="118"/>
        <v>48327.862398616518</v>
      </c>
      <c r="GF99" s="286">
        <f>AnnualAggregations!$U91</f>
        <v>4963.5656282524906</v>
      </c>
      <c r="GG99" s="287">
        <f t="shared" si="119"/>
        <v>200122.03452019571</v>
      </c>
      <c r="GH99" s="440" t="s">
        <v>628</v>
      </c>
      <c r="GI99" s="440" t="s">
        <v>628</v>
      </c>
      <c r="GJ99" s="440" t="s">
        <v>628</v>
      </c>
      <c r="GK99" s="440" t="s">
        <v>628</v>
      </c>
      <c r="GL99" s="286">
        <f>AnnualDiversions!$BG91</f>
        <v>12296.800000006155</v>
      </c>
      <c r="GN99" s="440" t="s">
        <v>628</v>
      </c>
      <c r="GO99" s="440" t="s">
        <v>628</v>
      </c>
      <c r="GP99" s="440" t="s">
        <v>628</v>
      </c>
      <c r="GQ99" s="442" t="s">
        <v>597</v>
      </c>
      <c r="GU99" s="282">
        <v>2012</v>
      </c>
      <c r="GV99" s="286">
        <f>AnnualAggregations!AA91</f>
        <v>347403.96645479649</v>
      </c>
      <c r="GW99" s="442" t="s">
        <v>597</v>
      </c>
      <c r="GX99" s="286">
        <f>AnnualDivReqs!$AM91</f>
        <v>24160.880683190007</v>
      </c>
      <c r="GY99" s="286">
        <f>AnnualDivReqs!$AK91</f>
        <v>15864.246446422729</v>
      </c>
      <c r="GZ99" s="286">
        <f>AnnualDivReqs!$L91</f>
        <v>1799.9999999999995</v>
      </c>
      <c r="HA99" s="287">
        <f t="shared" si="120"/>
        <v>389229.09358440922</v>
      </c>
      <c r="HB99" s="286">
        <f>AnnualDivReqs!$AO91</f>
        <v>3029.9999999996508</v>
      </c>
      <c r="HC99" s="286">
        <f>AnnualDivReqs!$AY91</f>
        <v>3395.4751131217827</v>
      </c>
      <c r="HD99" s="286">
        <f>AnnualAggregations!$AD91</f>
        <v>65397.485404561805</v>
      </c>
      <c r="HE99" s="286">
        <f>AnnualAggregations!$AE91</f>
        <v>25592.260393447792</v>
      </c>
      <c r="HF99" s="286">
        <f>AnnualAggregations!$AF91</f>
        <v>22044.700556832417</v>
      </c>
      <c r="HG99" s="286">
        <f>AnnualDivReqs!$AL91</f>
        <v>14436.536180306768</v>
      </c>
      <c r="HH99" s="286">
        <f>AnnualDivReqs!$AG91</f>
        <v>20650.052117878804</v>
      </c>
      <c r="HI99" s="286">
        <f>AnnualDivReqs!$AN91</f>
        <v>6342.0137256738044</v>
      </c>
      <c r="HJ99" s="287">
        <f t="shared" si="121"/>
        <v>157858.5234918232</v>
      </c>
      <c r="HK99" s="287">
        <f t="shared" si="122"/>
        <v>550117.6170762321</v>
      </c>
      <c r="HL99" s="286">
        <f>AnnualDivReqs!$AP91</f>
        <v>378.87777777775057</v>
      </c>
      <c r="HM99" s="442" t="s">
        <v>597</v>
      </c>
      <c r="HN99" s="286">
        <f>AnnualDivReqs!$AJ91</f>
        <v>38999.999998983862</v>
      </c>
      <c r="HO99" s="286">
        <f>AnnualDivReqs!$BC91</f>
        <v>16199.999998970494</v>
      </c>
      <c r="HP99" s="286">
        <f>AnnualDivReqs!$J91</f>
        <v>4166.6500000021233</v>
      </c>
      <c r="HQ99" s="286">
        <f>AnnualAggregations!$AG91</f>
        <v>19374.983333335967</v>
      </c>
      <c r="HR99" s="287">
        <f t="shared" si="123"/>
        <v>79120.511109070212</v>
      </c>
      <c r="HS99" s="287">
        <f t="shared" si="124"/>
        <v>79120.511109070198</v>
      </c>
      <c r="HT99" s="287">
        <f t="shared" si="125"/>
        <v>629238.12818530225</v>
      </c>
      <c r="HV99" s="440" t="s">
        <v>628</v>
      </c>
      <c r="HW99" s="440" t="s">
        <v>628</v>
      </c>
      <c r="HX99" s="440" t="s">
        <v>628</v>
      </c>
      <c r="HY99" s="440" t="s">
        <v>628</v>
      </c>
      <c r="HZ99" s="440" t="s">
        <v>628</v>
      </c>
      <c r="IA99" s="440" t="s">
        <v>628</v>
      </c>
      <c r="IB99" s="440" t="s">
        <v>628</v>
      </c>
      <c r="IC99" s="440" t="s">
        <v>628</v>
      </c>
      <c r="ID99" s="440" t="s">
        <v>628</v>
      </c>
      <c r="IE99" s="440" t="s">
        <v>628</v>
      </c>
      <c r="IF99" s="440" t="s">
        <v>628</v>
      </c>
      <c r="IG99" s="440" t="s">
        <v>628</v>
      </c>
      <c r="IH99" s="440" t="s">
        <v>628</v>
      </c>
      <c r="IJ99" s="440" t="s">
        <v>628</v>
      </c>
      <c r="IL99" s="286">
        <f>AnnualAggregations!$AB91</f>
        <v>37763.476493275448</v>
      </c>
      <c r="IM99" s="286">
        <f>AnnualAggregations!$Z91</f>
        <v>110072.97069744935</v>
      </c>
      <c r="IN99" s="442" t="s">
        <v>597</v>
      </c>
      <c r="IO99" s="286">
        <f>AnnualAggregations!$AC91</f>
        <v>5000.0000000019463</v>
      </c>
      <c r="IP99" s="442" t="s">
        <v>597</v>
      </c>
      <c r="IQ99" s="440" t="s">
        <v>628</v>
      </c>
      <c r="IR99" s="440" t="s">
        <v>628</v>
      </c>
      <c r="IS99" s="440" t="s">
        <v>628</v>
      </c>
      <c r="IT99" s="440" t="s">
        <v>628</v>
      </c>
      <c r="IU99" s="286">
        <f>AnnualDivReqs!$BG91</f>
        <v>12296.800000006155</v>
      </c>
      <c r="IW99" s="440" t="s">
        <v>628</v>
      </c>
      <c r="IX99" s="440" t="s">
        <v>628</v>
      </c>
      <c r="IY99" s="440" t="s">
        <v>628</v>
      </c>
      <c r="IZ99" s="442" t="s">
        <v>597</v>
      </c>
    </row>
    <row r="100" spans="1:260" x14ac:dyDescent="0.25">
      <c r="T100" s="282">
        <v>2013</v>
      </c>
      <c r="U100" s="286">
        <f>AnnualAggregations!$C92</f>
        <v>0</v>
      </c>
      <c r="V100" s="286" t="str">
        <f>AnnualDepletions!$BI92</f>
        <v>NaN</v>
      </c>
      <c r="W100" s="286" t="str">
        <f>AnnualDepletions!$AM92</f>
        <v>NaN</v>
      </c>
      <c r="X100" s="286" t="str">
        <f>AnnualDepletions!$AK92</f>
        <v>NaN</v>
      </c>
      <c r="Y100" s="286" t="str">
        <f>AnnualDepletions!$L92</f>
        <v>NaN</v>
      </c>
      <c r="Z100" s="287">
        <f t="shared" ref="Z100:Z106" si="126">SUM(U100:Y100)</f>
        <v>0</v>
      </c>
      <c r="AA100" s="286" t="str">
        <f>AnnualDepletions!$AO92</f>
        <v>NaN</v>
      </c>
      <c r="AB100" s="286" t="str">
        <f>AnnualDepletions!$AY92</f>
        <v>NaN</v>
      </c>
      <c r="AC100" s="286">
        <f>AnnualAggregations!$F92</f>
        <v>0</v>
      </c>
      <c r="AD100" s="286">
        <f>AnnualAggregations!$G92</f>
        <v>0</v>
      </c>
      <c r="AE100" s="286">
        <f>AnnualAggregations!$H92</f>
        <v>0</v>
      </c>
      <c r="AF100" s="286" t="str">
        <f>AnnualDepletions!$AL92</f>
        <v>NaN</v>
      </c>
      <c r="AG100" s="286" t="str">
        <f>AnnualDepletions!$AG92</f>
        <v>NaN</v>
      </c>
      <c r="AH100" s="286" t="str">
        <f>AnnualDepletions!$AN92</f>
        <v>NaN</v>
      </c>
      <c r="AI100" s="287">
        <f t="shared" ref="AI100:AI106" si="127">SUM(AB100:AH100)</f>
        <v>0</v>
      </c>
      <c r="AJ100" s="287">
        <f t="shared" ref="AJ100:AJ106" si="128">SUM(Z100,AA100,AI100)</f>
        <v>0</v>
      </c>
      <c r="AK100" s="286" t="str">
        <f>AnnualDepletions!$AP92</f>
        <v>NaN</v>
      </c>
      <c r="AL100" s="286" t="str">
        <f>AnnualDepletions!$BH92</f>
        <v>NaN</v>
      </c>
      <c r="AM100" s="286" t="str">
        <f>AnnualDepletions!$AJ92</f>
        <v>NaN</v>
      </c>
      <c r="AN100" s="286" t="str">
        <f>AnnualDepletions!$BC92</f>
        <v>NaN</v>
      </c>
      <c r="AO100" s="286" t="str">
        <f>AnnualDepletions!$J92</f>
        <v>NaN</v>
      </c>
      <c r="AP100" s="286">
        <f>AnnualAggregations!$I92</f>
        <v>0</v>
      </c>
      <c r="AQ100" s="287">
        <f t="shared" ref="AQ100:AQ106" si="129">SUM(AM100:AP100,AK100)</f>
        <v>0</v>
      </c>
      <c r="AR100" s="287">
        <f t="shared" ref="AR100:AR106" si="130">SUM(AK100:AP100)</f>
        <v>0</v>
      </c>
      <c r="AS100" s="287">
        <f t="shared" ref="AS100:AS106" si="131">AR100+AJ100</f>
        <v>0</v>
      </c>
      <c r="AU100" s="321">
        <f ca="1">StateModDepletions_ThisScenario!AC90</f>
        <v>0</v>
      </c>
      <c r="AV100" s="321">
        <f ca="1">StateModDepletions_ThisScenario!AD90</f>
        <v>0</v>
      </c>
      <c r="AW100" s="321">
        <f ca="1">StateModDepletions_ThisScenario!AE90</f>
        <v>0</v>
      </c>
      <c r="AX100" s="321">
        <f ca="1">StateModDepletions_ThisScenario!AB90</f>
        <v>0</v>
      </c>
      <c r="AY100" s="288">
        <f t="shared" ref="AY100:AY106" ca="1" si="132">SUM(AU100:AX100)</f>
        <v>0</v>
      </c>
      <c r="AZ100" s="321">
        <f ca="1">StateModDepletions_ThisScenario!AG90</f>
        <v>0</v>
      </c>
      <c r="BA100" s="321">
        <f ca="1">StateModDepletions_ThisScenario!AF90</f>
        <v>0</v>
      </c>
      <c r="BB100" s="321">
        <f ca="1">StateModDepletions_ThisScenario!AH90</f>
        <v>0</v>
      </c>
      <c r="BC100" s="321">
        <f ca="1">StateModDepletions_ThisScenario!AI90</f>
        <v>0</v>
      </c>
      <c r="BD100" s="321">
        <f ca="1">StateModDepletions_ThisScenario!N90</f>
        <v>0</v>
      </c>
      <c r="BE100" s="321">
        <f ca="1">StateModDepletions_ThisScenario!V90</f>
        <v>0</v>
      </c>
      <c r="BF100" s="288">
        <f t="shared" ref="BF100:BF106" ca="1" si="133">SUM(AZ100:BE100)</f>
        <v>0</v>
      </c>
      <c r="BG100" s="288">
        <f t="shared" ref="BG100:BG106" ca="1" si="134">BF100+AY100</f>
        <v>0</v>
      </c>
      <c r="BI100" s="288">
        <f t="shared" ref="BI100:BI106" ca="1" si="135">BG100+AS100</f>
        <v>0</v>
      </c>
      <c r="BK100" s="286">
        <f>AnnualAggregations!$D92</f>
        <v>0</v>
      </c>
      <c r="BL100" s="286">
        <f>AnnualAggregations!$B92</f>
        <v>0</v>
      </c>
      <c r="BM100" s="286" t="str">
        <f>AnnualDepletions!$BK92</f>
        <v>NaN</v>
      </c>
      <c r="BN100" s="286">
        <f>AnnualAggregations!$E92</f>
        <v>0</v>
      </c>
      <c r="BO100" s="287">
        <f t="shared" ref="BO100:BO106" si="136">SUM(BK100:BN100)</f>
        <v>0</v>
      </c>
      <c r="BP100" s="321">
        <f ca="1">StateModDepletions_ThisScenario!Y90</f>
        <v>0</v>
      </c>
      <c r="BQ100" s="321">
        <f ca="1">StateModDepletions_ThisScenario!AJ90</f>
        <v>0</v>
      </c>
      <c r="BR100" s="321">
        <f ca="1">StateModDepletions_ThisScenario!Z90</f>
        <v>0</v>
      </c>
      <c r="BS100" s="321">
        <f ca="1">StateModDepletions_ThisScenario!AA90</f>
        <v>0</v>
      </c>
      <c r="BT100" s="286" t="str">
        <f>AnnualDepletions!$BG92</f>
        <v>NaN</v>
      </c>
      <c r="BV100" s="287" t="e">
        <f t="shared" ref="BV100:BV106" ca="1" si="137">BT100+BO100+BI100</f>
        <v>#VALUE!</v>
      </c>
      <c r="BW100" s="287" t="e">
        <f t="shared" ref="BW100:BW106" ca="1" si="138">BV100-BS100</f>
        <v>#VALUE!</v>
      </c>
      <c r="BX100" s="287" t="e">
        <f t="shared" ref="BX100:BX106" ca="1" si="139">BW100+BY100</f>
        <v>#VALUE!</v>
      </c>
      <c r="BY100" s="287">
        <f>SJRIPSummaryRAW!$B$79</f>
        <v>14875</v>
      </c>
      <c r="BZ100" s="39"/>
      <c r="CB100" s="39"/>
      <c r="CC100" s="282">
        <v>2013</v>
      </c>
      <c r="CD100" s="286">
        <f>AnnualAggregations!K92</f>
        <v>0</v>
      </c>
      <c r="CE100" s="442" t="s">
        <v>597</v>
      </c>
      <c r="CF100" s="286" t="str">
        <f>AnnualDeplReqs!$AM92</f>
        <v>NaN</v>
      </c>
      <c r="CG100" s="286" t="str">
        <f>AnnualDeplReqs!$AK92</f>
        <v>NaN</v>
      </c>
      <c r="CH100" s="286" t="str">
        <f>AnnualDeplReqs!$L92</f>
        <v>NaN</v>
      </c>
      <c r="CI100" s="443" t="e">
        <f t="shared" ref="CI100:CI106" si="140">SUM(CD100:CH100)+V100</f>
        <v>#VALUE!</v>
      </c>
      <c r="CJ100" s="286" t="str">
        <f>AnnualDeplReqs!$AO92</f>
        <v>NaN</v>
      </c>
      <c r="CK100" s="286" t="str">
        <f>AnnualDeplReqs!$AY92</f>
        <v>NaN</v>
      </c>
      <c r="CL100" s="286">
        <f>AnnualAggregations!$N92</f>
        <v>0</v>
      </c>
      <c r="CM100" s="286">
        <f>AnnualAggregations!$O92</f>
        <v>0</v>
      </c>
      <c r="CN100" s="286">
        <f>AnnualAggregations!$P92</f>
        <v>0</v>
      </c>
      <c r="CO100" s="286" t="str">
        <f>AnnualDeplReqs!$AL92</f>
        <v>NaN</v>
      </c>
      <c r="CP100" s="286" t="str">
        <f>AnnualDeplReqs!$AG92</f>
        <v>NaN</v>
      </c>
      <c r="CQ100" s="286" t="str">
        <f>AnnualDeplReqs!$AN92</f>
        <v>NaN</v>
      </c>
      <c r="CR100" s="287">
        <f t="shared" ref="CR100:CR106" si="141">SUM(CK100:CQ100)</f>
        <v>0</v>
      </c>
      <c r="CS100" s="287" t="e">
        <f t="shared" ref="CS100:CS106" si="142">SUM(CI100,CJ100,CR100)</f>
        <v>#VALUE!</v>
      </c>
      <c r="CT100" s="286" t="str">
        <f>AnnualDeplReqs!$AP92</f>
        <v>NaN</v>
      </c>
      <c r="CU100" s="442" t="s">
        <v>597</v>
      </c>
      <c r="CV100" s="286" t="str">
        <f>AnnualDeplReqs!$AJ92</f>
        <v>NaN</v>
      </c>
      <c r="CW100" s="286" t="str">
        <f>AnnualDeplReqs!$BC92</f>
        <v>NaN</v>
      </c>
      <c r="CX100" s="286" t="str">
        <f>AnnualDeplReqs!$J92</f>
        <v>NaN</v>
      </c>
      <c r="CY100" s="286">
        <f>AnnualAggregations!$Q92</f>
        <v>0</v>
      </c>
      <c r="CZ100" s="287">
        <f t="shared" ref="CZ100:CZ106" si="143">SUM(CV100:CY100,CT100)</f>
        <v>0</v>
      </c>
      <c r="DA100" s="443" t="e">
        <f t="shared" ref="DA100:DA106" si="144">SUM(CT100:CY100)+AL100</f>
        <v>#VALUE!</v>
      </c>
      <c r="DB100" s="287" t="e">
        <f t="shared" ref="DB100:DB106" si="145">DA100+CS100</f>
        <v>#VALUE!</v>
      </c>
      <c r="DD100" s="440" t="s">
        <v>628</v>
      </c>
      <c r="DE100" s="440" t="s">
        <v>628</v>
      </c>
      <c r="DF100" s="440" t="s">
        <v>628</v>
      </c>
      <c r="DG100" s="440" t="s">
        <v>628</v>
      </c>
      <c r="DH100" s="440" t="s">
        <v>628</v>
      </c>
      <c r="DI100" s="440" t="s">
        <v>628</v>
      </c>
      <c r="DJ100" s="440" t="s">
        <v>628</v>
      </c>
      <c r="DK100" s="440" t="s">
        <v>628</v>
      </c>
      <c r="DL100" s="440" t="s">
        <v>628</v>
      </c>
      <c r="DM100" s="440" t="s">
        <v>628</v>
      </c>
      <c r="DN100" s="440" t="s">
        <v>628</v>
      </c>
      <c r="DO100" s="440" t="s">
        <v>628</v>
      </c>
      <c r="DP100" s="440" t="s">
        <v>628</v>
      </c>
      <c r="DR100" s="440" t="s">
        <v>628</v>
      </c>
      <c r="DT100" s="286">
        <f>AnnualAggregations!$L92</f>
        <v>0</v>
      </c>
      <c r="DU100" s="443">
        <f>AnnualAggregations!$J92</f>
        <v>0</v>
      </c>
      <c r="DV100" s="442" t="s">
        <v>597</v>
      </c>
      <c r="DW100" s="286">
        <f>AnnualAggregations!$M92</f>
        <v>0</v>
      </c>
      <c r="DX100" s="442" t="s">
        <v>597</v>
      </c>
      <c r="DY100" s="440" t="s">
        <v>628</v>
      </c>
      <c r="DZ100" s="440" t="s">
        <v>628</v>
      </c>
      <c r="EA100" s="440" t="s">
        <v>628</v>
      </c>
      <c r="EB100" s="440" t="s">
        <v>628</v>
      </c>
      <c r="EC100" s="286" t="str">
        <f>AnnualDeplReqs!$BG92</f>
        <v>NaN</v>
      </c>
      <c r="EE100" s="440" t="s">
        <v>628</v>
      </c>
      <c r="EF100" s="440" t="s">
        <v>628</v>
      </c>
      <c r="EG100" s="440" t="s">
        <v>628</v>
      </c>
      <c r="EH100" s="442" t="s">
        <v>597</v>
      </c>
      <c r="EI100" s="39"/>
      <c r="EK100" s="39"/>
      <c r="EL100" s="282">
        <v>2013</v>
      </c>
      <c r="EM100" s="286">
        <f>AnnualAggregations!S92</f>
        <v>0</v>
      </c>
      <c r="EN100" s="442" t="s">
        <v>597</v>
      </c>
      <c r="EO100" s="286" t="str">
        <f>AnnualDiversions!$AM92</f>
        <v>NaN</v>
      </c>
      <c r="EP100" s="286" t="str">
        <f>AnnualDiversions!$AK92</f>
        <v>NaN</v>
      </c>
      <c r="EQ100" s="286" t="str">
        <f>AnnualDiversions!$L92</f>
        <v>NaN</v>
      </c>
      <c r="ER100" s="287">
        <f t="shared" ref="ER100:ER106" si="146">SUM(EM100:EQ100)</f>
        <v>0</v>
      </c>
      <c r="ES100" s="286" t="str">
        <f>AnnualDiversions!$AO92</f>
        <v>NaN</v>
      </c>
      <c r="ET100" s="286" t="str">
        <f>AnnualDiversions!$AY92</f>
        <v>NaN</v>
      </c>
      <c r="EU100" s="286">
        <f>AnnualAggregations!$V92</f>
        <v>0</v>
      </c>
      <c r="EV100" s="286">
        <f>AnnualAggregations!$W92</f>
        <v>0</v>
      </c>
      <c r="EW100" s="286">
        <f>AnnualAggregations!$X92</f>
        <v>0</v>
      </c>
      <c r="EX100" s="286" t="str">
        <f>AnnualDiversions!$AL92</f>
        <v>NaN</v>
      </c>
      <c r="EY100" s="286" t="str">
        <f>AnnualDiversions!$AG92</f>
        <v>NaN</v>
      </c>
      <c r="EZ100" s="286" t="str">
        <f>AnnualDiversions!$AN92</f>
        <v>NaN</v>
      </c>
      <c r="FA100" s="287">
        <f t="shared" ref="FA100:FA106" si="147">SUM(ET100:EZ100)</f>
        <v>0</v>
      </c>
      <c r="FB100" s="287">
        <f t="shared" ref="FB100:FB106" si="148">SUM(ER100,ES100,FA100)</f>
        <v>0</v>
      </c>
      <c r="FC100" s="286" t="str">
        <f>AnnualDiversions!$AP92</f>
        <v>NaN</v>
      </c>
      <c r="FD100" s="442" t="s">
        <v>597</v>
      </c>
      <c r="FE100" s="286" t="str">
        <f>AnnualDiversions!$AJ92</f>
        <v>NaN</v>
      </c>
      <c r="FF100" s="286" t="str">
        <f>AnnualDiversions!$BC92</f>
        <v>NaN</v>
      </c>
      <c r="FG100" s="286" t="str">
        <f>AnnualDiversions!$J92</f>
        <v>NaN</v>
      </c>
      <c r="FH100" s="286">
        <f>AnnualAggregations!$Y92</f>
        <v>0</v>
      </c>
      <c r="FI100" s="287">
        <f t="shared" ref="FI100:FI106" si="149">SUM(FE100:FH100,FC100)</f>
        <v>0</v>
      </c>
      <c r="FJ100" s="287">
        <f t="shared" ref="FJ100:FJ106" si="150">SUM(FC100:FH100)</f>
        <v>0</v>
      </c>
      <c r="FK100" s="287">
        <f t="shared" ref="FK100:FK106" si="151">FJ100+FB100</f>
        <v>0</v>
      </c>
      <c r="FM100" s="440" t="s">
        <v>628</v>
      </c>
      <c r="FN100" s="440" t="s">
        <v>628</v>
      </c>
      <c r="FO100" s="440" t="s">
        <v>628</v>
      </c>
      <c r="FP100" s="440" t="s">
        <v>628</v>
      </c>
      <c r="FQ100" s="440" t="s">
        <v>628</v>
      </c>
      <c r="FR100" s="440" t="s">
        <v>628</v>
      </c>
      <c r="FS100" s="440" t="s">
        <v>628</v>
      </c>
      <c r="FT100" s="440" t="s">
        <v>628</v>
      </c>
      <c r="FU100" s="440" t="s">
        <v>628</v>
      </c>
      <c r="FV100" s="440" t="s">
        <v>628</v>
      </c>
      <c r="FW100" s="440" t="s">
        <v>628</v>
      </c>
      <c r="FX100" s="440" t="s">
        <v>628</v>
      </c>
      <c r="FY100" s="440" t="s">
        <v>628</v>
      </c>
      <c r="GA100" s="440" t="s">
        <v>628</v>
      </c>
      <c r="GC100" s="286">
        <f>AnnualAggregations!$T92</f>
        <v>0</v>
      </c>
      <c r="GD100" s="286">
        <f>AnnualAggregations!$R92</f>
        <v>0</v>
      </c>
      <c r="GE100" s="443" t="str">
        <f t="shared" si="118"/>
        <v>NaN</v>
      </c>
      <c r="GF100" s="286">
        <f>AnnualAggregations!$U92</f>
        <v>0</v>
      </c>
      <c r="GG100" s="287">
        <f t="shared" ref="GG100:GG106" si="152">SUM(GC100:GF100)</f>
        <v>0</v>
      </c>
      <c r="GH100" s="440" t="s">
        <v>628</v>
      </c>
      <c r="GI100" s="440" t="s">
        <v>628</v>
      </c>
      <c r="GJ100" s="440" t="s">
        <v>628</v>
      </c>
      <c r="GK100" s="440" t="s">
        <v>628</v>
      </c>
      <c r="GL100" s="286" t="str">
        <f>AnnualDiversions!$BG92</f>
        <v>NaN</v>
      </c>
      <c r="GN100" s="440" t="s">
        <v>628</v>
      </c>
      <c r="GO100" s="440" t="s">
        <v>628</v>
      </c>
      <c r="GP100" s="440" t="s">
        <v>628</v>
      </c>
      <c r="GQ100" s="442" t="s">
        <v>597</v>
      </c>
      <c r="GR100" s="39"/>
      <c r="GT100" s="39"/>
      <c r="GU100" s="282">
        <v>2013</v>
      </c>
      <c r="GV100" s="286">
        <f>AnnualAggregations!AA92</f>
        <v>0</v>
      </c>
      <c r="GW100" s="442" t="s">
        <v>597</v>
      </c>
      <c r="GX100" s="286" t="str">
        <f>AnnualDivReqs!$AM92</f>
        <v>NaN</v>
      </c>
      <c r="GY100" s="286" t="str">
        <f>AnnualDivReqs!$AK92</f>
        <v>NaN</v>
      </c>
      <c r="GZ100" s="286" t="str">
        <f>AnnualDivReqs!$L92</f>
        <v>NaN</v>
      </c>
      <c r="HA100" s="287">
        <f t="shared" ref="HA100:HA106" si="153">SUM(GV100:GZ100)</f>
        <v>0</v>
      </c>
      <c r="HB100" s="286" t="str">
        <f>AnnualDivReqs!$AO92</f>
        <v>NaN</v>
      </c>
      <c r="HC100" s="286" t="str">
        <f>AnnualDivReqs!$AY92</f>
        <v>NaN</v>
      </c>
      <c r="HD100" s="286">
        <f>AnnualAggregations!$AD92</f>
        <v>0</v>
      </c>
      <c r="HE100" s="286">
        <f>AnnualAggregations!$AE92</f>
        <v>0</v>
      </c>
      <c r="HF100" s="286">
        <f>AnnualAggregations!$AF92</f>
        <v>0</v>
      </c>
      <c r="HG100" s="286" t="str">
        <f>AnnualDivReqs!$AL92</f>
        <v>NaN</v>
      </c>
      <c r="HH100" s="286" t="str">
        <f>AnnualDivReqs!$AG92</f>
        <v>NaN</v>
      </c>
      <c r="HI100" s="286" t="str">
        <f>AnnualDivReqs!$AN92</f>
        <v>NaN</v>
      </c>
      <c r="HJ100" s="287">
        <f t="shared" ref="HJ100:HJ106" si="154">SUM(HC100:HI100)</f>
        <v>0</v>
      </c>
      <c r="HK100" s="287">
        <f t="shared" ref="HK100:HK106" si="155">SUM(HA100,HB100,HJ100)</f>
        <v>0</v>
      </c>
      <c r="HL100" s="286" t="str">
        <f>AnnualDivReqs!$AP92</f>
        <v>NaN</v>
      </c>
      <c r="HM100" s="442" t="s">
        <v>597</v>
      </c>
      <c r="HN100" s="286" t="str">
        <f>AnnualDivReqs!$AJ92</f>
        <v>NaN</v>
      </c>
      <c r="HO100" s="286" t="str">
        <f>AnnualDivReqs!$BC92</f>
        <v>NaN</v>
      </c>
      <c r="HP100" s="286" t="str">
        <f>AnnualDivReqs!$J92</f>
        <v>NaN</v>
      </c>
      <c r="HQ100" s="286">
        <f>AnnualAggregations!$AG92</f>
        <v>0</v>
      </c>
      <c r="HR100" s="287">
        <f t="shared" ref="HR100:HR106" si="156">SUM(HN100:HQ100,HL100)</f>
        <v>0</v>
      </c>
      <c r="HS100" s="287">
        <f t="shared" ref="HS100:HS106" si="157">SUM(HL100:HQ100)</f>
        <v>0</v>
      </c>
      <c r="HT100" s="287">
        <f t="shared" ref="HT100:HT106" si="158">HS100+HK100</f>
        <v>0</v>
      </c>
      <c r="HV100" s="440" t="s">
        <v>628</v>
      </c>
      <c r="HW100" s="440" t="s">
        <v>628</v>
      </c>
      <c r="HX100" s="440" t="s">
        <v>628</v>
      </c>
      <c r="HY100" s="440" t="s">
        <v>628</v>
      </c>
      <c r="HZ100" s="440" t="s">
        <v>628</v>
      </c>
      <c r="IA100" s="440" t="s">
        <v>628</v>
      </c>
      <c r="IB100" s="440" t="s">
        <v>628</v>
      </c>
      <c r="IC100" s="440" t="s">
        <v>628</v>
      </c>
      <c r="ID100" s="440" t="s">
        <v>628</v>
      </c>
      <c r="IE100" s="440" t="s">
        <v>628</v>
      </c>
      <c r="IF100" s="440" t="s">
        <v>628</v>
      </c>
      <c r="IG100" s="440" t="s">
        <v>628</v>
      </c>
      <c r="IH100" s="440" t="s">
        <v>628</v>
      </c>
      <c r="IJ100" s="440" t="s">
        <v>628</v>
      </c>
      <c r="IL100" s="286">
        <f>AnnualAggregations!$AB92</f>
        <v>0</v>
      </c>
      <c r="IM100" s="286">
        <f>AnnualAggregations!$Z92</f>
        <v>0</v>
      </c>
      <c r="IN100" s="442" t="s">
        <v>597</v>
      </c>
      <c r="IO100" s="286">
        <f>AnnualAggregations!$AC92</f>
        <v>0</v>
      </c>
      <c r="IP100" s="442" t="s">
        <v>597</v>
      </c>
      <c r="IQ100" s="440" t="s">
        <v>628</v>
      </c>
      <c r="IR100" s="440" t="s">
        <v>628</v>
      </c>
      <c r="IS100" s="440" t="s">
        <v>628</v>
      </c>
      <c r="IT100" s="440" t="s">
        <v>628</v>
      </c>
      <c r="IU100" s="286" t="str">
        <f>AnnualDivReqs!$BG92</f>
        <v>NaN</v>
      </c>
      <c r="IW100" s="440" t="s">
        <v>628</v>
      </c>
      <c r="IX100" s="440" t="s">
        <v>628</v>
      </c>
      <c r="IY100" s="440" t="s">
        <v>628</v>
      </c>
      <c r="IZ100" s="442" t="s">
        <v>597</v>
      </c>
    </row>
    <row r="101" spans="1:260" x14ac:dyDescent="0.25">
      <c r="T101" s="282">
        <v>2014</v>
      </c>
      <c r="U101" s="286">
        <f>AnnualAggregations!$C93</f>
        <v>0</v>
      </c>
      <c r="V101" s="286">
        <f>AnnualDepletions!$BI93</f>
        <v>0</v>
      </c>
      <c r="W101" s="286">
        <f>AnnualDepletions!$AM93</f>
        <v>0</v>
      </c>
      <c r="X101" s="286">
        <f>AnnualDepletions!$AK93</f>
        <v>0</v>
      </c>
      <c r="Y101" s="286">
        <f>AnnualDepletions!$L93</f>
        <v>0</v>
      </c>
      <c r="Z101" s="287">
        <f t="shared" si="126"/>
        <v>0</v>
      </c>
      <c r="AA101" s="286">
        <f>AnnualDepletions!$AO93</f>
        <v>0</v>
      </c>
      <c r="AB101" s="286">
        <f>AnnualDepletions!$AY93</f>
        <v>0</v>
      </c>
      <c r="AC101" s="286">
        <f>AnnualAggregations!$F93</f>
        <v>0</v>
      </c>
      <c r="AD101" s="286">
        <f>AnnualAggregations!$G93</f>
        <v>0</v>
      </c>
      <c r="AE101" s="286">
        <f>AnnualAggregations!$H93</f>
        <v>0</v>
      </c>
      <c r="AF101" s="286">
        <f>AnnualDepletions!$AL93</f>
        <v>0</v>
      </c>
      <c r="AG101" s="286">
        <f>AnnualDepletions!$AG93</f>
        <v>0</v>
      </c>
      <c r="AH101" s="286">
        <f>AnnualDepletions!$AN93</f>
        <v>0</v>
      </c>
      <c r="AI101" s="287">
        <f t="shared" si="127"/>
        <v>0</v>
      </c>
      <c r="AJ101" s="287">
        <f t="shared" si="128"/>
        <v>0</v>
      </c>
      <c r="AK101" s="286">
        <f>AnnualDepletions!$AP93</f>
        <v>0</v>
      </c>
      <c r="AL101" s="286">
        <f>AnnualDepletions!$BH93</f>
        <v>0</v>
      </c>
      <c r="AM101" s="286">
        <f>AnnualDepletions!$AJ93</f>
        <v>0</v>
      </c>
      <c r="AN101" s="286">
        <f>AnnualDepletions!$BC93</f>
        <v>0</v>
      </c>
      <c r="AO101" s="286">
        <f>AnnualDepletions!$J93</f>
        <v>0</v>
      </c>
      <c r="AP101" s="286">
        <f>AnnualAggregations!$I93</f>
        <v>0</v>
      </c>
      <c r="AQ101" s="287">
        <f t="shared" si="129"/>
        <v>0</v>
      </c>
      <c r="AR101" s="287">
        <f t="shared" si="130"/>
        <v>0</v>
      </c>
      <c r="AS101" s="287">
        <f t="shared" si="131"/>
        <v>0</v>
      </c>
      <c r="AU101" s="321" t="e">
        <f ca="1">StateModDepletions_ThisScenario!AC91</f>
        <v>#N/A</v>
      </c>
      <c r="AV101" s="321" t="e">
        <f ca="1">StateModDepletions_ThisScenario!AD91</f>
        <v>#N/A</v>
      </c>
      <c r="AW101" s="321" t="e">
        <f ca="1">StateModDepletions_ThisScenario!AE91</f>
        <v>#N/A</v>
      </c>
      <c r="AX101" s="321" t="e">
        <f ca="1">StateModDepletions_ThisScenario!AB91</f>
        <v>#N/A</v>
      </c>
      <c r="AY101" s="288" t="e">
        <f t="shared" ca="1" si="132"/>
        <v>#N/A</v>
      </c>
      <c r="AZ101" s="321" t="e">
        <f ca="1">StateModDepletions_ThisScenario!AG91</f>
        <v>#N/A</v>
      </c>
      <c r="BA101" s="321" t="e">
        <f ca="1">StateModDepletions_ThisScenario!AF91</f>
        <v>#N/A</v>
      </c>
      <c r="BB101" s="321" t="e">
        <f ca="1">StateModDepletions_ThisScenario!AH91</f>
        <v>#N/A</v>
      </c>
      <c r="BC101" s="321" t="e">
        <f ca="1">StateModDepletions_ThisScenario!AI91</f>
        <v>#N/A</v>
      </c>
      <c r="BD101" s="321" t="e">
        <f ca="1">StateModDepletions_ThisScenario!N91</f>
        <v>#N/A</v>
      </c>
      <c r="BE101" s="321" t="e">
        <f ca="1">StateModDepletions_ThisScenario!V91</f>
        <v>#N/A</v>
      </c>
      <c r="BF101" s="288" t="e">
        <f t="shared" ca="1" si="133"/>
        <v>#N/A</v>
      </c>
      <c r="BG101" s="288" t="e">
        <f t="shared" ca="1" si="134"/>
        <v>#N/A</v>
      </c>
      <c r="BI101" s="288" t="e">
        <f t="shared" ca="1" si="135"/>
        <v>#N/A</v>
      </c>
      <c r="BK101" s="286">
        <f>AnnualAggregations!$D93</f>
        <v>0</v>
      </c>
      <c r="BL101" s="286">
        <f>AnnualAggregations!$B93</f>
        <v>0</v>
      </c>
      <c r="BM101" s="286">
        <f>AnnualDepletions!$BK93</f>
        <v>0</v>
      </c>
      <c r="BN101" s="286">
        <f>AnnualAggregations!$E93</f>
        <v>0</v>
      </c>
      <c r="BO101" s="287">
        <f t="shared" si="136"/>
        <v>0</v>
      </c>
      <c r="BP101" s="321" t="e">
        <f ca="1">StateModDepletions_ThisScenario!Y91</f>
        <v>#N/A</v>
      </c>
      <c r="BQ101" s="321" t="e">
        <f ca="1">StateModDepletions_ThisScenario!AJ91</f>
        <v>#N/A</v>
      </c>
      <c r="BR101" s="321" t="e">
        <f ca="1">StateModDepletions_ThisScenario!Z91</f>
        <v>#N/A</v>
      </c>
      <c r="BS101" s="321" t="e">
        <f ca="1">StateModDepletions_ThisScenario!AA91</f>
        <v>#N/A</v>
      </c>
      <c r="BT101" s="286">
        <f>AnnualDepletions!$BG93</f>
        <v>0</v>
      </c>
      <c r="BV101" s="287" t="e">
        <f t="shared" ca="1" si="137"/>
        <v>#N/A</v>
      </c>
      <c r="BW101" s="287" t="e">
        <f t="shared" ca="1" si="138"/>
        <v>#N/A</v>
      </c>
      <c r="BX101" s="287" t="e">
        <f t="shared" ca="1" si="139"/>
        <v>#N/A</v>
      </c>
      <c r="BY101" s="287">
        <f>SJRIPSummaryRAW!$B$79</f>
        <v>14875</v>
      </c>
      <c r="CC101" s="282">
        <v>2014</v>
      </c>
      <c r="CD101" s="286">
        <f>AnnualAggregations!K93</f>
        <v>0</v>
      </c>
      <c r="CE101" s="442" t="s">
        <v>597</v>
      </c>
      <c r="CF101" s="286">
        <f>AnnualDeplReqs!$AM93</f>
        <v>0</v>
      </c>
      <c r="CG101" s="286">
        <f>AnnualDeplReqs!$AK93</f>
        <v>0</v>
      </c>
      <c r="CH101" s="286">
        <f>AnnualDeplReqs!$L93</f>
        <v>0</v>
      </c>
      <c r="CI101" s="443">
        <f t="shared" si="140"/>
        <v>0</v>
      </c>
      <c r="CJ101" s="286">
        <f>AnnualDeplReqs!$AO93</f>
        <v>0</v>
      </c>
      <c r="CK101" s="286">
        <f>AnnualDeplReqs!$AY93</f>
        <v>0</v>
      </c>
      <c r="CL101" s="286">
        <f>AnnualAggregations!$N93</f>
        <v>0</v>
      </c>
      <c r="CM101" s="286">
        <f>AnnualAggregations!$O93</f>
        <v>0</v>
      </c>
      <c r="CN101" s="286">
        <f>AnnualAggregations!$P93</f>
        <v>0</v>
      </c>
      <c r="CO101" s="286">
        <f>AnnualDeplReqs!$AL93</f>
        <v>0</v>
      </c>
      <c r="CP101" s="286">
        <f>AnnualDeplReqs!$AG93</f>
        <v>0</v>
      </c>
      <c r="CQ101" s="286">
        <f>AnnualDeplReqs!$AN93</f>
        <v>0</v>
      </c>
      <c r="CR101" s="287">
        <f t="shared" si="141"/>
        <v>0</v>
      </c>
      <c r="CS101" s="287">
        <f t="shared" si="142"/>
        <v>0</v>
      </c>
      <c r="CT101" s="286">
        <f>AnnualDeplReqs!$AP93</f>
        <v>0</v>
      </c>
      <c r="CU101" s="442" t="s">
        <v>597</v>
      </c>
      <c r="CV101" s="286">
        <f>AnnualDeplReqs!$AJ93</f>
        <v>0</v>
      </c>
      <c r="CW101" s="286">
        <f>AnnualDeplReqs!$BC93</f>
        <v>0</v>
      </c>
      <c r="CX101" s="286">
        <f>AnnualDeplReqs!$J93</f>
        <v>0</v>
      </c>
      <c r="CY101" s="286">
        <f>AnnualAggregations!$Q93</f>
        <v>0</v>
      </c>
      <c r="CZ101" s="287">
        <f t="shared" si="143"/>
        <v>0</v>
      </c>
      <c r="DA101" s="443">
        <f t="shared" si="144"/>
        <v>0</v>
      </c>
      <c r="DB101" s="287">
        <f t="shared" si="145"/>
        <v>0</v>
      </c>
      <c r="DD101" s="440" t="s">
        <v>628</v>
      </c>
      <c r="DE101" s="440" t="s">
        <v>628</v>
      </c>
      <c r="DF101" s="440" t="s">
        <v>628</v>
      </c>
      <c r="DG101" s="440" t="s">
        <v>628</v>
      </c>
      <c r="DH101" s="440" t="s">
        <v>628</v>
      </c>
      <c r="DI101" s="440" t="s">
        <v>628</v>
      </c>
      <c r="DJ101" s="440" t="s">
        <v>628</v>
      </c>
      <c r="DK101" s="440" t="s">
        <v>628</v>
      </c>
      <c r="DL101" s="440" t="s">
        <v>628</v>
      </c>
      <c r="DM101" s="440" t="s">
        <v>628</v>
      </c>
      <c r="DN101" s="440" t="s">
        <v>628</v>
      </c>
      <c r="DO101" s="440" t="s">
        <v>628</v>
      </c>
      <c r="DP101" s="440" t="s">
        <v>628</v>
      </c>
      <c r="DR101" s="440" t="s">
        <v>628</v>
      </c>
      <c r="DT101" s="286">
        <f>AnnualAggregations!$L93</f>
        <v>0</v>
      </c>
      <c r="DU101" s="443">
        <f>AnnualAggregations!$J93</f>
        <v>0</v>
      </c>
      <c r="DV101" s="442" t="s">
        <v>597</v>
      </c>
      <c r="DW101" s="286">
        <f>AnnualAggregations!$M93</f>
        <v>0</v>
      </c>
      <c r="DX101" s="442" t="s">
        <v>597</v>
      </c>
      <c r="DY101" s="440" t="s">
        <v>628</v>
      </c>
      <c r="DZ101" s="440" t="s">
        <v>628</v>
      </c>
      <c r="EA101" s="440" t="s">
        <v>628</v>
      </c>
      <c r="EB101" s="440" t="s">
        <v>628</v>
      </c>
      <c r="EC101" s="286">
        <f>AnnualDeplReqs!$BG93</f>
        <v>0</v>
      </c>
      <c r="EE101" s="440" t="s">
        <v>628</v>
      </c>
      <c r="EF101" s="440" t="s">
        <v>628</v>
      </c>
      <c r="EG101" s="440" t="s">
        <v>628</v>
      </c>
      <c r="EH101" s="442" t="s">
        <v>597</v>
      </c>
      <c r="EL101" s="282">
        <v>2014</v>
      </c>
      <c r="EM101" s="286">
        <f>AnnualAggregations!S93</f>
        <v>0</v>
      </c>
      <c r="EN101" s="442" t="s">
        <v>597</v>
      </c>
      <c r="EO101" s="286">
        <f>AnnualDiversions!$AM93</f>
        <v>0</v>
      </c>
      <c r="EP101" s="286">
        <f>AnnualDiversions!$AK93</f>
        <v>0</v>
      </c>
      <c r="EQ101" s="286">
        <f>AnnualDiversions!$L93</f>
        <v>0</v>
      </c>
      <c r="ER101" s="287">
        <f t="shared" si="146"/>
        <v>0</v>
      </c>
      <c r="ES101" s="286">
        <f>AnnualDiversions!$AO93</f>
        <v>0</v>
      </c>
      <c r="ET101" s="286">
        <f>AnnualDiversions!$AY93</f>
        <v>0</v>
      </c>
      <c r="EU101" s="286">
        <f>AnnualAggregations!$V93</f>
        <v>0</v>
      </c>
      <c r="EV101" s="286">
        <f>AnnualAggregations!$W93</f>
        <v>0</v>
      </c>
      <c r="EW101" s="286">
        <f>AnnualAggregations!$X93</f>
        <v>0</v>
      </c>
      <c r="EX101" s="286">
        <f>AnnualDiversions!$AL93</f>
        <v>0</v>
      </c>
      <c r="EY101" s="286">
        <f>AnnualDiversions!$AG93</f>
        <v>0</v>
      </c>
      <c r="EZ101" s="286">
        <f>AnnualDiversions!$AN93</f>
        <v>0</v>
      </c>
      <c r="FA101" s="287">
        <f t="shared" si="147"/>
        <v>0</v>
      </c>
      <c r="FB101" s="287">
        <f t="shared" si="148"/>
        <v>0</v>
      </c>
      <c r="FC101" s="286">
        <f>AnnualDiversions!$AP93</f>
        <v>0</v>
      </c>
      <c r="FD101" s="442" t="s">
        <v>597</v>
      </c>
      <c r="FE101" s="286">
        <f>AnnualDiversions!$AJ93</f>
        <v>0</v>
      </c>
      <c r="FF101" s="286">
        <f>AnnualDiversions!$BC93</f>
        <v>0</v>
      </c>
      <c r="FG101" s="286">
        <f>AnnualDiversions!$J93</f>
        <v>0</v>
      </c>
      <c r="FH101" s="286">
        <f>AnnualAggregations!$Y93</f>
        <v>0</v>
      </c>
      <c r="FI101" s="287">
        <f t="shared" si="149"/>
        <v>0</v>
      </c>
      <c r="FJ101" s="287">
        <f t="shared" si="150"/>
        <v>0</v>
      </c>
      <c r="FK101" s="287">
        <f t="shared" si="151"/>
        <v>0</v>
      </c>
      <c r="FM101" s="440" t="s">
        <v>628</v>
      </c>
      <c r="FN101" s="440" t="s">
        <v>628</v>
      </c>
      <c r="FO101" s="440" t="s">
        <v>628</v>
      </c>
      <c r="FP101" s="440" t="s">
        <v>628</v>
      </c>
      <c r="FQ101" s="440" t="s">
        <v>628</v>
      </c>
      <c r="FR101" s="440" t="s">
        <v>628</v>
      </c>
      <c r="FS101" s="440" t="s">
        <v>628</v>
      </c>
      <c r="FT101" s="440" t="s">
        <v>628</v>
      </c>
      <c r="FU101" s="440" t="s">
        <v>628</v>
      </c>
      <c r="FV101" s="440" t="s">
        <v>628</v>
      </c>
      <c r="FW101" s="440" t="s">
        <v>628</v>
      </c>
      <c r="FX101" s="440" t="s">
        <v>628</v>
      </c>
      <c r="FY101" s="440" t="s">
        <v>628</v>
      </c>
      <c r="GA101" s="440" t="s">
        <v>628</v>
      </c>
      <c r="GC101" s="286">
        <f>AnnualAggregations!$T93</f>
        <v>0</v>
      </c>
      <c r="GD101" s="286">
        <f>AnnualAggregations!$R93</f>
        <v>0</v>
      </c>
      <c r="GE101" s="443">
        <f t="shared" si="118"/>
        <v>0</v>
      </c>
      <c r="GF101" s="286">
        <f>AnnualAggregations!$U93</f>
        <v>0</v>
      </c>
      <c r="GG101" s="287">
        <f t="shared" si="152"/>
        <v>0</v>
      </c>
      <c r="GH101" s="440" t="s">
        <v>628</v>
      </c>
      <c r="GI101" s="440" t="s">
        <v>628</v>
      </c>
      <c r="GJ101" s="440" t="s">
        <v>628</v>
      </c>
      <c r="GK101" s="440" t="s">
        <v>628</v>
      </c>
      <c r="GL101" s="286">
        <f>AnnualDiversions!$BG93</f>
        <v>0</v>
      </c>
      <c r="GN101" s="440" t="s">
        <v>628</v>
      </c>
      <c r="GO101" s="440" t="s">
        <v>628</v>
      </c>
      <c r="GP101" s="440" t="s">
        <v>628</v>
      </c>
      <c r="GQ101" s="442" t="s">
        <v>597</v>
      </c>
      <c r="GU101" s="282">
        <v>2014</v>
      </c>
      <c r="GV101" s="286">
        <f>AnnualAggregations!AA93</f>
        <v>0</v>
      </c>
      <c r="GW101" s="442" t="s">
        <v>597</v>
      </c>
      <c r="GX101" s="286">
        <f>AnnualDivReqs!$AM93</f>
        <v>0</v>
      </c>
      <c r="GY101" s="286">
        <f>AnnualDivReqs!$AK93</f>
        <v>0</v>
      </c>
      <c r="GZ101" s="286">
        <f>AnnualDivReqs!$L93</f>
        <v>0</v>
      </c>
      <c r="HA101" s="287">
        <f t="shared" si="153"/>
        <v>0</v>
      </c>
      <c r="HB101" s="286">
        <f>AnnualDivReqs!$AO93</f>
        <v>0</v>
      </c>
      <c r="HC101" s="286">
        <f>AnnualDivReqs!$AY93</f>
        <v>0</v>
      </c>
      <c r="HD101" s="286">
        <f>AnnualAggregations!$AD93</f>
        <v>0</v>
      </c>
      <c r="HE101" s="286">
        <f>AnnualAggregations!$AE93</f>
        <v>0</v>
      </c>
      <c r="HF101" s="286">
        <f>AnnualAggregations!$AF93</f>
        <v>0</v>
      </c>
      <c r="HG101" s="286">
        <f>AnnualDivReqs!$AL93</f>
        <v>0</v>
      </c>
      <c r="HH101" s="286">
        <f>AnnualDivReqs!$AG93</f>
        <v>0</v>
      </c>
      <c r="HI101" s="286">
        <f>AnnualDivReqs!$AN93</f>
        <v>0</v>
      </c>
      <c r="HJ101" s="287">
        <f t="shared" si="154"/>
        <v>0</v>
      </c>
      <c r="HK101" s="287">
        <f t="shared" si="155"/>
        <v>0</v>
      </c>
      <c r="HL101" s="286">
        <f>AnnualDivReqs!$AP93</f>
        <v>0</v>
      </c>
      <c r="HM101" s="442" t="s">
        <v>597</v>
      </c>
      <c r="HN101" s="286">
        <f>AnnualDivReqs!$AJ93</f>
        <v>0</v>
      </c>
      <c r="HO101" s="286">
        <f>AnnualDivReqs!$BC93</f>
        <v>0</v>
      </c>
      <c r="HP101" s="286">
        <f>AnnualDivReqs!$J93</f>
        <v>0</v>
      </c>
      <c r="HQ101" s="286">
        <f>AnnualAggregations!$AG93</f>
        <v>0</v>
      </c>
      <c r="HR101" s="287">
        <f t="shared" si="156"/>
        <v>0</v>
      </c>
      <c r="HS101" s="287">
        <f t="shared" si="157"/>
        <v>0</v>
      </c>
      <c r="HT101" s="287">
        <f t="shared" si="158"/>
        <v>0</v>
      </c>
      <c r="HV101" s="440" t="s">
        <v>628</v>
      </c>
      <c r="HW101" s="440" t="s">
        <v>628</v>
      </c>
      <c r="HX101" s="440" t="s">
        <v>628</v>
      </c>
      <c r="HY101" s="440" t="s">
        <v>628</v>
      </c>
      <c r="HZ101" s="440" t="s">
        <v>628</v>
      </c>
      <c r="IA101" s="440" t="s">
        <v>628</v>
      </c>
      <c r="IB101" s="440" t="s">
        <v>628</v>
      </c>
      <c r="IC101" s="440" t="s">
        <v>628</v>
      </c>
      <c r="ID101" s="440" t="s">
        <v>628</v>
      </c>
      <c r="IE101" s="440" t="s">
        <v>628</v>
      </c>
      <c r="IF101" s="440" t="s">
        <v>628</v>
      </c>
      <c r="IG101" s="440" t="s">
        <v>628</v>
      </c>
      <c r="IH101" s="440" t="s">
        <v>628</v>
      </c>
      <c r="IJ101" s="440" t="s">
        <v>628</v>
      </c>
      <c r="IL101" s="286">
        <f>AnnualAggregations!$AB93</f>
        <v>0</v>
      </c>
      <c r="IM101" s="286">
        <f>AnnualAggregations!$Z93</f>
        <v>0</v>
      </c>
      <c r="IN101" s="442" t="s">
        <v>597</v>
      </c>
      <c r="IO101" s="286">
        <f>AnnualAggregations!$AC93</f>
        <v>0</v>
      </c>
      <c r="IP101" s="442" t="s">
        <v>597</v>
      </c>
      <c r="IQ101" s="440" t="s">
        <v>628</v>
      </c>
      <c r="IR101" s="440" t="s">
        <v>628</v>
      </c>
      <c r="IS101" s="440" t="s">
        <v>628</v>
      </c>
      <c r="IT101" s="440" t="s">
        <v>628</v>
      </c>
      <c r="IU101" s="286">
        <f>AnnualDivReqs!$BG93</f>
        <v>0</v>
      </c>
      <c r="IW101" s="440" t="s">
        <v>628</v>
      </c>
      <c r="IX101" s="440" t="s">
        <v>628</v>
      </c>
      <c r="IY101" s="440" t="s">
        <v>628</v>
      </c>
      <c r="IZ101" s="442" t="s">
        <v>597</v>
      </c>
    </row>
    <row r="102" spans="1:260" x14ac:dyDescent="0.25">
      <c r="T102" s="282">
        <v>2015</v>
      </c>
      <c r="U102" s="286">
        <f>AnnualAggregations!$C94</f>
        <v>0</v>
      </c>
      <c r="V102" s="286">
        <f>AnnualDepletions!$BI94</f>
        <v>0</v>
      </c>
      <c r="W102" s="286">
        <f>AnnualDepletions!$AM94</f>
        <v>0</v>
      </c>
      <c r="X102" s="286">
        <f>AnnualDepletions!$AK94</f>
        <v>0</v>
      </c>
      <c r="Y102" s="286">
        <f>AnnualDepletions!$L94</f>
        <v>0</v>
      </c>
      <c r="Z102" s="287">
        <f t="shared" si="126"/>
        <v>0</v>
      </c>
      <c r="AA102" s="286">
        <f>AnnualDepletions!$AO94</f>
        <v>0</v>
      </c>
      <c r="AB102" s="286">
        <f>AnnualDepletions!$AY94</f>
        <v>0</v>
      </c>
      <c r="AC102" s="286">
        <f>AnnualAggregations!$F94</f>
        <v>0</v>
      </c>
      <c r="AD102" s="286">
        <f>AnnualAggregations!$G94</f>
        <v>0</v>
      </c>
      <c r="AE102" s="286">
        <f>AnnualAggregations!$H94</f>
        <v>0</v>
      </c>
      <c r="AF102" s="286">
        <f>AnnualDepletions!$AL94</f>
        <v>0</v>
      </c>
      <c r="AG102" s="286">
        <f>AnnualDepletions!$AG94</f>
        <v>0</v>
      </c>
      <c r="AH102" s="286">
        <f>AnnualDepletions!$AN94</f>
        <v>0</v>
      </c>
      <c r="AI102" s="287">
        <f t="shared" si="127"/>
        <v>0</v>
      </c>
      <c r="AJ102" s="287">
        <f t="shared" si="128"/>
        <v>0</v>
      </c>
      <c r="AK102" s="286">
        <f>AnnualDepletions!$AP94</f>
        <v>0</v>
      </c>
      <c r="AL102" s="286">
        <f>AnnualDepletions!$BH94</f>
        <v>0</v>
      </c>
      <c r="AM102" s="286">
        <f>AnnualDepletions!$AJ94</f>
        <v>0</v>
      </c>
      <c r="AN102" s="286">
        <f>AnnualDepletions!$BC94</f>
        <v>0</v>
      </c>
      <c r="AO102" s="286">
        <f>AnnualDepletions!$J94</f>
        <v>0</v>
      </c>
      <c r="AP102" s="286">
        <f>AnnualAggregations!$I94</f>
        <v>0</v>
      </c>
      <c r="AQ102" s="287">
        <f t="shared" si="129"/>
        <v>0</v>
      </c>
      <c r="AR102" s="287">
        <f t="shared" si="130"/>
        <v>0</v>
      </c>
      <c r="AS102" s="287">
        <f t="shared" si="131"/>
        <v>0</v>
      </c>
      <c r="AU102" s="321" t="e">
        <f ca="1">StateModDepletions_ThisScenario!AC92</f>
        <v>#N/A</v>
      </c>
      <c r="AV102" s="321" t="e">
        <f ca="1">StateModDepletions_ThisScenario!AD92</f>
        <v>#N/A</v>
      </c>
      <c r="AW102" s="321" t="e">
        <f ca="1">StateModDepletions_ThisScenario!AE92</f>
        <v>#N/A</v>
      </c>
      <c r="AX102" s="321" t="e">
        <f ca="1">StateModDepletions_ThisScenario!AB92</f>
        <v>#N/A</v>
      </c>
      <c r="AY102" s="288" t="e">
        <f t="shared" ca="1" si="132"/>
        <v>#N/A</v>
      </c>
      <c r="AZ102" s="321" t="e">
        <f ca="1">StateModDepletions_ThisScenario!AG92</f>
        <v>#N/A</v>
      </c>
      <c r="BA102" s="321" t="e">
        <f ca="1">StateModDepletions_ThisScenario!AF92</f>
        <v>#N/A</v>
      </c>
      <c r="BB102" s="321" t="e">
        <f ca="1">StateModDepletions_ThisScenario!AH92</f>
        <v>#N/A</v>
      </c>
      <c r="BC102" s="321" t="e">
        <f ca="1">StateModDepletions_ThisScenario!AI92</f>
        <v>#N/A</v>
      </c>
      <c r="BD102" s="321" t="e">
        <f ca="1">StateModDepletions_ThisScenario!N92</f>
        <v>#N/A</v>
      </c>
      <c r="BE102" s="321" t="e">
        <f ca="1">StateModDepletions_ThisScenario!V92</f>
        <v>#N/A</v>
      </c>
      <c r="BF102" s="288" t="e">
        <f t="shared" ca="1" si="133"/>
        <v>#N/A</v>
      </c>
      <c r="BG102" s="288" t="e">
        <f t="shared" ca="1" si="134"/>
        <v>#N/A</v>
      </c>
      <c r="BI102" s="288" t="e">
        <f t="shared" ca="1" si="135"/>
        <v>#N/A</v>
      </c>
      <c r="BK102" s="286">
        <f>AnnualAggregations!$D94</f>
        <v>0</v>
      </c>
      <c r="BL102" s="286">
        <f>AnnualAggregations!$B94</f>
        <v>0</v>
      </c>
      <c r="BM102" s="286">
        <f>AnnualDepletions!$BK94</f>
        <v>0</v>
      </c>
      <c r="BN102" s="286">
        <f>AnnualAggregations!$E94</f>
        <v>0</v>
      </c>
      <c r="BO102" s="287">
        <f t="shared" si="136"/>
        <v>0</v>
      </c>
      <c r="BP102" s="321" t="e">
        <f ca="1">StateModDepletions_ThisScenario!Y92</f>
        <v>#N/A</v>
      </c>
      <c r="BQ102" s="321" t="e">
        <f ca="1">StateModDepletions_ThisScenario!AJ92</f>
        <v>#N/A</v>
      </c>
      <c r="BR102" s="321" t="e">
        <f ca="1">StateModDepletions_ThisScenario!Z92</f>
        <v>#N/A</v>
      </c>
      <c r="BS102" s="321" t="e">
        <f ca="1">StateModDepletions_ThisScenario!AA92</f>
        <v>#N/A</v>
      </c>
      <c r="BT102" s="286">
        <f>AnnualDepletions!$BG94</f>
        <v>0</v>
      </c>
      <c r="BV102" s="287" t="e">
        <f t="shared" ca="1" si="137"/>
        <v>#N/A</v>
      </c>
      <c r="BW102" s="287" t="e">
        <f t="shared" ca="1" si="138"/>
        <v>#N/A</v>
      </c>
      <c r="BX102" s="287" t="e">
        <f t="shared" ca="1" si="139"/>
        <v>#N/A</v>
      </c>
      <c r="BY102" s="287">
        <f>SJRIPSummaryRAW!$B$79</f>
        <v>14875</v>
      </c>
      <c r="BZ102" s="39"/>
      <c r="CB102" s="39"/>
      <c r="CC102" s="282">
        <v>2015</v>
      </c>
      <c r="CD102" s="286">
        <f>AnnualAggregations!K94</f>
        <v>0</v>
      </c>
      <c r="CE102" s="442" t="s">
        <v>597</v>
      </c>
      <c r="CF102" s="286">
        <f>AnnualDeplReqs!$AM94</f>
        <v>0</v>
      </c>
      <c r="CG102" s="286">
        <f>AnnualDeplReqs!$AK94</f>
        <v>0</v>
      </c>
      <c r="CH102" s="286">
        <f>AnnualDeplReqs!$L94</f>
        <v>0</v>
      </c>
      <c r="CI102" s="443">
        <f t="shared" si="140"/>
        <v>0</v>
      </c>
      <c r="CJ102" s="286">
        <f>AnnualDeplReqs!$AO94</f>
        <v>0</v>
      </c>
      <c r="CK102" s="286">
        <f>AnnualDeplReqs!$AY94</f>
        <v>0</v>
      </c>
      <c r="CL102" s="286">
        <f>AnnualAggregations!$N94</f>
        <v>0</v>
      </c>
      <c r="CM102" s="286">
        <f>AnnualAggregations!$O94</f>
        <v>0</v>
      </c>
      <c r="CN102" s="286">
        <f>AnnualAggregations!$P94</f>
        <v>0</v>
      </c>
      <c r="CO102" s="286">
        <f>AnnualDeplReqs!$AL94</f>
        <v>0</v>
      </c>
      <c r="CP102" s="286">
        <f>AnnualDeplReqs!$AG94</f>
        <v>0</v>
      </c>
      <c r="CQ102" s="286">
        <f>AnnualDeplReqs!$AN94</f>
        <v>0</v>
      </c>
      <c r="CR102" s="287">
        <f t="shared" si="141"/>
        <v>0</v>
      </c>
      <c r="CS102" s="287">
        <f t="shared" si="142"/>
        <v>0</v>
      </c>
      <c r="CT102" s="286">
        <f>AnnualDeplReqs!$AP94</f>
        <v>0</v>
      </c>
      <c r="CU102" s="442" t="s">
        <v>597</v>
      </c>
      <c r="CV102" s="286">
        <f>AnnualDeplReqs!$AJ94</f>
        <v>0</v>
      </c>
      <c r="CW102" s="286">
        <f>AnnualDeplReqs!$BC94</f>
        <v>0</v>
      </c>
      <c r="CX102" s="286">
        <f>AnnualDeplReqs!$J94</f>
        <v>0</v>
      </c>
      <c r="CY102" s="286">
        <f>AnnualAggregations!$Q94</f>
        <v>0</v>
      </c>
      <c r="CZ102" s="287">
        <f t="shared" si="143"/>
        <v>0</v>
      </c>
      <c r="DA102" s="443">
        <f t="shared" si="144"/>
        <v>0</v>
      </c>
      <c r="DB102" s="287">
        <f t="shared" si="145"/>
        <v>0</v>
      </c>
      <c r="DD102" s="440" t="s">
        <v>628</v>
      </c>
      <c r="DE102" s="440" t="s">
        <v>628</v>
      </c>
      <c r="DF102" s="440" t="s">
        <v>628</v>
      </c>
      <c r="DG102" s="440" t="s">
        <v>628</v>
      </c>
      <c r="DH102" s="440" t="s">
        <v>628</v>
      </c>
      <c r="DI102" s="440" t="s">
        <v>628</v>
      </c>
      <c r="DJ102" s="440" t="s">
        <v>628</v>
      </c>
      <c r="DK102" s="440" t="s">
        <v>628</v>
      </c>
      <c r="DL102" s="440" t="s">
        <v>628</v>
      </c>
      <c r="DM102" s="440" t="s">
        <v>628</v>
      </c>
      <c r="DN102" s="440" t="s">
        <v>628</v>
      </c>
      <c r="DO102" s="440" t="s">
        <v>628</v>
      </c>
      <c r="DP102" s="440" t="s">
        <v>628</v>
      </c>
      <c r="DR102" s="440" t="s">
        <v>628</v>
      </c>
      <c r="DT102" s="286">
        <f>AnnualAggregations!$L94</f>
        <v>0</v>
      </c>
      <c r="DU102" s="443">
        <f>AnnualAggregations!$J94</f>
        <v>0</v>
      </c>
      <c r="DV102" s="442" t="s">
        <v>597</v>
      </c>
      <c r="DW102" s="286">
        <f>AnnualAggregations!$M94</f>
        <v>0</v>
      </c>
      <c r="DX102" s="442" t="s">
        <v>597</v>
      </c>
      <c r="DY102" s="440" t="s">
        <v>628</v>
      </c>
      <c r="DZ102" s="440" t="s">
        <v>628</v>
      </c>
      <c r="EA102" s="440" t="s">
        <v>628</v>
      </c>
      <c r="EB102" s="440" t="s">
        <v>628</v>
      </c>
      <c r="EC102" s="286">
        <f>AnnualDeplReqs!$BG94</f>
        <v>0</v>
      </c>
      <c r="EE102" s="440" t="s">
        <v>628</v>
      </c>
      <c r="EF102" s="440" t="s">
        <v>628</v>
      </c>
      <c r="EG102" s="440" t="s">
        <v>628</v>
      </c>
      <c r="EH102" s="442" t="s">
        <v>597</v>
      </c>
      <c r="EI102" s="39"/>
      <c r="EK102" s="39"/>
      <c r="EL102" s="282">
        <v>2015</v>
      </c>
      <c r="EM102" s="286">
        <f>AnnualAggregations!S94</f>
        <v>0</v>
      </c>
      <c r="EN102" s="442" t="s">
        <v>597</v>
      </c>
      <c r="EO102" s="286">
        <f>AnnualDiversions!$AM94</f>
        <v>0</v>
      </c>
      <c r="EP102" s="286">
        <f>AnnualDiversions!$AK94</f>
        <v>0</v>
      </c>
      <c r="EQ102" s="286">
        <f>AnnualDiversions!$L94</f>
        <v>0</v>
      </c>
      <c r="ER102" s="287">
        <f t="shared" si="146"/>
        <v>0</v>
      </c>
      <c r="ES102" s="286">
        <f>AnnualDiversions!$AO94</f>
        <v>0</v>
      </c>
      <c r="ET102" s="286">
        <f>AnnualDiversions!$AY94</f>
        <v>0</v>
      </c>
      <c r="EU102" s="286">
        <f>AnnualAggregations!$V94</f>
        <v>0</v>
      </c>
      <c r="EV102" s="286">
        <f>AnnualAggregations!$W94</f>
        <v>0</v>
      </c>
      <c r="EW102" s="286">
        <f>AnnualAggregations!$X94</f>
        <v>0</v>
      </c>
      <c r="EX102" s="286">
        <f>AnnualDiversions!$AL94</f>
        <v>0</v>
      </c>
      <c r="EY102" s="286">
        <f>AnnualDiversions!$AG94</f>
        <v>0</v>
      </c>
      <c r="EZ102" s="286">
        <f>AnnualDiversions!$AN94</f>
        <v>0</v>
      </c>
      <c r="FA102" s="287">
        <f t="shared" si="147"/>
        <v>0</v>
      </c>
      <c r="FB102" s="287">
        <f t="shared" si="148"/>
        <v>0</v>
      </c>
      <c r="FC102" s="286">
        <f>AnnualDiversions!$AP94</f>
        <v>0</v>
      </c>
      <c r="FD102" s="442" t="s">
        <v>597</v>
      </c>
      <c r="FE102" s="286">
        <f>AnnualDiversions!$AJ94</f>
        <v>0</v>
      </c>
      <c r="FF102" s="286">
        <f>AnnualDiversions!$BC94</f>
        <v>0</v>
      </c>
      <c r="FG102" s="286">
        <f>AnnualDiversions!$J94</f>
        <v>0</v>
      </c>
      <c r="FH102" s="286">
        <f>AnnualAggregations!$Y94</f>
        <v>0</v>
      </c>
      <c r="FI102" s="287">
        <f t="shared" si="149"/>
        <v>0</v>
      </c>
      <c r="FJ102" s="287">
        <f t="shared" si="150"/>
        <v>0</v>
      </c>
      <c r="FK102" s="287">
        <f t="shared" si="151"/>
        <v>0</v>
      </c>
      <c r="FM102" s="440" t="s">
        <v>628</v>
      </c>
      <c r="FN102" s="440" t="s">
        <v>628</v>
      </c>
      <c r="FO102" s="440" t="s">
        <v>628</v>
      </c>
      <c r="FP102" s="440" t="s">
        <v>628</v>
      </c>
      <c r="FQ102" s="440" t="s">
        <v>628</v>
      </c>
      <c r="FR102" s="440" t="s">
        <v>628</v>
      </c>
      <c r="FS102" s="440" t="s">
        <v>628</v>
      </c>
      <c r="FT102" s="440" t="s">
        <v>628</v>
      </c>
      <c r="FU102" s="440" t="s">
        <v>628</v>
      </c>
      <c r="FV102" s="440" t="s">
        <v>628</v>
      </c>
      <c r="FW102" s="440" t="s">
        <v>628</v>
      </c>
      <c r="FX102" s="440" t="s">
        <v>628</v>
      </c>
      <c r="FY102" s="440" t="s">
        <v>628</v>
      </c>
      <c r="GA102" s="440" t="s">
        <v>628</v>
      </c>
      <c r="GC102" s="286">
        <f>AnnualAggregations!$T94</f>
        <v>0</v>
      </c>
      <c r="GD102" s="286">
        <f>AnnualAggregations!$R94</f>
        <v>0</v>
      </c>
      <c r="GE102" s="443">
        <f t="shared" si="118"/>
        <v>0</v>
      </c>
      <c r="GF102" s="286">
        <f>AnnualAggregations!$U94</f>
        <v>0</v>
      </c>
      <c r="GG102" s="287">
        <f t="shared" si="152"/>
        <v>0</v>
      </c>
      <c r="GH102" s="440" t="s">
        <v>628</v>
      </c>
      <c r="GI102" s="440" t="s">
        <v>628</v>
      </c>
      <c r="GJ102" s="440" t="s">
        <v>628</v>
      </c>
      <c r="GK102" s="440" t="s">
        <v>628</v>
      </c>
      <c r="GL102" s="286">
        <f>AnnualDiversions!$BG94</f>
        <v>0</v>
      </c>
      <c r="GN102" s="440" t="s">
        <v>628</v>
      </c>
      <c r="GO102" s="440" t="s">
        <v>628</v>
      </c>
      <c r="GP102" s="440" t="s">
        <v>628</v>
      </c>
      <c r="GQ102" s="442" t="s">
        <v>597</v>
      </c>
      <c r="GR102" s="39"/>
      <c r="GT102" s="39"/>
      <c r="GU102" s="282">
        <v>2015</v>
      </c>
      <c r="GV102" s="286">
        <f>AnnualAggregations!AA94</f>
        <v>0</v>
      </c>
      <c r="GW102" s="442" t="s">
        <v>597</v>
      </c>
      <c r="GX102" s="286">
        <f>AnnualDivReqs!$AM94</f>
        <v>0</v>
      </c>
      <c r="GY102" s="286">
        <f>AnnualDivReqs!$AK94</f>
        <v>0</v>
      </c>
      <c r="GZ102" s="286">
        <f>AnnualDivReqs!$L94</f>
        <v>0</v>
      </c>
      <c r="HA102" s="287">
        <f t="shared" si="153"/>
        <v>0</v>
      </c>
      <c r="HB102" s="286">
        <f>AnnualDivReqs!$AO94</f>
        <v>0</v>
      </c>
      <c r="HC102" s="286">
        <f>AnnualDivReqs!$AY94</f>
        <v>0</v>
      </c>
      <c r="HD102" s="286">
        <f>AnnualAggregations!$AD94</f>
        <v>0</v>
      </c>
      <c r="HE102" s="286">
        <f>AnnualAggregations!$AE94</f>
        <v>0</v>
      </c>
      <c r="HF102" s="286">
        <f>AnnualAggregations!$AF94</f>
        <v>0</v>
      </c>
      <c r="HG102" s="286">
        <f>AnnualDivReqs!$AL94</f>
        <v>0</v>
      </c>
      <c r="HH102" s="286">
        <f>AnnualDivReqs!$AG94</f>
        <v>0</v>
      </c>
      <c r="HI102" s="286">
        <f>AnnualDivReqs!$AN94</f>
        <v>0</v>
      </c>
      <c r="HJ102" s="287">
        <f t="shared" si="154"/>
        <v>0</v>
      </c>
      <c r="HK102" s="287">
        <f t="shared" si="155"/>
        <v>0</v>
      </c>
      <c r="HL102" s="286">
        <f>AnnualDivReqs!$AP94</f>
        <v>0</v>
      </c>
      <c r="HM102" s="442" t="s">
        <v>597</v>
      </c>
      <c r="HN102" s="286">
        <f>AnnualDivReqs!$AJ94</f>
        <v>0</v>
      </c>
      <c r="HO102" s="286">
        <f>AnnualDivReqs!$BC94</f>
        <v>0</v>
      </c>
      <c r="HP102" s="286">
        <f>AnnualDivReqs!$J94</f>
        <v>0</v>
      </c>
      <c r="HQ102" s="286">
        <f>AnnualAggregations!$AG94</f>
        <v>0</v>
      </c>
      <c r="HR102" s="287">
        <f t="shared" si="156"/>
        <v>0</v>
      </c>
      <c r="HS102" s="287">
        <f t="shared" si="157"/>
        <v>0</v>
      </c>
      <c r="HT102" s="287">
        <f t="shared" si="158"/>
        <v>0</v>
      </c>
      <c r="HV102" s="440" t="s">
        <v>628</v>
      </c>
      <c r="HW102" s="440" t="s">
        <v>628</v>
      </c>
      <c r="HX102" s="440" t="s">
        <v>628</v>
      </c>
      <c r="HY102" s="440" t="s">
        <v>628</v>
      </c>
      <c r="HZ102" s="440" t="s">
        <v>628</v>
      </c>
      <c r="IA102" s="440" t="s">
        <v>628</v>
      </c>
      <c r="IB102" s="440" t="s">
        <v>628</v>
      </c>
      <c r="IC102" s="440" t="s">
        <v>628</v>
      </c>
      <c r="ID102" s="440" t="s">
        <v>628</v>
      </c>
      <c r="IE102" s="440" t="s">
        <v>628</v>
      </c>
      <c r="IF102" s="440" t="s">
        <v>628</v>
      </c>
      <c r="IG102" s="440" t="s">
        <v>628</v>
      </c>
      <c r="IH102" s="440" t="s">
        <v>628</v>
      </c>
      <c r="IJ102" s="440" t="s">
        <v>628</v>
      </c>
      <c r="IL102" s="286">
        <f>AnnualAggregations!$AB94</f>
        <v>0</v>
      </c>
      <c r="IM102" s="286">
        <f>AnnualAggregations!$Z94</f>
        <v>0</v>
      </c>
      <c r="IN102" s="442" t="s">
        <v>597</v>
      </c>
      <c r="IO102" s="286">
        <f>AnnualAggregations!$AC94</f>
        <v>0</v>
      </c>
      <c r="IP102" s="442" t="s">
        <v>597</v>
      </c>
      <c r="IQ102" s="440" t="s">
        <v>628</v>
      </c>
      <c r="IR102" s="440" t="s">
        <v>628</v>
      </c>
      <c r="IS102" s="440" t="s">
        <v>628</v>
      </c>
      <c r="IT102" s="440" t="s">
        <v>628</v>
      </c>
      <c r="IU102" s="286">
        <f>AnnualDivReqs!$BG94</f>
        <v>0</v>
      </c>
      <c r="IW102" s="440" t="s">
        <v>628</v>
      </c>
      <c r="IX102" s="440" t="s">
        <v>628</v>
      </c>
      <c r="IY102" s="440" t="s">
        <v>628</v>
      </c>
      <c r="IZ102" s="442" t="s">
        <v>597</v>
      </c>
    </row>
    <row r="103" spans="1:260" x14ac:dyDescent="0.25">
      <c r="T103" s="282">
        <v>2016</v>
      </c>
      <c r="U103" s="286">
        <f>AnnualAggregations!$C95</f>
        <v>0</v>
      </c>
      <c r="V103" s="286">
        <f>AnnualDepletions!$BI95</f>
        <v>0</v>
      </c>
      <c r="W103" s="286">
        <f>AnnualDepletions!$AM95</f>
        <v>0</v>
      </c>
      <c r="X103" s="286">
        <f>AnnualDepletions!$AK95</f>
        <v>0</v>
      </c>
      <c r="Y103" s="286">
        <f>AnnualDepletions!$L95</f>
        <v>0</v>
      </c>
      <c r="Z103" s="287">
        <f t="shared" si="126"/>
        <v>0</v>
      </c>
      <c r="AA103" s="286">
        <f>AnnualDepletions!$AO95</f>
        <v>0</v>
      </c>
      <c r="AB103" s="286">
        <f>AnnualDepletions!$AY95</f>
        <v>0</v>
      </c>
      <c r="AC103" s="286">
        <f>AnnualAggregations!$F95</f>
        <v>0</v>
      </c>
      <c r="AD103" s="286">
        <f>AnnualAggregations!$G95</f>
        <v>0</v>
      </c>
      <c r="AE103" s="286">
        <f>AnnualAggregations!$H95</f>
        <v>0</v>
      </c>
      <c r="AF103" s="286">
        <f>AnnualDepletions!$AL95</f>
        <v>0</v>
      </c>
      <c r="AG103" s="286">
        <f>AnnualDepletions!$AG95</f>
        <v>0</v>
      </c>
      <c r="AH103" s="286">
        <f>AnnualDepletions!$AN95</f>
        <v>0</v>
      </c>
      <c r="AI103" s="287">
        <f t="shared" si="127"/>
        <v>0</v>
      </c>
      <c r="AJ103" s="287">
        <f t="shared" si="128"/>
        <v>0</v>
      </c>
      <c r="AK103" s="286">
        <f>AnnualDepletions!$AP95</f>
        <v>0</v>
      </c>
      <c r="AL103" s="286">
        <f>AnnualDepletions!$BH95</f>
        <v>0</v>
      </c>
      <c r="AM103" s="286">
        <f>AnnualDepletions!$AJ95</f>
        <v>0</v>
      </c>
      <c r="AN103" s="286">
        <f>AnnualDepletions!$BC95</f>
        <v>0</v>
      </c>
      <c r="AO103" s="286">
        <f>AnnualDepletions!$J95</f>
        <v>0</v>
      </c>
      <c r="AP103" s="286">
        <f>AnnualAggregations!$I95</f>
        <v>0</v>
      </c>
      <c r="AQ103" s="287">
        <f t="shared" si="129"/>
        <v>0</v>
      </c>
      <c r="AR103" s="287">
        <f t="shared" si="130"/>
        <v>0</v>
      </c>
      <c r="AS103" s="287">
        <f t="shared" si="131"/>
        <v>0</v>
      </c>
      <c r="AU103" s="321" t="e">
        <f ca="1">StateModDepletions_ThisScenario!AC93</f>
        <v>#N/A</v>
      </c>
      <c r="AV103" s="321" t="e">
        <f ca="1">StateModDepletions_ThisScenario!AD93</f>
        <v>#N/A</v>
      </c>
      <c r="AW103" s="321" t="e">
        <f ca="1">StateModDepletions_ThisScenario!AE93</f>
        <v>#N/A</v>
      </c>
      <c r="AX103" s="321" t="e">
        <f ca="1">StateModDepletions_ThisScenario!AB93</f>
        <v>#N/A</v>
      </c>
      <c r="AY103" s="288" t="e">
        <f t="shared" ca="1" si="132"/>
        <v>#N/A</v>
      </c>
      <c r="AZ103" s="321" t="e">
        <f ca="1">StateModDepletions_ThisScenario!AG93</f>
        <v>#N/A</v>
      </c>
      <c r="BA103" s="321" t="e">
        <f ca="1">StateModDepletions_ThisScenario!AF93</f>
        <v>#N/A</v>
      </c>
      <c r="BB103" s="321" t="e">
        <f ca="1">StateModDepletions_ThisScenario!AH93</f>
        <v>#N/A</v>
      </c>
      <c r="BC103" s="321" t="e">
        <f ca="1">StateModDepletions_ThisScenario!AI93</f>
        <v>#N/A</v>
      </c>
      <c r="BD103" s="321" t="e">
        <f ca="1">StateModDepletions_ThisScenario!N93</f>
        <v>#N/A</v>
      </c>
      <c r="BE103" s="321" t="e">
        <f ca="1">StateModDepletions_ThisScenario!V93</f>
        <v>#N/A</v>
      </c>
      <c r="BF103" s="288" t="e">
        <f t="shared" ca="1" si="133"/>
        <v>#N/A</v>
      </c>
      <c r="BG103" s="288" t="e">
        <f t="shared" ca="1" si="134"/>
        <v>#N/A</v>
      </c>
      <c r="BI103" s="288" t="e">
        <f t="shared" ca="1" si="135"/>
        <v>#N/A</v>
      </c>
      <c r="BK103" s="286">
        <f>AnnualAggregations!$D95</f>
        <v>0</v>
      </c>
      <c r="BL103" s="286">
        <f>AnnualAggregations!$B95</f>
        <v>0</v>
      </c>
      <c r="BM103" s="286">
        <f>AnnualDepletions!$BK95</f>
        <v>0</v>
      </c>
      <c r="BN103" s="286">
        <f>AnnualAggregations!$E95</f>
        <v>0</v>
      </c>
      <c r="BO103" s="287">
        <f t="shared" si="136"/>
        <v>0</v>
      </c>
      <c r="BP103" s="321" t="e">
        <f ca="1">StateModDepletions_ThisScenario!Y93</f>
        <v>#N/A</v>
      </c>
      <c r="BQ103" s="321" t="e">
        <f ca="1">StateModDepletions_ThisScenario!AJ93</f>
        <v>#N/A</v>
      </c>
      <c r="BR103" s="321" t="e">
        <f ca="1">StateModDepletions_ThisScenario!Z93</f>
        <v>#N/A</v>
      </c>
      <c r="BS103" s="321" t="e">
        <f ca="1">StateModDepletions_ThisScenario!AA93</f>
        <v>#N/A</v>
      </c>
      <c r="BT103" s="286">
        <f>AnnualDepletions!$BG95</f>
        <v>0</v>
      </c>
      <c r="BV103" s="287" t="e">
        <f t="shared" ca="1" si="137"/>
        <v>#N/A</v>
      </c>
      <c r="BW103" s="287" t="e">
        <f t="shared" ca="1" si="138"/>
        <v>#N/A</v>
      </c>
      <c r="BX103" s="287" t="e">
        <f t="shared" ca="1" si="139"/>
        <v>#N/A</v>
      </c>
      <c r="BY103" s="287">
        <f>SJRIPSummaryRAW!$B$79</f>
        <v>14875</v>
      </c>
      <c r="CC103" s="282">
        <v>2016</v>
      </c>
      <c r="CD103" s="286">
        <f>AnnualAggregations!K95</f>
        <v>0</v>
      </c>
      <c r="CE103" s="442" t="s">
        <v>597</v>
      </c>
      <c r="CF103" s="286">
        <f>AnnualDeplReqs!$AM95</f>
        <v>0</v>
      </c>
      <c r="CG103" s="286">
        <f>AnnualDeplReqs!$AK95</f>
        <v>0</v>
      </c>
      <c r="CH103" s="286">
        <f>AnnualDeplReqs!$L95</f>
        <v>0</v>
      </c>
      <c r="CI103" s="443">
        <f t="shared" si="140"/>
        <v>0</v>
      </c>
      <c r="CJ103" s="286">
        <f>AnnualDeplReqs!$AO95</f>
        <v>0</v>
      </c>
      <c r="CK103" s="286">
        <f>AnnualDeplReqs!$AY95</f>
        <v>0</v>
      </c>
      <c r="CL103" s="286">
        <f>AnnualAggregations!$N95</f>
        <v>0</v>
      </c>
      <c r="CM103" s="286">
        <f>AnnualAggregations!$O95</f>
        <v>0</v>
      </c>
      <c r="CN103" s="286">
        <f>AnnualAggregations!$P95</f>
        <v>0</v>
      </c>
      <c r="CO103" s="286">
        <f>AnnualDeplReqs!$AL95</f>
        <v>0</v>
      </c>
      <c r="CP103" s="286">
        <f>AnnualDeplReqs!$AG95</f>
        <v>0</v>
      </c>
      <c r="CQ103" s="286">
        <f>AnnualDeplReqs!$AN95</f>
        <v>0</v>
      </c>
      <c r="CR103" s="287">
        <f t="shared" si="141"/>
        <v>0</v>
      </c>
      <c r="CS103" s="287">
        <f t="shared" si="142"/>
        <v>0</v>
      </c>
      <c r="CT103" s="286">
        <f>AnnualDeplReqs!$AP95</f>
        <v>0</v>
      </c>
      <c r="CU103" s="442" t="s">
        <v>597</v>
      </c>
      <c r="CV103" s="286">
        <f>AnnualDeplReqs!$AJ95</f>
        <v>0</v>
      </c>
      <c r="CW103" s="286">
        <f>AnnualDeplReqs!$BC95</f>
        <v>0</v>
      </c>
      <c r="CX103" s="286">
        <f>AnnualDeplReqs!$J95</f>
        <v>0</v>
      </c>
      <c r="CY103" s="286">
        <f>AnnualAggregations!$Q95</f>
        <v>0</v>
      </c>
      <c r="CZ103" s="287">
        <f t="shared" si="143"/>
        <v>0</v>
      </c>
      <c r="DA103" s="443">
        <f t="shared" si="144"/>
        <v>0</v>
      </c>
      <c r="DB103" s="287">
        <f t="shared" si="145"/>
        <v>0</v>
      </c>
      <c r="DD103" s="440" t="s">
        <v>628</v>
      </c>
      <c r="DE103" s="440" t="s">
        <v>628</v>
      </c>
      <c r="DF103" s="440" t="s">
        <v>628</v>
      </c>
      <c r="DG103" s="440" t="s">
        <v>628</v>
      </c>
      <c r="DH103" s="440" t="s">
        <v>628</v>
      </c>
      <c r="DI103" s="440" t="s">
        <v>628</v>
      </c>
      <c r="DJ103" s="440" t="s">
        <v>628</v>
      </c>
      <c r="DK103" s="440" t="s">
        <v>628</v>
      </c>
      <c r="DL103" s="440" t="s">
        <v>628</v>
      </c>
      <c r="DM103" s="440" t="s">
        <v>628</v>
      </c>
      <c r="DN103" s="440" t="s">
        <v>628</v>
      </c>
      <c r="DO103" s="440" t="s">
        <v>628</v>
      </c>
      <c r="DP103" s="440" t="s">
        <v>628</v>
      </c>
      <c r="DR103" s="440" t="s">
        <v>628</v>
      </c>
      <c r="DT103" s="286">
        <f>AnnualAggregations!$L95</f>
        <v>0</v>
      </c>
      <c r="DU103" s="443">
        <f>AnnualAggregations!$J95</f>
        <v>0</v>
      </c>
      <c r="DV103" s="442" t="s">
        <v>597</v>
      </c>
      <c r="DW103" s="286">
        <f>AnnualAggregations!$M95</f>
        <v>0</v>
      </c>
      <c r="DX103" s="442" t="s">
        <v>597</v>
      </c>
      <c r="DY103" s="440" t="s">
        <v>628</v>
      </c>
      <c r="DZ103" s="440" t="s">
        <v>628</v>
      </c>
      <c r="EA103" s="440" t="s">
        <v>628</v>
      </c>
      <c r="EB103" s="440" t="s">
        <v>628</v>
      </c>
      <c r="EC103" s="286">
        <f>AnnualDeplReqs!$BG95</f>
        <v>0</v>
      </c>
      <c r="EE103" s="440" t="s">
        <v>628</v>
      </c>
      <c r="EF103" s="440" t="s">
        <v>628</v>
      </c>
      <c r="EG103" s="440" t="s">
        <v>628</v>
      </c>
      <c r="EH103" s="442" t="s">
        <v>597</v>
      </c>
      <c r="EL103" s="282">
        <v>2016</v>
      </c>
      <c r="EM103" s="286">
        <f>AnnualAggregations!S95</f>
        <v>0</v>
      </c>
      <c r="EN103" s="442" t="s">
        <v>597</v>
      </c>
      <c r="EO103" s="286">
        <f>AnnualDiversions!$AM95</f>
        <v>0</v>
      </c>
      <c r="EP103" s="286">
        <f>AnnualDiversions!$AK95</f>
        <v>0</v>
      </c>
      <c r="EQ103" s="286">
        <f>AnnualDiversions!$L95</f>
        <v>0</v>
      </c>
      <c r="ER103" s="287">
        <f t="shared" si="146"/>
        <v>0</v>
      </c>
      <c r="ES103" s="286">
        <f>AnnualDiversions!$AO95</f>
        <v>0</v>
      </c>
      <c r="ET103" s="286">
        <f>AnnualDiversions!$AY95</f>
        <v>0</v>
      </c>
      <c r="EU103" s="286">
        <f>AnnualAggregations!$V95</f>
        <v>0</v>
      </c>
      <c r="EV103" s="286">
        <f>AnnualAggregations!$W95</f>
        <v>0</v>
      </c>
      <c r="EW103" s="286">
        <f>AnnualAggregations!$X95</f>
        <v>0</v>
      </c>
      <c r="EX103" s="286">
        <f>AnnualDiversions!$AL95</f>
        <v>0</v>
      </c>
      <c r="EY103" s="286">
        <f>AnnualDiversions!$AG95</f>
        <v>0</v>
      </c>
      <c r="EZ103" s="286">
        <f>AnnualDiversions!$AN95</f>
        <v>0</v>
      </c>
      <c r="FA103" s="287">
        <f t="shared" si="147"/>
        <v>0</v>
      </c>
      <c r="FB103" s="287">
        <f t="shared" si="148"/>
        <v>0</v>
      </c>
      <c r="FC103" s="286">
        <f>AnnualDiversions!$AP95</f>
        <v>0</v>
      </c>
      <c r="FD103" s="442" t="s">
        <v>597</v>
      </c>
      <c r="FE103" s="286">
        <f>AnnualDiversions!$AJ95</f>
        <v>0</v>
      </c>
      <c r="FF103" s="286">
        <f>AnnualDiversions!$BC95</f>
        <v>0</v>
      </c>
      <c r="FG103" s="286">
        <f>AnnualDiversions!$J95</f>
        <v>0</v>
      </c>
      <c r="FH103" s="286">
        <f>AnnualAggregations!$Y95</f>
        <v>0</v>
      </c>
      <c r="FI103" s="287">
        <f t="shared" si="149"/>
        <v>0</v>
      </c>
      <c r="FJ103" s="287">
        <f t="shared" si="150"/>
        <v>0</v>
      </c>
      <c r="FK103" s="287">
        <f t="shared" si="151"/>
        <v>0</v>
      </c>
      <c r="FM103" s="440" t="s">
        <v>628</v>
      </c>
      <c r="FN103" s="440" t="s">
        <v>628</v>
      </c>
      <c r="FO103" s="440" t="s">
        <v>628</v>
      </c>
      <c r="FP103" s="440" t="s">
        <v>628</v>
      </c>
      <c r="FQ103" s="440" t="s">
        <v>628</v>
      </c>
      <c r="FR103" s="440" t="s">
        <v>628</v>
      </c>
      <c r="FS103" s="440" t="s">
        <v>628</v>
      </c>
      <c r="FT103" s="440" t="s">
        <v>628</v>
      </c>
      <c r="FU103" s="440" t="s">
        <v>628</v>
      </c>
      <c r="FV103" s="440" t="s">
        <v>628</v>
      </c>
      <c r="FW103" s="440" t="s">
        <v>628</v>
      </c>
      <c r="FX103" s="440" t="s">
        <v>628</v>
      </c>
      <c r="FY103" s="440" t="s">
        <v>628</v>
      </c>
      <c r="GA103" s="440" t="s">
        <v>628</v>
      </c>
      <c r="GC103" s="286">
        <f>AnnualAggregations!$T95</f>
        <v>0</v>
      </c>
      <c r="GD103" s="286">
        <f>AnnualAggregations!$R95</f>
        <v>0</v>
      </c>
      <c r="GE103" s="443">
        <f t="shared" si="118"/>
        <v>0</v>
      </c>
      <c r="GF103" s="286">
        <f>AnnualAggregations!$U95</f>
        <v>0</v>
      </c>
      <c r="GG103" s="287">
        <f t="shared" si="152"/>
        <v>0</v>
      </c>
      <c r="GH103" s="440" t="s">
        <v>628</v>
      </c>
      <c r="GI103" s="440" t="s">
        <v>628</v>
      </c>
      <c r="GJ103" s="440" t="s">
        <v>628</v>
      </c>
      <c r="GK103" s="440" t="s">
        <v>628</v>
      </c>
      <c r="GL103" s="286">
        <f>AnnualDiversions!$BG95</f>
        <v>0</v>
      </c>
      <c r="GN103" s="440" t="s">
        <v>628</v>
      </c>
      <c r="GO103" s="440" t="s">
        <v>628</v>
      </c>
      <c r="GP103" s="440" t="s">
        <v>628</v>
      </c>
      <c r="GQ103" s="442" t="s">
        <v>597</v>
      </c>
      <c r="GU103" s="282">
        <v>2016</v>
      </c>
      <c r="GV103" s="286">
        <f>AnnualAggregations!AA95</f>
        <v>0</v>
      </c>
      <c r="GW103" s="442" t="s">
        <v>597</v>
      </c>
      <c r="GX103" s="286">
        <f>AnnualDivReqs!$AM95</f>
        <v>0</v>
      </c>
      <c r="GY103" s="286">
        <f>AnnualDivReqs!$AK95</f>
        <v>0</v>
      </c>
      <c r="GZ103" s="286">
        <f>AnnualDivReqs!$L95</f>
        <v>0</v>
      </c>
      <c r="HA103" s="287">
        <f t="shared" si="153"/>
        <v>0</v>
      </c>
      <c r="HB103" s="286">
        <f>AnnualDivReqs!$AO95</f>
        <v>0</v>
      </c>
      <c r="HC103" s="286">
        <f>AnnualDivReqs!$AY95</f>
        <v>0</v>
      </c>
      <c r="HD103" s="286">
        <f>AnnualAggregations!$AD95</f>
        <v>0</v>
      </c>
      <c r="HE103" s="286">
        <f>AnnualAggregations!$AE95</f>
        <v>0</v>
      </c>
      <c r="HF103" s="286">
        <f>AnnualAggregations!$AF95</f>
        <v>0</v>
      </c>
      <c r="HG103" s="286">
        <f>AnnualDivReqs!$AL95</f>
        <v>0</v>
      </c>
      <c r="HH103" s="286">
        <f>AnnualDivReqs!$AG95</f>
        <v>0</v>
      </c>
      <c r="HI103" s="286">
        <f>AnnualDivReqs!$AN95</f>
        <v>0</v>
      </c>
      <c r="HJ103" s="287">
        <f t="shared" si="154"/>
        <v>0</v>
      </c>
      <c r="HK103" s="287">
        <f t="shared" si="155"/>
        <v>0</v>
      </c>
      <c r="HL103" s="286">
        <f>AnnualDivReqs!$AP95</f>
        <v>0</v>
      </c>
      <c r="HM103" s="442" t="s">
        <v>597</v>
      </c>
      <c r="HN103" s="286">
        <f>AnnualDivReqs!$AJ95</f>
        <v>0</v>
      </c>
      <c r="HO103" s="286">
        <f>AnnualDivReqs!$BC95</f>
        <v>0</v>
      </c>
      <c r="HP103" s="286">
        <f>AnnualDivReqs!$J95</f>
        <v>0</v>
      </c>
      <c r="HQ103" s="286">
        <f>AnnualAggregations!$AG95</f>
        <v>0</v>
      </c>
      <c r="HR103" s="287">
        <f t="shared" si="156"/>
        <v>0</v>
      </c>
      <c r="HS103" s="287">
        <f t="shared" si="157"/>
        <v>0</v>
      </c>
      <c r="HT103" s="287">
        <f t="shared" si="158"/>
        <v>0</v>
      </c>
      <c r="HV103" s="440" t="s">
        <v>628</v>
      </c>
      <c r="HW103" s="440" t="s">
        <v>628</v>
      </c>
      <c r="HX103" s="440" t="s">
        <v>628</v>
      </c>
      <c r="HY103" s="440" t="s">
        <v>628</v>
      </c>
      <c r="HZ103" s="440" t="s">
        <v>628</v>
      </c>
      <c r="IA103" s="440" t="s">
        <v>628</v>
      </c>
      <c r="IB103" s="440" t="s">
        <v>628</v>
      </c>
      <c r="IC103" s="440" t="s">
        <v>628</v>
      </c>
      <c r="ID103" s="440" t="s">
        <v>628</v>
      </c>
      <c r="IE103" s="440" t="s">
        <v>628</v>
      </c>
      <c r="IF103" s="440" t="s">
        <v>628</v>
      </c>
      <c r="IG103" s="440" t="s">
        <v>628</v>
      </c>
      <c r="IH103" s="440" t="s">
        <v>628</v>
      </c>
      <c r="IJ103" s="440" t="s">
        <v>628</v>
      </c>
      <c r="IL103" s="286">
        <f>AnnualAggregations!$AB95</f>
        <v>0</v>
      </c>
      <c r="IM103" s="286">
        <f>AnnualAggregations!$Z95</f>
        <v>0</v>
      </c>
      <c r="IN103" s="442" t="s">
        <v>597</v>
      </c>
      <c r="IO103" s="286">
        <f>AnnualAggregations!$AC95</f>
        <v>0</v>
      </c>
      <c r="IP103" s="442" t="s">
        <v>597</v>
      </c>
      <c r="IQ103" s="440" t="s">
        <v>628</v>
      </c>
      <c r="IR103" s="440" t="s">
        <v>628</v>
      </c>
      <c r="IS103" s="440" t="s">
        <v>628</v>
      </c>
      <c r="IT103" s="440" t="s">
        <v>628</v>
      </c>
      <c r="IU103" s="286">
        <f>AnnualDivReqs!$BG95</f>
        <v>0</v>
      </c>
      <c r="IW103" s="440" t="s">
        <v>628</v>
      </c>
      <c r="IX103" s="440" t="s">
        <v>628</v>
      </c>
      <c r="IY103" s="440" t="s">
        <v>628</v>
      </c>
      <c r="IZ103" s="442" t="s">
        <v>597</v>
      </c>
    </row>
    <row r="104" spans="1:260" x14ac:dyDescent="0.25">
      <c r="T104" s="282">
        <v>2017</v>
      </c>
      <c r="U104" s="286">
        <f>AnnualAggregations!$C96</f>
        <v>0</v>
      </c>
      <c r="V104" s="286">
        <f>AnnualDepletions!$BI96</f>
        <v>0</v>
      </c>
      <c r="W104" s="286">
        <f>AnnualDepletions!$AM96</f>
        <v>0</v>
      </c>
      <c r="X104" s="286">
        <f>AnnualDepletions!$AK96</f>
        <v>0</v>
      </c>
      <c r="Y104" s="286">
        <f>AnnualDepletions!$L96</f>
        <v>0</v>
      </c>
      <c r="Z104" s="287">
        <f t="shared" si="126"/>
        <v>0</v>
      </c>
      <c r="AA104" s="286">
        <f>AnnualDepletions!$AO96</f>
        <v>0</v>
      </c>
      <c r="AB104" s="286">
        <f>AnnualDepletions!$AY96</f>
        <v>0</v>
      </c>
      <c r="AC104" s="286">
        <f>AnnualAggregations!$F96</f>
        <v>0</v>
      </c>
      <c r="AD104" s="286">
        <f>AnnualAggregations!$G96</f>
        <v>0</v>
      </c>
      <c r="AE104" s="286">
        <f>AnnualAggregations!$H96</f>
        <v>0</v>
      </c>
      <c r="AF104" s="286">
        <f>AnnualDepletions!$AL96</f>
        <v>0</v>
      </c>
      <c r="AG104" s="286">
        <f>AnnualDepletions!$AG96</f>
        <v>0</v>
      </c>
      <c r="AH104" s="286">
        <f>AnnualDepletions!$AN96</f>
        <v>0</v>
      </c>
      <c r="AI104" s="287">
        <f t="shared" si="127"/>
        <v>0</v>
      </c>
      <c r="AJ104" s="287">
        <f t="shared" si="128"/>
        <v>0</v>
      </c>
      <c r="AK104" s="286">
        <f>AnnualDepletions!$AP96</f>
        <v>0</v>
      </c>
      <c r="AL104" s="286">
        <f>AnnualDepletions!$BH96</f>
        <v>0</v>
      </c>
      <c r="AM104" s="286">
        <f>AnnualDepletions!$AJ96</f>
        <v>0</v>
      </c>
      <c r="AN104" s="286">
        <f>AnnualDepletions!$BC96</f>
        <v>0</v>
      </c>
      <c r="AO104" s="286">
        <f>AnnualDepletions!$J96</f>
        <v>0</v>
      </c>
      <c r="AP104" s="286">
        <f>AnnualAggregations!$I96</f>
        <v>0</v>
      </c>
      <c r="AQ104" s="287">
        <f t="shared" si="129"/>
        <v>0</v>
      </c>
      <c r="AR104" s="287">
        <f t="shared" si="130"/>
        <v>0</v>
      </c>
      <c r="AS104" s="287">
        <f t="shared" si="131"/>
        <v>0</v>
      </c>
      <c r="AU104" s="321" t="e">
        <f ca="1">StateModDepletions_ThisScenario!AC94</f>
        <v>#N/A</v>
      </c>
      <c r="AV104" s="321" t="e">
        <f ca="1">StateModDepletions_ThisScenario!AD94</f>
        <v>#N/A</v>
      </c>
      <c r="AW104" s="321" t="e">
        <f ca="1">StateModDepletions_ThisScenario!AE94</f>
        <v>#N/A</v>
      </c>
      <c r="AX104" s="321" t="e">
        <f ca="1">StateModDepletions_ThisScenario!AB94</f>
        <v>#N/A</v>
      </c>
      <c r="AY104" s="288" t="e">
        <f t="shared" ca="1" si="132"/>
        <v>#N/A</v>
      </c>
      <c r="AZ104" s="321" t="e">
        <f ca="1">StateModDepletions_ThisScenario!AG94</f>
        <v>#N/A</v>
      </c>
      <c r="BA104" s="321" t="e">
        <f ca="1">StateModDepletions_ThisScenario!AF94</f>
        <v>#N/A</v>
      </c>
      <c r="BB104" s="321" t="e">
        <f ca="1">StateModDepletions_ThisScenario!AH94</f>
        <v>#N/A</v>
      </c>
      <c r="BC104" s="321" t="e">
        <f ca="1">StateModDepletions_ThisScenario!AI94</f>
        <v>#N/A</v>
      </c>
      <c r="BD104" s="321" t="e">
        <f ca="1">StateModDepletions_ThisScenario!N94</f>
        <v>#N/A</v>
      </c>
      <c r="BE104" s="321" t="e">
        <f ca="1">StateModDepletions_ThisScenario!V94</f>
        <v>#N/A</v>
      </c>
      <c r="BF104" s="288" t="e">
        <f t="shared" ca="1" si="133"/>
        <v>#N/A</v>
      </c>
      <c r="BG104" s="288" t="e">
        <f t="shared" ca="1" si="134"/>
        <v>#N/A</v>
      </c>
      <c r="BI104" s="288" t="e">
        <f t="shared" ca="1" si="135"/>
        <v>#N/A</v>
      </c>
      <c r="BK104" s="286">
        <f>AnnualAggregations!$D96</f>
        <v>0</v>
      </c>
      <c r="BL104" s="286">
        <f>AnnualAggregations!$B96</f>
        <v>0</v>
      </c>
      <c r="BM104" s="286">
        <f>AnnualDepletions!$BK96</f>
        <v>0</v>
      </c>
      <c r="BN104" s="286">
        <f>AnnualAggregations!$E96</f>
        <v>0</v>
      </c>
      <c r="BO104" s="287">
        <f t="shared" si="136"/>
        <v>0</v>
      </c>
      <c r="BP104" s="321" t="e">
        <f ca="1">StateModDepletions_ThisScenario!Y94</f>
        <v>#N/A</v>
      </c>
      <c r="BQ104" s="321" t="e">
        <f ca="1">StateModDepletions_ThisScenario!AJ94</f>
        <v>#N/A</v>
      </c>
      <c r="BR104" s="321" t="e">
        <f ca="1">StateModDepletions_ThisScenario!Z94</f>
        <v>#N/A</v>
      </c>
      <c r="BS104" s="321" t="e">
        <f ca="1">StateModDepletions_ThisScenario!AA94</f>
        <v>#N/A</v>
      </c>
      <c r="BT104" s="286">
        <f>AnnualDepletions!$BG96</f>
        <v>0</v>
      </c>
      <c r="BV104" s="287" t="e">
        <f t="shared" ca="1" si="137"/>
        <v>#N/A</v>
      </c>
      <c r="BW104" s="287" t="e">
        <f t="shared" ca="1" si="138"/>
        <v>#N/A</v>
      </c>
      <c r="BX104" s="287" t="e">
        <f t="shared" ca="1" si="139"/>
        <v>#N/A</v>
      </c>
      <c r="BY104" s="287">
        <f>SJRIPSummaryRAW!$B$79</f>
        <v>14875</v>
      </c>
      <c r="BZ104" s="39"/>
      <c r="CB104" s="39"/>
      <c r="CC104" s="282">
        <v>2017</v>
      </c>
      <c r="CD104" s="286">
        <f>AnnualAggregations!K96</f>
        <v>0</v>
      </c>
      <c r="CE104" s="442" t="s">
        <v>597</v>
      </c>
      <c r="CF104" s="286">
        <f>AnnualDeplReqs!$AM96</f>
        <v>0</v>
      </c>
      <c r="CG104" s="286">
        <f>AnnualDeplReqs!$AK96</f>
        <v>0</v>
      </c>
      <c r="CH104" s="286">
        <f>AnnualDeplReqs!$L96</f>
        <v>0</v>
      </c>
      <c r="CI104" s="443">
        <f t="shared" si="140"/>
        <v>0</v>
      </c>
      <c r="CJ104" s="286">
        <f>AnnualDeplReqs!$AO96</f>
        <v>0</v>
      </c>
      <c r="CK104" s="286">
        <f>AnnualDeplReqs!$AY96</f>
        <v>0</v>
      </c>
      <c r="CL104" s="286">
        <f>AnnualAggregations!$N96</f>
        <v>0</v>
      </c>
      <c r="CM104" s="286">
        <f>AnnualAggregations!$O96</f>
        <v>0</v>
      </c>
      <c r="CN104" s="286">
        <f>AnnualAggregations!$P96</f>
        <v>0</v>
      </c>
      <c r="CO104" s="286">
        <f>AnnualDeplReqs!$AL96</f>
        <v>0</v>
      </c>
      <c r="CP104" s="286">
        <f>AnnualDeplReqs!$AG96</f>
        <v>0</v>
      </c>
      <c r="CQ104" s="286">
        <f>AnnualDeplReqs!$AN96</f>
        <v>0</v>
      </c>
      <c r="CR104" s="287">
        <f t="shared" si="141"/>
        <v>0</v>
      </c>
      <c r="CS104" s="287">
        <f t="shared" si="142"/>
        <v>0</v>
      </c>
      <c r="CT104" s="286">
        <f>AnnualDeplReqs!$AP96</f>
        <v>0</v>
      </c>
      <c r="CU104" s="442" t="s">
        <v>597</v>
      </c>
      <c r="CV104" s="286">
        <f>AnnualDeplReqs!$AJ96</f>
        <v>0</v>
      </c>
      <c r="CW104" s="286">
        <f>AnnualDeplReqs!$BC96</f>
        <v>0</v>
      </c>
      <c r="CX104" s="286">
        <f>AnnualDeplReqs!$J96</f>
        <v>0</v>
      </c>
      <c r="CY104" s="286">
        <f>AnnualAggregations!$Q96</f>
        <v>0</v>
      </c>
      <c r="CZ104" s="287">
        <f t="shared" si="143"/>
        <v>0</v>
      </c>
      <c r="DA104" s="443">
        <f t="shared" si="144"/>
        <v>0</v>
      </c>
      <c r="DB104" s="287">
        <f t="shared" si="145"/>
        <v>0</v>
      </c>
      <c r="DD104" s="440" t="s">
        <v>628</v>
      </c>
      <c r="DE104" s="440" t="s">
        <v>628</v>
      </c>
      <c r="DF104" s="440" t="s">
        <v>628</v>
      </c>
      <c r="DG104" s="440" t="s">
        <v>628</v>
      </c>
      <c r="DH104" s="440" t="s">
        <v>628</v>
      </c>
      <c r="DI104" s="440" t="s">
        <v>628</v>
      </c>
      <c r="DJ104" s="440" t="s">
        <v>628</v>
      </c>
      <c r="DK104" s="440" t="s">
        <v>628</v>
      </c>
      <c r="DL104" s="440" t="s">
        <v>628</v>
      </c>
      <c r="DM104" s="440" t="s">
        <v>628</v>
      </c>
      <c r="DN104" s="440" t="s">
        <v>628</v>
      </c>
      <c r="DO104" s="440" t="s">
        <v>628</v>
      </c>
      <c r="DP104" s="440" t="s">
        <v>628</v>
      </c>
      <c r="DR104" s="440" t="s">
        <v>628</v>
      </c>
      <c r="DT104" s="286">
        <f>AnnualAggregations!$L96</f>
        <v>0</v>
      </c>
      <c r="DU104" s="443">
        <f>AnnualAggregations!$J96</f>
        <v>0</v>
      </c>
      <c r="DV104" s="442" t="s">
        <v>597</v>
      </c>
      <c r="DW104" s="286">
        <f>AnnualAggregations!$M96</f>
        <v>0</v>
      </c>
      <c r="DX104" s="442" t="s">
        <v>597</v>
      </c>
      <c r="DY104" s="440" t="s">
        <v>628</v>
      </c>
      <c r="DZ104" s="440" t="s">
        <v>628</v>
      </c>
      <c r="EA104" s="440" t="s">
        <v>628</v>
      </c>
      <c r="EB104" s="440" t="s">
        <v>628</v>
      </c>
      <c r="EC104" s="286">
        <f>AnnualDeplReqs!$BG96</f>
        <v>0</v>
      </c>
      <c r="EE104" s="440" t="s">
        <v>628</v>
      </c>
      <c r="EF104" s="440" t="s">
        <v>628</v>
      </c>
      <c r="EG104" s="440" t="s">
        <v>628</v>
      </c>
      <c r="EH104" s="442" t="s">
        <v>597</v>
      </c>
      <c r="EI104" s="39"/>
      <c r="EK104" s="39"/>
      <c r="EL104" s="282">
        <v>2017</v>
      </c>
      <c r="EM104" s="286">
        <f>AnnualAggregations!S96</f>
        <v>0</v>
      </c>
      <c r="EN104" s="442" t="s">
        <v>597</v>
      </c>
      <c r="EO104" s="286">
        <f>AnnualDiversions!$AM96</f>
        <v>0</v>
      </c>
      <c r="EP104" s="286">
        <f>AnnualDiversions!$AK96</f>
        <v>0</v>
      </c>
      <c r="EQ104" s="286">
        <f>AnnualDiversions!$L96</f>
        <v>0</v>
      </c>
      <c r="ER104" s="287">
        <f t="shared" si="146"/>
        <v>0</v>
      </c>
      <c r="ES104" s="286">
        <f>AnnualDiversions!$AO96</f>
        <v>0</v>
      </c>
      <c r="ET104" s="286">
        <f>AnnualDiversions!$AY96</f>
        <v>0</v>
      </c>
      <c r="EU104" s="286">
        <f>AnnualAggregations!$V96</f>
        <v>0</v>
      </c>
      <c r="EV104" s="286">
        <f>AnnualAggregations!$W96</f>
        <v>0</v>
      </c>
      <c r="EW104" s="286">
        <f>AnnualAggregations!$X96</f>
        <v>0</v>
      </c>
      <c r="EX104" s="286">
        <f>AnnualDiversions!$AL96</f>
        <v>0</v>
      </c>
      <c r="EY104" s="286">
        <f>AnnualDiversions!$AG96</f>
        <v>0</v>
      </c>
      <c r="EZ104" s="286">
        <f>AnnualDiversions!$AN96</f>
        <v>0</v>
      </c>
      <c r="FA104" s="287">
        <f t="shared" si="147"/>
        <v>0</v>
      </c>
      <c r="FB104" s="287">
        <f t="shared" si="148"/>
        <v>0</v>
      </c>
      <c r="FC104" s="286">
        <f>AnnualDiversions!$AP96</f>
        <v>0</v>
      </c>
      <c r="FD104" s="442" t="s">
        <v>597</v>
      </c>
      <c r="FE104" s="286">
        <f>AnnualDiversions!$AJ96</f>
        <v>0</v>
      </c>
      <c r="FF104" s="286">
        <f>AnnualDiversions!$BC96</f>
        <v>0</v>
      </c>
      <c r="FG104" s="286">
        <f>AnnualDiversions!$J96</f>
        <v>0</v>
      </c>
      <c r="FH104" s="286">
        <f>AnnualAggregations!$Y96</f>
        <v>0</v>
      </c>
      <c r="FI104" s="287">
        <f t="shared" si="149"/>
        <v>0</v>
      </c>
      <c r="FJ104" s="287">
        <f t="shared" si="150"/>
        <v>0</v>
      </c>
      <c r="FK104" s="287">
        <f t="shared" si="151"/>
        <v>0</v>
      </c>
      <c r="FM104" s="440" t="s">
        <v>628</v>
      </c>
      <c r="FN104" s="440" t="s">
        <v>628</v>
      </c>
      <c r="FO104" s="440" t="s">
        <v>628</v>
      </c>
      <c r="FP104" s="440" t="s">
        <v>628</v>
      </c>
      <c r="FQ104" s="440" t="s">
        <v>628</v>
      </c>
      <c r="FR104" s="440" t="s">
        <v>628</v>
      </c>
      <c r="FS104" s="440" t="s">
        <v>628</v>
      </c>
      <c r="FT104" s="440" t="s">
        <v>628</v>
      </c>
      <c r="FU104" s="440" t="s">
        <v>628</v>
      </c>
      <c r="FV104" s="440" t="s">
        <v>628</v>
      </c>
      <c r="FW104" s="440" t="s">
        <v>628</v>
      </c>
      <c r="FX104" s="440" t="s">
        <v>628</v>
      </c>
      <c r="FY104" s="440" t="s">
        <v>628</v>
      </c>
      <c r="GA104" s="440" t="s">
        <v>628</v>
      </c>
      <c r="GC104" s="286">
        <f>AnnualAggregations!$T96</f>
        <v>0</v>
      </c>
      <c r="GD104" s="286">
        <f>AnnualAggregations!$R96</f>
        <v>0</v>
      </c>
      <c r="GE104" s="443">
        <f t="shared" si="118"/>
        <v>0</v>
      </c>
      <c r="GF104" s="286">
        <f>AnnualAggregations!$U96</f>
        <v>0</v>
      </c>
      <c r="GG104" s="287">
        <f t="shared" si="152"/>
        <v>0</v>
      </c>
      <c r="GH104" s="440" t="s">
        <v>628</v>
      </c>
      <c r="GI104" s="440" t="s">
        <v>628</v>
      </c>
      <c r="GJ104" s="440" t="s">
        <v>628</v>
      </c>
      <c r="GK104" s="440" t="s">
        <v>628</v>
      </c>
      <c r="GL104" s="286">
        <f>AnnualDiversions!$BG96</f>
        <v>0</v>
      </c>
      <c r="GN104" s="440" t="s">
        <v>628</v>
      </c>
      <c r="GO104" s="440" t="s">
        <v>628</v>
      </c>
      <c r="GP104" s="440" t="s">
        <v>628</v>
      </c>
      <c r="GQ104" s="442" t="s">
        <v>597</v>
      </c>
      <c r="GR104" s="39"/>
      <c r="GT104" s="39"/>
      <c r="GU104" s="282">
        <v>2017</v>
      </c>
      <c r="GV104" s="286">
        <f>AnnualAggregations!AA96</f>
        <v>0</v>
      </c>
      <c r="GW104" s="442" t="s">
        <v>597</v>
      </c>
      <c r="GX104" s="286">
        <f>AnnualDivReqs!$AM96</f>
        <v>0</v>
      </c>
      <c r="GY104" s="286">
        <f>AnnualDivReqs!$AK96</f>
        <v>0</v>
      </c>
      <c r="GZ104" s="286">
        <f>AnnualDivReqs!$L96</f>
        <v>0</v>
      </c>
      <c r="HA104" s="287">
        <f t="shared" si="153"/>
        <v>0</v>
      </c>
      <c r="HB104" s="286">
        <f>AnnualDivReqs!$AO96</f>
        <v>0</v>
      </c>
      <c r="HC104" s="286">
        <f>AnnualDivReqs!$AY96</f>
        <v>0</v>
      </c>
      <c r="HD104" s="286">
        <f>AnnualAggregations!$AD96</f>
        <v>0</v>
      </c>
      <c r="HE104" s="286">
        <f>AnnualAggregations!$AE96</f>
        <v>0</v>
      </c>
      <c r="HF104" s="286">
        <f>AnnualAggregations!$AF96</f>
        <v>0</v>
      </c>
      <c r="HG104" s="286">
        <f>AnnualDivReqs!$AL96</f>
        <v>0</v>
      </c>
      <c r="HH104" s="286">
        <f>AnnualDivReqs!$AG96</f>
        <v>0</v>
      </c>
      <c r="HI104" s="286">
        <f>AnnualDivReqs!$AN96</f>
        <v>0</v>
      </c>
      <c r="HJ104" s="287">
        <f t="shared" si="154"/>
        <v>0</v>
      </c>
      <c r="HK104" s="287">
        <f t="shared" si="155"/>
        <v>0</v>
      </c>
      <c r="HL104" s="286">
        <f>AnnualDivReqs!$AP96</f>
        <v>0</v>
      </c>
      <c r="HM104" s="442" t="s">
        <v>597</v>
      </c>
      <c r="HN104" s="286">
        <f>AnnualDivReqs!$AJ96</f>
        <v>0</v>
      </c>
      <c r="HO104" s="286">
        <f>AnnualDivReqs!$BC96</f>
        <v>0</v>
      </c>
      <c r="HP104" s="286">
        <f>AnnualDivReqs!$J96</f>
        <v>0</v>
      </c>
      <c r="HQ104" s="286">
        <f>AnnualAggregations!$AG96</f>
        <v>0</v>
      </c>
      <c r="HR104" s="287">
        <f t="shared" si="156"/>
        <v>0</v>
      </c>
      <c r="HS104" s="287">
        <f t="shared" si="157"/>
        <v>0</v>
      </c>
      <c r="HT104" s="287">
        <f t="shared" si="158"/>
        <v>0</v>
      </c>
      <c r="HV104" s="440" t="s">
        <v>628</v>
      </c>
      <c r="HW104" s="440" t="s">
        <v>628</v>
      </c>
      <c r="HX104" s="440" t="s">
        <v>628</v>
      </c>
      <c r="HY104" s="440" t="s">
        <v>628</v>
      </c>
      <c r="HZ104" s="440" t="s">
        <v>628</v>
      </c>
      <c r="IA104" s="440" t="s">
        <v>628</v>
      </c>
      <c r="IB104" s="440" t="s">
        <v>628</v>
      </c>
      <c r="IC104" s="440" t="s">
        <v>628</v>
      </c>
      <c r="ID104" s="440" t="s">
        <v>628</v>
      </c>
      <c r="IE104" s="440" t="s">
        <v>628</v>
      </c>
      <c r="IF104" s="440" t="s">
        <v>628</v>
      </c>
      <c r="IG104" s="440" t="s">
        <v>628</v>
      </c>
      <c r="IH104" s="440" t="s">
        <v>628</v>
      </c>
      <c r="IJ104" s="440" t="s">
        <v>628</v>
      </c>
      <c r="IL104" s="286">
        <f>AnnualAggregations!$AB96</f>
        <v>0</v>
      </c>
      <c r="IM104" s="286">
        <f>AnnualAggregations!$Z96</f>
        <v>0</v>
      </c>
      <c r="IN104" s="442" t="s">
        <v>597</v>
      </c>
      <c r="IO104" s="286">
        <f>AnnualAggregations!$AC96</f>
        <v>0</v>
      </c>
      <c r="IP104" s="442" t="s">
        <v>597</v>
      </c>
      <c r="IQ104" s="440" t="s">
        <v>628</v>
      </c>
      <c r="IR104" s="440" t="s">
        <v>628</v>
      </c>
      <c r="IS104" s="440" t="s">
        <v>628</v>
      </c>
      <c r="IT104" s="440" t="s">
        <v>628</v>
      </c>
      <c r="IU104" s="286">
        <f>AnnualDivReqs!$BG96</f>
        <v>0</v>
      </c>
      <c r="IW104" s="440" t="s">
        <v>628</v>
      </c>
      <c r="IX104" s="440" t="s">
        <v>628</v>
      </c>
      <c r="IY104" s="440" t="s">
        <v>628</v>
      </c>
      <c r="IZ104" s="442" t="s">
        <v>597</v>
      </c>
    </row>
    <row r="105" spans="1:260" x14ac:dyDescent="0.25">
      <c r="T105" s="282">
        <v>2018</v>
      </c>
      <c r="U105" s="286">
        <f>AnnualAggregations!$C97</f>
        <v>0</v>
      </c>
      <c r="V105" s="286">
        <f>AnnualDepletions!$BI97</f>
        <v>0</v>
      </c>
      <c r="W105" s="286">
        <f>AnnualDepletions!$AM97</f>
        <v>0</v>
      </c>
      <c r="X105" s="286">
        <f>AnnualDepletions!$AK97</f>
        <v>0</v>
      </c>
      <c r="Y105" s="286">
        <f>AnnualDepletions!$L97</f>
        <v>0</v>
      </c>
      <c r="Z105" s="287">
        <f t="shared" si="126"/>
        <v>0</v>
      </c>
      <c r="AA105" s="286">
        <f>AnnualDepletions!$AO97</f>
        <v>0</v>
      </c>
      <c r="AB105" s="286">
        <f>AnnualDepletions!$AY97</f>
        <v>0</v>
      </c>
      <c r="AC105" s="286">
        <f>AnnualAggregations!$F97</f>
        <v>0</v>
      </c>
      <c r="AD105" s="286">
        <f>AnnualAggregations!$G97</f>
        <v>0</v>
      </c>
      <c r="AE105" s="286">
        <f>AnnualAggregations!$H97</f>
        <v>0</v>
      </c>
      <c r="AF105" s="286">
        <f>AnnualDepletions!$AL97</f>
        <v>0</v>
      </c>
      <c r="AG105" s="286">
        <f>AnnualDepletions!$AG97</f>
        <v>0</v>
      </c>
      <c r="AH105" s="286">
        <f>AnnualDepletions!$AN97</f>
        <v>0</v>
      </c>
      <c r="AI105" s="287">
        <f t="shared" si="127"/>
        <v>0</v>
      </c>
      <c r="AJ105" s="287">
        <f t="shared" si="128"/>
        <v>0</v>
      </c>
      <c r="AK105" s="286">
        <f>AnnualDepletions!$AP97</f>
        <v>0</v>
      </c>
      <c r="AL105" s="286">
        <f>AnnualDepletions!$BH97</f>
        <v>0</v>
      </c>
      <c r="AM105" s="286">
        <f>AnnualDepletions!$AJ97</f>
        <v>0</v>
      </c>
      <c r="AN105" s="286">
        <f>AnnualDepletions!$BC97</f>
        <v>0</v>
      </c>
      <c r="AO105" s="286">
        <f>AnnualDepletions!$J97</f>
        <v>0</v>
      </c>
      <c r="AP105" s="286">
        <f>AnnualAggregations!$I97</f>
        <v>0</v>
      </c>
      <c r="AQ105" s="287">
        <f t="shared" si="129"/>
        <v>0</v>
      </c>
      <c r="AR105" s="287">
        <f t="shared" si="130"/>
        <v>0</v>
      </c>
      <c r="AS105" s="287">
        <f t="shared" si="131"/>
        <v>0</v>
      </c>
      <c r="AU105" s="321" t="e">
        <f ca="1">StateModDepletions_ThisScenario!AC95</f>
        <v>#N/A</v>
      </c>
      <c r="AV105" s="321" t="e">
        <f ca="1">StateModDepletions_ThisScenario!AD95</f>
        <v>#N/A</v>
      </c>
      <c r="AW105" s="321" t="e">
        <f ca="1">StateModDepletions_ThisScenario!AE95</f>
        <v>#N/A</v>
      </c>
      <c r="AX105" s="321" t="e">
        <f ca="1">StateModDepletions_ThisScenario!AB95</f>
        <v>#N/A</v>
      </c>
      <c r="AY105" s="288" t="e">
        <f t="shared" ca="1" si="132"/>
        <v>#N/A</v>
      </c>
      <c r="AZ105" s="321" t="e">
        <f ca="1">StateModDepletions_ThisScenario!AG95</f>
        <v>#N/A</v>
      </c>
      <c r="BA105" s="321" t="e">
        <f ca="1">StateModDepletions_ThisScenario!AF95</f>
        <v>#N/A</v>
      </c>
      <c r="BB105" s="321" t="e">
        <f ca="1">StateModDepletions_ThisScenario!AH95</f>
        <v>#N/A</v>
      </c>
      <c r="BC105" s="321" t="e">
        <f ca="1">StateModDepletions_ThisScenario!AI95</f>
        <v>#N/A</v>
      </c>
      <c r="BD105" s="321" t="e">
        <f ca="1">StateModDepletions_ThisScenario!N95</f>
        <v>#N/A</v>
      </c>
      <c r="BE105" s="321" t="e">
        <f ca="1">StateModDepletions_ThisScenario!V95</f>
        <v>#N/A</v>
      </c>
      <c r="BF105" s="288" t="e">
        <f t="shared" ca="1" si="133"/>
        <v>#N/A</v>
      </c>
      <c r="BG105" s="288" t="e">
        <f t="shared" ca="1" si="134"/>
        <v>#N/A</v>
      </c>
      <c r="BI105" s="288" t="e">
        <f t="shared" ca="1" si="135"/>
        <v>#N/A</v>
      </c>
      <c r="BK105" s="286">
        <f>AnnualAggregations!$D97</f>
        <v>0</v>
      </c>
      <c r="BL105" s="286">
        <f>AnnualAggregations!$B97</f>
        <v>0</v>
      </c>
      <c r="BM105" s="286">
        <f>AnnualDepletions!$BK97</f>
        <v>0</v>
      </c>
      <c r="BN105" s="286">
        <f>AnnualAggregations!$E97</f>
        <v>0</v>
      </c>
      <c r="BO105" s="287">
        <f t="shared" si="136"/>
        <v>0</v>
      </c>
      <c r="BP105" s="321" t="e">
        <f ca="1">StateModDepletions_ThisScenario!Y95</f>
        <v>#N/A</v>
      </c>
      <c r="BQ105" s="321" t="e">
        <f ca="1">StateModDepletions_ThisScenario!AJ95</f>
        <v>#N/A</v>
      </c>
      <c r="BR105" s="321" t="e">
        <f ca="1">StateModDepletions_ThisScenario!Z95</f>
        <v>#N/A</v>
      </c>
      <c r="BS105" s="321" t="e">
        <f ca="1">StateModDepletions_ThisScenario!AA95</f>
        <v>#N/A</v>
      </c>
      <c r="BT105" s="286">
        <f>AnnualDepletions!$BG97</f>
        <v>0</v>
      </c>
      <c r="BV105" s="287" t="e">
        <f t="shared" ca="1" si="137"/>
        <v>#N/A</v>
      </c>
      <c r="BW105" s="287" t="e">
        <f t="shared" ca="1" si="138"/>
        <v>#N/A</v>
      </c>
      <c r="BX105" s="287" t="e">
        <f t="shared" ca="1" si="139"/>
        <v>#N/A</v>
      </c>
      <c r="BY105" s="287">
        <f>SJRIPSummaryRAW!$B$79</f>
        <v>14875</v>
      </c>
      <c r="CC105" s="282">
        <v>2018</v>
      </c>
      <c r="CD105" s="286">
        <f>AnnualAggregations!K97</f>
        <v>0</v>
      </c>
      <c r="CE105" s="442" t="s">
        <v>597</v>
      </c>
      <c r="CF105" s="286">
        <f>AnnualDeplReqs!$AM97</f>
        <v>0</v>
      </c>
      <c r="CG105" s="286">
        <f>AnnualDeplReqs!$AK97</f>
        <v>0</v>
      </c>
      <c r="CH105" s="286">
        <f>AnnualDeplReqs!$L97</f>
        <v>0</v>
      </c>
      <c r="CI105" s="443">
        <f t="shared" si="140"/>
        <v>0</v>
      </c>
      <c r="CJ105" s="286">
        <f>AnnualDeplReqs!$AO97</f>
        <v>0</v>
      </c>
      <c r="CK105" s="286">
        <f>AnnualDeplReqs!$AY97</f>
        <v>0</v>
      </c>
      <c r="CL105" s="286">
        <f>AnnualAggregations!$N97</f>
        <v>0</v>
      </c>
      <c r="CM105" s="286">
        <f>AnnualAggregations!$O97</f>
        <v>0</v>
      </c>
      <c r="CN105" s="286">
        <f>AnnualAggregations!$P97</f>
        <v>0</v>
      </c>
      <c r="CO105" s="286">
        <f>AnnualDeplReqs!$AL97</f>
        <v>0</v>
      </c>
      <c r="CP105" s="286">
        <f>AnnualDeplReqs!$AG97</f>
        <v>0</v>
      </c>
      <c r="CQ105" s="286">
        <f>AnnualDeplReqs!$AN97</f>
        <v>0</v>
      </c>
      <c r="CR105" s="287">
        <f t="shared" si="141"/>
        <v>0</v>
      </c>
      <c r="CS105" s="287">
        <f t="shared" si="142"/>
        <v>0</v>
      </c>
      <c r="CT105" s="286">
        <f>AnnualDeplReqs!$AP97</f>
        <v>0</v>
      </c>
      <c r="CU105" s="442" t="s">
        <v>597</v>
      </c>
      <c r="CV105" s="286">
        <f>AnnualDeplReqs!$AJ97</f>
        <v>0</v>
      </c>
      <c r="CW105" s="286">
        <f>AnnualDeplReqs!$BC97</f>
        <v>0</v>
      </c>
      <c r="CX105" s="286">
        <f>AnnualDeplReqs!$J97</f>
        <v>0</v>
      </c>
      <c r="CY105" s="286">
        <f>AnnualAggregations!$Q97</f>
        <v>0</v>
      </c>
      <c r="CZ105" s="287">
        <f t="shared" si="143"/>
        <v>0</v>
      </c>
      <c r="DA105" s="443">
        <f t="shared" si="144"/>
        <v>0</v>
      </c>
      <c r="DB105" s="287">
        <f t="shared" si="145"/>
        <v>0</v>
      </c>
      <c r="DD105" s="440" t="s">
        <v>628</v>
      </c>
      <c r="DE105" s="440" t="s">
        <v>628</v>
      </c>
      <c r="DF105" s="440" t="s">
        <v>628</v>
      </c>
      <c r="DG105" s="440" t="s">
        <v>628</v>
      </c>
      <c r="DH105" s="440" t="s">
        <v>628</v>
      </c>
      <c r="DI105" s="440" t="s">
        <v>628</v>
      </c>
      <c r="DJ105" s="440" t="s">
        <v>628</v>
      </c>
      <c r="DK105" s="440" t="s">
        <v>628</v>
      </c>
      <c r="DL105" s="440" t="s">
        <v>628</v>
      </c>
      <c r="DM105" s="440" t="s">
        <v>628</v>
      </c>
      <c r="DN105" s="440" t="s">
        <v>628</v>
      </c>
      <c r="DO105" s="440" t="s">
        <v>628</v>
      </c>
      <c r="DP105" s="440" t="s">
        <v>628</v>
      </c>
      <c r="DR105" s="440" t="s">
        <v>628</v>
      </c>
      <c r="DT105" s="286">
        <f>AnnualAggregations!$L97</f>
        <v>0</v>
      </c>
      <c r="DU105" s="443">
        <f>AnnualAggregations!$J97</f>
        <v>0</v>
      </c>
      <c r="DV105" s="442" t="s">
        <v>597</v>
      </c>
      <c r="DW105" s="286">
        <f>AnnualAggregations!$M97</f>
        <v>0</v>
      </c>
      <c r="DX105" s="442" t="s">
        <v>597</v>
      </c>
      <c r="DY105" s="440" t="s">
        <v>628</v>
      </c>
      <c r="DZ105" s="440" t="s">
        <v>628</v>
      </c>
      <c r="EA105" s="440" t="s">
        <v>628</v>
      </c>
      <c r="EB105" s="440" t="s">
        <v>628</v>
      </c>
      <c r="EC105" s="286">
        <f>AnnualDeplReqs!$BG97</f>
        <v>0</v>
      </c>
      <c r="EE105" s="440" t="s">
        <v>628</v>
      </c>
      <c r="EF105" s="440" t="s">
        <v>628</v>
      </c>
      <c r="EG105" s="440" t="s">
        <v>628</v>
      </c>
      <c r="EH105" s="442" t="s">
        <v>597</v>
      </c>
      <c r="EL105" s="282">
        <v>2018</v>
      </c>
      <c r="EM105" s="286">
        <f>AnnualAggregations!S97</f>
        <v>0</v>
      </c>
      <c r="EN105" s="442" t="s">
        <v>597</v>
      </c>
      <c r="EO105" s="286">
        <f>AnnualDiversions!$AM97</f>
        <v>0</v>
      </c>
      <c r="EP105" s="286">
        <f>AnnualDiversions!$AK97</f>
        <v>0</v>
      </c>
      <c r="EQ105" s="286">
        <f>AnnualDiversions!$L97</f>
        <v>0</v>
      </c>
      <c r="ER105" s="287">
        <f t="shared" si="146"/>
        <v>0</v>
      </c>
      <c r="ES105" s="286">
        <f>AnnualDiversions!$AO97</f>
        <v>0</v>
      </c>
      <c r="ET105" s="286">
        <f>AnnualDiversions!$AY97</f>
        <v>0</v>
      </c>
      <c r="EU105" s="286">
        <f>AnnualAggregations!$V97</f>
        <v>0</v>
      </c>
      <c r="EV105" s="286">
        <f>AnnualAggregations!$W97</f>
        <v>0</v>
      </c>
      <c r="EW105" s="286">
        <f>AnnualAggregations!$X97</f>
        <v>0</v>
      </c>
      <c r="EX105" s="286">
        <f>AnnualDiversions!$AL97</f>
        <v>0</v>
      </c>
      <c r="EY105" s="286">
        <f>AnnualDiversions!$AG97</f>
        <v>0</v>
      </c>
      <c r="EZ105" s="286">
        <f>AnnualDiversions!$AN97</f>
        <v>0</v>
      </c>
      <c r="FA105" s="287">
        <f t="shared" si="147"/>
        <v>0</v>
      </c>
      <c r="FB105" s="287">
        <f t="shared" si="148"/>
        <v>0</v>
      </c>
      <c r="FC105" s="286">
        <f>AnnualDiversions!$AP97</f>
        <v>0</v>
      </c>
      <c r="FD105" s="442" t="s">
        <v>597</v>
      </c>
      <c r="FE105" s="286">
        <f>AnnualDiversions!$AJ97</f>
        <v>0</v>
      </c>
      <c r="FF105" s="286">
        <f>AnnualDiversions!$BC97</f>
        <v>0</v>
      </c>
      <c r="FG105" s="286">
        <f>AnnualDiversions!$J97</f>
        <v>0</v>
      </c>
      <c r="FH105" s="286">
        <f>AnnualAggregations!$Y97</f>
        <v>0</v>
      </c>
      <c r="FI105" s="287">
        <f t="shared" si="149"/>
        <v>0</v>
      </c>
      <c r="FJ105" s="287">
        <f t="shared" si="150"/>
        <v>0</v>
      </c>
      <c r="FK105" s="287">
        <f t="shared" si="151"/>
        <v>0</v>
      </c>
      <c r="FM105" s="440" t="s">
        <v>628</v>
      </c>
      <c r="FN105" s="440" t="s">
        <v>628</v>
      </c>
      <c r="FO105" s="440" t="s">
        <v>628</v>
      </c>
      <c r="FP105" s="440" t="s">
        <v>628</v>
      </c>
      <c r="FQ105" s="440" t="s">
        <v>628</v>
      </c>
      <c r="FR105" s="440" t="s">
        <v>628</v>
      </c>
      <c r="FS105" s="440" t="s">
        <v>628</v>
      </c>
      <c r="FT105" s="440" t="s">
        <v>628</v>
      </c>
      <c r="FU105" s="440" t="s">
        <v>628</v>
      </c>
      <c r="FV105" s="440" t="s">
        <v>628</v>
      </c>
      <c r="FW105" s="440" t="s">
        <v>628</v>
      </c>
      <c r="FX105" s="440" t="s">
        <v>628</v>
      </c>
      <c r="FY105" s="440" t="s">
        <v>628</v>
      </c>
      <c r="GA105" s="440" t="s">
        <v>628</v>
      </c>
      <c r="GC105" s="286">
        <f>AnnualAggregations!$T97</f>
        <v>0</v>
      </c>
      <c r="GD105" s="286">
        <f>AnnualAggregations!$R97</f>
        <v>0</v>
      </c>
      <c r="GE105" s="443">
        <f t="shared" si="118"/>
        <v>0</v>
      </c>
      <c r="GF105" s="286">
        <f>AnnualAggregations!$U97</f>
        <v>0</v>
      </c>
      <c r="GG105" s="287">
        <f t="shared" si="152"/>
        <v>0</v>
      </c>
      <c r="GH105" s="440" t="s">
        <v>628</v>
      </c>
      <c r="GI105" s="440" t="s">
        <v>628</v>
      </c>
      <c r="GJ105" s="440" t="s">
        <v>628</v>
      </c>
      <c r="GK105" s="440" t="s">
        <v>628</v>
      </c>
      <c r="GL105" s="286">
        <f>AnnualDiversions!$BG97</f>
        <v>0</v>
      </c>
      <c r="GN105" s="440" t="s">
        <v>628</v>
      </c>
      <c r="GO105" s="440" t="s">
        <v>628</v>
      </c>
      <c r="GP105" s="440" t="s">
        <v>628</v>
      </c>
      <c r="GQ105" s="442" t="s">
        <v>597</v>
      </c>
      <c r="GU105" s="282">
        <v>2018</v>
      </c>
      <c r="GV105" s="286">
        <f>AnnualAggregations!AA97</f>
        <v>0</v>
      </c>
      <c r="GW105" s="442" t="s">
        <v>597</v>
      </c>
      <c r="GX105" s="286">
        <f>AnnualDivReqs!$AM97</f>
        <v>0</v>
      </c>
      <c r="GY105" s="286">
        <f>AnnualDivReqs!$AK97</f>
        <v>0</v>
      </c>
      <c r="GZ105" s="286">
        <f>AnnualDivReqs!$L97</f>
        <v>0</v>
      </c>
      <c r="HA105" s="287">
        <f t="shared" si="153"/>
        <v>0</v>
      </c>
      <c r="HB105" s="286">
        <f>AnnualDivReqs!$AO97</f>
        <v>0</v>
      </c>
      <c r="HC105" s="286">
        <f>AnnualDivReqs!$AY97</f>
        <v>0</v>
      </c>
      <c r="HD105" s="286">
        <f>AnnualAggregations!$AD97</f>
        <v>0</v>
      </c>
      <c r="HE105" s="286">
        <f>AnnualAggregations!$AE97</f>
        <v>0</v>
      </c>
      <c r="HF105" s="286">
        <f>AnnualAggregations!$AF97</f>
        <v>0</v>
      </c>
      <c r="HG105" s="286">
        <f>AnnualDivReqs!$AL97</f>
        <v>0</v>
      </c>
      <c r="HH105" s="286">
        <f>AnnualDivReqs!$AG97</f>
        <v>0</v>
      </c>
      <c r="HI105" s="286">
        <f>AnnualDivReqs!$AN97</f>
        <v>0</v>
      </c>
      <c r="HJ105" s="287">
        <f t="shared" si="154"/>
        <v>0</v>
      </c>
      <c r="HK105" s="287">
        <f t="shared" si="155"/>
        <v>0</v>
      </c>
      <c r="HL105" s="286">
        <f>AnnualDivReqs!$AP97</f>
        <v>0</v>
      </c>
      <c r="HM105" s="442" t="s">
        <v>597</v>
      </c>
      <c r="HN105" s="286">
        <f>AnnualDivReqs!$AJ97</f>
        <v>0</v>
      </c>
      <c r="HO105" s="286">
        <f>AnnualDivReqs!$BC97</f>
        <v>0</v>
      </c>
      <c r="HP105" s="286">
        <f>AnnualDivReqs!$J97</f>
        <v>0</v>
      </c>
      <c r="HQ105" s="286">
        <f>AnnualAggregations!$AG97</f>
        <v>0</v>
      </c>
      <c r="HR105" s="287">
        <f t="shared" si="156"/>
        <v>0</v>
      </c>
      <c r="HS105" s="287">
        <f t="shared" si="157"/>
        <v>0</v>
      </c>
      <c r="HT105" s="287">
        <f t="shared" si="158"/>
        <v>0</v>
      </c>
      <c r="HV105" s="440" t="s">
        <v>628</v>
      </c>
      <c r="HW105" s="440" t="s">
        <v>628</v>
      </c>
      <c r="HX105" s="440" t="s">
        <v>628</v>
      </c>
      <c r="HY105" s="440" t="s">
        <v>628</v>
      </c>
      <c r="HZ105" s="440" t="s">
        <v>628</v>
      </c>
      <c r="IA105" s="440" t="s">
        <v>628</v>
      </c>
      <c r="IB105" s="440" t="s">
        <v>628</v>
      </c>
      <c r="IC105" s="440" t="s">
        <v>628</v>
      </c>
      <c r="ID105" s="440" t="s">
        <v>628</v>
      </c>
      <c r="IE105" s="440" t="s">
        <v>628</v>
      </c>
      <c r="IF105" s="440" t="s">
        <v>628</v>
      </c>
      <c r="IG105" s="440" t="s">
        <v>628</v>
      </c>
      <c r="IH105" s="440" t="s">
        <v>628</v>
      </c>
      <c r="IJ105" s="440" t="s">
        <v>628</v>
      </c>
      <c r="IL105" s="286">
        <f>AnnualAggregations!$AB97</f>
        <v>0</v>
      </c>
      <c r="IM105" s="286">
        <f>AnnualAggregations!$Z97</f>
        <v>0</v>
      </c>
      <c r="IN105" s="442" t="s">
        <v>597</v>
      </c>
      <c r="IO105" s="286">
        <f>AnnualAggregations!$AC97</f>
        <v>0</v>
      </c>
      <c r="IP105" s="442" t="s">
        <v>597</v>
      </c>
      <c r="IQ105" s="440" t="s">
        <v>628</v>
      </c>
      <c r="IR105" s="440" t="s">
        <v>628</v>
      </c>
      <c r="IS105" s="440" t="s">
        <v>628</v>
      </c>
      <c r="IT105" s="440" t="s">
        <v>628</v>
      </c>
      <c r="IU105" s="286">
        <f>AnnualDivReqs!$BG97</f>
        <v>0</v>
      </c>
      <c r="IW105" s="440" t="s">
        <v>628</v>
      </c>
      <c r="IX105" s="440" t="s">
        <v>628</v>
      </c>
      <c r="IY105" s="440" t="s">
        <v>628</v>
      </c>
      <c r="IZ105" s="442" t="s">
        <v>597</v>
      </c>
    </row>
    <row r="106" spans="1:260" x14ac:dyDescent="0.25">
      <c r="T106" s="282">
        <v>2019</v>
      </c>
      <c r="U106" s="286">
        <f>AnnualAggregations!$C98</f>
        <v>0</v>
      </c>
      <c r="V106" s="286">
        <f>AnnualDepletions!$BI98</f>
        <v>0</v>
      </c>
      <c r="W106" s="286">
        <f>AnnualDepletions!$AM98</f>
        <v>0</v>
      </c>
      <c r="X106" s="286">
        <f>AnnualDepletions!$AK98</f>
        <v>0</v>
      </c>
      <c r="Y106" s="286">
        <f>AnnualDepletions!$L98</f>
        <v>0</v>
      </c>
      <c r="Z106" s="287">
        <f t="shared" si="126"/>
        <v>0</v>
      </c>
      <c r="AA106" s="286">
        <f>AnnualDepletions!$AO98</f>
        <v>0</v>
      </c>
      <c r="AB106" s="286">
        <f>AnnualDepletions!$AY98</f>
        <v>0</v>
      </c>
      <c r="AC106" s="286">
        <f>AnnualAggregations!$F98</f>
        <v>0</v>
      </c>
      <c r="AD106" s="286">
        <f>AnnualAggregations!$G98</f>
        <v>0</v>
      </c>
      <c r="AE106" s="286">
        <f>AnnualAggregations!$H98</f>
        <v>0</v>
      </c>
      <c r="AF106" s="286">
        <f>AnnualDepletions!$AL98</f>
        <v>0</v>
      </c>
      <c r="AG106" s="286">
        <f>AnnualDepletions!$AG98</f>
        <v>0</v>
      </c>
      <c r="AH106" s="286">
        <f>AnnualDepletions!$AN98</f>
        <v>0</v>
      </c>
      <c r="AI106" s="287">
        <f t="shared" si="127"/>
        <v>0</v>
      </c>
      <c r="AJ106" s="287">
        <f t="shared" si="128"/>
        <v>0</v>
      </c>
      <c r="AK106" s="286">
        <f>AnnualDepletions!$AP98</f>
        <v>0</v>
      </c>
      <c r="AL106" s="286">
        <f>AnnualDepletions!$BH98</f>
        <v>0</v>
      </c>
      <c r="AM106" s="286">
        <f>AnnualDepletions!$AJ98</f>
        <v>0</v>
      </c>
      <c r="AN106" s="286">
        <f>AnnualDepletions!$BC98</f>
        <v>0</v>
      </c>
      <c r="AO106" s="286">
        <f>AnnualDepletions!$J98</f>
        <v>0</v>
      </c>
      <c r="AP106" s="286">
        <f>AnnualAggregations!$I98</f>
        <v>0</v>
      </c>
      <c r="AQ106" s="287">
        <f t="shared" si="129"/>
        <v>0</v>
      </c>
      <c r="AR106" s="287">
        <f t="shared" si="130"/>
        <v>0</v>
      </c>
      <c r="AS106" s="287">
        <f t="shared" si="131"/>
        <v>0</v>
      </c>
      <c r="AU106" s="321" t="e">
        <f ca="1">StateModDepletions_ThisScenario!AC96</f>
        <v>#N/A</v>
      </c>
      <c r="AV106" s="321" t="e">
        <f ca="1">StateModDepletions_ThisScenario!AD96</f>
        <v>#N/A</v>
      </c>
      <c r="AW106" s="321" t="e">
        <f ca="1">StateModDepletions_ThisScenario!AE96</f>
        <v>#N/A</v>
      </c>
      <c r="AX106" s="321" t="e">
        <f ca="1">StateModDepletions_ThisScenario!AB96</f>
        <v>#N/A</v>
      </c>
      <c r="AY106" s="288" t="e">
        <f t="shared" ca="1" si="132"/>
        <v>#N/A</v>
      </c>
      <c r="AZ106" s="321" t="e">
        <f ca="1">StateModDepletions_ThisScenario!AG96</f>
        <v>#N/A</v>
      </c>
      <c r="BA106" s="321" t="e">
        <f ca="1">StateModDepletions_ThisScenario!AF96</f>
        <v>#N/A</v>
      </c>
      <c r="BB106" s="321" t="e">
        <f ca="1">StateModDepletions_ThisScenario!AH96</f>
        <v>#N/A</v>
      </c>
      <c r="BC106" s="321" t="e">
        <f ca="1">StateModDepletions_ThisScenario!AI96</f>
        <v>#N/A</v>
      </c>
      <c r="BD106" s="321" t="e">
        <f ca="1">StateModDepletions_ThisScenario!N96</f>
        <v>#N/A</v>
      </c>
      <c r="BE106" s="321" t="e">
        <f ca="1">StateModDepletions_ThisScenario!V96</f>
        <v>#N/A</v>
      </c>
      <c r="BF106" s="288" t="e">
        <f t="shared" ca="1" si="133"/>
        <v>#N/A</v>
      </c>
      <c r="BG106" s="288" t="e">
        <f t="shared" ca="1" si="134"/>
        <v>#N/A</v>
      </c>
      <c r="BI106" s="288" t="e">
        <f t="shared" ca="1" si="135"/>
        <v>#N/A</v>
      </c>
      <c r="BK106" s="286">
        <f>AnnualAggregations!$D98</f>
        <v>0</v>
      </c>
      <c r="BL106" s="286">
        <f>AnnualAggregations!$B98</f>
        <v>0</v>
      </c>
      <c r="BM106" s="286">
        <f>AnnualDepletions!$BK98</f>
        <v>0</v>
      </c>
      <c r="BN106" s="286">
        <f>AnnualAggregations!$E98</f>
        <v>0</v>
      </c>
      <c r="BO106" s="287">
        <f t="shared" si="136"/>
        <v>0</v>
      </c>
      <c r="BP106" s="321" t="e">
        <f ca="1">StateModDepletions_ThisScenario!Y96</f>
        <v>#N/A</v>
      </c>
      <c r="BQ106" s="321" t="e">
        <f ca="1">StateModDepletions_ThisScenario!AJ96</f>
        <v>#N/A</v>
      </c>
      <c r="BR106" s="321" t="e">
        <f ca="1">StateModDepletions_ThisScenario!Z96</f>
        <v>#N/A</v>
      </c>
      <c r="BS106" s="321" t="e">
        <f ca="1">StateModDepletions_ThisScenario!AA96</f>
        <v>#N/A</v>
      </c>
      <c r="BT106" s="286">
        <f>AnnualDepletions!$BG98</f>
        <v>0</v>
      </c>
      <c r="BV106" s="287" t="e">
        <f t="shared" ca="1" si="137"/>
        <v>#N/A</v>
      </c>
      <c r="BW106" s="287" t="e">
        <f t="shared" ca="1" si="138"/>
        <v>#N/A</v>
      </c>
      <c r="BX106" s="287" t="e">
        <f t="shared" ca="1" si="139"/>
        <v>#N/A</v>
      </c>
      <c r="BY106" s="287">
        <f>SJRIPSummaryRAW!$B$79</f>
        <v>14875</v>
      </c>
      <c r="BZ106" s="39"/>
      <c r="CB106" s="39"/>
      <c r="CC106" s="282">
        <v>2019</v>
      </c>
      <c r="CD106" s="286">
        <f>AnnualAggregations!K98</f>
        <v>0</v>
      </c>
      <c r="CE106" s="442" t="s">
        <v>597</v>
      </c>
      <c r="CF106" s="286">
        <f>AnnualDeplReqs!$AM98</f>
        <v>0</v>
      </c>
      <c r="CG106" s="286">
        <f>AnnualDeplReqs!$AK98</f>
        <v>0</v>
      </c>
      <c r="CH106" s="286">
        <f>AnnualDeplReqs!$L98</f>
        <v>0</v>
      </c>
      <c r="CI106" s="443">
        <f t="shared" si="140"/>
        <v>0</v>
      </c>
      <c r="CJ106" s="286">
        <f>AnnualDeplReqs!$AO98</f>
        <v>0</v>
      </c>
      <c r="CK106" s="286">
        <f>AnnualDeplReqs!$AY98</f>
        <v>0</v>
      </c>
      <c r="CL106" s="286">
        <f>AnnualAggregations!$N98</f>
        <v>0</v>
      </c>
      <c r="CM106" s="286">
        <f>AnnualAggregations!$O98</f>
        <v>0</v>
      </c>
      <c r="CN106" s="286">
        <f>AnnualAggregations!$P98</f>
        <v>0</v>
      </c>
      <c r="CO106" s="286">
        <f>AnnualDeplReqs!$AL98</f>
        <v>0</v>
      </c>
      <c r="CP106" s="286">
        <f>AnnualDeplReqs!$AG98</f>
        <v>0</v>
      </c>
      <c r="CQ106" s="286">
        <f>AnnualDeplReqs!$AN98</f>
        <v>0</v>
      </c>
      <c r="CR106" s="287">
        <f t="shared" si="141"/>
        <v>0</v>
      </c>
      <c r="CS106" s="287">
        <f t="shared" si="142"/>
        <v>0</v>
      </c>
      <c r="CT106" s="286">
        <f>AnnualDeplReqs!$AP98</f>
        <v>0</v>
      </c>
      <c r="CU106" s="442" t="s">
        <v>597</v>
      </c>
      <c r="CV106" s="286">
        <f>AnnualDeplReqs!$AJ98</f>
        <v>0</v>
      </c>
      <c r="CW106" s="286">
        <f>AnnualDeplReqs!$BC98</f>
        <v>0</v>
      </c>
      <c r="CX106" s="286">
        <f>AnnualDeplReqs!$J98</f>
        <v>0</v>
      </c>
      <c r="CY106" s="286">
        <f>AnnualAggregations!$Q98</f>
        <v>0</v>
      </c>
      <c r="CZ106" s="287">
        <f t="shared" si="143"/>
        <v>0</v>
      </c>
      <c r="DA106" s="443">
        <f t="shared" si="144"/>
        <v>0</v>
      </c>
      <c r="DB106" s="287">
        <f t="shared" si="145"/>
        <v>0</v>
      </c>
      <c r="DD106" s="440" t="s">
        <v>628</v>
      </c>
      <c r="DE106" s="440" t="s">
        <v>628</v>
      </c>
      <c r="DF106" s="440" t="s">
        <v>628</v>
      </c>
      <c r="DG106" s="440" t="s">
        <v>628</v>
      </c>
      <c r="DH106" s="440" t="s">
        <v>628</v>
      </c>
      <c r="DI106" s="440" t="s">
        <v>628</v>
      </c>
      <c r="DJ106" s="440" t="s">
        <v>628</v>
      </c>
      <c r="DK106" s="440" t="s">
        <v>628</v>
      </c>
      <c r="DL106" s="440" t="s">
        <v>628</v>
      </c>
      <c r="DM106" s="440" t="s">
        <v>628</v>
      </c>
      <c r="DN106" s="440" t="s">
        <v>628</v>
      </c>
      <c r="DO106" s="440" t="s">
        <v>628</v>
      </c>
      <c r="DP106" s="440" t="s">
        <v>628</v>
      </c>
      <c r="DR106" s="440" t="s">
        <v>628</v>
      </c>
      <c r="DT106" s="286">
        <f>AnnualAggregations!$L98</f>
        <v>0</v>
      </c>
      <c r="DU106" s="443">
        <f>AnnualAggregations!$J98</f>
        <v>0</v>
      </c>
      <c r="DV106" s="442" t="s">
        <v>597</v>
      </c>
      <c r="DW106" s="286">
        <f>AnnualAggregations!$M98</f>
        <v>0</v>
      </c>
      <c r="DX106" s="442" t="s">
        <v>597</v>
      </c>
      <c r="DY106" s="440" t="s">
        <v>628</v>
      </c>
      <c r="DZ106" s="440" t="s">
        <v>628</v>
      </c>
      <c r="EA106" s="440" t="s">
        <v>628</v>
      </c>
      <c r="EB106" s="440" t="s">
        <v>628</v>
      </c>
      <c r="EC106" s="286">
        <f>AnnualDeplReqs!$BG98</f>
        <v>0</v>
      </c>
      <c r="EE106" s="440" t="s">
        <v>628</v>
      </c>
      <c r="EF106" s="440" t="s">
        <v>628</v>
      </c>
      <c r="EG106" s="440" t="s">
        <v>628</v>
      </c>
      <c r="EH106" s="442" t="s">
        <v>597</v>
      </c>
      <c r="EI106" s="39"/>
      <c r="EK106" s="39"/>
      <c r="EL106" s="282">
        <v>2019</v>
      </c>
      <c r="EM106" s="286">
        <f>AnnualAggregations!S98</f>
        <v>0</v>
      </c>
      <c r="EN106" s="442" t="s">
        <v>597</v>
      </c>
      <c r="EO106" s="286">
        <f>AnnualDiversions!$AM98</f>
        <v>0</v>
      </c>
      <c r="EP106" s="286">
        <f>AnnualDiversions!$AK98</f>
        <v>0</v>
      </c>
      <c r="EQ106" s="286">
        <f>AnnualDiversions!$L98</f>
        <v>0</v>
      </c>
      <c r="ER106" s="287">
        <f t="shared" si="146"/>
        <v>0</v>
      </c>
      <c r="ES106" s="286">
        <f>AnnualDiversions!$AO98</f>
        <v>0</v>
      </c>
      <c r="ET106" s="286">
        <f>AnnualDiversions!$AY98</f>
        <v>0</v>
      </c>
      <c r="EU106" s="286">
        <f>AnnualAggregations!$V98</f>
        <v>0</v>
      </c>
      <c r="EV106" s="286">
        <f>AnnualAggregations!$W98</f>
        <v>0</v>
      </c>
      <c r="EW106" s="286">
        <f>AnnualAggregations!$X98</f>
        <v>0</v>
      </c>
      <c r="EX106" s="286">
        <f>AnnualDiversions!$AL98</f>
        <v>0</v>
      </c>
      <c r="EY106" s="286">
        <f>AnnualDiversions!$AG98</f>
        <v>0</v>
      </c>
      <c r="EZ106" s="286">
        <f>AnnualDiversions!$AN98</f>
        <v>0</v>
      </c>
      <c r="FA106" s="287">
        <f t="shared" si="147"/>
        <v>0</v>
      </c>
      <c r="FB106" s="287">
        <f t="shared" si="148"/>
        <v>0</v>
      </c>
      <c r="FC106" s="286">
        <f>AnnualDiversions!$AP98</f>
        <v>0</v>
      </c>
      <c r="FD106" s="442" t="s">
        <v>597</v>
      </c>
      <c r="FE106" s="286">
        <f>AnnualDiversions!$AJ98</f>
        <v>0</v>
      </c>
      <c r="FF106" s="286">
        <f>AnnualDiversions!$BC98</f>
        <v>0</v>
      </c>
      <c r="FG106" s="286">
        <f>AnnualDiversions!$J98</f>
        <v>0</v>
      </c>
      <c r="FH106" s="286">
        <f>AnnualAggregations!$Y98</f>
        <v>0</v>
      </c>
      <c r="FI106" s="287">
        <f t="shared" si="149"/>
        <v>0</v>
      </c>
      <c r="FJ106" s="287">
        <f t="shared" si="150"/>
        <v>0</v>
      </c>
      <c r="FK106" s="287">
        <f t="shared" si="151"/>
        <v>0</v>
      </c>
      <c r="FM106" s="440" t="s">
        <v>628</v>
      </c>
      <c r="FN106" s="440" t="s">
        <v>628</v>
      </c>
      <c r="FO106" s="440" t="s">
        <v>628</v>
      </c>
      <c r="FP106" s="440" t="s">
        <v>628</v>
      </c>
      <c r="FQ106" s="440" t="s">
        <v>628</v>
      </c>
      <c r="FR106" s="440" t="s">
        <v>628</v>
      </c>
      <c r="FS106" s="440" t="s">
        <v>628</v>
      </c>
      <c r="FT106" s="440" t="s">
        <v>628</v>
      </c>
      <c r="FU106" s="440" t="s">
        <v>628</v>
      </c>
      <c r="FV106" s="440" t="s">
        <v>628</v>
      </c>
      <c r="FW106" s="440" t="s">
        <v>628</v>
      </c>
      <c r="FX106" s="440" t="s">
        <v>628</v>
      </c>
      <c r="FY106" s="440" t="s">
        <v>628</v>
      </c>
      <c r="GA106" s="440" t="s">
        <v>628</v>
      </c>
      <c r="GC106" s="286">
        <f>AnnualAggregations!$T98</f>
        <v>0</v>
      </c>
      <c r="GD106" s="286">
        <f>AnnualAggregations!$R98</f>
        <v>0</v>
      </c>
      <c r="GE106" s="443">
        <f t="shared" si="118"/>
        <v>0</v>
      </c>
      <c r="GF106" s="286">
        <f>AnnualAggregations!$U98</f>
        <v>0</v>
      </c>
      <c r="GG106" s="287">
        <f t="shared" si="152"/>
        <v>0</v>
      </c>
      <c r="GH106" s="440" t="s">
        <v>628</v>
      </c>
      <c r="GI106" s="440" t="s">
        <v>628</v>
      </c>
      <c r="GJ106" s="440" t="s">
        <v>628</v>
      </c>
      <c r="GK106" s="440" t="s">
        <v>628</v>
      </c>
      <c r="GL106" s="286">
        <f>AnnualDiversions!$BG98</f>
        <v>0</v>
      </c>
      <c r="GN106" s="440" t="s">
        <v>628</v>
      </c>
      <c r="GO106" s="440" t="s">
        <v>628</v>
      </c>
      <c r="GP106" s="440" t="s">
        <v>628</v>
      </c>
      <c r="GQ106" s="442" t="s">
        <v>597</v>
      </c>
      <c r="GR106" s="39"/>
      <c r="GT106" s="39"/>
      <c r="GU106" s="282">
        <v>2019</v>
      </c>
      <c r="GV106" s="286">
        <f>AnnualAggregations!AA98</f>
        <v>0</v>
      </c>
      <c r="GW106" s="442" t="s">
        <v>597</v>
      </c>
      <c r="GX106" s="286">
        <f>AnnualDivReqs!$AM98</f>
        <v>0</v>
      </c>
      <c r="GY106" s="286">
        <f>AnnualDivReqs!$AK98</f>
        <v>0</v>
      </c>
      <c r="GZ106" s="286">
        <f>AnnualDivReqs!$L98</f>
        <v>0</v>
      </c>
      <c r="HA106" s="287">
        <f t="shared" si="153"/>
        <v>0</v>
      </c>
      <c r="HB106" s="286">
        <f>AnnualDivReqs!$AO98</f>
        <v>0</v>
      </c>
      <c r="HC106" s="286">
        <f>AnnualDivReqs!$AY98</f>
        <v>0</v>
      </c>
      <c r="HD106" s="286">
        <f>AnnualAggregations!$AD98</f>
        <v>0</v>
      </c>
      <c r="HE106" s="286">
        <f>AnnualAggregations!$AE98</f>
        <v>0</v>
      </c>
      <c r="HF106" s="286">
        <f>AnnualAggregations!$AF98</f>
        <v>0</v>
      </c>
      <c r="HG106" s="286">
        <f>AnnualDivReqs!$AL98</f>
        <v>0</v>
      </c>
      <c r="HH106" s="286">
        <f>AnnualDivReqs!$AG98</f>
        <v>0</v>
      </c>
      <c r="HI106" s="286">
        <f>AnnualDivReqs!$AN98</f>
        <v>0</v>
      </c>
      <c r="HJ106" s="287">
        <f t="shared" si="154"/>
        <v>0</v>
      </c>
      <c r="HK106" s="287">
        <f t="shared" si="155"/>
        <v>0</v>
      </c>
      <c r="HL106" s="286">
        <f>AnnualDivReqs!$AP98</f>
        <v>0</v>
      </c>
      <c r="HM106" s="442" t="s">
        <v>597</v>
      </c>
      <c r="HN106" s="286">
        <f>AnnualDivReqs!$AJ98</f>
        <v>0</v>
      </c>
      <c r="HO106" s="286">
        <f>AnnualDivReqs!$BC98</f>
        <v>0</v>
      </c>
      <c r="HP106" s="286">
        <f>AnnualDivReqs!$J98</f>
        <v>0</v>
      </c>
      <c r="HQ106" s="286">
        <f>AnnualAggregations!$AG98</f>
        <v>0</v>
      </c>
      <c r="HR106" s="287">
        <f t="shared" si="156"/>
        <v>0</v>
      </c>
      <c r="HS106" s="287">
        <f t="shared" si="157"/>
        <v>0</v>
      </c>
      <c r="HT106" s="287">
        <f t="shared" si="158"/>
        <v>0</v>
      </c>
      <c r="HV106" s="440" t="s">
        <v>628</v>
      </c>
      <c r="HW106" s="440" t="s">
        <v>628</v>
      </c>
      <c r="HX106" s="440" t="s">
        <v>628</v>
      </c>
      <c r="HY106" s="440" t="s">
        <v>628</v>
      </c>
      <c r="HZ106" s="440" t="s">
        <v>628</v>
      </c>
      <c r="IA106" s="440" t="s">
        <v>628</v>
      </c>
      <c r="IB106" s="440" t="s">
        <v>628</v>
      </c>
      <c r="IC106" s="440" t="s">
        <v>628</v>
      </c>
      <c r="ID106" s="440" t="s">
        <v>628</v>
      </c>
      <c r="IE106" s="440" t="s">
        <v>628</v>
      </c>
      <c r="IF106" s="440" t="s">
        <v>628</v>
      </c>
      <c r="IG106" s="440" t="s">
        <v>628</v>
      </c>
      <c r="IH106" s="440" t="s">
        <v>628</v>
      </c>
      <c r="IJ106" s="440" t="s">
        <v>628</v>
      </c>
      <c r="IL106" s="286">
        <f>AnnualAggregations!$AB98</f>
        <v>0</v>
      </c>
      <c r="IM106" s="286">
        <f>AnnualAggregations!$Z98</f>
        <v>0</v>
      </c>
      <c r="IN106" s="442" t="s">
        <v>597</v>
      </c>
      <c r="IO106" s="286">
        <f>AnnualAggregations!$AC98</f>
        <v>0</v>
      </c>
      <c r="IP106" s="442" t="s">
        <v>597</v>
      </c>
      <c r="IQ106" s="440" t="s">
        <v>628</v>
      </c>
      <c r="IR106" s="440" t="s">
        <v>628</v>
      </c>
      <c r="IS106" s="440" t="s">
        <v>628</v>
      </c>
      <c r="IT106" s="440" t="s">
        <v>628</v>
      </c>
      <c r="IU106" s="286">
        <f>AnnualDivReqs!$BG98</f>
        <v>0</v>
      </c>
      <c r="IW106" s="440" t="s">
        <v>628</v>
      </c>
      <c r="IX106" s="440" t="s">
        <v>628</v>
      </c>
      <c r="IY106" s="440" t="s">
        <v>628</v>
      </c>
      <c r="IZ106" s="442" t="s">
        <v>597</v>
      </c>
    </row>
    <row r="107" spans="1:260" x14ac:dyDescent="0.25">
      <c r="T107" s="39"/>
      <c r="U107" s="39"/>
      <c r="V107" s="39"/>
      <c r="W107" s="39"/>
      <c r="X107" s="39"/>
      <c r="Y107" s="39"/>
      <c r="Z107" s="39"/>
      <c r="CC107" s="39"/>
      <c r="CD107" s="39"/>
      <c r="CE107" s="39"/>
      <c r="CF107" s="39"/>
      <c r="CG107" s="39"/>
      <c r="CH107" s="39"/>
      <c r="CI107" s="39"/>
      <c r="EL107" s="39"/>
      <c r="EM107" s="39"/>
      <c r="EN107" s="39"/>
      <c r="EO107" s="39"/>
      <c r="EP107" s="39"/>
      <c r="EQ107" s="39"/>
      <c r="ER107" s="39"/>
      <c r="GU107" s="39"/>
      <c r="GV107" s="39"/>
      <c r="GW107" s="39"/>
      <c r="GX107" s="39"/>
      <c r="GY107" s="39"/>
      <c r="GZ107" s="39"/>
      <c r="HA107" s="39"/>
    </row>
  </sheetData>
  <mergeCells count="117">
    <mergeCell ref="IX10:IX13"/>
    <mergeCell ref="IY10:IY13"/>
    <mergeCell ref="GV11:HJ11"/>
    <mergeCell ref="HK11:HK13"/>
    <mergeCell ref="HM11:HR12"/>
    <mergeCell ref="HS11:HS13"/>
    <mergeCell ref="HV11:HY12"/>
    <mergeCell ref="HZ11:HZ13"/>
    <mergeCell ref="IA11:IF12"/>
    <mergeCell ref="IG11:IG13"/>
    <mergeCell ref="GV12:HA12"/>
    <mergeCell ref="HC12:HJ12"/>
    <mergeCell ref="IL10:IO12"/>
    <mergeCell ref="IP10:IP13"/>
    <mergeCell ref="IQ10:IT12"/>
    <mergeCell ref="IU10:IU13"/>
    <mergeCell ref="IW10:IW13"/>
    <mergeCell ref="GV10:HS10"/>
    <mergeCell ref="HT10:HT13"/>
    <mergeCell ref="HV10:IG10"/>
    <mergeCell ref="IH10:IH13"/>
    <mergeCell ref="IJ10:IJ13"/>
    <mergeCell ref="GO10:GO13"/>
    <mergeCell ref="GP10:GP13"/>
    <mergeCell ref="EM11:FA11"/>
    <mergeCell ref="FB11:FB13"/>
    <mergeCell ref="FD11:FI12"/>
    <mergeCell ref="FJ11:FJ13"/>
    <mergeCell ref="FM11:FP12"/>
    <mergeCell ref="FQ11:FQ13"/>
    <mergeCell ref="FR11:FW12"/>
    <mergeCell ref="FX11:FX13"/>
    <mergeCell ref="EM12:ER12"/>
    <mergeCell ref="ET12:FA12"/>
    <mergeCell ref="GC10:GF12"/>
    <mergeCell ref="GG10:GG13"/>
    <mergeCell ref="GH10:GK12"/>
    <mergeCell ref="GL10:GL13"/>
    <mergeCell ref="GN10:GN13"/>
    <mergeCell ref="EM10:FJ10"/>
    <mergeCell ref="FK10:FK13"/>
    <mergeCell ref="FM10:FX10"/>
    <mergeCell ref="FY10:FY13"/>
    <mergeCell ref="GA10:GA13"/>
    <mergeCell ref="EF10:EF13"/>
    <mergeCell ref="EG10:EG13"/>
    <mergeCell ref="CD11:CR11"/>
    <mergeCell ref="CS11:CS13"/>
    <mergeCell ref="CU11:CZ12"/>
    <mergeCell ref="DA11:DA13"/>
    <mergeCell ref="DD11:DG12"/>
    <mergeCell ref="DH11:DH13"/>
    <mergeCell ref="DI11:DN12"/>
    <mergeCell ref="DO11:DO13"/>
    <mergeCell ref="CD12:CI12"/>
    <mergeCell ref="CK12:CR12"/>
    <mergeCell ref="DT10:DW12"/>
    <mergeCell ref="DX10:DX13"/>
    <mergeCell ref="DY10:EB12"/>
    <mergeCell ref="EC10:EC13"/>
    <mergeCell ref="EE10:EE13"/>
    <mergeCell ref="CD10:DA10"/>
    <mergeCell ref="DB10:DB13"/>
    <mergeCell ref="DD10:DO10"/>
    <mergeCell ref="DP10:DP13"/>
    <mergeCell ref="DR10:DR13"/>
    <mergeCell ref="I10:Q10"/>
    <mergeCell ref="I12:Q12"/>
    <mergeCell ref="I13:L14"/>
    <mergeCell ref="M13:M14"/>
    <mergeCell ref="O13:P14"/>
    <mergeCell ref="I11:K11"/>
    <mergeCell ref="L11:Q11"/>
    <mergeCell ref="I16:I39"/>
    <mergeCell ref="J16:J30"/>
    <mergeCell ref="K16:K21"/>
    <mergeCell ref="K23:K30"/>
    <mergeCell ref="J31:L31"/>
    <mergeCell ref="J33:K38"/>
    <mergeCell ref="J39:L39"/>
    <mergeCell ref="I40:L40"/>
    <mergeCell ref="I42:I53"/>
    <mergeCell ref="J42:K45"/>
    <mergeCell ref="J46:L46"/>
    <mergeCell ref="J47:K52"/>
    <mergeCell ref="J53:L53"/>
    <mergeCell ref="I69:L69"/>
    <mergeCell ref="I54:L54"/>
    <mergeCell ref="I56:L56"/>
    <mergeCell ref="I58:K61"/>
    <mergeCell ref="I62:L62"/>
    <mergeCell ref="I63:K66"/>
    <mergeCell ref="I67:L67"/>
    <mergeCell ref="BI10:BI13"/>
    <mergeCell ref="BK10:BN12"/>
    <mergeCell ref="BO10:BO13"/>
    <mergeCell ref="BF11:BF13"/>
    <mergeCell ref="U10:AR10"/>
    <mergeCell ref="U12:Z12"/>
    <mergeCell ref="AB12:AI12"/>
    <mergeCell ref="I71:L71"/>
    <mergeCell ref="BX10:BX13"/>
    <mergeCell ref="BW10:BW13"/>
    <mergeCell ref="BV10:BV13"/>
    <mergeCell ref="BP10:BS12"/>
    <mergeCell ref="BT10:BT13"/>
    <mergeCell ref="U11:AI11"/>
    <mergeCell ref="AJ11:AJ13"/>
    <mergeCell ref="AL11:AQ12"/>
    <mergeCell ref="AR11:AR13"/>
    <mergeCell ref="AU11:AX12"/>
    <mergeCell ref="AY11:AY13"/>
    <mergeCell ref="AZ11:BE12"/>
    <mergeCell ref="AS10:AS13"/>
    <mergeCell ref="AU10:BF10"/>
    <mergeCell ref="BG10:BG13"/>
    <mergeCell ref="I70:L70"/>
  </mergeCells>
  <pageMargins left="0.75" right="0.75" top="1" bottom="1" header="0.5" footer="0.5"/>
  <pageSetup scale="10"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9" tint="-0.24994659260841701"/>
  </sheetPr>
  <dimension ref="A1:AG92"/>
  <sheetViews>
    <sheetView zoomScale="70" zoomScaleNormal="70" workbookViewId="0">
      <selection activeCell="B8" sqref="B8"/>
    </sheetView>
  </sheetViews>
  <sheetFormatPr defaultRowHeight="15" x14ac:dyDescent="0.25"/>
  <cols>
    <col min="1" max="1" width="16.140625" style="124" customWidth="1"/>
    <col min="2" max="2" width="10.7109375" style="381" customWidth="1"/>
    <col min="3" max="8" width="10.7109375" style="382" customWidth="1"/>
    <col min="9" max="9" width="10.7109375" style="356" customWidth="1"/>
    <col min="10" max="10" width="10.7109375" style="381" customWidth="1"/>
    <col min="11" max="16" width="10.7109375" style="382" customWidth="1"/>
    <col min="17" max="17" width="10.7109375" style="356" customWidth="1"/>
    <col min="18" max="18" width="10.7109375" style="381" customWidth="1"/>
    <col min="19" max="24" width="10.7109375" style="382" customWidth="1"/>
    <col min="25" max="25" width="10.7109375" style="356" customWidth="1"/>
    <col min="26" max="26" width="10.7109375" style="381" customWidth="1"/>
    <col min="27" max="32" width="10.7109375" style="382" customWidth="1"/>
    <col min="33" max="33" width="10.7109375" style="356" customWidth="1"/>
  </cols>
  <sheetData>
    <row r="1" spans="1:33" x14ac:dyDescent="0.25">
      <c r="A1" s="124" t="s">
        <v>290</v>
      </c>
      <c r="B1" s="365">
        <f t="shared" ref="B1:AG1" ca="1" si="0">AVERAGE(OFFSET(B$8,0,0,NumRunYears-1))</f>
        <v>57124.467573165828</v>
      </c>
      <c r="C1" s="366">
        <f t="shared" ca="1" si="0"/>
        <v>247729.65036704685</v>
      </c>
      <c r="D1" s="366">
        <f t="shared" ca="1" si="0"/>
        <v>35721.05964141713</v>
      </c>
      <c r="E1" s="366">
        <f t="shared" ca="1" si="0"/>
        <v>4998.0196399097404</v>
      </c>
      <c r="F1" s="366">
        <f t="shared" ca="1" si="0"/>
        <v>32521.700642911706</v>
      </c>
      <c r="G1" s="366">
        <f t="shared" ca="1" si="0"/>
        <v>4272.1169815672793</v>
      </c>
      <c r="H1" s="366">
        <f t="shared" ca="1" si="0"/>
        <v>12680.522362047484</v>
      </c>
      <c r="I1" s="367">
        <f t="shared" ca="1" si="0"/>
        <v>11601.038156680661</v>
      </c>
      <c r="J1" s="365">
        <f t="shared" ca="1" si="0"/>
        <v>57205.010517743867</v>
      </c>
      <c r="K1" s="366">
        <f t="shared" ca="1" si="0"/>
        <v>249119.67875280461</v>
      </c>
      <c r="L1" s="366">
        <f t="shared" ca="1" si="0"/>
        <v>35893.000000000036</v>
      </c>
      <c r="M1" s="366">
        <f t="shared" ca="1" si="0"/>
        <v>5000.0000000019254</v>
      </c>
      <c r="N1" s="366">
        <f t="shared" ca="1" si="0"/>
        <v>32523.583953689707</v>
      </c>
      <c r="O1" s="366">
        <f t="shared" ca="1" si="0"/>
        <v>11990.845238093854</v>
      </c>
      <c r="P1" s="366">
        <f t="shared" ca="1" si="0"/>
        <v>12724.380952379488</v>
      </c>
      <c r="Q1" s="367">
        <f t="shared" ca="1" si="0"/>
        <v>11624.990000001591</v>
      </c>
      <c r="R1" s="365">
        <f t="shared" ca="1" si="0"/>
        <v>109066.3887489036</v>
      </c>
      <c r="S1" s="366">
        <f t="shared" ca="1" si="0"/>
        <v>309662.06295880862</v>
      </c>
      <c r="T1" s="366">
        <f t="shared" ca="1" si="0"/>
        <v>37583.143785034226</v>
      </c>
      <c r="U1" s="366">
        <f t="shared" ca="1" si="0"/>
        <v>4998.0196399097404</v>
      </c>
      <c r="V1" s="366">
        <f t="shared" ca="1" si="0"/>
        <v>54589.605141622626</v>
      </c>
      <c r="W1" s="366">
        <f t="shared" ca="1" si="0"/>
        <v>7805.2449191573251</v>
      </c>
      <c r="X1" s="366">
        <f t="shared" ca="1" si="0"/>
        <v>19438.894378101566</v>
      </c>
      <c r="Y1" s="367">
        <f t="shared" ca="1" si="0"/>
        <v>19335.063594467741</v>
      </c>
      <c r="Z1" s="365">
        <f t="shared" ca="1" si="0"/>
        <v>109227.47463805978</v>
      </c>
      <c r="AA1" s="366">
        <f t="shared" ca="1" si="0"/>
        <v>311399.59844100586</v>
      </c>
      <c r="AB1" s="366">
        <f t="shared" ca="1" si="0"/>
        <v>37764.048048282057</v>
      </c>
      <c r="AC1" s="366">
        <f t="shared" ca="1" si="0"/>
        <v>5000.0000000019254</v>
      </c>
      <c r="AD1" s="366">
        <f t="shared" ca="1" si="0"/>
        <v>54592.73144979521</v>
      </c>
      <c r="AE1" s="366">
        <f t="shared" ca="1" si="0"/>
        <v>21476.723010970381</v>
      </c>
      <c r="AF1" s="366">
        <f t="shared" ca="1" si="0"/>
        <v>19504.792643193603</v>
      </c>
      <c r="AG1" s="367">
        <f t="shared" ca="1" si="0"/>
        <v>19374.98333333596</v>
      </c>
    </row>
    <row r="2" spans="1:33" x14ac:dyDescent="0.25">
      <c r="A2" s="124" t="s">
        <v>291</v>
      </c>
      <c r="B2" s="520">
        <f t="shared" ref="B2:AG2" ca="1" si="1">MIN(OFFSET(B$8,0,0,NumRunYears-1))</f>
        <v>56587.390162499345</v>
      </c>
      <c r="C2" s="369">
        <f t="shared" ca="1" si="1"/>
        <v>173409.68026580906</v>
      </c>
      <c r="D2" s="369">
        <f t="shared" ca="1" si="1"/>
        <v>21450.009879037338</v>
      </c>
      <c r="E2" s="369">
        <f t="shared" ca="1" si="1"/>
        <v>4908.395374850008</v>
      </c>
      <c r="F2" s="369">
        <f t="shared" ca="1" si="1"/>
        <v>22952.62091931374</v>
      </c>
      <c r="G2" s="369">
        <f t="shared" ca="1" si="1"/>
        <v>609.41459971539052</v>
      </c>
      <c r="H2" s="369">
        <f t="shared" ca="1" si="1"/>
        <v>9405.9999999989268</v>
      </c>
      <c r="I2" s="370">
        <f t="shared" ca="1" si="1"/>
        <v>9613.0351610433954</v>
      </c>
      <c r="J2" s="368">
        <f t="shared" ca="1" si="1"/>
        <v>56863.245001209027</v>
      </c>
      <c r="K2" s="369">
        <f t="shared" ca="1" si="1"/>
        <v>184306.25866179835</v>
      </c>
      <c r="L2" s="369">
        <f t="shared" ca="1" si="1"/>
        <v>35893.000000000073</v>
      </c>
      <c r="M2" s="369">
        <f t="shared" ca="1" si="1"/>
        <v>5000.0000000019172</v>
      </c>
      <c r="N2" s="369">
        <f t="shared" ca="1" si="1"/>
        <v>22952.62091931374</v>
      </c>
      <c r="O2" s="369">
        <f t="shared" ca="1" si="1"/>
        <v>8233.9999999990505</v>
      </c>
      <c r="P2" s="369">
        <f t="shared" ca="1" si="1"/>
        <v>9405.9999999989268</v>
      </c>
      <c r="Q2" s="370">
        <f t="shared" ca="1" si="1"/>
        <v>11624.990000001573</v>
      </c>
      <c r="R2" s="368">
        <f t="shared" ca="1" si="1"/>
        <v>109006.69832863759</v>
      </c>
      <c r="S2" s="369">
        <f t="shared" ca="1" si="1"/>
        <v>216762.10033226138</v>
      </c>
      <c r="T2" s="369">
        <f t="shared" ca="1" si="1"/>
        <v>22568.280453800864</v>
      </c>
      <c r="U2" s="369">
        <f t="shared" ca="1" si="1"/>
        <v>4908.395374850008</v>
      </c>
      <c r="V2" s="369">
        <f t="shared" ca="1" si="1"/>
        <v>38480.144017993531</v>
      </c>
      <c r="W2" s="369">
        <f t="shared" ca="1" si="1"/>
        <v>1058.7748767801397</v>
      </c>
      <c r="X2" s="369">
        <f t="shared" ca="1" si="1"/>
        <v>14420.39543523437</v>
      </c>
      <c r="Y2" s="370">
        <f t="shared" ca="1" si="1"/>
        <v>16021.725268405691</v>
      </c>
      <c r="Z2" s="368">
        <f t="shared" ca="1" si="1"/>
        <v>109067.13000005131</v>
      </c>
      <c r="AA2" s="369">
        <f t="shared" ca="1" si="1"/>
        <v>230382.82332724886</v>
      </c>
      <c r="AB2" s="369">
        <f t="shared" ca="1" si="1"/>
        <v>37763.476493275448</v>
      </c>
      <c r="AC2" s="369">
        <f t="shared" ca="1" si="1"/>
        <v>5000.0000000019172</v>
      </c>
      <c r="AD2" s="369">
        <f t="shared" ca="1" si="1"/>
        <v>38480.144017993531</v>
      </c>
      <c r="AE2" s="369">
        <f t="shared" ca="1" si="1"/>
        <v>14745.815144723503</v>
      </c>
      <c r="AF2" s="369">
        <f t="shared" ca="1" si="1"/>
        <v>14420.39543523437</v>
      </c>
      <c r="AG2" s="370">
        <f t="shared" ca="1" si="1"/>
        <v>19374.983333335964</v>
      </c>
    </row>
    <row r="3" spans="1:33" x14ac:dyDescent="0.25">
      <c r="A3" s="124" t="s">
        <v>292</v>
      </c>
      <c r="B3" s="368">
        <f t="shared" ref="B3:AG3" ca="1" si="2">MAX(OFFSET(B$8,0,0,NumRunYears-1))</f>
        <v>57174.024543631749</v>
      </c>
      <c r="C3" s="369">
        <f t="shared" ca="1" si="2"/>
        <v>289778.66461234522</v>
      </c>
      <c r="D3" s="369">
        <f t="shared" ca="1" si="2"/>
        <v>35893.000000000073</v>
      </c>
      <c r="E3" s="369">
        <f t="shared" ca="1" si="2"/>
        <v>5000.0000000019463</v>
      </c>
      <c r="F3" s="369">
        <f t="shared" ca="1" si="2"/>
        <v>38964.931142319867</v>
      </c>
      <c r="G3" s="369">
        <f t="shared" ca="1" si="2"/>
        <v>8965.8565144055046</v>
      </c>
      <c r="H3" s="369">
        <f t="shared" ca="1" si="2"/>
        <v>15006.999999998281</v>
      </c>
      <c r="I3" s="370">
        <f t="shared" ca="1" si="2"/>
        <v>11624.990000001573</v>
      </c>
      <c r="J3" s="368">
        <f t="shared" ca="1" si="2"/>
        <v>57660.088000210133</v>
      </c>
      <c r="K3" s="369">
        <f t="shared" ca="1" si="2"/>
        <v>290172.06466946361</v>
      </c>
      <c r="L3" s="369">
        <f t="shared" ca="1" si="2"/>
        <v>35893.000000000073</v>
      </c>
      <c r="M3" s="369">
        <f t="shared" ca="1" si="2"/>
        <v>5000.0000000019463</v>
      </c>
      <c r="N3" s="369">
        <f t="shared" ca="1" si="2"/>
        <v>38964.931142319867</v>
      </c>
      <c r="O3" s="369">
        <f t="shared" ca="1" si="2"/>
        <v>14287.999999998347</v>
      </c>
      <c r="P3" s="369">
        <f t="shared" ca="1" si="2"/>
        <v>15006.999999998281</v>
      </c>
      <c r="Q3" s="370">
        <f t="shared" ca="1" si="2"/>
        <v>11624.990000001573</v>
      </c>
      <c r="R3" s="368">
        <f t="shared" ca="1" si="2"/>
        <v>109067.13000005134</v>
      </c>
      <c r="S3" s="369">
        <f t="shared" ca="1" si="2"/>
        <v>362223.33076543163</v>
      </c>
      <c r="T3" s="369">
        <f t="shared" ca="1" si="2"/>
        <v>37764.238566617634</v>
      </c>
      <c r="U3" s="369">
        <f t="shared" ca="1" si="2"/>
        <v>5000.0000000019463</v>
      </c>
      <c r="V3" s="369">
        <f t="shared" ca="1" si="2"/>
        <v>65397.485404561805</v>
      </c>
      <c r="W3" s="369">
        <f t="shared" ca="1" si="2"/>
        <v>16506.172143616677</v>
      </c>
      <c r="X3" s="369">
        <f t="shared" ca="1" si="2"/>
        <v>23004.853073953469</v>
      </c>
      <c r="Y3" s="370">
        <f t="shared" ca="1" si="2"/>
        <v>19374.983333335967</v>
      </c>
      <c r="Z3" s="368">
        <f t="shared" ca="1" si="2"/>
        <v>110480.09466671855</v>
      </c>
      <c r="AA3" s="369">
        <f t="shared" ca="1" si="2"/>
        <v>362715.08083682926</v>
      </c>
      <c r="AB3" s="369">
        <f t="shared" ca="1" si="2"/>
        <v>37764.238566617634</v>
      </c>
      <c r="AC3" s="369">
        <f t="shared" ca="1" si="2"/>
        <v>5000.0000000019463</v>
      </c>
      <c r="AD3" s="369">
        <f t="shared" ca="1" si="2"/>
        <v>65397.485404561805</v>
      </c>
      <c r="AE3" s="369">
        <f t="shared" ca="1" si="2"/>
        <v>25592.260393447792</v>
      </c>
      <c r="AF3" s="369">
        <f t="shared" ca="1" si="2"/>
        <v>23004.853073953469</v>
      </c>
      <c r="AG3" s="370">
        <f t="shared" ca="1" si="2"/>
        <v>19374.983333335967</v>
      </c>
    </row>
    <row r="4" spans="1:33" x14ac:dyDescent="0.25">
      <c r="B4" s="368"/>
      <c r="C4" s="369"/>
      <c r="D4" s="369"/>
      <c r="E4" s="369"/>
      <c r="F4" s="369"/>
      <c r="G4" s="369"/>
      <c r="H4" s="369"/>
      <c r="I4" s="370"/>
      <c r="J4" s="368"/>
      <c r="K4" s="369"/>
      <c r="L4" s="369"/>
      <c r="M4" s="369"/>
      <c r="N4" s="369"/>
      <c r="O4" s="369"/>
      <c r="P4" s="369"/>
      <c r="Q4" s="370"/>
      <c r="R4" s="368"/>
      <c r="S4" s="369"/>
      <c r="T4" s="369"/>
      <c r="U4" s="369"/>
      <c r="V4" s="369"/>
      <c r="W4" s="369"/>
      <c r="X4" s="369"/>
      <c r="Y4" s="370"/>
      <c r="Z4" s="368"/>
      <c r="AA4" s="369"/>
      <c r="AB4" s="369"/>
      <c r="AC4" s="369"/>
      <c r="AD4" s="369"/>
      <c r="AE4" s="369"/>
      <c r="AF4" s="369"/>
      <c r="AG4" s="370"/>
    </row>
    <row r="5" spans="1:33" ht="30" x14ac:dyDescent="0.25">
      <c r="B5" s="371" t="s">
        <v>568</v>
      </c>
      <c r="C5" s="372" t="s">
        <v>568</v>
      </c>
      <c r="D5" s="372" t="s">
        <v>568</v>
      </c>
      <c r="E5" s="372" t="s">
        <v>568</v>
      </c>
      <c r="F5" s="372" t="s">
        <v>568</v>
      </c>
      <c r="G5" s="372" t="s">
        <v>568</v>
      </c>
      <c r="H5" s="372" t="s">
        <v>568</v>
      </c>
      <c r="I5" s="373" t="s">
        <v>568</v>
      </c>
      <c r="J5" s="383" t="s">
        <v>569</v>
      </c>
      <c r="K5" s="384" t="s">
        <v>569</v>
      </c>
      <c r="L5" s="384" t="s">
        <v>569</v>
      </c>
      <c r="M5" s="384" t="s">
        <v>569</v>
      </c>
      <c r="N5" s="384" t="s">
        <v>569</v>
      </c>
      <c r="O5" s="384" t="s">
        <v>569</v>
      </c>
      <c r="P5" s="384" t="s">
        <v>569</v>
      </c>
      <c r="Q5" s="385" t="s">
        <v>569</v>
      </c>
      <c r="R5" s="371" t="s">
        <v>570</v>
      </c>
      <c r="S5" s="372" t="s">
        <v>570</v>
      </c>
      <c r="T5" s="372" t="s">
        <v>570</v>
      </c>
      <c r="U5" s="372" t="s">
        <v>570</v>
      </c>
      <c r="V5" s="372" t="s">
        <v>570</v>
      </c>
      <c r="W5" s="372" t="s">
        <v>570</v>
      </c>
      <c r="X5" s="372" t="s">
        <v>570</v>
      </c>
      <c r="Y5" s="373" t="s">
        <v>570</v>
      </c>
      <c r="Z5" s="383" t="s">
        <v>571</v>
      </c>
      <c r="AA5" s="384" t="s">
        <v>571</v>
      </c>
      <c r="AB5" s="384" t="s">
        <v>571</v>
      </c>
      <c r="AC5" s="384" t="s">
        <v>571</v>
      </c>
      <c r="AD5" s="384" t="s">
        <v>571</v>
      </c>
      <c r="AE5" s="384" t="s">
        <v>571</v>
      </c>
      <c r="AF5" s="384" t="s">
        <v>571</v>
      </c>
      <c r="AG5" s="385" t="s">
        <v>571</v>
      </c>
    </row>
    <row r="6" spans="1:33" s="122" customFormat="1" ht="105" x14ac:dyDescent="0.25">
      <c r="A6" s="2"/>
      <c r="B6" s="374" t="s">
        <v>60</v>
      </c>
      <c r="C6" s="375" t="s">
        <v>61</v>
      </c>
      <c r="D6" s="375" t="s">
        <v>62</v>
      </c>
      <c r="E6" s="375" t="s">
        <v>294</v>
      </c>
      <c r="F6" s="302" t="s">
        <v>297</v>
      </c>
      <c r="G6" s="302" t="s">
        <v>289</v>
      </c>
      <c r="H6" s="375" t="s">
        <v>298</v>
      </c>
      <c r="I6" s="376" t="s">
        <v>300</v>
      </c>
      <c r="J6" s="374" t="s">
        <v>60</v>
      </c>
      <c r="K6" s="375" t="s">
        <v>61</v>
      </c>
      <c r="L6" s="375" t="s">
        <v>62</v>
      </c>
      <c r="M6" s="375" t="s">
        <v>294</v>
      </c>
      <c r="N6" s="302" t="s">
        <v>297</v>
      </c>
      <c r="O6" s="302" t="s">
        <v>289</v>
      </c>
      <c r="P6" s="375" t="s">
        <v>298</v>
      </c>
      <c r="Q6" s="376" t="s">
        <v>300</v>
      </c>
      <c r="R6" s="374" t="s">
        <v>60</v>
      </c>
      <c r="S6" s="375" t="s">
        <v>61</v>
      </c>
      <c r="T6" s="375" t="s">
        <v>62</v>
      </c>
      <c r="U6" s="375" t="s">
        <v>294</v>
      </c>
      <c r="V6" s="302" t="s">
        <v>297</v>
      </c>
      <c r="W6" s="302" t="s">
        <v>289</v>
      </c>
      <c r="X6" s="375" t="s">
        <v>298</v>
      </c>
      <c r="Y6" s="376" t="s">
        <v>300</v>
      </c>
      <c r="Z6" s="374" t="s">
        <v>60</v>
      </c>
      <c r="AA6" s="375" t="s">
        <v>61</v>
      </c>
      <c r="AB6" s="375" t="s">
        <v>62</v>
      </c>
      <c r="AC6" s="375" t="s">
        <v>294</v>
      </c>
      <c r="AD6" s="302" t="s">
        <v>297</v>
      </c>
      <c r="AE6" s="302" t="s">
        <v>289</v>
      </c>
      <c r="AF6" s="375" t="s">
        <v>298</v>
      </c>
      <c r="AG6" s="376" t="s">
        <v>300</v>
      </c>
    </row>
    <row r="7" spans="1:33" x14ac:dyDescent="0.25">
      <c r="A7" s="4">
        <v>10593.999305555555</v>
      </c>
      <c r="B7" s="377"/>
      <c r="C7" s="378"/>
      <c r="D7" s="378"/>
      <c r="E7" s="378"/>
      <c r="F7" s="378"/>
      <c r="G7" s="378"/>
      <c r="H7" s="378"/>
      <c r="I7" s="379"/>
      <c r="J7" s="377"/>
      <c r="K7" s="378"/>
      <c r="L7" s="378"/>
      <c r="M7" s="378"/>
      <c r="N7" s="378"/>
      <c r="O7" s="378"/>
      <c r="P7" s="378"/>
      <c r="Q7" s="379"/>
      <c r="R7" s="377"/>
      <c r="S7" s="378"/>
      <c r="T7" s="378"/>
      <c r="U7" s="378"/>
      <c r="V7" s="378"/>
      <c r="W7" s="378"/>
      <c r="X7" s="378"/>
      <c r="Y7" s="379"/>
      <c r="Z7" s="377"/>
      <c r="AA7" s="378"/>
      <c r="AB7" s="378"/>
      <c r="AC7" s="378"/>
      <c r="AD7" s="378"/>
      <c r="AE7" s="378"/>
      <c r="AF7" s="378"/>
      <c r="AG7" s="379"/>
    </row>
    <row r="8" spans="1:33" x14ac:dyDescent="0.25">
      <c r="A8" s="4">
        <v>10958.999305555555</v>
      </c>
      <c r="B8" s="311">
        <f>SUM(AnnualDepletions!$B8:$G8,AnnualDepletions!$M8:$V8,AnnualDepletions!$BJ8)</f>
        <v>57174.024543631749</v>
      </c>
      <c r="C8" s="312">
        <f>SUM(AnnualDepletions!$AT8:$AV8)</f>
        <v>205044.84905760194</v>
      </c>
      <c r="D8" s="312">
        <f>SUM(AnnualDepletions!$AS8,AnnualDepletions!$AW8)</f>
        <v>35893.000000000051</v>
      </c>
      <c r="E8" s="312">
        <f>SUM(AnnualDepletions!$AA8:$AD8)</f>
        <v>5000.0000000019172</v>
      </c>
      <c r="F8" s="312">
        <f>SUM(AnnualDepletions!$BE8,AnnualDepletions!$BA8,AnnualDepletions!$AX8,AnnualDepletions!$AH8,AnnualDepletions!$AE8)</f>
        <v>27491.108024813639</v>
      </c>
      <c r="G8" s="312">
        <f>SUM(AnnualDepletions!$AR8,AnnualDepletions!$AF8,AnnualDepletions!$AZ8)</f>
        <v>7517.6013841089489</v>
      </c>
      <c r="H8" s="312">
        <f>SUM(AnnualDepletions!$BD8,AnnualDepletions!$K8,AnnualDepletions!$H8)</f>
        <v>11173.999999998716</v>
      </c>
      <c r="I8" s="380">
        <f>SUM(AnnualDepletions!$I8,AnnualDepletions!$W8,AnnualDepletions!$X8,AnnualDepletions!$Y8,AnnualDepletions!$Z8,AnnualDepletions!$AI8,AnnualDepletions!$BB8,AnnualDepletions!$BF8)</f>
        <v>11624.990000001573</v>
      </c>
      <c r="J8" s="472">
        <f>SUM(AnnualDeplReqs!$B8:$G8,AnnualDeplReqs!$M8:$V8,AnnualDeplReqs!$BJ8)+AnnualDepletions!BJ8</f>
        <v>57174.024543631749</v>
      </c>
      <c r="K8" s="312">
        <f>SUM(AnnualDeplReqs!$AT8:$AV8)</f>
        <v>205044.84905760194</v>
      </c>
      <c r="L8" s="312">
        <f>SUM(AnnualDeplReqs!$AS8,AnnualDeplReqs!$AW8)</f>
        <v>35893.000000000073</v>
      </c>
      <c r="M8" s="312">
        <f>SUM(AnnualDeplReqs!$AA8:$AD8)</f>
        <v>5000.0000000019172</v>
      </c>
      <c r="N8" s="312">
        <f>SUM(AnnualDeplReqs!$BE8,AnnualDeplReqs!$BA8,AnnualDeplReqs!$AX8,AnnualDeplReqs!$AH8,AnnualDeplReqs!$AE8)</f>
        <v>27491.108024813639</v>
      </c>
      <c r="O8" s="312">
        <f>SUM(AnnualDeplReqs!$AR8,AnnualDeplReqs!$AF8,AnnualDeplReqs!$AZ8)</f>
        <v>10062.999999998847</v>
      </c>
      <c r="P8" s="312">
        <f>SUM(AnnualDeplReqs!$BD8,AnnualDeplReqs!$K8,AnnualDeplReqs!$H8)</f>
        <v>11173.999999998716</v>
      </c>
      <c r="Q8" s="380">
        <f>SUM(AnnualDeplReqs!$I8,AnnualDeplReqs!$W8,AnnualDeplReqs!$X8,AnnualDeplReqs!$Y8,AnnualDeplReqs!$Z8,AnnualDeplReqs!$AI8,AnnualDeplReqs!$BB8,AnnualDeplReqs!$BF8)</f>
        <v>11624.990000001573</v>
      </c>
      <c r="R8" s="311">
        <f>SUM(AnnualDiversions!$B8:$G8,AnnualDiversions!$M8:$V8,AnnualDiversions!$BJ8)</f>
        <v>109067.13000005133</v>
      </c>
      <c r="S8" s="312">
        <f>SUM(AnnualDiversions!$AT8:$AV8)</f>
        <v>256306.06132200325</v>
      </c>
      <c r="T8" s="312">
        <f>SUM(AnnualDiversions!$AS8,AnnualDiversions!$AW8)</f>
        <v>37764.238566617612</v>
      </c>
      <c r="U8" s="312">
        <f>SUM(AnnualDiversions!$AA8:$AD8)</f>
        <v>5000.0000000019172</v>
      </c>
      <c r="V8" s="312">
        <f>SUM(AnnualDiversions!$BE8,AnnualDiversions!$BA8,AnnualDiversions!$AX8,AnnualDiversions!$AH8,AnnualDiversions!$AE8)</f>
        <v>46144.669571300983</v>
      </c>
      <c r="W8" s="312">
        <f>SUM(AnnualDiversions!$AR8,AnnualDiversions!$AF8,AnnualDiversions!$AZ8)</f>
        <v>14141.975159051402</v>
      </c>
      <c r="X8" s="312">
        <f>SUM(AnnualDiversions!$BD8,AnnualDiversions!$K8,AnnualDiversions!$H8)</f>
        <v>17127.763037825309</v>
      </c>
      <c r="Y8" s="380">
        <f>SUM(AnnualDiversions!$I8,AnnualDiversions!$W8,AnnualDiversions!$X8,AnnualDiversions!$Y8,AnnualDiversions!$Z8,AnnualDiversions!$AI8,AnnualDiversions!$BB8,AnnualDiversions!$BF8)</f>
        <v>19374.983333335964</v>
      </c>
      <c r="Z8" s="311">
        <f>SUM(AnnualDivReqs!$B8:$G8,AnnualDivReqs!$M8:$V8,AnnualDivReqs!$BJ8)</f>
        <v>109067.13000005133</v>
      </c>
      <c r="AA8" s="312">
        <f>SUM(AnnualDivReqs!$AT8:$AV8)</f>
        <v>256306.06132200325</v>
      </c>
      <c r="AB8" s="312">
        <f>SUM(AnnualDivReqs!$AS8,AnnualDivReqs!$AW8)</f>
        <v>37764.238566617634</v>
      </c>
      <c r="AC8" s="312">
        <f>SUM(AnnualDivReqs!$AA8:$AD8)</f>
        <v>5000.0000000019172</v>
      </c>
      <c r="AD8" s="312">
        <f>SUM(AnnualDivReqs!$BE8,AnnualDivReqs!$BA8,AnnualDivReqs!$AX8,AnnualDivReqs!$AH8,AnnualDivReqs!$AE8)</f>
        <v>46144.669571300983</v>
      </c>
      <c r="AE8" s="312">
        <f>SUM(AnnualDivReqs!$AR8,AnnualDivReqs!$AF8,AnnualDivReqs!$AZ8)</f>
        <v>18022.374922410338</v>
      </c>
      <c r="AF8" s="312">
        <f>SUM(AnnualDivReqs!$BD8,AnnualDivReqs!$K8,AnnualDivReqs!$H8)</f>
        <v>17127.763037825309</v>
      </c>
      <c r="AG8" s="380">
        <f>SUM(AnnualDivReqs!$I8,AnnualDivReqs!$W8,AnnualDivReqs!$X8,AnnualDivReqs!$Y8,AnnualDivReqs!$Z8,AnnualDivReqs!$AI8,AnnualDivReqs!$BB8,AnnualDivReqs!$BF8)</f>
        <v>19374.983333335964</v>
      </c>
    </row>
    <row r="9" spans="1:33" x14ac:dyDescent="0.25">
      <c r="A9" s="4">
        <v>11323.999305555555</v>
      </c>
      <c r="B9" s="311">
        <f>SUM(AnnualDepletions!$B9:$G9,AnnualDepletions!$M9:$V9,AnnualDepletions!$BJ9)</f>
        <v>57167.482535300594</v>
      </c>
      <c r="C9" s="312">
        <f>SUM(AnnualDepletions!$AT9:$AV9)</f>
        <v>226106.50738278934</v>
      </c>
      <c r="D9" s="312">
        <f>SUM(AnnualDepletions!$AS9,AnnualDepletions!$AW9)</f>
        <v>35893.000000000051</v>
      </c>
      <c r="E9" s="312">
        <f>SUM(AnnualDepletions!$AA9:$AD9)</f>
        <v>5000.0000000019172</v>
      </c>
      <c r="F9" s="312">
        <f>SUM(AnnualDepletions!$BE9,AnnualDepletions!$BA9,AnnualDepletions!$AX9,AnnualDepletions!$AH9,AnnualDepletions!$AE9)</f>
        <v>32236.999999996297</v>
      </c>
      <c r="G9" s="312">
        <f>SUM(AnnualDepletions!$AR9,AnnualDepletions!$AF9,AnnualDepletions!$AZ9)</f>
        <v>5704.0392476925572</v>
      </c>
      <c r="H9" s="312">
        <f>SUM(AnnualDepletions!$BD9,AnnualDepletions!$K9,AnnualDepletions!$H9)</f>
        <v>12645.999999998541</v>
      </c>
      <c r="I9" s="380">
        <f>SUM(AnnualDepletions!$I9,AnnualDepletions!$W9,AnnualDepletions!$X9,AnnualDepletions!$Y9,AnnualDepletions!$Z9,AnnualDepletions!$AI9,AnnualDepletions!$BB9,AnnualDepletions!$BF9)</f>
        <v>11624.990000001573</v>
      </c>
      <c r="J9" s="472">
        <f>SUM(AnnualDeplReqs!$B9:$G9,AnnualDeplReqs!$M9:$V9,AnnualDeplReqs!$BJ9)+AnnualDepletions!BJ9</f>
        <v>57167.482535300594</v>
      </c>
      <c r="K9" s="312">
        <f>SUM(AnnualDeplReqs!$AT9:$AV9)</f>
        <v>226106.50738278934</v>
      </c>
      <c r="L9" s="312">
        <f>SUM(AnnualDeplReqs!$AS9,AnnualDeplReqs!$AW9)</f>
        <v>35893.000000000073</v>
      </c>
      <c r="M9" s="312">
        <f>SUM(AnnualDeplReqs!$AA9:$AD9)</f>
        <v>5000.0000000019172</v>
      </c>
      <c r="N9" s="312">
        <f>SUM(AnnualDeplReqs!$BE9,AnnualDeplReqs!$BA9,AnnualDeplReqs!$AX9,AnnualDeplReqs!$AH9,AnnualDeplReqs!$AE9)</f>
        <v>32236.999999996297</v>
      </c>
      <c r="O9" s="312">
        <f>SUM(AnnualDeplReqs!$AR9,AnnualDeplReqs!$AF9,AnnualDeplReqs!$AZ9)</f>
        <v>11782.999999998645</v>
      </c>
      <c r="P9" s="312">
        <f>SUM(AnnualDeplReqs!$BD9,AnnualDeplReqs!$K9,AnnualDeplReqs!$H9)</f>
        <v>12645.999999998541</v>
      </c>
      <c r="Q9" s="380">
        <f>SUM(AnnualDeplReqs!$I9,AnnualDeplReqs!$W9,AnnualDeplReqs!$X9,AnnualDeplReqs!$Y9,AnnualDeplReqs!$Z9,AnnualDeplReqs!$AI9,AnnualDeplReqs!$BB9,AnnualDeplReqs!$BF9)</f>
        <v>11624.990000001573</v>
      </c>
      <c r="R9" s="311">
        <f>SUM(AnnualDiversions!$B9:$G9,AnnualDiversions!$M9:$V9,AnnualDiversions!$BJ9)</f>
        <v>109067.13000005133</v>
      </c>
      <c r="S9" s="312">
        <f>SUM(AnnualDiversions!$AT9:$AV9)</f>
        <v>282633.1342284868</v>
      </c>
      <c r="T9" s="312">
        <f>SUM(AnnualDiversions!$AS9,AnnualDiversions!$AW9)</f>
        <v>37764.238566617612</v>
      </c>
      <c r="U9" s="312">
        <f>SUM(AnnualDiversions!$AA9:$AD9)</f>
        <v>5000.0000000019172</v>
      </c>
      <c r="V9" s="312">
        <f>SUM(AnnualDiversions!$BE9,AnnualDiversions!$BA9,AnnualDiversions!$AX9,AnnualDiversions!$AH9,AnnualDiversions!$AE9)</f>
        <v>54120.754780655363</v>
      </c>
      <c r="W9" s="312">
        <f>SUM(AnnualDiversions!$AR9,AnnualDiversions!$AF9,AnnualDiversions!$AZ9)</f>
        <v>10268.513485603922</v>
      </c>
      <c r="X9" s="312">
        <f>SUM(AnnualDiversions!$BD9,AnnualDiversions!$K9,AnnualDiversions!$H9)</f>
        <v>19384.839267705021</v>
      </c>
      <c r="Y9" s="380">
        <f>SUM(AnnualDiversions!$I9,AnnualDiversions!$W9,AnnualDiversions!$X9,AnnualDiversions!$Y9,AnnualDiversions!$Z9,AnnualDiversions!$AI9,AnnualDiversions!$BB9,AnnualDiversions!$BF9)</f>
        <v>19374.983333335964</v>
      </c>
      <c r="Z9" s="311">
        <f>SUM(AnnualDivReqs!$B9:$G9,AnnualDivReqs!$M9:$V9,AnnualDivReqs!$BJ9)</f>
        <v>109067.13000005133</v>
      </c>
      <c r="AA9" s="312">
        <f>SUM(AnnualDivReqs!$AT9:$AV9)</f>
        <v>282633.1342284868</v>
      </c>
      <c r="AB9" s="312">
        <f>SUM(AnnualDivReqs!$AS9,AnnualDivReqs!$AW9)</f>
        <v>37764.238566617634</v>
      </c>
      <c r="AC9" s="312">
        <f>SUM(AnnualDivReqs!$AA9:$AD9)</f>
        <v>5000.0000000019172</v>
      </c>
      <c r="AD9" s="312">
        <f>SUM(AnnualDivReqs!$BE9,AnnualDivReqs!$BA9,AnnualDivReqs!$AX9,AnnualDivReqs!$AH9,AnnualDivReqs!$AE9)</f>
        <v>54120.754780655363</v>
      </c>
      <c r="AE9" s="312">
        <f>SUM(AnnualDivReqs!$AR9,AnnualDivReqs!$AF9,AnnualDivReqs!$AZ9)</f>
        <v>21105.715687946074</v>
      </c>
      <c r="AF9" s="312">
        <f>SUM(AnnualDivReqs!$BD9,AnnualDivReqs!$K9,AnnualDivReqs!$H9)</f>
        <v>19384.839267705021</v>
      </c>
      <c r="AG9" s="380">
        <f>SUM(AnnualDivReqs!$I9,AnnualDivReqs!$W9,AnnualDivReqs!$X9,AnnualDivReqs!$Y9,AnnualDivReqs!$Z9,AnnualDivReqs!$AI9,AnnualDivReqs!$BB9,AnnualDivReqs!$BF9)</f>
        <v>19374.983333335964</v>
      </c>
    </row>
    <row r="10" spans="1:33" x14ac:dyDescent="0.25">
      <c r="A10" s="4">
        <v>11688.999305555555</v>
      </c>
      <c r="B10" s="311">
        <f>SUM(AnnualDepletions!$B10:$G10,AnnualDepletions!$M10:$V10,AnnualDepletions!$BJ10)</f>
        <v>57131.517503007526</v>
      </c>
      <c r="C10" s="312">
        <f>SUM(AnnualDepletions!$AT10:$AV10)</f>
        <v>224787.66544559129</v>
      </c>
      <c r="D10" s="312">
        <f>SUM(AnnualDepletions!$AS10,AnnualDepletions!$AW10)</f>
        <v>35893.000000000073</v>
      </c>
      <c r="E10" s="312">
        <f>SUM(AnnualDepletions!$AA10:$AD10)</f>
        <v>5000.0000000019172</v>
      </c>
      <c r="F10" s="312">
        <f>SUM(AnnualDepletions!$BE10,AnnualDepletions!$BA10,AnnualDepletions!$AX10,AnnualDepletions!$AH10,AnnualDepletions!$AE10)</f>
        <v>30862.350570747752</v>
      </c>
      <c r="G10" s="312">
        <f>SUM(AnnualDepletions!$AR10,AnnualDepletions!$AF10,AnnualDepletions!$AZ10)</f>
        <v>2975.6327023860349</v>
      </c>
      <c r="H10" s="312">
        <f>SUM(AnnualDepletions!$BD10,AnnualDepletions!$K10,AnnualDepletions!$H10)</f>
        <v>12531.999999998558</v>
      </c>
      <c r="I10" s="380">
        <f>SUM(AnnualDepletions!$I10,AnnualDepletions!$W10,AnnualDepletions!$X10,AnnualDepletions!$Y10,AnnualDepletions!$Z10,AnnualDepletions!$AI10,AnnualDepletions!$BB10,AnnualDepletions!$BF10)</f>
        <v>11624.990000001573</v>
      </c>
      <c r="J10" s="472">
        <f>SUM(AnnualDeplReqs!$B10:$G10,AnnualDeplReqs!$M10:$V10,AnnualDeplReqs!$BJ10)+AnnualDepletions!BJ10</f>
        <v>57242.847703182844</v>
      </c>
      <c r="K10" s="312">
        <f>SUM(AnnualDeplReqs!$AT10:$AV10)</f>
        <v>224787.66544559129</v>
      </c>
      <c r="L10" s="312">
        <f>SUM(AnnualDeplReqs!$AS10,AnnualDeplReqs!$AW10)</f>
        <v>35893.000000000073</v>
      </c>
      <c r="M10" s="312">
        <f>SUM(AnnualDeplReqs!$AA10:$AD10)</f>
        <v>5000.0000000019172</v>
      </c>
      <c r="N10" s="312">
        <f>SUM(AnnualDeplReqs!$BE10,AnnualDeplReqs!$BA10,AnnualDeplReqs!$AX10,AnnualDeplReqs!$AH10,AnnualDeplReqs!$AE10)</f>
        <v>30862.350570747752</v>
      </c>
      <c r="O10" s="312">
        <f>SUM(AnnualDeplReqs!$AR10,AnnualDeplReqs!$AF10,AnnualDeplReqs!$AZ10)</f>
        <v>11314.999999998699</v>
      </c>
      <c r="P10" s="312">
        <f>SUM(AnnualDeplReqs!$BD10,AnnualDeplReqs!$K10,AnnualDeplReqs!$H10)</f>
        <v>12531.999999998558</v>
      </c>
      <c r="Q10" s="380">
        <f>SUM(AnnualDeplReqs!$I10,AnnualDeplReqs!$W10,AnnualDeplReqs!$X10,AnnualDeplReqs!$Y10,AnnualDeplReqs!$Z10,AnnualDeplReqs!$AI10,AnnualDeplReqs!$BB10,AnnualDeplReqs!$BF10)</f>
        <v>11624.990000001573</v>
      </c>
      <c r="R10" s="311">
        <f>SUM(AnnualDiversions!$B10:$G10,AnnualDiversions!$M10:$V10,AnnualDiversions!$BJ10)</f>
        <v>109067.13000005133</v>
      </c>
      <c r="S10" s="312">
        <f>SUM(AnnualDiversions!$AT10:$AV10)</f>
        <v>280984.58180698927</v>
      </c>
      <c r="T10" s="312">
        <f>SUM(AnnualDiversions!$AS10,AnnualDiversions!$AW10)</f>
        <v>37764.238566617634</v>
      </c>
      <c r="U10" s="312">
        <f>SUM(AnnualDiversions!$AA10:$AD10)</f>
        <v>5000.0000000019172</v>
      </c>
      <c r="V10" s="312">
        <f>SUM(AnnualDiversions!$BE10,AnnualDiversions!$BA10,AnnualDiversions!$AX10,AnnualDiversions!$AH10,AnnualDiversions!$AE10)</f>
        <v>51802.254608489238</v>
      </c>
      <c r="W10" s="312">
        <f>SUM(AnnualDiversions!$AR10,AnnualDiversions!$AF10,AnnualDiversions!$AZ10)</f>
        <v>5383.2042711114991</v>
      </c>
      <c r="X10" s="312">
        <f>SUM(AnnualDiversions!$BD10,AnnualDiversions!$K10,AnnualDiversions!$H10)</f>
        <v>19210.032924749594</v>
      </c>
      <c r="Y10" s="380">
        <f>SUM(AnnualDiversions!$I10,AnnualDiversions!$W10,AnnualDiversions!$X10,AnnualDiversions!$Y10,AnnualDiversions!$Z10,AnnualDiversions!$AI10,AnnualDiversions!$BB10,AnnualDiversions!$BF10)</f>
        <v>19374.983333335964</v>
      </c>
      <c r="Z10" s="311">
        <f>SUM(AnnualDivReqs!$B10:$G10,AnnualDivReqs!$M10:$V10,AnnualDivReqs!$BJ10)</f>
        <v>109289.79040040197</v>
      </c>
      <c r="AA10" s="312">
        <f>SUM(AnnualDivReqs!$AT10:$AV10)</f>
        <v>280984.58180698927</v>
      </c>
      <c r="AB10" s="312">
        <f>SUM(AnnualDivReqs!$AS10,AnnualDivReqs!$AW10)</f>
        <v>37764.238566617634</v>
      </c>
      <c r="AC10" s="312">
        <f>SUM(AnnualDivReqs!$AA10:$AD10)</f>
        <v>5000.0000000019172</v>
      </c>
      <c r="AD10" s="312">
        <f>SUM(AnnualDivReqs!$BE10,AnnualDivReqs!$BA10,AnnualDivReqs!$AX10,AnnualDivReqs!$AH10,AnnualDivReqs!$AE10)</f>
        <v>51802.254608489238</v>
      </c>
      <c r="AE10" s="312">
        <f>SUM(AnnualDivReqs!$AR10,AnnualDivReqs!$AF10,AnnualDivReqs!$AZ10)</f>
        <v>20265.498332743653</v>
      </c>
      <c r="AF10" s="312">
        <f>SUM(AnnualDivReqs!$BD10,AnnualDivReqs!$K10,AnnualDivReqs!$H10)</f>
        <v>19210.032924749594</v>
      </c>
      <c r="AG10" s="380">
        <f>SUM(AnnualDivReqs!$I10,AnnualDivReqs!$W10,AnnualDivReqs!$X10,AnnualDivReqs!$Y10,AnnualDivReqs!$Z10,AnnualDivReqs!$AI10,AnnualDivReqs!$BB10,AnnualDivReqs!$BF10)</f>
        <v>19374.983333335964</v>
      </c>
    </row>
    <row r="11" spans="1:33" x14ac:dyDescent="0.25">
      <c r="A11" s="4">
        <v>12054.999305555555</v>
      </c>
      <c r="B11" s="311">
        <f>SUM(AnnualDepletions!$B11:$G11,AnnualDepletions!$M11:$V11,AnnualDepletions!$BJ11)</f>
        <v>57172.060889821762</v>
      </c>
      <c r="C11" s="312">
        <f>SUM(AnnualDepletions!$AT11:$AV11)</f>
        <v>215807.01159262436</v>
      </c>
      <c r="D11" s="312">
        <f>SUM(AnnualDepletions!$AS11,AnnualDepletions!$AW11)</f>
        <v>35893.000000000051</v>
      </c>
      <c r="E11" s="312">
        <f>SUM(AnnualDepletions!$AA11:$AD11)</f>
        <v>5000.0000000019463</v>
      </c>
      <c r="F11" s="312">
        <f>SUM(AnnualDepletions!$BE11,AnnualDepletions!$BA11,AnnualDepletions!$AX11,AnnualDepletions!$AH11,AnnualDepletions!$AE11)</f>
        <v>31228.652953804238</v>
      </c>
      <c r="G11" s="312">
        <f>SUM(AnnualDepletions!$AR11,AnnualDepletions!$AF11,AnnualDepletions!$AZ11)</f>
        <v>7476.8948473354731</v>
      </c>
      <c r="H11" s="312">
        <f>SUM(AnnualDepletions!$BD11,AnnualDepletions!$K11,AnnualDepletions!$H11)</f>
        <v>11106.999999998727</v>
      </c>
      <c r="I11" s="380">
        <f>SUM(AnnualDepletions!$I11,AnnualDepletions!$W11,AnnualDepletions!$X11,AnnualDepletions!$Y11,AnnualDepletions!$Z11,AnnualDepletions!$AI11,AnnualDepletions!$BB11,AnnualDepletions!$BF11)</f>
        <v>11624.990000001573</v>
      </c>
      <c r="J11" s="472">
        <f>SUM(AnnualDeplReqs!$B11:$G11,AnnualDeplReqs!$M11:$V11,AnnualDeplReqs!$BJ11)+AnnualDepletions!BJ11</f>
        <v>57172.060889821762</v>
      </c>
      <c r="K11" s="312">
        <f>SUM(AnnualDeplReqs!$AT11:$AV11)</f>
        <v>215807.01159262436</v>
      </c>
      <c r="L11" s="312">
        <f>SUM(AnnualDeplReqs!$AS11,AnnualDeplReqs!$AW11)</f>
        <v>35893.000000000073</v>
      </c>
      <c r="M11" s="312">
        <f>SUM(AnnualDeplReqs!$AA11:$AD11)</f>
        <v>5000.0000000019463</v>
      </c>
      <c r="N11" s="312">
        <f>SUM(AnnualDeplReqs!$BE11,AnnualDeplReqs!$BA11,AnnualDeplReqs!$AX11,AnnualDeplReqs!$AH11,AnnualDeplReqs!$AE11)</f>
        <v>31228.652953804238</v>
      </c>
      <c r="O11" s="312">
        <f>SUM(AnnualDeplReqs!$AR11,AnnualDeplReqs!$AF11,AnnualDeplReqs!$AZ11)</f>
        <v>11338.999999998699</v>
      </c>
      <c r="P11" s="312">
        <f>SUM(AnnualDeplReqs!$BD11,AnnualDeplReqs!$K11,AnnualDeplReqs!$H11)</f>
        <v>11106.999999998727</v>
      </c>
      <c r="Q11" s="380">
        <f>SUM(AnnualDeplReqs!$I11,AnnualDeplReqs!$W11,AnnualDeplReqs!$X11,AnnualDeplReqs!$Y11,AnnualDeplReqs!$Z11,AnnualDeplReqs!$AI11,AnnualDeplReqs!$BB11,AnnualDeplReqs!$BF11)</f>
        <v>11624.990000001573</v>
      </c>
      <c r="R11" s="311">
        <f>SUM(AnnualDiversions!$B11:$G11,AnnualDiversions!$M11:$V11,AnnualDiversions!$BJ11)</f>
        <v>109067.13000005131</v>
      </c>
      <c r="S11" s="312">
        <f>SUM(AnnualDiversions!$AT11:$AV11)</f>
        <v>269758.76449078042</v>
      </c>
      <c r="T11" s="312">
        <f>SUM(AnnualDiversions!$AS11,AnnualDiversions!$AW11)</f>
        <v>37763.476493275426</v>
      </c>
      <c r="U11" s="312">
        <f>SUM(AnnualDiversions!$AA11:$AD11)</f>
        <v>5000.0000000019463</v>
      </c>
      <c r="V11" s="312">
        <f>SUM(AnnualDiversions!$BE11,AnnualDiversions!$BA11,AnnualDiversions!$AX11,AnnualDiversions!$AH11,AnnualDiversions!$AE11)</f>
        <v>52412.695815211307</v>
      </c>
      <c r="W11" s="312">
        <f>SUM(AnnualDiversions!$AR11,AnnualDiversions!$AF11,AnnualDiversions!$AZ11)</f>
        <v>13896.919080776051</v>
      </c>
      <c r="X11" s="312">
        <f>SUM(AnnualDiversions!$BD11,AnnualDiversions!$K11,AnnualDiversions!$H11)</f>
        <v>17024.837215908112</v>
      </c>
      <c r="Y11" s="380">
        <f>SUM(AnnualDiversions!$I11,AnnualDiversions!$W11,AnnualDiversions!$X11,AnnualDiversions!$Y11,AnnualDiversions!$Z11,AnnualDiversions!$AI11,AnnualDiversions!$BB11,AnnualDiversions!$BF11)</f>
        <v>19374.983333335967</v>
      </c>
      <c r="Z11" s="311">
        <f>SUM(AnnualDivReqs!$B11:$G11,AnnualDivReqs!$M11:$V11,AnnualDivReqs!$BJ11)</f>
        <v>109067.13000005131</v>
      </c>
      <c r="AA11" s="312">
        <f>SUM(AnnualDivReqs!$AT11:$AV11)</f>
        <v>269758.76449078042</v>
      </c>
      <c r="AB11" s="312">
        <f>SUM(AnnualDivReqs!$AS11,AnnualDivReqs!$AW11)</f>
        <v>37763.476493275448</v>
      </c>
      <c r="AC11" s="312">
        <f>SUM(AnnualDivReqs!$AA11:$AD11)</f>
        <v>5000.0000000019463</v>
      </c>
      <c r="AD11" s="312">
        <f>SUM(AnnualDivReqs!$BE11,AnnualDivReqs!$BA11,AnnualDivReqs!$AX11,AnnualDivReqs!$AH11,AnnualDivReqs!$AE11)</f>
        <v>52412.695815211307</v>
      </c>
      <c r="AE11" s="312">
        <f>SUM(AnnualDivReqs!$AR11,AnnualDivReqs!$AF11,AnnualDivReqs!$AZ11)</f>
        <v>20310.679800282593</v>
      </c>
      <c r="AF11" s="312">
        <f>SUM(AnnualDivReqs!$BD11,AnnualDivReqs!$K11,AnnualDivReqs!$H11)</f>
        <v>17024.837215908112</v>
      </c>
      <c r="AG11" s="380">
        <f>SUM(AnnualDivReqs!$I11,AnnualDivReqs!$W11,AnnualDivReqs!$X11,AnnualDivReqs!$Y11,AnnualDivReqs!$Z11,AnnualDivReqs!$AI11,AnnualDivReqs!$BB11,AnnualDivReqs!$BF11)</f>
        <v>19374.983333335967</v>
      </c>
    </row>
    <row r="12" spans="1:33" x14ac:dyDescent="0.25">
      <c r="A12" s="4">
        <v>12419.999305555555</v>
      </c>
      <c r="B12" s="311">
        <f>SUM(AnnualDepletions!$B12:$G12,AnnualDepletions!$M12:$V12,AnnualDepletions!$BJ12)</f>
        <v>57146.946520918165</v>
      </c>
      <c r="C12" s="312">
        <f>SUM(AnnualDepletions!$AT12:$AV12)</f>
        <v>213180.75602320075</v>
      </c>
      <c r="D12" s="312">
        <f>SUM(AnnualDepletions!$AS12,AnnualDepletions!$AW12)</f>
        <v>35893.000000000051</v>
      </c>
      <c r="E12" s="312">
        <f>SUM(AnnualDepletions!$AA12:$AD12)</f>
        <v>4978.0821917826961</v>
      </c>
      <c r="F12" s="312">
        <f>SUM(AnnualDepletions!$BE12,AnnualDepletions!$BA12,AnnualDepletions!$AX12,AnnualDepletions!$AH12,AnnualDepletions!$AE12)</f>
        <v>31146.230631985203</v>
      </c>
      <c r="G12" s="312">
        <f>SUM(AnnualDepletions!$AR12,AnnualDepletions!$AF12,AnnualDepletions!$AZ12)</f>
        <v>5105.9449831069669</v>
      </c>
      <c r="H12" s="312">
        <f>SUM(AnnualDepletions!$BD12,AnnualDepletions!$K12,AnnualDepletions!$H12)</f>
        <v>10741.999999998772</v>
      </c>
      <c r="I12" s="380">
        <f>SUM(AnnualDepletions!$I12,AnnualDepletions!$W12,AnnualDepletions!$X12,AnnualDepletions!$Y12,AnnualDepletions!$Z12,AnnualDepletions!$AI12,AnnualDepletions!$BB12,AnnualDepletions!$BF12)</f>
        <v>11624.990000001573</v>
      </c>
      <c r="J12" s="472">
        <f>SUM(AnnualDeplReqs!$B12:$G12,AnnualDeplReqs!$M12:$V12,AnnualDeplReqs!$BJ12)+AnnualDepletions!BJ12</f>
        <v>57165.621160722934</v>
      </c>
      <c r="K12" s="312">
        <f>SUM(AnnualDeplReqs!$AT12:$AV12)</f>
        <v>213180.75602320075</v>
      </c>
      <c r="L12" s="312">
        <f>SUM(AnnualDeplReqs!$AS12,AnnualDeplReqs!$AW12)</f>
        <v>35893.000000000073</v>
      </c>
      <c r="M12" s="312">
        <f>SUM(AnnualDeplReqs!$AA12:$AD12)</f>
        <v>5000.0000000019172</v>
      </c>
      <c r="N12" s="312">
        <f>SUM(AnnualDeplReqs!$BE12,AnnualDeplReqs!$BA12,AnnualDeplReqs!$AX12,AnnualDeplReqs!$AH12,AnnualDeplReqs!$AE12)</f>
        <v>31146.230631985203</v>
      </c>
      <c r="O12" s="312">
        <f>SUM(AnnualDeplReqs!$AR12,AnnualDeplReqs!$AF12,AnnualDeplReqs!$AZ12)</f>
        <v>11377.99999999869</v>
      </c>
      <c r="P12" s="312">
        <f>SUM(AnnualDeplReqs!$BD12,AnnualDeplReqs!$K12,AnnualDeplReqs!$H12)</f>
        <v>10741.999999998772</v>
      </c>
      <c r="Q12" s="380">
        <f>SUM(AnnualDeplReqs!$I12,AnnualDeplReqs!$W12,AnnualDeplReqs!$X12,AnnualDeplReqs!$Y12,AnnualDeplReqs!$Z12,AnnualDeplReqs!$AI12,AnnualDeplReqs!$BB12,AnnualDeplReqs!$BF12)</f>
        <v>11624.990000001573</v>
      </c>
      <c r="R12" s="311">
        <f>SUM(AnnualDiversions!$B12:$G12,AnnualDiversions!$M12:$V12,AnnualDiversions!$BJ12)</f>
        <v>109067.13000005134</v>
      </c>
      <c r="S12" s="312">
        <f>SUM(AnnualDiversions!$AT12:$AV12)</f>
        <v>266475.94502900168</v>
      </c>
      <c r="T12" s="312">
        <f>SUM(AnnualDiversions!$AS12,AnnualDiversions!$AW12)</f>
        <v>37764.238566617612</v>
      </c>
      <c r="U12" s="312">
        <f>SUM(AnnualDiversions!$AA12:$AD12)</f>
        <v>4978.0821917826961</v>
      </c>
      <c r="V12" s="312">
        <f>SUM(AnnualDiversions!$BE12,AnnualDiversions!$BA12,AnnualDiversions!$AX12,AnnualDiversions!$AH12,AnnualDiversions!$AE12)</f>
        <v>52265.586794962481</v>
      </c>
      <c r="W12" s="312">
        <f>SUM(AnnualDiversions!$AR12,AnnualDiversions!$AF12,AnnualDiversions!$AZ12)</f>
        <v>9332.7417043469268</v>
      </c>
      <c r="X12" s="312">
        <f>SUM(AnnualDiversions!$BD12,AnnualDiversions!$K12,AnnualDiversions!$H12)</f>
        <v>16466.28104772199</v>
      </c>
      <c r="Y12" s="380">
        <f>SUM(AnnualDiversions!$I12,AnnualDiversions!$W12,AnnualDiversions!$X12,AnnualDiversions!$Y12,AnnualDiversions!$Z12,AnnualDiversions!$AI12,AnnualDiversions!$BB12,AnnualDiversions!$BF12)</f>
        <v>19374.983333335964</v>
      </c>
      <c r="Z12" s="311">
        <f>SUM(AnnualDivReqs!$B12:$G12,AnnualDivReqs!$M12:$V12,AnnualDivReqs!$BJ12)</f>
        <v>109104.47927966088</v>
      </c>
      <c r="AA12" s="312">
        <f>SUM(AnnualDivReqs!$AT12:$AV12)</f>
        <v>266475.94502900168</v>
      </c>
      <c r="AB12" s="312">
        <f>SUM(AnnualDivReqs!$AS12,AnnualDivReqs!$AW12)</f>
        <v>37764.238566617634</v>
      </c>
      <c r="AC12" s="312">
        <f>SUM(AnnualDivReqs!$AA12:$AD12)</f>
        <v>5000.0000000019172</v>
      </c>
      <c r="AD12" s="312">
        <f>SUM(AnnualDivReqs!$BE12,AnnualDivReqs!$BA12,AnnualDivReqs!$AX12,AnnualDivReqs!$AH12,AnnualDivReqs!$AE12)</f>
        <v>52265.586794962481</v>
      </c>
      <c r="AE12" s="312">
        <f>SUM(AnnualDivReqs!$AR12,AnnualDivReqs!$AF12,AnnualDivReqs!$AZ12)</f>
        <v>20380.106300726173</v>
      </c>
      <c r="AF12" s="312">
        <f>SUM(AnnualDivReqs!$BD12,AnnualDivReqs!$K12,AnnualDivReqs!$H12)</f>
        <v>16466.28104772199</v>
      </c>
      <c r="AG12" s="380">
        <f>SUM(AnnualDivReqs!$I12,AnnualDivReqs!$W12,AnnualDivReqs!$X12,AnnualDivReqs!$Y12,AnnualDivReqs!$Z12,AnnualDivReqs!$AI12,AnnualDivReqs!$BB12,AnnualDivReqs!$BF12)</f>
        <v>19374.983333335964</v>
      </c>
    </row>
    <row r="13" spans="1:33" x14ac:dyDescent="0.25">
      <c r="A13" s="4">
        <v>12784.999305555555</v>
      </c>
      <c r="B13" s="311">
        <f>SUM(AnnualDepletions!$B13:$G13,AnnualDepletions!$M13:$V13,AnnualDepletions!$BJ13)</f>
        <v>57006.450683590469</v>
      </c>
      <c r="C13" s="312">
        <f>SUM(AnnualDepletions!$AT13:$AV13)</f>
        <v>207161.11302479496</v>
      </c>
      <c r="D13" s="312">
        <f>SUM(AnnualDepletions!$AS13,AnnualDepletions!$AW13)</f>
        <v>35893.000000000065</v>
      </c>
      <c r="E13" s="312">
        <f>SUM(AnnualDepletions!$AA13:$AD13)</f>
        <v>5000.0000000019172</v>
      </c>
      <c r="F13" s="312">
        <f>SUM(AnnualDepletions!$BE13,AnnualDepletions!$BA13,AnnualDepletions!$AX13,AnnualDepletions!$AH13,AnnualDepletions!$AE13)</f>
        <v>34168.069617652705</v>
      </c>
      <c r="G13" s="312">
        <f>SUM(AnnualDepletions!$AR13,AnnualDepletions!$AF13,AnnualDepletions!$AZ13)</f>
        <v>2973.2927564911147</v>
      </c>
      <c r="H13" s="312">
        <f>SUM(AnnualDepletions!$BD13,AnnualDepletions!$K13,AnnualDepletions!$H13)</f>
        <v>12038.999999998603</v>
      </c>
      <c r="I13" s="380">
        <f>SUM(AnnualDepletions!$I13,AnnualDepletions!$W13,AnnualDepletions!$X13,AnnualDepletions!$Y13,AnnualDepletions!$Z13,AnnualDepletions!$AI13,AnnualDepletions!$BB13,AnnualDepletions!$BF13)</f>
        <v>11624.990000001573</v>
      </c>
      <c r="J13" s="472">
        <f>SUM(AnnualDeplReqs!$B13:$G13,AnnualDeplReqs!$M13:$V13,AnnualDeplReqs!$BJ13)+AnnualDepletions!BJ13</f>
        <v>57660.088000210133</v>
      </c>
      <c r="K13" s="312">
        <f>SUM(AnnualDeplReqs!$AT13:$AV13)</f>
        <v>207161.11302479496</v>
      </c>
      <c r="L13" s="312">
        <f>SUM(AnnualDeplReqs!$AS13,AnnualDeplReqs!$AW13)</f>
        <v>35893.000000000073</v>
      </c>
      <c r="M13" s="312">
        <f>SUM(AnnualDeplReqs!$AA13:$AD13)</f>
        <v>5000.0000000019172</v>
      </c>
      <c r="N13" s="312">
        <f>SUM(AnnualDeplReqs!$BE13,AnnualDeplReqs!$BA13,AnnualDeplReqs!$AX13,AnnualDeplReqs!$AH13,AnnualDeplReqs!$AE13)</f>
        <v>34168.069617652705</v>
      </c>
      <c r="O13" s="312">
        <f>SUM(AnnualDeplReqs!$AR13,AnnualDeplReqs!$AF13,AnnualDeplReqs!$AZ13)</f>
        <v>12300.999999998583</v>
      </c>
      <c r="P13" s="312">
        <f>SUM(AnnualDeplReqs!$BD13,AnnualDeplReqs!$K13,AnnualDeplReqs!$H13)</f>
        <v>12038.999999998603</v>
      </c>
      <c r="Q13" s="380">
        <f>SUM(AnnualDeplReqs!$I13,AnnualDeplReqs!$W13,AnnualDeplReqs!$X13,AnnualDeplReqs!$Y13,AnnualDeplReqs!$Z13,AnnualDeplReqs!$AI13,AnnualDeplReqs!$BB13,AnnualDeplReqs!$BF13)</f>
        <v>11624.990000001573</v>
      </c>
      <c r="R13" s="311">
        <f>SUM(AnnualDiversions!$B13:$G13,AnnualDiversions!$M13:$V13,AnnualDiversions!$BJ13)</f>
        <v>109067.13000005134</v>
      </c>
      <c r="S13" s="312">
        <f>SUM(AnnualDiversions!$AT13:$AV13)</f>
        <v>258951.3912809937</v>
      </c>
      <c r="T13" s="312">
        <f>SUM(AnnualDiversions!$AS13,AnnualDiversions!$AW13)</f>
        <v>37764.238566617627</v>
      </c>
      <c r="U13" s="312">
        <f>SUM(AnnualDiversions!$AA13:$AD13)</f>
        <v>5000.0000000019172</v>
      </c>
      <c r="V13" s="312">
        <f>SUM(AnnualDiversions!$BE13,AnnualDiversions!$BA13,AnnualDiversions!$AX13,AnnualDiversions!$AH13,AnnualDiversions!$AE13)</f>
        <v>57356.96364773604</v>
      </c>
      <c r="W13" s="312">
        <f>SUM(AnnualDiversions!$AR13,AnnualDiversions!$AF13,AnnualDiversions!$AZ13)</f>
        <v>5196.371213960032</v>
      </c>
      <c r="X13" s="312">
        <f>SUM(AnnualDiversions!$BD13,AnnualDiversions!$K13,AnnualDiversions!$H13)</f>
        <v>18452.229534747457</v>
      </c>
      <c r="Y13" s="380">
        <f>SUM(AnnualDiversions!$I13,AnnualDiversions!$W13,AnnualDiversions!$X13,AnnualDiversions!$Y13,AnnualDiversions!$Z13,AnnualDiversions!$AI13,AnnualDiversions!$BB13,AnnualDiversions!$BF13)</f>
        <v>19374.983333335964</v>
      </c>
      <c r="Z13" s="311">
        <f>SUM(AnnualDivReqs!$B13:$G13,AnnualDivReqs!$M13:$V13,AnnualDivReqs!$BJ13)</f>
        <v>110374.40463329067</v>
      </c>
      <c r="AA13" s="312">
        <f>SUM(AnnualDivReqs!$AT13:$AV13)</f>
        <v>258951.3912809937</v>
      </c>
      <c r="AB13" s="312">
        <f>SUM(AnnualDivReqs!$AS13,AnnualDivReqs!$AW13)</f>
        <v>37764.238566617634</v>
      </c>
      <c r="AC13" s="312">
        <f>SUM(AnnualDivReqs!$AA13:$AD13)</f>
        <v>5000.0000000019172</v>
      </c>
      <c r="AD13" s="312">
        <f>SUM(AnnualDivReqs!$BE13,AnnualDivReqs!$BA13,AnnualDivReqs!$AX13,AnnualDivReqs!$AH13,AnnualDivReqs!$AE13)</f>
        <v>57356.96364773604</v>
      </c>
      <c r="AE13" s="312">
        <f>SUM(AnnualDivReqs!$AR13,AnnualDivReqs!$AF13,AnnualDivReqs!$AZ13)</f>
        <v>22037.398844316482</v>
      </c>
      <c r="AF13" s="312">
        <f>SUM(AnnualDivReqs!$BD13,AnnualDivReqs!$K13,AnnualDivReqs!$H13)</f>
        <v>18452.229534747457</v>
      </c>
      <c r="AG13" s="380">
        <f>SUM(AnnualDivReqs!$I13,AnnualDivReqs!$W13,AnnualDivReqs!$X13,AnnualDivReqs!$Y13,AnnualDivReqs!$Z13,AnnualDivReqs!$AI13,AnnualDivReqs!$BB13,AnnualDivReqs!$BF13)</f>
        <v>19374.983333335964</v>
      </c>
    </row>
    <row r="14" spans="1:33" x14ac:dyDescent="0.25">
      <c r="A14" s="4">
        <v>13149.999305555555</v>
      </c>
      <c r="B14" s="311">
        <f>SUM(AnnualDepletions!$B14:$G14,AnnualDepletions!$M14:$V14,AnnualDepletions!$BJ14)</f>
        <v>56920.991730396876</v>
      </c>
      <c r="C14" s="312">
        <f>SUM(AnnualDepletions!$AT14:$AV14)</f>
        <v>202017.19700861812</v>
      </c>
      <c r="D14" s="312">
        <f>SUM(AnnualDepletions!$AS14,AnnualDepletions!$AW14)</f>
        <v>35893.000000000051</v>
      </c>
      <c r="E14" s="312">
        <f>SUM(AnnualDepletions!$AA14:$AD14)</f>
        <v>5000.0000000019172</v>
      </c>
      <c r="F14" s="312">
        <f>SUM(AnnualDepletions!$BE14,AnnualDepletions!$BA14,AnnualDepletions!$AX14,AnnualDepletions!$AH14,AnnualDepletions!$AE14)</f>
        <v>29222.759685865909</v>
      </c>
      <c r="G14" s="312">
        <f>SUM(AnnualDepletions!$AR14,AnnualDepletions!$AF14,AnnualDepletions!$AZ14)</f>
        <v>6172.5774747933629</v>
      </c>
      <c r="H14" s="312">
        <f>SUM(AnnualDepletions!$BD14,AnnualDepletions!$K14,AnnualDepletions!$H14)</f>
        <v>10205.999999998825</v>
      </c>
      <c r="I14" s="380">
        <f>SUM(AnnualDepletions!$I14,AnnualDepletions!$W14,AnnualDepletions!$X14,AnnualDepletions!$Y14,AnnualDepletions!$Z14,AnnualDepletions!$AI14,AnnualDepletions!$BB14,AnnualDepletions!$BF14)</f>
        <v>11624.990000001573</v>
      </c>
      <c r="J14" s="472">
        <f>SUM(AnnualDeplReqs!$B14:$G14,AnnualDeplReqs!$M14:$V14,AnnualDeplReqs!$BJ14)+AnnualDepletions!BJ14</f>
        <v>56920.991730396876</v>
      </c>
      <c r="K14" s="312">
        <f>SUM(AnnualDeplReqs!$AT14:$AV14)</f>
        <v>202017.19700861812</v>
      </c>
      <c r="L14" s="312">
        <f>SUM(AnnualDeplReqs!$AS14,AnnualDeplReqs!$AW14)</f>
        <v>35893.000000000073</v>
      </c>
      <c r="M14" s="312">
        <f>SUM(AnnualDeplReqs!$AA14:$AD14)</f>
        <v>5000.0000000019172</v>
      </c>
      <c r="N14" s="312">
        <f>SUM(AnnualDeplReqs!$BE14,AnnualDeplReqs!$BA14,AnnualDeplReqs!$AX14,AnnualDeplReqs!$AH14,AnnualDeplReqs!$AE14)</f>
        <v>29222.759685865909</v>
      </c>
      <c r="O14" s="312">
        <f>SUM(AnnualDeplReqs!$AR14,AnnualDeplReqs!$AF14,AnnualDeplReqs!$AZ14)</f>
        <v>10501.999999998792</v>
      </c>
      <c r="P14" s="312">
        <f>SUM(AnnualDeplReqs!$BD14,AnnualDeplReqs!$K14,AnnualDeplReqs!$H14)</f>
        <v>10205.999999998825</v>
      </c>
      <c r="Q14" s="380">
        <f>SUM(AnnualDeplReqs!$I14,AnnualDeplReqs!$W14,AnnualDeplReqs!$X14,AnnualDeplReqs!$Y14,AnnualDeplReqs!$Z14,AnnualDeplReqs!$AI14,AnnualDeplReqs!$BB14,AnnualDeplReqs!$BF14)</f>
        <v>11624.990000001573</v>
      </c>
      <c r="R14" s="311">
        <f>SUM(AnnualDiversions!$B14:$G14,AnnualDiversions!$M14:$V14,AnnualDiversions!$BJ14)</f>
        <v>109067.13000005133</v>
      </c>
      <c r="S14" s="312">
        <f>SUM(AnnualDiversions!$AT14:$AV14)</f>
        <v>252521.49626077205</v>
      </c>
      <c r="T14" s="312">
        <f>SUM(AnnualDiversions!$AS14,AnnualDiversions!$AW14)</f>
        <v>37764.238566617612</v>
      </c>
      <c r="U14" s="312">
        <f>SUM(AnnualDiversions!$AA14:$AD14)</f>
        <v>5000.0000000019172</v>
      </c>
      <c r="V14" s="312">
        <f>SUM(AnnualDiversions!$BE14,AnnualDiversions!$BA14,AnnualDiversions!$AX14,AnnualDiversions!$AH14,AnnualDiversions!$AE14)</f>
        <v>49030.469861954218</v>
      </c>
      <c r="W14" s="312">
        <f>SUM(AnnualDiversions!$AR14,AnnualDiversions!$AF14,AnnualDiversions!$AZ14)</f>
        <v>11539.183818691326</v>
      </c>
      <c r="X14" s="312">
        <f>SUM(AnnualDiversions!$BD14,AnnualDiversions!$K14,AnnualDiversions!$H14)</f>
        <v>15644.099653397121</v>
      </c>
      <c r="Y14" s="380">
        <f>SUM(AnnualDiversions!$I14,AnnualDiversions!$W14,AnnualDiversions!$X14,AnnualDiversions!$Y14,AnnualDiversions!$Z14,AnnualDiversions!$AI14,AnnualDiversions!$BB14,AnnualDiversions!$BF14)</f>
        <v>19374.983333335964</v>
      </c>
      <c r="Z14" s="311">
        <f>SUM(AnnualDivReqs!$B14:$G14,AnnualDivReqs!$M14:$V14,AnnualDivReqs!$BJ14)</f>
        <v>109067.13000005133</v>
      </c>
      <c r="AA14" s="312">
        <f>SUM(AnnualDivReqs!$AT14:$AV14)</f>
        <v>252521.49626077205</v>
      </c>
      <c r="AB14" s="312">
        <f>SUM(AnnualDivReqs!$AS14,AnnualDivReqs!$AW14)</f>
        <v>37764.238566617634</v>
      </c>
      <c r="AC14" s="312">
        <f>SUM(AnnualDivReqs!$AA14:$AD14)</f>
        <v>5000.0000000019172</v>
      </c>
      <c r="AD14" s="312">
        <f>SUM(AnnualDivReqs!$BE14,AnnualDivReqs!$BA14,AnnualDivReqs!$AX14,AnnualDivReqs!$AH14,AnnualDivReqs!$AE14)</f>
        <v>49030.469861954218</v>
      </c>
      <c r="AE14" s="312">
        <f>SUM(AnnualDivReqs!$AR14,AnnualDivReqs!$AF14,AnnualDivReqs!$AZ14)</f>
        <v>18810.343325278864</v>
      </c>
      <c r="AF14" s="312">
        <f>SUM(AnnualDivReqs!$BD14,AnnualDivReqs!$K14,AnnualDivReqs!$H14)</f>
        <v>15644.099653397121</v>
      </c>
      <c r="AG14" s="380">
        <f>SUM(AnnualDivReqs!$I14,AnnualDivReqs!$W14,AnnualDivReqs!$X14,AnnualDivReqs!$Y14,AnnualDivReqs!$Z14,AnnualDivReqs!$AI14,AnnualDivReqs!$BB14,AnnualDivReqs!$BF14)</f>
        <v>19374.983333335964</v>
      </c>
    </row>
    <row r="15" spans="1:33" x14ac:dyDescent="0.25">
      <c r="A15" s="4">
        <v>13515.999305555555</v>
      </c>
      <c r="B15" s="311">
        <f>SUM(AnnualDepletions!$B15:$G15,AnnualDepletions!$M15:$V15,AnnualDepletions!$BJ15)</f>
        <v>57172.447655709606</v>
      </c>
      <c r="C15" s="312">
        <f>SUM(AnnualDepletions!$AT15:$AV15)</f>
        <v>248806.2631299436</v>
      </c>
      <c r="D15" s="312">
        <f>SUM(AnnualDepletions!$AS15,AnnualDepletions!$AW15)</f>
        <v>35893.000000000044</v>
      </c>
      <c r="E15" s="312">
        <f>SUM(AnnualDepletions!$AA15:$AD15)</f>
        <v>4983.6065573789629</v>
      </c>
      <c r="F15" s="312">
        <f>SUM(AnnualDepletions!$BE15,AnnualDepletions!$BA15,AnnualDepletions!$AX15,AnnualDepletions!$AH15,AnnualDepletions!$AE15)</f>
        <v>31825.506088542254</v>
      </c>
      <c r="G15" s="312">
        <f>SUM(AnnualDepletions!$AR15,AnnualDepletions!$AF15,AnnualDepletions!$AZ15)</f>
        <v>5117.2464656577467</v>
      </c>
      <c r="H15" s="312">
        <f>SUM(AnnualDepletions!$BD15,AnnualDepletions!$K15,AnnualDepletions!$H15)</f>
        <v>12138.999999998608</v>
      </c>
      <c r="I15" s="380">
        <f>SUM(AnnualDepletions!$I15,AnnualDepletions!$W15,AnnualDepletions!$X15,AnnualDepletions!$Y15,AnnualDepletions!$Z15,AnnualDepletions!$AI15,AnnualDepletions!$BB15,AnnualDepletions!$BF15)</f>
        <v>11624.990000001573</v>
      </c>
      <c r="J15" s="472">
        <f>SUM(AnnualDeplReqs!$B15:$G15,AnnualDeplReqs!$M15:$V15,AnnualDeplReqs!$BJ15)+AnnualDepletions!BJ15</f>
        <v>57172.447655709606</v>
      </c>
      <c r="K15" s="312">
        <f>SUM(AnnualDeplReqs!$AT15:$AV15)</f>
        <v>248806.2631299436</v>
      </c>
      <c r="L15" s="312">
        <f>SUM(AnnualDeplReqs!$AS15,AnnualDeplReqs!$AW15)</f>
        <v>35893.000000000073</v>
      </c>
      <c r="M15" s="312">
        <f>SUM(AnnualDeplReqs!$AA15:$AD15)</f>
        <v>5000.0000000019463</v>
      </c>
      <c r="N15" s="312">
        <f>SUM(AnnualDeplReqs!$BE15,AnnualDeplReqs!$BA15,AnnualDeplReqs!$AX15,AnnualDeplReqs!$AH15,AnnualDeplReqs!$AE15)</f>
        <v>31825.506088542254</v>
      </c>
      <c r="O15" s="312">
        <f>SUM(AnnualDeplReqs!$AR15,AnnualDeplReqs!$AF15,AnnualDeplReqs!$AZ15)</f>
        <v>11645.999999998663</v>
      </c>
      <c r="P15" s="312">
        <f>SUM(AnnualDeplReqs!$BD15,AnnualDeplReqs!$K15,AnnualDeplReqs!$H15)</f>
        <v>12138.999999998608</v>
      </c>
      <c r="Q15" s="380">
        <f>SUM(AnnualDeplReqs!$I15,AnnualDeplReqs!$W15,AnnualDeplReqs!$X15,AnnualDeplReqs!$Y15,AnnualDeplReqs!$Z15,AnnualDeplReqs!$AI15,AnnualDeplReqs!$BB15,AnnualDeplReqs!$BF15)</f>
        <v>11624.990000001573</v>
      </c>
      <c r="R15" s="311">
        <f>SUM(AnnualDiversions!$B15:$G15,AnnualDiversions!$M15:$V15,AnnualDiversions!$BJ15)</f>
        <v>109067.13000005131</v>
      </c>
      <c r="S15" s="312">
        <f>SUM(AnnualDiversions!$AT15:$AV15)</f>
        <v>311007.82891242928</v>
      </c>
      <c r="T15" s="312">
        <f>SUM(AnnualDiversions!$AS15,AnnualDiversions!$AW15)</f>
        <v>37763.476493275419</v>
      </c>
      <c r="U15" s="312">
        <f>SUM(AnnualDiversions!$AA15:$AD15)</f>
        <v>4983.6065573789629</v>
      </c>
      <c r="V15" s="312">
        <f>SUM(AnnualDiversions!$BE15,AnnualDiversions!$BA15,AnnualDiversions!$AX15,AnnualDiversions!$AH15,AnnualDiversions!$AE15)</f>
        <v>53411.617479564724</v>
      </c>
      <c r="W15" s="312">
        <f>SUM(AnnualDiversions!$AR15,AnnualDiversions!$AF15,AnnualDiversions!$AZ15)</f>
        <v>9227.581775242581</v>
      </c>
      <c r="X15" s="312">
        <f>SUM(AnnualDiversions!$BD15,AnnualDiversions!$K15,AnnualDiversions!$H15)</f>
        <v>18607.990576823926</v>
      </c>
      <c r="Y15" s="380">
        <f>SUM(AnnualDiversions!$I15,AnnualDiversions!$W15,AnnualDiversions!$X15,AnnualDiversions!$Y15,AnnualDiversions!$Z15,AnnualDiversions!$AI15,AnnualDiversions!$BB15,AnnualDiversions!$BF15)</f>
        <v>19374.983333335967</v>
      </c>
      <c r="Z15" s="311">
        <f>SUM(AnnualDivReqs!$B15:$G15,AnnualDivReqs!$M15:$V15,AnnualDivReqs!$BJ15)</f>
        <v>109067.13000005131</v>
      </c>
      <c r="AA15" s="312">
        <f>SUM(AnnualDivReqs!$AT15:$AV15)</f>
        <v>311007.82891242928</v>
      </c>
      <c r="AB15" s="312">
        <f>SUM(AnnualDivReqs!$AS15,AnnualDivReqs!$AW15)</f>
        <v>37763.476493275448</v>
      </c>
      <c r="AC15" s="312">
        <f>SUM(AnnualDivReqs!$AA15:$AD15)</f>
        <v>5000.0000000019463</v>
      </c>
      <c r="AD15" s="312">
        <f>SUM(AnnualDivReqs!$BE15,AnnualDivReqs!$BA15,AnnualDivReqs!$AX15,AnnualDivReqs!$AH15,AnnualDivReqs!$AE15)</f>
        <v>53411.617479564724</v>
      </c>
      <c r="AE15" s="312">
        <f>SUM(AnnualDivReqs!$AR15,AnnualDivReqs!$AF15,AnnualDivReqs!$AZ15)</f>
        <v>20860.545608296179</v>
      </c>
      <c r="AF15" s="312">
        <f>SUM(AnnualDivReqs!$BD15,AnnualDivReqs!$K15,AnnualDivReqs!$H15)</f>
        <v>18607.990576823926</v>
      </c>
      <c r="AG15" s="380">
        <f>SUM(AnnualDivReqs!$I15,AnnualDivReqs!$W15,AnnualDivReqs!$X15,AnnualDivReqs!$Y15,AnnualDivReqs!$Z15,AnnualDivReqs!$AI15,AnnualDivReqs!$BB15,AnnualDivReqs!$BF15)</f>
        <v>19374.983333335967</v>
      </c>
    </row>
    <row r="16" spans="1:33" x14ac:dyDescent="0.25">
      <c r="A16" s="4">
        <v>13880.999305555555</v>
      </c>
      <c r="B16" s="311">
        <f>SUM(AnnualDepletions!$B16:$G16,AnnualDepletions!$M16:$V16,AnnualDepletions!$BJ16)</f>
        <v>57150.466679511846</v>
      </c>
      <c r="C16" s="312">
        <f>SUM(AnnualDepletions!$AT16:$AV16)</f>
        <v>225338.30025350093</v>
      </c>
      <c r="D16" s="312">
        <f>SUM(AnnualDepletions!$AS16,AnnualDepletions!$AW16)</f>
        <v>35893.000000000058</v>
      </c>
      <c r="E16" s="312">
        <f>SUM(AnnualDepletions!$AA16:$AD16)</f>
        <v>5000.0000000019172</v>
      </c>
      <c r="F16" s="312">
        <f>SUM(AnnualDepletions!$BE16,AnnualDepletions!$BA16,AnnualDepletions!$AX16,AnnualDepletions!$AH16,AnnualDepletions!$AE16)</f>
        <v>30456.982103162201</v>
      </c>
      <c r="G16" s="312">
        <f>SUM(AnnualDepletions!$AR16,AnnualDepletions!$AF16,AnnualDepletions!$AZ16)</f>
        <v>6733.0773889399352</v>
      </c>
      <c r="H16" s="312">
        <f>SUM(AnnualDepletions!$BD16,AnnualDepletions!$K16,AnnualDepletions!$H16)</f>
        <v>12960.999999998514</v>
      </c>
      <c r="I16" s="380">
        <f>SUM(AnnualDepletions!$I16,AnnualDepletions!$W16,AnnualDepletions!$X16,AnnualDepletions!$Y16,AnnualDepletions!$Z16,AnnualDepletions!$AI16,AnnualDepletions!$BB16,AnnualDepletions!$BF16)</f>
        <v>11624.990000001573</v>
      </c>
      <c r="J16" s="472">
        <f>SUM(AnnualDeplReqs!$B16:$G16,AnnualDeplReqs!$M16:$V16,AnnualDeplReqs!$BJ16)+AnnualDepletions!BJ16</f>
        <v>57183.959219284712</v>
      </c>
      <c r="K16" s="312">
        <f>SUM(AnnualDeplReqs!$AT16:$AV16)</f>
        <v>225338.30025350093</v>
      </c>
      <c r="L16" s="312">
        <f>SUM(AnnualDeplReqs!$AS16,AnnualDeplReqs!$AW16)</f>
        <v>35893.000000000073</v>
      </c>
      <c r="M16" s="312">
        <f>SUM(AnnualDeplReqs!$AA16:$AD16)</f>
        <v>5000.0000000019172</v>
      </c>
      <c r="N16" s="312">
        <f>SUM(AnnualDeplReqs!$BE16,AnnualDeplReqs!$BA16,AnnualDeplReqs!$AX16,AnnualDeplReqs!$AH16,AnnualDeplReqs!$AE16)</f>
        <v>30456.982103162201</v>
      </c>
      <c r="O16" s="312">
        <f>SUM(AnnualDeplReqs!$AR16,AnnualDeplReqs!$AF16,AnnualDeplReqs!$AZ16)</f>
        <v>10932.999999998738</v>
      </c>
      <c r="P16" s="312">
        <f>SUM(AnnualDeplReqs!$BD16,AnnualDeplReqs!$K16,AnnualDeplReqs!$H16)</f>
        <v>12960.999999998514</v>
      </c>
      <c r="Q16" s="380">
        <f>SUM(AnnualDeplReqs!$I16,AnnualDeplReqs!$W16,AnnualDeplReqs!$X16,AnnualDeplReqs!$Y16,AnnualDeplReqs!$Z16,AnnualDeplReqs!$AI16,AnnualDeplReqs!$BB16,AnnualDeplReqs!$BF16)</f>
        <v>11624.990000001573</v>
      </c>
      <c r="R16" s="311">
        <f>SUM(AnnualDiversions!$B16:$G16,AnnualDiversions!$M16:$V16,AnnualDiversions!$BJ16)</f>
        <v>109067.13000005133</v>
      </c>
      <c r="S16" s="312">
        <f>SUM(AnnualDiversions!$AT16:$AV16)</f>
        <v>281672.87531687622</v>
      </c>
      <c r="T16" s="312">
        <f>SUM(AnnualDiversions!$AS16,AnnualDiversions!$AW16)</f>
        <v>37764.23856661762</v>
      </c>
      <c r="U16" s="312">
        <f>SUM(AnnualDiversions!$AA16:$AD16)</f>
        <v>5000.0000000019172</v>
      </c>
      <c r="V16" s="312">
        <f>SUM(AnnualDiversions!$BE16,AnnualDiversions!$BA16,AnnualDiversions!$AX16,AnnualDiversions!$AH16,AnnualDiversions!$AE16)</f>
        <v>51118.682726913794</v>
      </c>
      <c r="W16" s="312">
        <f>SUM(AnnualDiversions!$AR16,AnnualDiversions!$AF16,AnnualDiversions!$AZ16)</f>
        <v>12459.474154437847</v>
      </c>
      <c r="X16" s="312">
        <f>SUM(AnnualDiversions!$BD16,AnnualDiversions!$K16,AnnualDiversions!$H16)</f>
        <v>19867.007364706416</v>
      </c>
      <c r="Y16" s="380">
        <f>SUM(AnnualDiversions!$I16,AnnualDiversions!$W16,AnnualDiversions!$X16,AnnualDiversions!$Y16,AnnualDiversions!$Z16,AnnualDiversions!$AI16,AnnualDiversions!$BB16,AnnualDiversions!$BF16)</f>
        <v>19374.983333335964</v>
      </c>
      <c r="Z16" s="311">
        <f>SUM(AnnualDivReqs!$B16:$G16,AnnualDivReqs!$M16:$V16,AnnualDivReqs!$BJ16)</f>
        <v>109134.11507959706</v>
      </c>
      <c r="AA16" s="312">
        <f>SUM(AnnualDivReqs!$AT16:$AV16)</f>
        <v>281672.87531687622</v>
      </c>
      <c r="AB16" s="312">
        <f>SUM(AnnualDivReqs!$AS16,AnnualDivReqs!$AW16)</f>
        <v>37764.238566617634</v>
      </c>
      <c r="AC16" s="312">
        <f>SUM(AnnualDivReqs!$AA16:$AD16)</f>
        <v>5000.0000000019172</v>
      </c>
      <c r="AD16" s="312">
        <f>SUM(AnnualDivReqs!$BE16,AnnualDivReqs!$BA16,AnnualDivReqs!$AX16,AnnualDivReqs!$AH16,AnnualDivReqs!$AE16)</f>
        <v>51118.682726913794</v>
      </c>
      <c r="AE16" s="312">
        <f>SUM(AnnualDivReqs!$AR16,AnnualDivReqs!$AF16,AnnualDivReqs!$AZ16)</f>
        <v>19584.265431807667</v>
      </c>
      <c r="AF16" s="312">
        <f>SUM(AnnualDivReqs!$BD16,AnnualDivReqs!$K16,AnnualDivReqs!$H16)</f>
        <v>19867.007364706416</v>
      </c>
      <c r="AG16" s="380">
        <f>SUM(AnnualDivReqs!$I16,AnnualDivReqs!$W16,AnnualDivReqs!$X16,AnnualDivReqs!$Y16,AnnualDivReqs!$Z16,AnnualDivReqs!$AI16,AnnualDivReqs!$BB16,AnnualDivReqs!$BF16)</f>
        <v>19374.983333335964</v>
      </c>
    </row>
    <row r="17" spans="1:33" x14ac:dyDescent="0.25">
      <c r="A17" s="4">
        <v>14245.999305555555</v>
      </c>
      <c r="B17" s="311">
        <f>SUM(AnnualDepletions!$B17:$G17,AnnualDepletions!$M17:$V17,AnnualDepletions!$BJ17)</f>
        <v>57172.960484178126</v>
      </c>
      <c r="C17" s="312">
        <f>SUM(AnnualDepletions!$AT17:$AV17)</f>
        <v>244095.14721147413</v>
      </c>
      <c r="D17" s="312">
        <f>SUM(AnnualDepletions!$AS17,AnnualDepletions!$AW17)</f>
        <v>35893.000000000044</v>
      </c>
      <c r="E17" s="312">
        <f>SUM(AnnualDepletions!$AA17:$AD17)</f>
        <v>5000.0000000019172</v>
      </c>
      <c r="F17" s="312">
        <f>SUM(AnnualDepletions!$BE17,AnnualDepletions!$BA17,AnnualDepletions!$AX17,AnnualDepletions!$AH17,AnnualDepletions!$AE17)</f>
        <v>29392.020937572586</v>
      </c>
      <c r="G17" s="312">
        <f>SUM(AnnualDepletions!$AR17,AnnualDepletions!$AF17,AnnualDepletions!$AZ17)</f>
        <v>4856.4461124130275</v>
      </c>
      <c r="H17" s="312">
        <f>SUM(AnnualDepletions!$BD17,AnnualDepletions!$K17,AnnualDepletions!$H17)</f>
        <v>11905.999999998634</v>
      </c>
      <c r="I17" s="380">
        <f>SUM(AnnualDepletions!$I17,AnnualDepletions!$W17,AnnualDepletions!$X17,AnnualDepletions!$Y17,AnnualDepletions!$Z17,AnnualDepletions!$AI17,AnnualDepletions!$BB17,AnnualDepletions!$BF17)</f>
        <v>11624.990000001573</v>
      </c>
      <c r="J17" s="472">
        <f>SUM(AnnualDeplReqs!$B17:$G17,AnnualDeplReqs!$M17:$V17,AnnualDeplReqs!$BJ17)+AnnualDepletions!BJ17</f>
        <v>57172.960484178126</v>
      </c>
      <c r="K17" s="312">
        <f>SUM(AnnualDeplReqs!$AT17:$AV17)</f>
        <v>244095.14721147413</v>
      </c>
      <c r="L17" s="312">
        <f>SUM(AnnualDeplReqs!$AS17,AnnualDeplReqs!$AW17)</f>
        <v>35893.000000000073</v>
      </c>
      <c r="M17" s="312">
        <f>SUM(AnnualDeplReqs!$AA17:$AD17)</f>
        <v>5000.0000000019172</v>
      </c>
      <c r="N17" s="312">
        <f>SUM(AnnualDeplReqs!$BE17,AnnualDeplReqs!$BA17,AnnualDeplReqs!$AX17,AnnualDeplReqs!$AH17,AnnualDeplReqs!$AE17)</f>
        <v>29392.020937572586</v>
      </c>
      <c r="O17" s="312">
        <f>SUM(AnnualDeplReqs!$AR17,AnnualDeplReqs!$AF17,AnnualDeplReqs!$AZ17)</f>
        <v>10497.999999998794</v>
      </c>
      <c r="P17" s="312">
        <f>SUM(AnnualDeplReqs!$BD17,AnnualDeplReqs!$K17,AnnualDeplReqs!$H17)</f>
        <v>11905.999999998634</v>
      </c>
      <c r="Q17" s="380">
        <f>SUM(AnnualDeplReqs!$I17,AnnualDeplReqs!$W17,AnnualDeplReqs!$X17,AnnualDeplReqs!$Y17,AnnualDeplReqs!$Z17,AnnualDeplReqs!$AI17,AnnualDeplReqs!$BB17,AnnualDeplReqs!$BF17)</f>
        <v>11624.990000001573</v>
      </c>
      <c r="R17" s="311">
        <f>SUM(AnnualDiversions!$B17:$G17,AnnualDiversions!$M17:$V17,AnnualDiversions!$BJ17)</f>
        <v>109067.13000005133</v>
      </c>
      <c r="S17" s="312">
        <f>SUM(AnnualDiversions!$AT17:$AV17)</f>
        <v>305118.93401434319</v>
      </c>
      <c r="T17" s="312">
        <f>SUM(AnnualDiversions!$AS17,AnnualDiversions!$AW17)</f>
        <v>37764.238566617612</v>
      </c>
      <c r="U17" s="312">
        <f>SUM(AnnualDiversions!$AA17:$AD17)</f>
        <v>5000.0000000019172</v>
      </c>
      <c r="V17" s="312">
        <f>SUM(AnnualDiversions!$BE17,AnnualDiversions!$BA17,AnnualDiversions!$AX17,AnnualDiversions!$AH17,AnnualDiversions!$AE17)</f>
        <v>49293.606023274064</v>
      </c>
      <c r="W17" s="312">
        <f>SUM(AnnualDiversions!$AR17,AnnualDiversions!$AF17,AnnualDiversions!$AZ17)</f>
        <v>9118.2981611980085</v>
      </c>
      <c r="X17" s="312">
        <f>SUM(AnnualDiversions!$BD17,AnnualDiversions!$K17,AnnualDiversions!$H17)</f>
        <v>18249.296119334162</v>
      </c>
      <c r="Y17" s="380">
        <f>SUM(AnnualDiversions!$I17,AnnualDiversions!$W17,AnnualDiversions!$X17,AnnualDiversions!$Y17,AnnualDiversions!$Z17,AnnualDiversions!$AI17,AnnualDiversions!$BB17,AnnualDiversions!$BF17)</f>
        <v>19374.983333335964</v>
      </c>
      <c r="Z17" s="311">
        <f>SUM(AnnualDivReqs!$B17:$G17,AnnualDivReqs!$M17:$V17,AnnualDivReqs!$BJ17)</f>
        <v>109067.13000005133</v>
      </c>
      <c r="AA17" s="312">
        <f>SUM(AnnualDivReqs!$AT17:$AV17)</f>
        <v>305118.93401434319</v>
      </c>
      <c r="AB17" s="312">
        <f>SUM(AnnualDivReqs!$AS17,AnnualDivReqs!$AW17)</f>
        <v>37764.238566617634</v>
      </c>
      <c r="AC17" s="312">
        <f>SUM(AnnualDivReqs!$AA17:$AD17)</f>
        <v>5000.0000000019172</v>
      </c>
      <c r="AD17" s="312">
        <f>SUM(AnnualDivReqs!$BE17,AnnualDivReqs!$BA17,AnnualDivReqs!$AX17,AnnualDivReqs!$AH17,AnnualDivReqs!$AE17)</f>
        <v>49293.606023274064</v>
      </c>
      <c r="AE17" s="312">
        <f>SUM(AnnualDivReqs!$AR17,AnnualDivReqs!$AF17,AnnualDivReqs!$AZ17)</f>
        <v>18802.559532479045</v>
      </c>
      <c r="AF17" s="312">
        <f>SUM(AnnualDivReqs!$BD17,AnnualDivReqs!$K17,AnnualDivReqs!$H17)</f>
        <v>18249.296119334162</v>
      </c>
      <c r="AG17" s="380">
        <f>SUM(AnnualDivReqs!$I17,AnnualDivReqs!$W17,AnnualDivReqs!$X17,AnnualDivReqs!$Y17,AnnualDivReqs!$Z17,AnnualDivReqs!$AI17,AnnualDivReqs!$BB17,AnnualDivReqs!$BF17)</f>
        <v>19374.983333335964</v>
      </c>
    </row>
    <row r="18" spans="1:33" x14ac:dyDescent="0.25">
      <c r="A18" s="4">
        <v>14610.999305555555</v>
      </c>
      <c r="B18" s="311">
        <f>SUM(AnnualDepletions!$B18:$G18,AnnualDepletions!$M18:$V18,AnnualDepletions!$BJ18)</f>
        <v>57116.847032417296</v>
      </c>
      <c r="C18" s="312">
        <f>SUM(AnnualDepletions!$AT18:$AV18)</f>
        <v>273067.38219530316</v>
      </c>
      <c r="D18" s="312">
        <f>SUM(AnnualDepletions!$AS18,AnnualDepletions!$AW18)</f>
        <v>35893.000000000073</v>
      </c>
      <c r="E18" s="312">
        <f>SUM(AnnualDepletions!$AA18:$AD18)</f>
        <v>5000.0000000019172</v>
      </c>
      <c r="F18" s="312">
        <f>SUM(AnnualDepletions!$BE18,AnnualDepletions!$BA18,AnnualDepletions!$AX18,AnnualDepletions!$AH18,AnnualDepletions!$AE18)</f>
        <v>34431.895437547821</v>
      </c>
      <c r="G18" s="312">
        <f>SUM(AnnualDepletions!$AR18,AnnualDepletions!$AF18,AnnualDepletions!$AZ18)</f>
        <v>3096.5966205326999</v>
      </c>
      <c r="H18" s="312">
        <f>SUM(AnnualDepletions!$BD18,AnnualDepletions!$K18,AnnualDepletions!$H18)</f>
        <v>13783.999999998417</v>
      </c>
      <c r="I18" s="380">
        <f>SUM(AnnualDepletions!$I18,AnnualDepletions!$W18,AnnualDepletions!$X18,AnnualDepletions!$Y18,AnnualDepletions!$Z18,AnnualDepletions!$AI18,AnnualDepletions!$BB18,AnnualDepletions!$BF18)</f>
        <v>11624.990000001573</v>
      </c>
      <c r="J18" s="472">
        <f>SUM(AnnualDeplReqs!$B18:$G18,AnnualDeplReqs!$M18:$V18,AnnualDeplReqs!$BJ18)+AnnualDepletions!BJ18</f>
        <v>57328.867354998045</v>
      </c>
      <c r="K18" s="312">
        <f>SUM(AnnualDeplReqs!$AT18:$AV18)</f>
        <v>273067.38219530316</v>
      </c>
      <c r="L18" s="312">
        <f>SUM(AnnualDeplReqs!$AS18,AnnualDeplReqs!$AW18)</f>
        <v>35893.000000000073</v>
      </c>
      <c r="M18" s="312">
        <f>SUM(AnnualDeplReqs!$AA18:$AD18)</f>
        <v>5000.0000000019172</v>
      </c>
      <c r="N18" s="312">
        <f>SUM(AnnualDeplReqs!$BE18,AnnualDeplReqs!$BA18,AnnualDeplReqs!$AX18,AnnualDeplReqs!$AH18,AnnualDeplReqs!$AE18)</f>
        <v>34431.895437547821</v>
      </c>
      <c r="O18" s="312">
        <f>SUM(AnnualDeplReqs!$AR18,AnnualDeplReqs!$AF18,AnnualDeplReqs!$AZ18)</f>
        <v>12838.999999998534</v>
      </c>
      <c r="P18" s="312">
        <f>SUM(AnnualDeplReqs!$BD18,AnnualDeplReqs!$K18,AnnualDeplReqs!$H18)</f>
        <v>13783.999999998417</v>
      </c>
      <c r="Q18" s="380">
        <f>SUM(AnnualDeplReqs!$I18,AnnualDeplReqs!$W18,AnnualDeplReqs!$X18,AnnualDeplReqs!$Y18,AnnualDeplReqs!$Z18,AnnualDeplReqs!$AI18,AnnualDeplReqs!$BB18,AnnualDeplReqs!$BF18)</f>
        <v>11624.990000001573</v>
      </c>
      <c r="R18" s="311">
        <f>SUM(AnnualDiversions!$B18:$G18,AnnualDiversions!$M18:$V18,AnnualDiversions!$BJ18)</f>
        <v>109067.13000005133</v>
      </c>
      <c r="S18" s="312">
        <f>SUM(AnnualDiversions!$AT18:$AV18)</f>
        <v>341334.22774412815</v>
      </c>
      <c r="T18" s="312">
        <f>SUM(AnnualDiversions!$AS18,AnnualDiversions!$AW18)</f>
        <v>37764.238566617634</v>
      </c>
      <c r="U18" s="312">
        <f>SUM(AnnualDiversions!$AA18:$AD18)</f>
        <v>5000.0000000019172</v>
      </c>
      <c r="V18" s="312">
        <f>SUM(AnnualDiversions!$BE18,AnnualDiversions!$BA18,AnnualDiversions!$AX18,AnnualDiversions!$AH18,AnnualDiversions!$AE18)</f>
        <v>57802.605791367139</v>
      </c>
      <c r="W18" s="312">
        <f>SUM(AnnualDiversions!$AR18,AnnualDiversions!$AF18,AnnualDiversions!$AZ18)</f>
        <v>5332.1776826745981</v>
      </c>
      <c r="X18" s="312">
        <f>SUM(AnnualDiversions!$BD18,AnnualDiversions!$K18,AnnualDiversions!$H18)</f>
        <v>21127.947414441056</v>
      </c>
      <c r="Y18" s="380">
        <f>SUM(AnnualDiversions!$I18,AnnualDiversions!$W18,AnnualDiversions!$X18,AnnualDiversions!$Y18,AnnualDiversions!$Z18,AnnualDiversions!$AI18,AnnualDiversions!$BB18,AnnualDiversions!$BF18)</f>
        <v>19374.983333335964</v>
      </c>
      <c r="Z18" s="311">
        <f>SUM(AnnualDivReqs!$B18:$G18,AnnualDivReqs!$M18:$V18,AnnualDivReqs!$BJ18)</f>
        <v>109491.17064521283</v>
      </c>
      <c r="AA18" s="312">
        <f>SUM(AnnualDivReqs!$AT18:$AV18)</f>
        <v>341334.22774412815</v>
      </c>
      <c r="AB18" s="312">
        <f>SUM(AnnualDivReqs!$AS18,AnnualDivReqs!$AW18)</f>
        <v>37764.238566617634</v>
      </c>
      <c r="AC18" s="312">
        <f>SUM(AnnualDivReqs!$AA18:$AD18)</f>
        <v>5000.0000000019172</v>
      </c>
      <c r="AD18" s="312">
        <f>SUM(AnnualDivReqs!$BE18,AnnualDivReqs!$BA18,AnnualDivReqs!$AX18,AnnualDivReqs!$AH18,AnnualDivReqs!$AE18)</f>
        <v>57802.605791367139</v>
      </c>
      <c r="AE18" s="312">
        <f>SUM(AnnualDivReqs!$AR18,AnnualDivReqs!$AF18,AnnualDivReqs!$AZ18)</f>
        <v>22996.337747026791</v>
      </c>
      <c r="AF18" s="312">
        <f>SUM(AnnualDivReqs!$BD18,AnnualDivReqs!$K18,AnnualDivReqs!$H18)</f>
        <v>21127.947414441056</v>
      </c>
      <c r="AG18" s="380">
        <f>SUM(AnnualDivReqs!$I18,AnnualDivReqs!$W18,AnnualDivReqs!$X18,AnnualDivReqs!$Y18,AnnualDivReqs!$Z18,AnnualDivReqs!$AI18,AnnualDivReqs!$BB18,AnnualDivReqs!$BF18)</f>
        <v>19374.983333335964</v>
      </c>
    </row>
    <row r="19" spans="1:33" x14ac:dyDescent="0.25">
      <c r="A19" s="4">
        <v>14976.999305555555</v>
      </c>
      <c r="B19" s="311">
        <f>SUM(AnnualDepletions!$B19:$G19,AnnualDepletions!$M19:$V19,AnnualDepletions!$BJ19)</f>
        <v>57097.749219947989</v>
      </c>
      <c r="C19" s="312">
        <f>SUM(AnnualDepletions!$AT19:$AV19)</f>
        <v>233372.03917338364</v>
      </c>
      <c r="D19" s="312">
        <f>SUM(AnnualDepletions!$AS19,AnnualDepletions!$AW19)</f>
        <v>35893.000000000058</v>
      </c>
      <c r="E19" s="312">
        <f>SUM(AnnualDepletions!$AA19:$AD19)</f>
        <v>5000.0000000019463</v>
      </c>
      <c r="F19" s="312">
        <f>SUM(AnnualDepletions!$BE19,AnnualDepletions!$BA19,AnnualDepletions!$AX19,AnnualDepletions!$AH19,AnnualDepletions!$AE19)</f>
        <v>31578.70035088744</v>
      </c>
      <c r="G19" s="312">
        <f>SUM(AnnualDepletions!$AR19,AnnualDepletions!$AF19,AnnualDepletions!$AZ19)</f>
        <v>3944.8969409350393</v>
      </c>
      <c r="H19" s="312">
        <f>SUM(AnnualDepletions!$BD19,AnnualDepletions!$K19,AnnualDepletions!$H19)</f>
        <v>12055.99999999861</v>
      </c>
      <c r="I19" s="380">
        <f>SUM(AnnualDepletions!$I19,AnnualDepletions!$W19,AnnualDepletions!$X19,AnnualDepletions!$Y19,AnnualDepletions!$Z19,AnnualDepletions!$AI19,AnnualDepletions!$BB19,AnnualDepletions!$BF19)</f>
        <v>11624.990000001573</v>
      </c>
      <c r="J19" s="472">
        <f>SUM(AnnualDeplReqs!$B19:$G19,AnnualDeplReqs!$M19:$V19,AnnualDeplReqs!$BJ19)+AnnualDepletions!BJ19</f>
        <v>57377.530654201444</v>
      </c>
      <c r="K19" s="312">
        <f>SUM(AnnualDeplReqs!$AT19:$AV19)</f>
        <v>233372.03917338364</v>
      </c>
      <c r="L19" s="312">
        <f>SUM(AnnualDeplReqs!$AS19,AnnualDeplReqs!$AW19)</f>
        <v>35893.000000000073</v>
      </c>
      <c r="M19" s="312">
        <f>SUM(AnnualDeplReqs!$AA19:$AD19)</f>
        <v>5000.0000000019463</v>
      </c>
      <c r="N19" s="312">
        <f>SUM(AnnualDeplReqs!$BE19,AnnualDeplReqs!$BA19,AnnualDeplReqs!$AX19,AnnualDeplReqs!$AH19,AnnualDeplReqs!$AE19)</f>
        <v>31578.70035088744</v>
      </c>
      <c r="O19" s="312">
        <f>SUM(AnnualDeplReqs!$AR19,AnnualDeplReqs!$AF19,AnnualDeplReqs!$AZ19)</f>
        <v>11442.999999998672</v>
      </c>
      <c r="P19" s="312">
        <f>SUM(AnnualDeplReqs!$BD19,AnnualDeplReqs!$K19,AnnualDeplReqs!$H19)</f>
        <v>12055.99999999861</v>
      </c>
      <c r="Q19" s="380">
        <f>SUM(AnnualDeplReqs!$I19,AnnualDeplReqs!$W19,AnnualDeplReqs!$X19,AnnualDeplReqs!$Y19,AnnualDeplReqs!$Z19,AnnualDeplReqs!$AI19,AnnualDeplReqs!$BB19,AnnualDeplReqs!$BF19)</f>
        <v>11624.990000001573</v>
      </c>
      <c r="R19" s="311">
        <f>SUM(AnnualDiversions!$B19:$G19,AnnualDiversions!$M19:$V19,AnnualDiversions!$BJ19)</f>
        <v>109067.13000005131</v>
      </c>
      <c r="S19" s="312">
        <f>SUM(AnnualDiversions!$AT19:$AV19)</f>
        <v>291715.04896672955</v>
      </c>
      <c r="T19" s="312">
        <f>SUM(AnnualDiversions!$AS19,AnnualDiversions!$AW19)</f>
        <v>37763.476493275433</v>
      </c>
      <c r="U19" s="312">
        <f>SUM(AnnualDiversions!$AA19:$AD19)</f>
        <v>5000.0000000019463</v>
      </c>
      <c r="V19" s="312">
        <f>SUM(AnnualDiversions!$BE19,AnnualDiversions!$BA19,AnnualDiversions!$AX19,AnnualDiversions!$AH19,AnnualDiversions!$AE19)</f>
        <v>53003.33273974718</v>
      </c>
      <c r="W19" s="312">
        <f>SUM(AnnualDiversions!$AR19,AnnualDiversions!$AF19,AnnualDiversions!$AZ19)</f>
        <v>6950.5383881173011</v>
      </c>
      <c r="X19" s="312">
        <f>SUM(AnnualDiversions!$BD19,AnnualDiversions!$K19,AnnualDiversions!$H19)</f>
        <v>18480.106259037653</v>
      </c>
      <c r="Y19" s="380">
        <f>SUM(AnnualDiversions!$I19,AnnualDiversions!$W19,AnnualDiversions!$X19,AnnualDiversions!$Y19,AnnualDiversions!$Z19,AnnualDiversions!$AI19,AnnualDiversions!$BB19,AnnualDiversions!$BF19)</f>
        <v>19374.983333335967</v>
      </c>
      <c r="Z19" s="311">
        <f>SUM(AnnualDivReqs!$B19:$G19,AnnualDivReqs!$M19:$V19,AnnualDivReqs!$BJ19)</f>
        <v>109626.69286855822</v>
      </c>
      <c r="AA19" s="312">
        <f>SUM(AnnualDivReqs!$AT19:$AV19)</f>
        <v>291715.04896672955</v>
      </c>
      <c r="AB19" s="312">
        <f>SUM(AnnualDivReqs!$AS19,AnnualDivReqs!$AW19)</f>
        <v>37763.476493275448</v>
      </c>
      <c r="AC19" s="312">
        <f>SUM(AnnualDivReqs!$AA19:$AD19)</f>
        <v>5000.0000000019463</v>
      </c>
      <c r="AD19" s="312">
        <f>SUM(AnnualDivReqs!$BE19,AnnualDivReqs!$BA19,AnnualDivReqs!$AX19,AnnualDivReqs!$AH19,AnnualDivReqs!$AE19)</f>
        <v>53003.33273974718</v>
      </c>
      <c r="AE19" s="312">
        <f>SUM(AnnualDivReqs!$AR19,AnnualDivReqs!$AF19,AnnualDivReqs!$AZ19)</f>
        <v>20497.338424058693</v>
      </c>
      <c r="AF19" s="312">
        <f>SUM(AnnualDivReqs!$BD19,AnnualDivReqs!$K19,AnnualDivReqs!$H19)</f>
        <v>18480.106259037653</v>
      </c>
      <c r="AG19" s="380">
        <f>SUM(AnnualDivReqs!$I19,AnnualDivReqs!$W19,AnnualDivReqs!$X19,AnnualDivReqs!$Y19,AnnualDivReqs!$Z19,AnnualDivReqs!$AI19,AnnualDivReqs!$BB19,AnnualDivReqs!$BF19)</f>
        <v>19374.983333335967</v>
      </c>
    </row>
    <row r="20" spans="1:33" x14ac:dyDescent="0.25">
      <c r="A20" s="4">
        <v>15341.999305555555</v>
      </c>
      <c r="B20" s="311">
        <f>SUM(AnnualDepletions!$B20:$G20,AnnualDepletions!$M20:$V20,AnnualDepletions!$BJ20)</f>
        <v>57174.017014937417</v>
      </c>
      <c r="C20" s="312">
        <f>SUM(AnnualDepletions!$AT20:$AV20)</f>
        <v>184306.25866179835</v>
      </c>
      <c r="D20" s="312">
        <f>SUM(AnnualDepletions!$AS20,AnnualDepletions!$AW20)</f>
        <v>35893.000000000044</v>
      </c>
      <c r="E20" s="312">
        <f>SUM(AnnualDepletions!$AA20:$AD20)</f>
        <v>5000.0000000019172</v>
      </c>
      <c r="F20" s="312">
        <f>SUM(AnnualDepletions!$BE20,AnnualDepletions!$BA20,AnnualDepletions!$AX20,AnnualDepletions!$AH20,AnnualDepletions!$AE20)</f>
        <v>22952.62091931374</v>
      </c>
      <c r="G20" s="312">
        <f>SUM(AnnualDepletions!$AR20,AnnualDepletions!$AF20,AnnualDepletions!$AZ20)</f>
        <v>6636.5607394538229</v>
      </c>
      <c r="H20" s="312">
        <f>SUM(AnnualDepletions!$BD20,AnnualDepletions!$K20,AnnualDepletions!$H20)</f>
        <v>9405.9999999989268</v>
      </c>
      <c r="I20" s="380">
        <f>SUM(AnnualDepletions!$I20,AnnualDepletions!$W20,AnnualDepletions!$X20,AnnualDepletions!$Y20,AnnualDepletions!$Z20,AnnualDepletions!$AI20,AnnualDepletions!$BB20,AnnualDepletions!$BF20)</f>
        <v>11624.990000001573</v>
      </c>
      <c r="J20" s="472">
        <f>SUM(AnnualDeplReqs!$B20:$G20,AnnualDeplReqs!$M20:$V20,AnnualDeplReqs!$BJ20)+AnnualDepletions!BJ20</f>
        <v>57174.017014937417</v>
      </c>
      <c r="K20" s="312">
        <f>SUM(AnnualDeplReqs!$AT20:$AV20)</f>
        <v>184306.25866179835</v>
      </c>
      <c r="L20" s="312">
        <f>SUM(AnnualDeplReqs!$AS20,AnnualDeplReqs!$AW20)</f>
        <v>35893.000000000073</v>
      </c>
      <c r="M20" s="312">
        <f>SUM(AnnualDeplReqs!$AA20:$AD20)</f>
        <v>5000.0000000019172</v>
      </c>
      <c r="N20" s="312">
        <f>SUM(AnnualDeplReqs!$BE20,AnnualDeplReqs!$BA20,AnnualDeplReqs!$AX20,AnnualDeplReqs!$AH20,AnnualDeplReqs!$AE20)</f>
        <v>22952.62091931374</v>
      </c>
      <c r="O20" s="312">
        <f>SUM(AnnualDeplReqs!$AR20,AnnualDeplReqs!$AF20,AnnualDeplReqs!$AZ20)</f>
        <v>8233.9999999990505</v>
      </c>
      <c r="P20" s="312">
        <f>SUM(AnnualDeplReqs!$BD20,AnnualDeplReqs!$K20,AnnualDeplReqs!$H20)</f>
        <v>9405.9999999989268</v>
      </c>
      <c r="Q20" s="380">
        <f>SUM(AnnualDeplReqs!$I20,AnnualDeplReqs!$W20,AnnualDeplReqs!$X20,AnnualDeplReqs!$Y20,AnnualDeplReqs!$Z20,AnnualDeplReqs!$AI20,AnnualDeplReqs!$BB20,AnnualDeplReqs!$BF20)</f>
        <v>11624.990000001573</v>
      </c>
      <c r="R20" s="311">
        <f>SUM(AnnualDiversions!$B20:$G20,AnnualDiversions!$M20:$V20,AnnualDiversions!$BJ20)</f>
        <v>109067.13000005133</v>
      </c>
      <c r="S20" s="312">
        <f>SUM(AnnualDiversions!$AT20:$AV20)</f>
        <v>230382.82332724886</v>
      </c>
      <c r="T20" s="312">
        <f>SUM(AnnualDiversions!$AS20,AnnualDiversions!$AW20)</f>
        <v>37764.238566617612</v>
      </c>
      <c r="U20" s="312">
        <f>SUM(AnnualDiversions!$AA20:$AD20)</f>
        <v>5000.0000000019172</v>
      </c>
      <c r="V20" s="312">
        <f>SUM(AnnualDiversions!$BE20,AnnualDiversions!$BA20,AnnualDiversions!$AX20,AnnualDiversions!$AH20,AnnualDiversions!$AE20)</f>
        <v>38480.144017993531</v>
      </c>
      <c r="W20" s="312">
        <f>SUM(AnnualDiversions!$AR20,AnnualDiversions!$AF20,AnnualDiversions!$AZ20)</f>
        <v>12734.073343889073</v>
      </c>
      <c r="X20" s="312">
        <f>SUM(AnnualDiversions!$BD20,AnnualDiversions!$K20,AnnualDiversions!$H20)</f>
        <v>14420.39543523437</v>
      </c>
      <c r="Y20" s="380">
        <f>SUM(AnnualDiversions!$I20,AnnualDiversions!$W20,AnnualDiversions!$X20,AnnualDiversions!$Y20,AnnualDiversions!$Z20,AnnualDiversions!$AI20,AnnualDiversions!$BB20,AnnualDiversions!$BF20)</f>
        <v>19374.983333335964</v>
      </c>
      <c r="Z20" s="311">
        <f>SUM(AnnualDivReqs!$B20:$G20,AnnualDivReqs!$M20:$V20,AnnualDivReqs!$BJ20)</f>
        <v>109067.13000005133</v>
      </c>
      <c r="AA20" s="312">
        <f>SUM(AnnualDivReqs!$AT20:$AV20)</f>
        <v>230382.82332724886</v>
      </c>
      <c r="AB20" s="312">
        <f>SUM(AnnualDivReqs!$AS20,AnnualDivReqs!$AW20)</f>
        <v>37764.238566617634</v>
      </c>
      <c r="AC20" s="312">
        <f>SUM(AnnualDivReqs!$AA20:$AD20)</f>
        <v>5000.0000000019172</v>
      </c>
      <c r="AD20" s="312">
        <f>SUM(AnnualDivReqs!$BE20,AnnualDivReqs!$BA20,AnnualDivReqs!$AX20,AnnualDivReqs!$AH20,AnnualDivReqs!$AE20)</f>
        <v>38480.144017993531</v>
      </c>
      <c r="AE20" s="312">
        <f>SUM(AnnualDivReqs!$AR20,AnnualDivReqs!$AF20,AnnualDivReqs!$AZ20)</f>
        <v>14745.815144723503</v>
      </c>
      <c r="AF20" s="312">
        <f>SUM(AnnualDivReqs!$BD20,AnnualDivReqs!$K20,AnnualDivReqs!$H20)</f>
        <v>14420.39543523437</v>
      </c>
      <c r="AG20" s="380">
        <f>SUM(AnnualDivReqs!$I20,AnnualDivReqs!$W20,AnnualDivReqs!$X20,AnnualDivReqs!$Y20,AnnualDivReqs!$Z20,AnnualDivReqs!$AI20,AnnualDivReqs!$BB20,AnnualDivReqs!$BF20)</f>
        <v>19374.983333335964</v>
      </c>
    </row>
    <row r="21" spans="1:33" x14ac:dyDescent="0.25">
      <c r="A21" s="4">
        <v>15706.999305555555</v>
      </c>
      <c r="B21" s="311">
        <f>SUM(AnnualDepletions!$B21:$G21,AnnualDepletions!$M21:$V21,AnnualDepletions!$BJ21)</f>
        <v>57167.967414165236</v>
      </c>
      <c r="C21" s="312">
        <f>SUM(AnnualDepletions!$AT21:$AV21)</f>
        <v>258037.79611683503</v>
      </c>
      <c r="D21" s="312">
        <f>SUM(AnnualDepletions!$AS21,AnnualDepletions!$AW21)</f>
        <v>35893.000000000044</v>
      </c>
      <c r="E21" s="312">
        <f>SUM(AnnualDepletions!$AA21:$AD21)</f>
        <v>5000.0000000019172</v>
      </c>
      <c r="F21" s="312">
        <f>SUM(AnnualDepletions!$BE21,AnnualDepletions!$BA21,AnnualDepletions!$AX21,AnnualDepletions!$AH21,AnnualDepletions!$AE21)</f>
        <v>33616.192577610331</v>
      </c>
      <c r="G21" s="312">
        <f>SUM(AnnualDepletions!$AR21,AnnualDepletions!$AF21,AnnualDepletions!$AZ21)</f>
        <v>4225.9462865458336</v>
      </c>
      <c r="H21" s="312">
        <f>SUM(AnnualDepletions!$BD21,AnnualDepletions!$K21,AnnualDepletions!$H21)</f>
        <v>12807.999999998527</v>
      </c>
      <c r="I21" s="380">
        <f>SUM(AnnualDepletions!$I21,AnnualDepletions!$W21,AnnualDepletions!$X21,AnnualDepletions!$Y21,AnnualDepletions!$Z21,AnnualDepletions!$AI21,AnnualDepletions!$BB21,AnnualDepletions!$BF21)</f>
        <v>11624.990000001573</v>
      </c>
      <c r="J21" s="472">
        <f>SUM(AnnualDeplReqs!$B21:$G21,AnnualDeplReqs!$M21:$V21,AnnualDeplReqs!$BJ21)+AnnualDepletions!BJ21</f>
        <v>57167.967414165236</v>
      </c>
      <c r="K21" s="312">
        <f>SUM(AnnualDeplReqs!$AT21:$AV21)</f>
        <v>258037.79611683503</v>
      </c>
      <c r="L21" s="312">
        <f>SUM(AnnualDeplReqs!$AS21,AnnualDeplReqs!$AW21)</f>
        <v>35893.000000000073</v>
      </c>
      <c r="M21" s="312">
        <f>SUM(AnnualDeplReqs!$AA21:$AD21)</f>
        <v>5000.0000000019172</v>
      </c>
      <c r="N21" s="312">
        <f>SUM(AnnualDeplReqs!$BE21,AnnualDeplReqs!$BA21,AnnualDeplReqs!$AX21,AnnualDeplReqs!$AH21,AnnualDeplReqs!$AE21)</f>
        <v>33616.192577610331</v>
      </c>
      <c r="O21" s="312">
        <f>SUM(AnnualDeplReqs!$AR21,AnnualDeplReqs!$AF21,AnnualDeplReqs!$AZ21)</f>
        <v>12472.999999998568</v>
      </c>
      <c r="P21" s="312">
        <f>SUM(AnnualDeplReqs!$BD21,AnnualDeplReqs!$K21,AnnualDeplReqs!$H21)</f>
        <v>12807.999999998527</v>
      </c>
      <c r="Q21" s="380">
        <f>SUM(AnnualDeplReqs!$I21,AnnualDeplReqs!$W21,AnnualDeplReqs!$X21,AnnualDeplReqs!$Y21,AnnualDeplReqs!$Z21,AnnualDeplReqs!$AI21,AnnualDeplReqs!$BB21,AnnualDeplReqs!$BF21)</f>
        <v>11624.990000001573</v>
      </c>
      <c r="R21" s="311">
        <f>SUM(AnnualDiversions!$B21:$G21,AnnualDiversions!$M21:$V21,AnnualDiversions!$BJ21)</f>
        <v>109067.13000005133</v>
      </c>
      <c r="S21" s="312">
        <f>SUM(AnnualDiversions!$AT21:$AV21)</f>
        <v>322547.24514604331</v>
      </c>
      <c r="T21" s="312">
        <f>SUM(AnnualDiversions!$AS21,AnnualDiversions!$AW21)</f>
        <v>37764.238566617598</v>
      </c>
      <c r="U21" s="312">
        <f>SUM(AnnualDiversions!$AA21:$AD21)</f>
        <v>5000.0000000019172</v>
      </c>
      <c r="V21" s="312">
        <f>SUM(AnnualDiversions!$BE21,AnnualDiversions!$BA21,AnnualDiversions!$AX21,AnnualDiversions!$AH21,AnnualDiversions!$AE21)</f>
        <v>56427.06077044519</v>
      </c>
      <c r="W21" s="312">
        <f>SUM(AnnualDiversions!$AR21,AnnualDiversions!$AF21,AnnualDiversions!$AZ21)</f>
        <v>7644.9425347262841</v>
      </c>
      <c r="X21" s="312">
        <f>SUM(AnnualDiversions!$BD21,AnnualDiversions!$K21,AnnualDiversions!$H21)</f>
        <v>19633.182124709976</v>
      </c>
      <c r="Y21" s="380">
        <f>SUM(AnnualDiversions!$I21,AnnualDiversions!$W21,AnnualDiversions!$X21,AnnualDiversions!$Y21,AnnualDiversions!$Z21,AnnualDiversions!$AI21,AnnualDiversions!$BB21,AnnualDiversions!$BF21)</f>
        <v>19374.983333335964</v>
      </c>
      <c r="Z21" s="311">
        <f>SUM(AnnualDivReqs!$B21:$G21,AnnualDivReqs!$M21:$V21,AnnualDivReqs!$BJ21)</f>
        <v>109067.13000005133</v>
      </c>
      <c r="AA21" s="312">
        <f>SUM(AnnualDivReqs!$AT21:$AV21)</f>
        <v>322547.24514604331</v>
      </c>
      <c r="AB21" s="312">
        <f>SUM(AnnualDivReqs!$AS21,AnnualDivReqs!$AW21)</f>
        <v>37764.238566617634</v>
      </c>
      <c r="AC21" s="312">
        <f>SUM(AnnualDivReqs!$AA21:$AD21)</f>
        <v>5000.0000000019172</v>
      </c>
      <c r="AD21" s="312">
        <f>SUM(AnnualDivReqs!$BE21,AnnualDivReqs!$BA21,AnnualDivReqs!$AX21,AnnualDivReqs!$AH21,AnnualDivReqs!$AE21)</f>
        <v>56427.06077044519</v>
      </c>
      <c r="AE21" s="312">
        <f>SUM(AnnualDivReqs!$AR21,AnnualDivReqs!$AF21,AnnualDivReqs!$AZ21)</f>
        <v>22340.154860250481</v>
      </c>
      <c r="AF21" s="312">
        <f>SUM(AnnualDivReqs!$BD21,AnnualDivReqs!$K21,AnnualDivReqs!$H21)</f>
        <v>19633.182124709976</v>
      </c>
      <c r="AG21" s="380">
        <f>SUM(AnnualDivReqs!$I21,AnnualDivReqs!$W21,AnnualDivReqs!$X21,AnnualDivReqs!$Y21,AnnualDivReqs!$Z21,AnnualDivReqs!$AI21,AnnualDivReqs!$BB21,AnnualDivReqs!$BF21)</f>
        <v>19374.983333335964</v>
      </c>
    </row>
    <row r="22" spans="1:33" x14ac:dyDescent="0.25">
      <c r="A22" s="4">
        <v>16071.999305555555</v>
      </c>
      <c r="B22" s="311">
        <f>SUM(AnnualDepletions!$B22:$G22,AnnualDepletions!$M22:$V22,AnnualDepletions!$BJ22)</f>
        <v>57172.285958093649</v>
      </c>
      <c r="C22" s="312">
        <f>SUM(AnnualDepletions!$AT22:$AV22)</f>
        <v>246028.2384158654</v>
      </c>
      <c r="D22" s="312">
        <f>SUM(AnnualDepletions!$AS22,AnnualDepletions!$AW22)</f>
        <v>35893.000000000051</v>
      </c>
      <c r="E22" s="312">
        <f>SUM(AnnualDepletions!$AA22:$AD22)</f>
        <v>5000.0000000019172</v>
      </c>
      <c r="F22" s="312">
        <f>SUM(AnnualDepletions!$BE22,AnnualDepletions!$BA22,AnnualDepletions!$AX22,AnnualDepletions!$AH22,AnnualDepletions!$AE22)</f>
        <v>33779.153003376065</v>
      </c>
      <c r="G22" s="312">
        <f>SUM(AnnualDepletions!$AR22,AnnualDepletions!$AF22,AnnualDepletions!$AZ22)</f>
        <v>4085.9022052734231</v>
      </c>
      <c r="H22" s="312">
        <f>SUM(AnnualDepletions!$BD22,AnnualDepletions!$K22,AnnualDepletions!$H22)</f>
        <v>12744.999999998532</v>
      </c>
      <c r="I22" s="380">
        <f>SUM(AnnualDepletions!$I22,AnnualDepletions!$W22,AnnualDepletions!$X22,AnnualDepletions!$Y22,AnnualDepletions!$Z22,AnnualDepletions!$AI22,AnnualDepletions!$BB22,AnnualDepletions!$BF22)</f>
        <v>11624.990000001573</v>
      </c>
      <c r="J22" s="472">
        <f>SUM(AnnualDeplReqs!$B22:$G22,AnnualDeplReqs!$M22:$V22,AnnualDeplReqs!$BJ22)+AnnualDepletions!BJ22</f>
        <v>57172.285958093649</v>
      </c>
      <c r="K22" s="312">
        <f>SUM(AnnualDeplReqs!$AT22:$AV22)</f>
        <v>246028.2384158654</v>
      </c>
      <c r="L22" s="312">
        <f>SUM(AnnualDeplReqs!$AS22,AnnualDeplReqs!$AW22)</f>
        <v>35893.000000000073</v>
      </c>
      <c r="M22" s="312">
        <f>SUM(AnnualDeplReqs!$AA22:$AD22)</f>
        <v>5000.0000000019172</v>
      </c>
      <c r="N22" s="312">
        <f>SUM(AnnualDeplReqs!$BE22,AnnualDeplReqs!$BA22,AnnualDeplReqs!$AX22,AnnualDeplReqs!$AH22,AnnualDeplReqs!$AE22)</f>
        <v>33779.153003376065</v>
      </c>
      <c r="O22" s="312">
        <f>SUM(AnnualDeplReqs!$AR22,AnnualDeplReqs!$AF22,AnnualDeplReqs!$AZ22)</f>
        <v>12442.999999998572</v>
      </c>
      <c r="P22" s="312">
        <f>SUM(AnnualDeplReqs!$BD22,AnnualDeplReqs!$K22,AnnualDeplReqs!$H22)</f>
        <v>12744.999999998532</v>
      </c>
      <c r="Q22" s="380">
        <f>SUM(AnnualDeplReqs!$I22,AnnualDeplReqs!$W22,AnnualDeplReqs!$X22,AnnualDeplReqs!$Y22,AnnualDeplReqs!$Z22,AnnualDeplReqs!$AI22,AnnualDeplReqs!$BB22,AnnualDeplReqs!$BF22)</f>
        <v>11624.990000001573</v>
      </c>
      <c r="R22" s="311">
        <f>SUM(AnnualDiversions!$B22:$G22,AnnualDiversions!$M22:$V22,AnnualDiversions!$BJ22)</f>
        <v>109067.13000005133</v>
      </c>
      <c r="S22" s="312">
        <f>SUM(AnnualDiversions!$AT22:$AV22)</f>
        <v>307535.29801983177</v>
      </c>
      <c r="T22" s="312">
        <f>SUM(AnnualDiversions!$AS22,AnnualDiversions!$AW22)</f>
        <v>37764.238566617612</v>
      </c>
      <c r="U22" s="312">
        <f>SUM(AnnualDiversions!$AA22:$AD22)</f>
        <v>5000.0000000019172</v>
      </c>
      <c r="V22" s="312">
        <f>SUM(AnnualDiversions!$BE22,AnnualDiversions!$BA22,AnnualDiversions!$AX22,AnnualDiversions!$AH22,AnnualDiversions!$AE22)</f>
        <v>56699.780454505977</v>
      </c>
      <c r="W22" s="312">
        <f>SUM(AnnualDiversions!$AR22,AnnualDiversions!$AF22,AnnualDiversions!$AZ22)</f>
        <v>7248.2796609328989</v>
      </c>
      <c r="X22" s="312">
        <f>SUM(AnnualDiversions!$BD22,AnnualDiversions!$K22,AnnualDiversions!$H22)</f>
        <v>19537.605343212457</v>
      </c>
      <c r="Y22" s="380">
        <f>SUM(AnnualDiversions!$I22,AnnualDiversions!$W22,AnnualDiversions!$X22,AnnualDiversions!$Y22,AnnualDiversions!$Z22,AnnualDiversions!$AI22,AnnualDiversions!$BB22,AnnualDiversions!$BF22)</f>
        <v>19374.983333335964</v>
      </c>
      <c r="Z22" s="311">
        <f>SUM(AnnualDivReqs!$B22:$G22,AnnualDivReqs!$M22:$V22,AnnualDivReqs!$BJ22)</f>
        <v>109067.13000005133</v>
      </c>
      <c r="AA22" s="312">
        <f>SUM(AnnualDivReqs!$AT22:$AV22)</f>
        <v>307535.29801983177</v>
      </c>
      <c r="AB22" s="312">
        <f>SUM(AnnualDivReqs!$AS22,AnnualDivReqs!$AW22)</f>
        <v>37764.238566617634</v>
      </c>
      <c r="AC22" s="312">
        <f>SUM(AnnualDivReqs!$AA22:$AD22)</f>
        <v>5000.0000000019172</v>
      </c>
      <c r="AD22" s="312">
        <f>SUM(AnnualDivReqs!$BE22,AnnualDivReqs!$BA22,AnnualDivReqs!$AX22,AnnualDivReqs!$AH22,AnnualDivReqs!$AE22)</f>
        <v>56699.780454505977</v>
      </c>
      <c r="AE22" s="312">
        <f>SUM(AnnualDivReqs!$AR22,AnnualDivReqs!$AF22,AnnualDivReqs!$AZ22)</f>
        <v>22285.072540981713</v>
      </c>
      <c r="AF22" s="312">
        <f>SUM(AnnualDivReqs!$BD22,AnnualDivReqs!$K22,AnnualDivReqs!$H22)</f>
        <v>19537.605343212457</v>
      </c>
      <c r="AG22" s="380">
        <f>SUM(AnnualDivReqs!$I22,AnnualDivReqs!$W22,AnnualDivReqs!$X22,AnnualDivReqs!$Y22,AnnualDivReqs!$Z22,AnnualDivReqs!$AI22,AnnualDivReqs!$BB22,AnnualDivReqs!$BF22)</f>
        <v>19374.983333335964</v>
      </c>
    </row>
    <row r="23" spans="1:33" x14ac:dyDescent="0.25">
      <c r="A23" s="4">
        <v>16437.999305555557</v>
      </c>
      <c r="B23" s="311">
        <f>SUM(AnnualDepletions!$B23:$G23,AnnualDepletions!$M23:$V23,AnnualDepletions!$BJ23)</f>
        <v>57167.53138494656</v>
      </c>
      <c r="C23" s="312">
        <f>SUM(AnnualDepletions!$AT23:$AV23)</f>
        <v>244837.83796508223</v>
      </c>
      <c r="D23" s="312">
        <f>SUM(AnnualDepletions!$AS23,AnnualDepletions!$AW23)</f>
        <v>35893.000000000029</v>
      </c>
      <c r="E23" s="312">
        <f>SUM(AnnualDepletions!$AA23:$AD23)</f>
        <v>5000.0000000019463</v>
      </c>
      <c r="F23" s="312">
        <f>SUM(AnnualDepletions!$BE23,AnnualDepletions!$BA23,AnnualDepletions!$AX23,AnnualDepletions!$AH23,AnnualDepletions!$AE23)</f>
        <v>31067.779286040892</v>
      </c>
      <c r="G23" s="312">
        <f>SUM(AnnualDepletions!$AR23,AnnualDepletions!$AF23,AnnualDepletions!$AZ23)</f>
        <v>5821.8525934231166</v>
      </c>
      <c r="H23" s="312">
        <f>SUM(AnnualDepletions!$BD23,AnnualDepletions!$K23,AnnualDepletions!$H23)</f>
        <v>12524.99999999855</v>
      </c>
      <c r="I23" s="380">
        <f>SUM(AnnualDepletions!$I23,AnnualDepletions!$W23,AnnualDepletions!$X23,AnnualDepletions!$Y23,AnnualDepletions!$Z23,AnnualDepletions!$AI23,AnnualDepletions!$BB23,AnnualDepletions!$BF23)</f>
        <v>11624.990000001573</v>
      </c>
      <c r="J23" s="472">
        <f>SUM(AnnualDeplReqs!$B23:$G23,AnnualDeplReqs!$M23:$V23,AnnualDeplReqs!$BJ23)+AnnualDepletions!BJ23</f>
        <v>57167.53138494656</v>
      </c>
      <c r="K23" s="312">
        <f>SUM(AnnualDeplReqs!$AT23:$AV23)</f>
        <v>244837.83796508223</v>
      </c>
      <c r="L23" s="312">
        <f>SUM(AnnualDeplReqs!$AS23,AnnualDeplReqs!$AW23)</f>
        <v>35893.000000000073</v>
      </c>
      <c r="M23" s="312">
        <f>SUM(AnnualDeplReqs!$AA23:$AD23)</f>
        <v>5000.0000000019463</v>
      </c>
      <c r="N23" s="312">
        <f>SUM(AnnualDeplReqs!$BE23,AnnualDeplReqs!$BA23,AnnualDeplReqs!$AX23,AnnualDeplReqs!$AH23,AnnualDeplReqs!$AE23)</f>
        <v>31067.779286040892</v>
      </c>
      <c r="O23" s="312">
        <f>SUM(AnnualDeplReqs!$AR23,AnnualDeplReqs!$AF23,AnnualDeplReqs!$AZ23)</f>
        <v>11327.999999998694</v>
      </c>
      <c r="P23" s="312">
        <f>SUM(AnnualDeplReqs!$BD23,AnnualDeplReqs!$K23,AnnualDeplReqs!$H23)</f>
        <v>12524.99999999855</v>
      </c>
      <c r="Q23" s="380">
        <f>SUM(AnnualDeplReqs!$I23,AnnualDeplReqs!$W23,AnnualDeplReqs!$X23,AnnualDeplReqs!$Y23,AnnualDeplReqs!$Z23,AnnualDeplReqs!$AI23,AnnualDeplReqs!$BB23,AnnualDeplReqs!$BF23)</f>
        <v>11624.990000001573</v>
      </c>
      <c r="R23" s="311">
        <f>SUM(AnnualDiversions!$B23:$G23,AnnualDiversions!$M23:$V23,AnnualDiversions!$BJ23)</f>
        <v>109067.13000005131</v>
      </c>
      <c r="S23" s="312">
        <f>SUM(AnnualDiversions!$AT23:$AV23)</f>
        <v>306047.29745635227</v>
      </c>
      <c r="T23" s="312">
        <f>SUM(AnnualDiversions!$AS23,AnnualDiversions!$AW23)</f>
        <v>37763.476493275404</v>
      </c>
      <c r="U23" s="312">
        <f>SUM(AnnualDiversions!$AA23:$AD23)</f>
        <v>5000.0000000019463</v>
      </c>
      <c r="V23" s="312">
        <f>SUM(AnnualDiversions!$BE23,AnnualDiversions!$BA23,AnnualDiversions!$AX23,AnnualDiversions!$AH23,AnnualDiversions!$AE23)</f>
        <v>52139.193700465767</v>
      </c>
      <c r="W23" s="312">
        <f>SUM(AnnualDiversions!$AR23,AnnualDiversions!$AF23,AnnualDiversions!$AZ23)</f>
        <v>10662.256815994857</v>
      </c>
      <c r="X23" s="312">
        <f>SUM(AnnualDiversions!$BD23,AnnualDiversions!$K23,AnnualDiversions!$H23)</f>
        <v>19198.941086308729</v>
      </c>
      <c r="Y23" s="380">
        <f>SUM(AnnualDiversions!$I23,AnnualDiversions!$W23,AnnualDiversions!$X23,AnnualDiversions!$Y23,AnnualDiversions!$Z23,AnnualDiversions!$AI23,AnnualDiversions!$BB23,AnnualDiversions!$BF23)</f>
        <v>19374.983333335967</v>
      </c>
      <c r="Z23" s="311">
        <f>SUM(AnnualDivReqs!$B23:$G23,AnnualDivReqs!$M23:$V23,AnnualDivReqs!$BJ23)</f>
        <v>109067.13000005131</v>
      </c>
      <c r="AA23" s="312">
        <f>SUM(AnnualDivReqs!$AT23:$AV23)</f>
        <v>306047.29745635227</v>
      </c>
      <c r="AB23" s="312">
        <f>SUM(AnnualDivReqs!$AS23,AnnualDivReqs!$AW23)</f>
        <v>37763.476493275448</v>
      </c>
      <c r="AC23" s="312">
        <f>SUM(AnnualDivReqs!$AA23:$AD23)</f>
        <v>5000.0000000019463</v>
      </c>
      <c r="AD23" s="312">
        <f>SUM(AnnualDivReqs!$BE23,AnnualDivReqs!$BA23,AnnualDivReqs!$AX23,AnnualDivReqs!$AH23,AnnualDivReqs!$AE23)</f>
        <v>52139.193700465767</v>
      </c>
      <c r="AE23" s="312">
        <f>SUM(AnnualDivReqs!$AR23,AnnualDivReqs!$AF23,AnnualDivReqs!$AZ23)</f>
        <v>20289.654692398082</v>
      </c>
      <c r="AF23" s="312">
        <f>SUM(AnnualDivReqs!$BD23,AnnualDivReqs!$K23,AnnualDivReqs!$H23)</f>
        <v>19198.941086308729</v>
      </c>
      <c r="AG23" s="380">
        <f>SUM(AnnualDivReqs!$I23,AnnualDivReqs!$W23,AnnualDivReqs!$X23,AnnualDivReqs!$Y23,AnnualDivReqs!$Z23,AnnualDivReqs!$AI23,AnnualDivReqs!$BB23,AnnualDivReqs!$BF23)</f>
        <v>19374.983333335967</v>
      </c>
    </row>
    <row r="24" spans="1:33" x14ac:dyDescent="0.25">
      <c r="A24" s="4">
        <v>16802.999305555557</v>
      </c>
      <c r="B24" s="311">
        <f>SUM(AnnualDepletions!$B24:$G24,AnnualDepletions!$M24:$V24,AnnualDepletions!$BJ24)</f>
        <v>57162.044361908607</v>
      </c>
      <c r="C24" s="312">
        <f>SUM(AnnualDepletions!$AT24:$AV24)</f>
        <v>260899.60133969504</v>
      </c>
      <c r="D24" s="312">
        <f>SUM(AnnualDepletions!$AS24,AnnualDepletions!$AW24)</f>
        <v>35893.000000000044</v>
      </c>
      <c r="E24" s="312">
        <f>SUM(AnnualDepletions!$AA24:$AD24)</f>
        <v>5000.0000000019172</v>
      </c>
      <c r="F24" s="312">
        <f>SUM(AnnualDepletions!$BE24,AnnualDepletions!$BA24,AnnualDepletions!$AX24,AnnualDepletions!$AH24,AnnualDepletions!$AE24)</f>
        <v>31884.81788818647</v>
      </c>
      <c r="G24" s="312">
        <f>SUM(AnnualDepletions!$AR24,AnnualDepletions!$AF24,AnnualDepletions!$AZ24)</f>
        <v>3041.2138780614418</v>
      </c>
      <c r="H24" s="312">
        <f>SUM(AnnualDepletions!$BD24,AnnualDepletions!$K24,AnnualDepletions!$H24)</f>
        <v>12663.999999998543</v>
      </c>
      <c r="I24" s="380">
        <f>SUM(AnnualDepletions!$I24,AnnualDepletions!$W24,AnnualDepletions!$X24,AnnualDepletions!$Y24,AnnualDepletions!$Z24,AnnualDepletions!$AI24,AnnualDepletions!$BB24,AnnualDepletions!$BF24)</f>
        <v>11624.990000001573</v>
      </c>
      <c r="J24" s="472">
        <f>SUM(AnnualDeplReqs!$B24:$G24,AnnualDeplReqs!$M24:$V24,AnnualDeplReqs!$BJ24)+AnnualDepletions!BJ24</f>
        <v>57224.147889396023</v>
      </c>
      <c r="K24" s="312">
        <f>SUM(AnnualDeplReqs!$AT24:$AV24)</f>
        <v>260899.60133969504</v>
      </c>
      <c r="L24" s="312">
        <f>SUM(AnnualDeplReqs!$AS24,AnnualDeplReqs!$AW24)</f>
        <v>35893.000000000073</v>
      </c>
      <c r="M24" s="312">
        <f>SUM(AnnualDeplReqs!$AA24:$AD24)</f>
        <v>5000.0000000019172</v>
      </c>
      <c r="N24" s="312">
        <f>SUM(AnnualDeplReqs!$BE24,AnnualDeplReqs!$BA24,AnnualDeplReqs!$AX24,AnnualDeplReqs!$AH24,AnnualDeplReqs!$AE24)</f>
        <v>31884.81788818647</v>
      </c>
      <c r="O24" s="312">
        <f>SUM(AnnualDeplReqs!$AR24,AnnualDeplReqs!$AF24,AnnualDeplReqs!$AZ24)</f>
        <v>11701.999999998656</v>
      </c>
      <c r="P24" s="312">
        <f>SUM(AnnualDeplReqs!$BD24,AnnualDeplReqs!$K24,AnnualDeplReqs!$H24)</f>
        <v>12663.999999998543</v>
      </c>
      <c r="Q24" s="380">
        <f>SUM(AnnualDeplReqs!$I24,AnnualDeplReqs!$W24,AnnualDeplReqs!$X24,AnnualDeplReqs!$Y24,AnnualDeplReqs!$Z24,AnnualDeplReqs!$AI24,AnnualDeplReqs!$BB24,AnnualDeplReqs!$BF24)</f>
        <v>11624.990000001573</v>
      </c>
      <c r="R24" s="311">
        <f>SUM(AnnualDiversions!$B24:$G24,AnnualDiversions!$M24:$V24,AnnualDiversions!$BJ24)</f>
        <v>109067.13000005133</v>
      </c>
      <c r="S24" s="312">
        <f>SUM(AnnualDiversions!$AT24:$AV24)</f>
        <v>326124.50167461927</v>
      </c>
      <c r="T24" s="312">
        <f>SUM(AnnualDiversions!$AS24,AnnualDiversions!$AW24)</f>
        <v>37764.238566617612</v>
      </c>
      <c r="U24" s="312">
        <f>SUM(AnnualDiversions!$AA24:$AD24)</f>
        <v>5000.0000000019172</v>
      </c>
      <c r="V24" s="312">
        <f>SUM(AnnualDiversions!$BE24,AnnualDiversions!$BA24,AnnualDiversions!$AX24,AnnualDiversions!$AH24,AnnualDiversions!$AE24)</f>
        <v>53511.555239364541</v>
      </c>
      <c r="W24" s="312">
        <f>SUM(AnnualDiversions!$AR24,AnnualDiversions!$AF24,AnnualDiversions!$AZ24)</f>
        <v>5631.4144337554571</v>
      </c>
      <c r="X24" s="312">
        <f>SUM(AnnualDiversions!$BD24,AnnualDiversions!$K24,AnnualDiversions!$H24)</f>
        <v>19412.802797005093</v>
      </c>
      <c r="Y24" s="380">
        <f>SUM(AnnualDiversions!$I24,AnnualDiversions!$W24,AnnualDiversions!$X24,AnnualDiversions!$Y24,AnnualDiversions!$Z24,AnnualDiversions!$AI24,AnnualDiversions!$BB24,AnnualDiversions!$BF24)</f>
        <v>19374.983333335964</v>
      </c>
      <c r="Z24" s="311">
        <f>SUM(AnnualDivReqs!$B24:$G24,AnnualDivReqs!$M24:$V24,AnnualDivReqs!$BJ24)</f>
        <v>109191.33705502616</v>
      </c>
      <c r="AA24" s="312">
        <f>SUM(AnnualDivReqs!$AT24:$AV24)</f>
        <v>326124.50167461927</v>
      </c>
      <c r="AB24" s="312">
        <f>SUM(AnnualDivReqs!$AS24,AnnualDivReqs!$AW24)</f>
        <v>37764.238566617634</v>
      </c>
      <c r="AC24" s="312">
        <f>SUM(AnnualDivReqs!$AA24:$AD24)</f>
        <v>5000.0000000019172</v>
      </c>
      <c r="AD24" s="312">
        <f>SUM(AnnualDivReqs!$BE24,AnnualDivReqs!$BA24,AnnualDivReqs!$AX24,AnnualDivReqs!$AH24,AnnualDivReqs!$AE24)</f>
        <v>53511.555239364541</v>
      </c>
      <c r="AE24" s="312">
        <f>SUM(AnnualDivReqs!$AR24,AnnualDivReqs!$AF24,AnnualDivReqs!$AZ24)</f>
        <v>20959.88387551413</v>
      </c>
      <c r="AF24" s="312">
        <f>SUM(AnnualDivReqs!$BD24,AnnualDivReqs!$K24,AnnualDivReqs!$H24)</f>
        <v>19412.802797005093</v>
      </c>
      <c r="AG24" s="380">
        <f>SUM(AnnualDivReqs!$I24,AnnualDivReqs!$W24,AnnualDivReqs!$X24,AnnualDivReqs!$Y24,AnnualDivReqs!$Z24,AnnualDivReqs!$AI24,AnnualDivReqs!$BB24,AnnualDivReqs!$BF24)</f>
        <v>19374.983333335964</v>
      </c>
    </row>
    <row r="25" spans="1:33" x14ac:dyDescent="0.25">
      <c r="A25" s="4">
        <v>17167.999305555557</v>
      </c>
      <c r="B25" s="311">
        <f>SUM(AnnualDepletions!$B25:$G25,AnnualDepletions!$M25:$V25,AnnualDepletions!$BJ25)</f>
        <v>57168.532916011522</v>
      </c>
      <c r="C25" s="312">
        <f>SUM(AnnualDepletions!$AT25:$AV25)</f>
        <v>267751.56844986009</v>
      </c>
      <c r="D25" s="312">
        <f>SUM(AnnualDepletions!$AS25,AnnualDepletions!$AW25)</f>
        <v>35893.000000000036</v>
      </c>
      <c r="E25" s="312">
        <f>SUM(AnnualDepletions!$AA25:$AD25)</f>
        <v>5000.0000000019172</v>
      </c>
      <c r="F25" s="312">
        <f>SUM(AnnualDepletions!$BE25,AnnualDepletions!$BA25,AnnualDepletions!$AX25,AnnualDepletions!$AH25,AnnualDepletions!$AE25)</f>
        <v>32830.968789353428</v>
      </c>
      <c r="G25" s="312">
        <f>SUM(AnnualDepletions!$AR25,AnnualDepletions!$AF25,AnnualDepletions!$AZ25)</f>
        <v>3163.2250649641564</v>
      </c>
      <c r="H25" s="312">
        <f>SUM(AnnualDepletions!$BD25,AnnualDepletions!$K25,AnnualDepletions!$H25)</f>
        <v>13431.999999998445</v>
      </c>
      <c r="I25" s="380">
        <f>SUM(AnnualDepletions!$I25,AnnualDepletions!$W25,AnnualDepletions!$X25,AnnualDepletions!$Y25,AnnualDepletions!$Z25,AnnualDepletions!$AI25,AnnualDepletions!$BB25,AnnualDepletions!$BF25)</f>
        <v>11624.990000001573</v>
      </c>
      <c r="J25" s="472">
        <f>SUM(AnnualDeplReqs!$B25:$G25,AnnualDeplReqs!$M25:$V25,AnnualDeplReqs!$BJ25)+AnnualDepletions!BJ25</f>
        <v>57168.532916011522</v>
      </c>
      <c r="K25" s="312">
        <f>SUM(AnnualDeplReqs!$AT25:$AV25)</f>
        <v>267751.56844986009</v>
      </c>
      <c r="L25" s="312">
        <f>SUM(AnnualDeplReqs!$AS25,AnnualDeplReqs!$AW25)</f>
        <v>35893.000000000073</v>
      </c>
      <c r="M25" s="312">
        <f>SUM(AnnualDeplReqs!$AA25:$AD25)</f>
        <v>5000.0000000019172</v>
      </c>
      <c r="N25" s="312">
        <f>SUM(AnnualDeplReqs!$BE25,AnnualDeplReqs!$BA25,AnnualDeplReqs!$AX25,AnnualDeplReqs!$AH25,AnnualDeplReqs!$AE25)</f>
        <v>32830.968789353428</v>
      </c>
      <c r="O25" s="312">
        <f>SUM(AnnualDeplReqs!$AR25,AnnualDeplReqs!$AF25,AnnualDeplReqs!$AZ25)</f>
        <v>12177.999999998607</v>
      </c>
      <c r="P25" s="312">
        <f>SUM(AnnualDeplReqs!$BD25,AnnualDeplReqs!$K25,AnnualDeplReqs!$H25)</f>
        <v>13431.999999998445</v>
      </c>
      <c r="Q25" s="380">
        <f>SUM(AnnualDeplReqs!$I25,AnnualDeplReqs!$W25,AnnualDeplReqs!$X25,AnnualDeplReqs!$Y25,AnnualDeplReqs!$Z25,AnnualDeplReqs!$AI25,AnnualDeplReqs!$BB25,AnnualDeplReqs!$BF25)</f>
        <v>11624.990000001573</v>
      </c>
      <c r="R25" s="311">
        <f>SUM(AnnualDiversions!$B25:$G25,AnnualDiversions!$M25:$V25,AnnualDiversions!$BJ25)</f>
        <v>109067.13000005133</v>
      </c>
      <c r="S25" s="312">
        <f>SUM(AnnualDiversions!$AT25:$AV25)</f>
        <v>334689.46056232491</v>
      </c>
      <c r="T25" s="312">
        <f>SUM(AnnualDiversions!$AS25,AnnualDiversions!$AW25)</f>
        <v>37764.238566617598</v>
      </c>
      <c r="U25" s="312">
        <f>SUM(AnnualDiversions!$AA25:$AD25)</f>
        <v>5000.0000000019172</v>
      </c>
      <c r="V25" s="312">
        <f>SUM(AnnualDiversions!$BE25,AnnualDiversions!$BA25,AnnualDiversions!$AX25,AnnualDiversions!$AH25,AnnualDiversions!$AE25)</f>
        <v>55123.262049087745</v>
      </c>
      <c r="W25" s="312">
        <f>SUM(AnnualDiversions!$AR25,AnnualDiversions!$AF25,AnnualDiversions!$AZ25)</f>
        <v>5593.8654154398637</v>
      </c>
      <c r="X25" s="312">
        <f>SUM(AnnualDiversions!$BD25,AnnualDiversions!$K25,AnnualDiversions!$H25)</f>
        <v>20588.92396355639</v>
      </c>
      <c r="Y25" s="380">
        <f>SUM(AnnualDiversions!$I25,AnnualDiversions!$W25,AnnualDiversions!$X25,AnnualDiversions!$Y25,AnnualDiversions!$Z25,AnnualDiversions!$AI25,AnnualDiversions!$BB25,AnnualDiversions!$BF25)</f>
        <v>19374.983333335964</v>
      </c>
      <c r="Z25" s="311">
        <f>SUM(AnnualDivReqs!$B25:$G25,AnnualDivReqs!$M25:$V25,AnnualDivReqs!$BJ25)</f>
        <v>109067.13000005133</v>
      </c>
      <c r="AA25" s="312">
        <f>SUM(AnnualDivReqs!$AT25:$AV25)</f>
        <v>334689.46056232491</v>
      </c>
      <c r="AB25" s="312">
        <f>SUM(AnnualDivReqs!$AS25,AnnualDivReqs!$AW25)</f>
        <v>37764.238566617634</v>
      </c>
      <c r="AC25" s="312">
        <f>SUM(AnnualDivReqs!$AA25:$AD25)</f>
        <v>5000.0000000019172</v>
      </c>
      <c r="AD25" s="312">
        <f>SUM(AnnualDivReqs!$BE25,AnnualDivReqs!$BA25,AnnualDivReqs!$AX25,AnnualDivReqs!$AH25,AnnualDivReqs!$AE25)</f>
        <v>55123.262049087745</v>
      </c>
      <c r="AE25" s="312">
        <f>SUM(AnnualDivReqs!$AR25,AnnualDivReqs!$AF25,AnnualDivReqs!$AZ25)</f>
        <v>21811.104948536526</v>
      </c>
      <c r="AF25" s="312">
        <f>SUM(AnnualDivReqs!$BD25,AnnualDivReqs!$K25,AnnualDivReqs!$H25)</f>
        <v>20588.92396355639</v>
      </c>
      <c r="AG25" s="380">
        <f>SUM(AnnualDivReqs!$I25,AnnualDivReqs!$W25,AnnualDivReqs!$X25,AnnualDivReqs!$Y25,AnnualDivReqs!$Z25,AnnualDivReqs!$AI25,AnnualDivReqs!$BB25,AnnualDivReqs!$BF25)</f>
        <v>19374.983333335964</v>
      </c>
    </row>
    <row r="26" spans="1:33" x14ac:dyDescent="0.25">
      <c r="A26" s="4">
        <v>17532.999305555557</v>
      </c>
      <c r="B26" s="311">
        <f>SUM(AnnualDepletions!$B26:$G26,AnnualDepletions!$M26:$V26,AnnualDepletions!$BJ26)</f>
        <v>57174.024543631749</v>
      </c>
      <c r="C26" s="312">
        <f>SUM(AnnualDepletions!$AT26:$AV26)</f>
        <v>252476.13757501432</v>
      </c>
      <c r="D26" s="312">
        <f>SUM(AnnualDepletions!$AS26,AnnualDepletions!$AW26)</f>
        <v>35893.000000000073</v>
      </c>
      <c r="E26" s="312">
        <f>SUM(AnnualDepletions!$AA26:$AD26)</f>
        <v>5000.0000000019172</v>
      </c>
      <c r="F26" s="312">
        <f>SUM(AnnualDepletions!$BE26,AnnualDepletions!$BA26,AnnualDepletions!$AX26,AnnualDepletions!$AH26,AnnualDepletions!$AE26)</f>
        <v>29160.77530005735</v>
      </c>
      <c r="G26" s="312">
        <f>SUM(AnnualDepletions!$AR26,AnnualDepletions!$AF26,AnnualDepletions!$AZ26)</f>
        <v>3190.1479491513419</v>
      </c>
      <c r="H26" s="312">
        <f>SUM(AnnualDepletions!$BD26,AnnualDepletions!$K26,AnnualDepletions!$H26)</f>
        <v>12163.999999998598</v>
      </c>
      <c r="I26" s="380">
        <f>SUM(AnnualDepletions!$I26,AnnualDepletions!$W26,AnnualDepletions!$X26,AnnualDepletions!$Y26,AnnualDepletions!$Z26,AnnualDepletions!$AI26,AnnualDepletions!$BB26,AnnualDepletions!$BF26)</f>
        <v>11624.990000001573</v>
      </c>
      <c r="J26" s="472">
        <f>SUM(AnnualDeplReqs!$B26:$G26,AnnualDeplReqs!$M26:$V26,AnnualDeplReqs!$BJ26)+AnnualDepletions!BJ26</f>
        <v>57174.024543631749</v>
      </c>
      <c r="K26" s="312">
        <f>SUM(AnnualDeplReqs!$AT26:$AV26)</f>
        <v>252476.13757501432</v>
      </c>
      <c r="L26" s="312">
        <f>SUM(AnnualDeplReqs!$AS26,AnnualDeplReqs!$AW26)</f>
        <v>35893.000000000073</v>
      </c>
      <c r="M26" s="312">
        <f>SUM(AnnualDeplReqs!$AA26:$AD26)</f>
        <v>5000.0000000019172</v>
      </c>
      <c r="N26" s="312">
        <f>SUM(AnnualDeplReqs!$BE26,AnnualDeplReqs!$BA26,AnnualDeplReqs!$AX26,AnnualDeplReqs!$AH26,AnnualDeplReqs!$AE26)</f>
        <v>29160.77530005735</v>
      </c>
      <c r="O26" s="312">
        <f>SUM(AnnualDeplReqs!$AR26,AnnualDeplReqs!$AF26,AnnualDeplReqs!$AZ26)</f>
        <v>10738.999999998765</v>
      </c>
      <c r="P26" s="312">
        <f>SUM(AnnualDeplReqs!$BD26,AnnualDeplReqs!$K26,AnnualDeplReqs!$H26)</f>
        <v>12163.999999998598</v>
      </c>
      <c r="Q26" s="380">
        <f>SUM(AnnualDeplReqs!$I26,AnnualDeplReqs!$W26,AnnualDeplReqs!$X26,AnnualDeplReqs!$Y26,AnnualDeplReqs!$Z26,AnnualDeplReqs!$AI26,AnnualDeplReqs!$BB26,AnnualDeplReqs!$BF26)</f>
        <v>11624.990000001573</v>
      </c>
      <c r="R26" s="311">
        <f>SUM(AnnualDiversions!$B26:$G26,AnnualDiversions!$M26:$V26,AnnualDiversions!$BJ26)</f>
        <v>109067.13000005133</v>
      </c>
      <c r="S26" s="312">
        <f>SUM(AnnualDiversions!$AT26:$AV26)</f>
        <v>315595.17196876765</v>
      </c>
      <c r="T26" s="312">
        <f>SUM(AnnualDiversions!$AS26,AnnualDiversions!$AW26)</f>
        <v>37764.238566617634</v>
      </c>
      <c r="U26" s="312">
        <f>SUM(AnnualDiversions!$AA26:$AD26)</f>
        <v>5000.0000000019172</v>
      </c>
      <c r="V26" s="312">
        <f>SUM(AnnualDiversions!$BE26,AnnualDiversions!$BA26,AnnualDiversions!$AX26,AnnualDiversions!$AH26,AnnualDiversions!$AE26)</f>
        <v>48940.71481499463</v>
      </c>
      <c r="W26" s="312">
        <f>SUM(AnnualDiversions!$AR26,AnnualDiversions!$AF26,AnnualDiversions!$AZ26)</f>
        <v>6162.869672949405</v>
      </c>
      <c r="X26" s="312">
        <f>SUM(AnnualDiversions!$BD26,AnnualDiversions!$K26,AnnualDiversions!$H26)</f>
        <v>18646.050977995867</v>
      </c>
      <c r="Y26" s="380">
        <f>SUM(AnnualDiversions!$I26,AnnualDiversions!$W26,AnnualDiversions!$X26,AnnualDiversions!$Y26,AnnualDiversions!$Z26,AnnualDiversions!$AI26,AnnualDiversions!$BB26,AnnualDiversions!$BF26)</f>
        <v>19374.983333335964</v>
      </c>
      <c r="Z26" s="311">
        <f>SUM(AnnualDivReqs!$B26:$G26,AnnualDivReqs!$M26:$V26,AnnualDivReqs!$BJ26)</f>
        <v>109067.13000005133</v>
      </c>
      <c r="AA26" s="312">
        <f>SUM(AnnualDivReqs!$AT26:$AV26)</f>
        <v>315595.17196876765</v>
      </c>
      <c r="AB26" s="312">
        <f>SUM(AnnualDivReqs!$AS26,AnnualDivReqs!$AW26)</f>
        <v>37764.238566617634</v>
      </c>
      <c r="AC26" s="312">
        <f>SUM(AnnualDivReqs!$AA26:$AD26)</f>
        <v>5000.0000000019172</v>
      </c>
      <c r="AD26" s="312">
        <f>SUM(AnnualDivReqs!$BE26,AnnualDivReqs!$BA26,AnnualDivReqs!$AX26,AnnualDivReqs!$AH26,AnnualDivReqs!$AE26)</f>
        <v>48940.71481499463</v>
      </c>
      <c r="AE26" s="312">
        <f>SUM(AnnualDivReqs!$AR26,AnnualDivReqs!$AF26,AnnualDivReqs!$AZ26)</f>
        <v>19233.881139485104</v>
      </c>
      <c r="AF26" s="312">
        <f>SUM(AnnualDivReqs!$BD26,AnnualDivReqs!$K26,AnnualDivReqs!$H26)</f>
        <v>18646.050977995867</v>
      </c>
      <c r="AG26" s="380">
        <f>SUM(AnnualDivReqs!$I26,AnnualDivReqs!$W26,AnnualDivReqs!$X26,AnnualDivReqs!$Y26,AnnualDivReqs!$Z26,AnnualDivReqs!$AI26,AnnualDivReqs!$BB26,AnnualDivReqs!$BF26)</f>
        <v>19374.983333335964</v>
      </c>
    </row>
    <row r="27" spans="1:33" x14ac:dyDescent="0.25">
      <c r="A27" s="4">
        <v>17898.999305555557</v>
      </c>
      <c r="B27" s="311">
        <f>SUM(AnnualDepletions!$B27:$G27,AnnualDepletions!$M27:$V27,AnnualDepletions!$BJ27)</f>
        <v>57165.883187512904</v>
      </c>
      <c r="C27" s="312">
        <f>SUM(AnnualDepletions!$AT27:$AV27)</f>
        <v>248967.12679676482</v>
      </c>
      <c r="D27" s="312">
        <f>SUM(AnnualDepletions!$AS27,AnnualDepletions!$AW27)</f>
        <v>35893.000000000058</v>
      </c>
      <c r="E27" s="312">
        <f>SUM(AnnualDepletions!$AA27:$AD27)</f>
        <v>5000.0000000019463</v>
      </c>
      <c r="F27" s="312">
        <f>SUM(AnnualDepletions!$BE27,AnnualDepletions!$BA27,AnnualDepletions!$AX27,AnnualDepletions!$AH27,AnnualDepletions!$AE27)</f>
        <v>29671.755342243789</v>
      </c>
      <c r="G27" s="312">
        <f>SUM(AnnualDepletions!$AR27,AnnualDepletions!$AF27,AnnualDepletions!$AZ27)</f>
        <v>3659.2889345108761</v>
      </c>
      <c r="H27" s="312">
        <f>SUM(AnnualDepletions!$BD27,AnnualDepletions!$K27,AnnualDepletions!$H27)</f>
        <v>12703.999999998541</v>
      </c>
      <c r="I27" s="380">
        <f>SUM(AnnualDepletions!$I27,AnnualDepletions!$W27,AnnualDepletions!$X27,AnnualDepletions!$Y27,AnnualDepletions!$Z27,AnnualDepletions!$AI27,AnnualDepletions!$BB27,AnnualDepletions!$BF27)</f>
        <v>11624.990000001573</v>
      </c>
      <c r="J27" s="472">
        <f>SUM(AnnualDeplReqs!$B27:$G27,AnnualDeplReqs!$M27:$V27,AnnualDeplReqs!$BJ27)+AnnualDepletions!BJ27</f>
        <v>57168.197043066284</v>
      </c>
      <c r="K27" s="312">
        <f>SUM(AnnualDeplReqs!$AT27:$AV27)</f>
        <v>248967.12679676482</v>
      </c>
      <c r="L27" s="312">
        <f>SUM(AnnualDeplReqs!$AS27,AnnualDeplReqs!$AW27)</f>
        <v>35893.000000000073</v>
      </c>
      <c r="M27" s="312">
        <f>SUM(AnnualDeplReqs!$AA27:$AD27)</f>
        <v>5000.0000000019463</v>
      </c>
      <c r="N27" s="312">
        <f>SUM(AnnualDeplReqs!$BE27,AnnualDeplReqs!$BA27,AnnualDeplReqs!$AX27,AnnualDeplReqs!$AH27,AnnualDeplReqs!$AE27)</f>
        <v>29671.755342243789</v>
      </c>
      <c r="O27" s="312">
        <f>SUM(AnnualDeplReqs!$AR27,AnnualDeplReqs!$AF27,AnnualDeplReqs!$AZ27)</f>
        <v>10947.999999998738</v>
      </c>
      <c r="P27" s="312">
        <f>SUM(AnnualDeplReqs!$BD27,AnnualDeplReqs!$K27,AnnualDeplReqs!$H27)</f>
        <v>12703.999999998541</v>
      </c>
      <c r="Q27" s="380">
        <f>SUM(AnnualDeplReqs!$I27,AnnualDeplReqs!$W27,AnnualDeplReqs!$X27,AnnualDeplReqs!$Y27,AnnualDeplReqs!$Z27,AnnualDeplReqs!$AI27,AnnualDeplReqs!$BB27,AnnualDeplReqs!$BF27)</f>
        <v>11624.990000001573</v>
      </c>
      <c r="R27" s="311">
        <f>SUM(AnnualDiversions!$B27:$G27,AnnualDiversions!$M27:$V27,AnnualDiversions!$BJ27)</f>
        <v>109067.13000005131</v>
      </c>
      <c r="S27" s="312">
        <f>SUM(AnnualDiversions!$AT27:$AV27)</f>
        <v>311208.90849595587</v>
      </c>
      <c r="T27" s="312">
        <f>SUM(AnnualDiversions!$AS27,AnnualDiversions!$AW27)</f>
        <v>37763.476493275433</v>
      </c>
      <c r="U27" s="312">
        <f>SUM(AnnualDiversions!$AA27:$AD27)</f>
        <v>5000.0000000019463</v>
      </c>
      <c r="V27" s="312">
        <f>SUM(AnnualDiversions!$BE27,AnnualDiversions!$BA27,AnnualDiversions!$AX27,AnnualDiversions!$AH27,AnnualDiversions!$AE27)</f>
        <v>49800.44828424861</v>
      </c>
      <c r="W27" s="312">
        <f>SUM(AnnualDiversions!$AR27,AnnualDiversions!$AF27,AnnualDiversions!$AZ27)</f>
        <v>6592.1206160814363</v>
      </c>
      <c r="X27" s="312">
        <f>SUM(AnnualDiversions!$BD27,AnnualDiversions!$K27,AnnualDiversions!$H27)</f>
        <v>19473.400948909548</v>
      </c>
      <c r="Y27" s="380">
        <f>SUM(AnnualDiversions!$I27,AnnualDiversions!$W27,AnnualDiversions!$X27,AnnualDiversions!$Y27,AnnualDiversions!$Z27,AnnualDiversions!$AI27,AnnualDiversions!$BB27,AnnualDiversions!$BF27)</f>
        <v>19374.983333335967</v>
      </c>
      <c r="Z27" s="311">
        <f>SUM(AnnualDivReqs!$B27:$G27,AnnualDivReqs!$M27:$V27,AnnualDivReqs!$BJ27)</f>
        <v>109071.75771115808</v>
      </c>
      <c r="AA27" s="312">
        <f>SUM(AnnualDivReqs!$AT27:$AV27)</f>
        <v>311208.90849595587</v>
      </c>
      <c r="AB27" s="312">
        <f>SUM(AnnualDivReqs!$AS27,AnnualDivReqs!$AW27)</f>
        <v>37763.476493275448</v>
      </c>
      <c r="AC27" s="312">
        <f>SUM(AnnualDivReqs!$AA27:$AD27)</f>
        <v>5000.0000000019463</v>
      </c>
      <c r="AD27" s="312">
        <f>SUM(AnnualDivReqs!$BE27,AnnualDivReqs!$BA27,AnnualDivReqs!$AX27,AnnualDivReqs!$AH27,AnnualDivReqs!$AE27)</f>
        <v>49800.44828424861</v>
      </c>
      <c r="AE27" s="312">
        <f>SUM(AnnualDivReqs!$AR27,AnnualDivReqs!$AF27,AnnualDivReqs!$AZ27)</f>
        <v>19608.510464712268</v>
      </c>
      <c r="AF27" s="312">
        <f>SUM(AnnualDivReqs!$BD27,AnnualDivReqs!$K27,AnnualDivReqs!$H27)</f>
        <v>19473.400948909548</v>
      </c>
      <c r="AG27" s="380">
        <f>SUM(AnnualDivReqs!$I27,AnnualDivReqs!$W27,AnnualDivReqs!$X27,AnnualDivReqs!$Y27,AnnualDivReqs!$Z27,AnnualDivReqs!$AI27,AnnualDivReqs!$BB27,AnnualDivReqs!$BF27)</f>
        <v>19374.983333335967</v>
      </c>
    </row>
    <row r="28" spans="1:33" x14ac:dyDescent="0.25">
      <c r="A28" s="4">
        <v>18263.999305555557</v>
      </c>
      <c r="B28" s="311">
        <f>SUM(AnnualDepletions!$B28:$G28,AnnualDepletions!$M28:$V28,AnnualDepletions!$BJ28)</f>
        <v>57162.655420615134</v>
      </c>
      <c r="C28" s="312">
        <f>SUM(AnnualDepletions!$AT28:$AV28)</f>
        <v>235306.14819402719</v>
      </c>
      <c r="D28" s="312">
        <f>SUM(AnnualDepletions!$AS28,AnnualDepletions!$AW28)</f>
        <v>35893.000000000036</v>
      </c>
      <c r="E28" s="312">
        <f>SUM(AnnualDepletions!$AA28:$AD28)</f>
        <v>5000.0000000019172</v>
      </c>
      <c r="F28" s="312">
        <f>SUM(AnnualDepletions!$BE28,AnnualDepletions!$BA28,AnnualDepletions!$AX28,AnnualDepletions!$AH28,AnnualDepletions!$AE28)</f>
        <v>28240.318305039364</v>
      </c>
      <c r="G28" s="312">
        <f>SUM(AnnualDepletions!$AR28,AnnualDepletions!$AF28,AnnualDepletions!$AZ28)</f>
        <v>4916.6838786822418</v>
      </c>
      <c r="H28" s="312">
        <f>SUM(AnnualDepletions!$BD28,AnnualDepletions!$K28,AnnualDepletions!$H28)</f>
        <v>12193.999999998596</v>
      </c>
      <c r="I28" s="380">
        <f>SUM(AnnualDepletions!$I28,AnnualDepletions!$W28,AnnualDepletions!$X28,AnnualDepletions!$Y28,AnnualDepletions!$Z28,AnnualDepletions!$AI28,AnnualDepletions!$BB28,AnnualDepletions!$BF28)</f>
        <v>11624.990000001573</v>
      </c>
      <c r="J28" s="472">
        <f>SUM(AnnualDeplReqs!$B28:$G28,AnnualDeplReqs!$M28:$V28,AnnualDeplReqs!$BJ28)+AnnualDepletions!BJ28</f>
        <v>57163.810043267018</v>
      </c>
      <c r="K28" s="312">
        <f>SUM(AnnualDeplReqs!$AT28:$AV28)</f>
        <v>235306.14819402719</v>
      </c>
      <c r="L28" s="312">
        <f>SUM(AnnualDeplReqs!$AS28,AnnualDeplReqs!$AW28)</f>
        <v>35893.000000000073</v>
      </c>
      <c r="M28" s="312">
        <f>SUM(AnnualDeplReqs!$AA28:$AD28)</f>
        <v>5000.0000000019172</v>
      </c>
      <c r="N28" s="312">
        <f>SUM(AnnualDeplReqs!$BE28,AnnualDeplReqs!$BA28,AnnualDeplReqs!$AX28,AnnualDeplReqs!$AH28,AnnualDeplReqs!$AE28)</f>
        <v>28240.318305039364</v>
      </c>
      <c r="O28" s="312">
        <f>SUM(AnnualDeplReqs!$AR28,AnnualDeplReqs!$AF28,AnnualDeplReqs!$AZ28)</f>
        <v>10193.99999999883</v>
      </c>
      <c r="P28" s="312">
        <f>SUM(AnnualDeplReqs!$BD28,AnnualDeplReqs!$K28,AnnualDeplReqs!$H28)</f>
        <v>12193.999999998596</v>
      </c>
      <c r="Q28" s="380">
        <f>SUM(AnnualDeplReqs!$I28,AnnualDeplReqs!$W28,AnnualDeplReqs!$X28,AnnualDeplReqs!$Y28,AnnualDeplReqs!$Z28,AnnualDeplReqs!$AI28,AnnualDeplReqs!$BB28,AnnualDeplReqs!$BF28)</f>
        <v>11624.990000001573</v>
      </c>
      <c r="R28" s="311">
        <f>SUM(AnnualDiversions!$B28:$G28,AnnualDiversions!$M28:$V28,AnnualDiversions!$BJ28)</f>
        <v>109067.13000005133</v>
      </c>
      <c r="S28" s="312">
        <f>SUM(AnnualDiversions!$AT28:$AV28)</f>
        <v>294132.68524253421</v>
      </c>
      <c r="T28" s="312">
        <f>SUM(AnnualDiversions!$AS28,AnnualDiversions!$AW28)</f>
        <v>37764.238566617598</v>
      </c>
      <c r="U28" s="312">
        <f>SUM(AnnualDiversions!$AA28:$AD28)</f>
        <v>5000.0000000019172</v>
      </c>
      <c r="V28" s="312">
        <f>SUM(AnnualDiversions!$BE28,AnnualDiversions!$BA28,AnnualDiversions!$AX28,AnnualDiversions!$AH28,AnnualDiversions!$AE28)</f>
        <v>47390.393083083349</v>
      </c>
      <c r="W28" s="312">
        <f>SUM(AnnualDiversions!$AR28,AnnualDiversions!$AF28,AnnualDiversions!$AZ28)</f>
        <v>9464.7520850397705</v>
      </c>
      <c r="X28" s="312">
        <f>SUM(AnnualDiversions!$BD28,AnnualDiversions!$K28,AnnualDiversions!$H28)</f>
        <v>18690.054774743905</v>
      </c>
      <c r="Y28" s="380">
        <f>SUM(AnnualDiversions!$I28,AnnualDiversions!$W28,AnnualDiversions!$X28,AnnualDiversions!$Y28,AnnualDiversions!$Z28,AnnualDiversions!$AI28,AnnualDiversions!$BB28,AnnualDiversions!$BF28)</f>
        <v>19374.983333335964</v>
      </c>
      <c r="Z28" s="311">
        <f>SUM(AnnualDivReqs!$B28:$G28,AnnualDivReqs!$M28:$V28,AnnualDivReqs!$BJ28)</f>
        <v>109069.4392453551</v>
      </c>
      <c r="AA28" s="312">
        <f>SUM(AnnualDivReqs!$AT28:$AV28)</f>
        <v>294132.68524253421</v>
      </c>
      <c r="AB28" s="312">
        <f>SUM(AnnualDivReqs!$AS28,AnnualDivReqs!$AW28)</f>
        <v>37764.238566617634</v>
      </c>
      <c r="AC28" s="312">
        <f>SUM(AnnualDivReqs!$AA28:$AD28)</f>
        <v>5000.0000000019172</v>
      </c>
      <c r="AD28" s="312">
        <f>SUM(AnnualDivReqs!$BE28,AnnualDivReqs!$BA28,AnnualDivReqs!$AX28,AnnualDivReqs!$AH28,AnnualDivReqs!$AE28)</f>
        <v>47390.393083083349</v>
      </c>
      <c r="AE28" s="312">
        <f>SUM(AnnualDivReqs!$AR28,AnnualDivReqs!$AF28,AnnualDivReqs!$AZ28)</f>
        <v>18258.658343170315</v>
      </c>
      <c r="AF28" s="312">
        <f>SUM(AnnualDivReqs!$BD28,AnnualDivReqs!$K28,AnnualDivReqs!$H28)</f>
        <v>18690.054774743905</v>
      </c>
      <c r="AG28" s="380">
        <f>SUM(AnnualDivReqs!$I28,AnnualDivReqs!$W28,AnnualDivReqs!$X28,AnnualDivReqs!$Y28,AnnualDivReqs!$Z28,AnnualDivReqs!$AI28,AnnualDivReqs!$BB28,AnnualDivReqs!$BF28)</f>
        <v>19374.983333335964</v>
      </c>
    </row>
    <row r="29" spans="1:33" x14ac:dyDescent="0.25">
      <c r="A29" s="4">
        <v>18628.999305555557</v>
      </c>
      <c r="B29" s="311">
        <f>SUM(AnnualDepletions!$B29:$G29,AnnualDepletions!$M29:$V29,AnnualDepletions!$BJ29)</f>
        <v>57119.525463464619</v>
      </c>
      <c r="C29" s="312">
        <f>SUM(AnnualDepletions!$AT29:$AV29)</f>
        <v>273450.65045200702</v>
      </c>
      <c r="D29" s="312">
        <f>SUM(AnnualDepletions!$AS29,AnnualDepletions!$AW29)</f>
        <v>35893.000000000051</v>
      </c>
      <c r="E29" s="312">
        <f>SUM(AnnualDepletions!$AA29:$AD29)</f>
        <v>5000.0000000019172</v>
      </c>
      <c r="F29" s="312">
        <f>SUM(AnnualDepletions!$BE29,AnnualDepletions!$BA29,AnnualDepletions!$AX29,AnnualDepletions!$AH29,AnnualDepletions!$AE29)</f>
        <v>34083.999999996071</v>
      </c>
      <c r="G29" s="312">
        <f>SUM(AnnualDepletions!$AR29,AnnualDepletions!$AF29,AnnualDepletions!$AZ29)</f>
        <v>2692.5175863685236</v>
      </c>
      <c r="H29" s="312">
        <f>SUM(AnnualDepletions!$BD29,AnnualDepletions!$K29,AnnualDepletions!$H29)</f>
        <v>14769.999999998296</v>
      </c>
      <c r="I29" s="380">
        <f>SUM(AnnualDepletions!$I29,AnnualDepletions!$W29,AnnualDepletions!$X29,AnnualDepletions!$Y29,AnnualDepletions!$Z29,AnnualDepletions!$AI29,AnnualDepletions!$BB29,AnnualDepletions!$BF29)</f>
        <v>11624.990000001573</v>
      </c>
      <c r="J29" s="472">
        <f>SUM(AnnualDeplReqs!$B29:$G29,AnnualDeplReqs!$M29:$V29,AnnualDeplReqs!$BJ29)+AnnualDepletions!BJ29</f>
        <v>57350.794265104727</v>
      </c>
      <c r="K29" s="312">
        <f>SUM(AnnualDeplReqs!$AT29:$AV29)</f>
        <v>273450.65045200702</v>
      </c>
      <c r="L29" s="312">
        <f>SUM(AnnualDeplReqs!$AS29,AnnualDeplReqs!$AW29)</f>
        <v>35893.000000000073</v>
      </c>
      <c r="M29" s="312">
        <f>SUM(AnnualDeplReqs!$AA29:$AD29)</f>
        <v>5000.0000000019172</v>
      </c>
      <c r="N29" s="312">
        <f>SUM(AnnualDeplReqs!$BE29,AnnualDeplReqs!$BA29,AnnualDeplReqs!$AX29,AnnualDeplReqs!$AH29,AnnualDeplReqs!$AE29)</f>
        <v>34083.999999996071</v>
      </c>
      <c r="O29" s="312">
        <f>SUM(AnnualDeplReqs!$AR29,AnnualDeplReqs!$AF29,AnnualDeplReqs!$AZ29)</f>
        <v>12606.999999998547</v>
      </c>
      <c r="P29" s="312">
        <f>SUM(AnnualDeplReqs!$BD29,AnnualDeplReqs!$K29,AnnualDeplReqs!$H29)</f>
        <v>14769.999999998296</v>
      </c>
      <c r="Q29" s="380">
        <f>SUM(AnnualDeplReqs!$I29,AnnualDeplReqs!$W29,AnnualDeplReqs!$X29,AnnualDeplReqs!$Y29,AnnualDeplReqs!$Z29,AnnualDeplReqs!$AI29,AnnualDeplReqs!$BB29,AnnualDeplReqs!$BF29)</f>
        <v>11624.990000001573</v>
      </c>
      <c r="R29" s="311">
        <f>SUM(AnnualDiversions!$B29:$G29,AnnualDiversions!$M29:$V29,AnnualDiversions!$BJ29)</f>
        <v>109067.13000005134</v>
      </c>
      <c r="S29" s="312">
        <f>SUM(AnnualDiversions!$AT29:$AV29)</f>
        <v>341813.31306500896</v>
      </c>
      <c r="T29" s="312">
        <f>SUM(AnnualDiversions!$AS29,AnnualDiversions!$AW29)</f>
        <v>37764.238566617612</v>
      </c>
      <c r="U29" s="312">
        <f>SUM(AnnualDiversions!$AA29:$AD29)</f>
        <v>5000.0000000019172</v>
      </c>
      <c r="V29" s="312">
        <f>SUM(AnnualDiversions!$BE29,AnnualDiversions!$BA29,AnnualDiversions!$AX29,AnnualDiversions!$AH29,AnnualDiversions!$AE29)</f>
        <v>57222.452105850636</v>
      </c>
      <c r="W29" s="312">
        <f>SUM(AnnualDiversions!$AR29,AnnualDiversions!$AF29,AnnualDiversions!$AZ29)</f>
        <v>4604.4307499146735</v>
      </c>
      <c r="X29" s="312">
        <f>SUM(AnnualDiversions!$BD29,AnnualDiversions!$K29,AnnualDiversions!$H29)</f>
        <v>22640.646032886223</v>
      </c>
      <c r="Y29" s="380">
        <f>SUM(AnnualDiversions!$I29,AnnualDiversions!$W29,AnnualDiversions!$X29,AnnualDiversions!$Y29,AnnualDiversions!$Z29,AnnualDiversions!$AI29,AnnualDiversions!$BB29,AnnualDiversions!$BF29)</f>
        <v>19374.983333335964</v>
      </c>
      <c r="Z29" s="311">
        <f>SUM(AnnualDivReqs!$B29:$G29,AnnualDivReqs!$M29:$V29,AnnualDivReqs!$BJ29)</f>
        <v>109529.66760333156</v>
      </c>
      <c r="AA29" s="312">
        <f>SUM(AnnualDivReqs!$AT29:$AV29)</f>
        <v>341813.31306500896</v>
      </c>
      <c r="AB29" s="312">
        <f>SUM(AnnualDivReqs!$AS29,AnnualDivReqs!$AW29)</f>
        <v>37764.238566617634</v>
      </c>
      <c r="AC29" s="312">
        <f>SUM(AnnualDivReqs!$AA29:$AD29)</f>
        <v>5000.0000000019172</v>
      </c>
      <c r="AD29" s="312">
        <f>SUM(AnnualDivReqs!$BE29,AnnualDivReqs!$BA29,AnnualDivReqs!$AX29,AnnualDivReqs!$AH29,AnnualDivReqs!$AE29)</f>
        <v>57222.452105850636</v>
      </c>
      <c r="AE29" s="312">
        <f>SUM(AnnualDivReqs!$AR29,AnnualDivReqs!$AF29,AnnualDivReqs!$AZ29)</f>
        <v>22579.867417615522</v>
      </c>
      <c r="AF29" s="312">
        <f>SUM(AnnualDivReqs!$BD29,AnnualDivReqs!$K29,AnnualDivReqs!$H29)</f>
        <v>22640.646032886223</v>
      </c>
      <c r="AG29" s="380">
        <f>SUM(AnnualDivReqs!$I29,AnnualDivReqs!$W29,AnnualDivReqs!$X29,AnnualDivReqs!$Y29,AnnualDivReqs!$Z29,AnnualDivReqs!$AI29,AnnualDivReqs!$BB29,AnnualDivReqs!$BF29)</f>
        <v>19374.983333335964</v>
      </c>
    </row>
    <row r="30" spans="1:33" x14ac:dyDescent="0.25">
      <c r="A30" s="4">
        <v>18993.999305555557</v>
      </c>
      <c r="B30" s="311">
        <f>SUM(AnnualDepletions!$B30:$G30,AnnualDepletions!$M30:$V30,AnnualDepletions!$BJ30)</f>
        <v>56950.245110099924</v>
      </c>
      <c r="C30" s="312">
        <f>SUM(AnnualDepletions!$AT30:$AV30)</f>
        <v>269159.31204441667</v>
      </c>
      <c r="D30" s="312">
        <f>SUM(AnnualDepletions!$AS30,AnnualDepletions!$AW30)</f>
        <v>35893.000000000044</v>
      </c>
      <c r="E30" s="312">
        <f>SUM(AnnualDepletions!$AA30:$AD30)</f>
        <v>5000.0000000019172</v>
      </c>
      <c r="F30" s="312">
        <f>SUM(AnnualDepletions!$BE30,AnnualDepletions!$BA30,AnnualDepletions!$AX30,AnnualDepletions!$AH30,AnnualDepletions!$AE30)</f>
        <v>33825.52801118471</v>
      </c>
      <c r="G30" s="312">
        <f>SUM(AnnualDepletions!$AR30,AnnualDepletions!$AF30,AnnualDepletions!$AZ30)</f>
        <v>2412.8537176639902</v>
      </c>
      <c r="H30" s="312">
        <f>SUM(AnnualDepletions!$BD30,AnnualDepletions!$K30,AnnualDepletions!$H30)</f>
        <v>13345.999999998461</v>
      </c>
      <c r="I30" s="380">
        <f>SUM(AnnualDepletions!$I30,AnnualDepletions!$W30,AnnualDepletions!$X30,AnnualDepletions!$Y30,AnnualDepletions!$Z30,AnnualDepletions!$AI30,AnnualDepletions!$BB30,AnnualDepletions!$BF30)</f>
        <v>11624.990000001573</v>
      </c>
      <c r="J30" s="472">
        <f>SUM(AnnualDeplReqs!$B30:$G30,AnnualDeplReqs!$M30:$V30,AnnualDeplReqs!$BJ30)+AnnualDepletions!BJ30</f>
        <v>57080.365776766666</v>
      </c>
      <c r="K30" s="312">
        <f>SUM(AnnualDeplReqs!$AT30:$AV30)</f>
        <v>269159.31204441667</v>
      </c>
      <c r="L30" s="312">
        <f>SUM(AnnualDeplReqs!$AS30,AnnualDeplReqs!$AW30)</f>
        <v>35893.000000000073</v>
      </c>
      <c r="M30" s="312">
        <f>SUM(AnnualDeplReqs!$AA30:$AD30)</f>
        <v>5000.0000000019172</v>
      </c>
      <c r="N30" s="312">
        <f>SUM(AnnualDeplReqs!$BE30,AnnualDeplReqs!$BA30,AnnualDeplReqs!$AX30,AnnualDeplReqs!$AH30,AnnualDeplReqs!$AE30)</f>
        <v>33825.52801118471</v>
      </c>
      <c r="O30" s="312">
        <f>SUM(AnnualDeplReqs!$AR30,AnnualDeplReqs!$AF30,AnnualDeplReqs!$AZ30)</f>
        <v>12492.999999998559</v>
      </c>
      <c r="P30" s="312">
        <f>SUM(AnnualDeplReqs!$BD30,AnnualDeplReqs!$K30,AnnualDeplReqs!$H30)</f>
        <v>13345.999999998461</v>
      </c>
      <c r="Q30" s="380">
        <f>SUM(AnnualDeplReqs!$I30,AnnualDeplReqs!$W30,AnnualDeplReqs!$X30,AnnualDeplReqs!$Y30,AnnualDeplReqs!$Z30,AnnualDeplReqs!$AI30,AnnualDeplReqs!$BB30,AnnualDeplReqs!$BF30)</f>
        <v>11624.990000001573</v>
      </c>
      <c r="R30" s="311">
        <f>SUM(AnnualDiversions!$B30:$G30,AnnualDiversions!$M30:$V30,AnnualDiversions!$BJ30)</f>
        <v>109067.13000005133</v>
      </c>
      <c r="S30" s="312">
        <f>SUM(AnnualDiversions!$AT30:$AV30)</f>
        <v>336449.14005552127</v>
      </c>
      <c r="T30" s="312">
        <f>SUM(AnnualDiversions!$AS30,AnnualDiversions!$AW30)</f>
        <v>37764.238566617598</v>
      </c>
      <c r="U30" s="312">
        <f>SUM(AnnualDiversions!$AA30:$AD30)</f>
        <v>5000.0000000019172</v>
      </c>
      <c r="V30" s="312">
        <f>SUM(AnnualDiversions!$BE30,AnnualDiversions!$BA30,AnnualDiversions!$AX30,AnnualDiversions!$AH30,AnnualDiversions!$AE30)</f>
        <v>56758.561368949719</v>
      </c>
      <c r="W30" s="312">
        <f>SUM(AnnualDiversions!$AR30,AnnualDiversions!$AF30,AnnualDiversions!$AZ30)</f>
        <v>4145.7136642317</v>
      </c>
      <c r="X30" s="312">
        <f>SUM(AnnualDiversions!$BD30,AnnualDiversions!$K30,AnnualDiversions!$H30)</f>
        <v>20457.450324044723</v>
      </c>
      <c r="Y30" s="380">
        <f>SUM(AnnualDiversions!$I30,AnnualDiversions!$W30,AnnualDiversions!$X30,AnnualDiversions!$Y30,AnnualDiversions!$Z30,AnnualDiversions!$AI30,AnnualDiversions!$BB30,AnnualDiversions!$BF30)</f>
        <v>19374.983333335964</v>
      </c>
      <c r="Z30" s="311">
        <f>SUM(AnnualDivReqs!$B30:$G30,AnnualDivReqs!$M30:$V30,AnnualDivReqs!$BJ30)</f>
        <v>109327.37133338481</v>
      </c>
      <c r="AA30" s="312">
        <f>SUM(AnnualDivReqs!$AT30:$AV30)</f>
        <v>336449.14005552127</v>
      </c>
      <c r="AB30" s="312">
        <f>SUM(AnnualDivReqs!$AS30,AnnualDivReqs!$AW30)</f>
        <v>37764.238566617634</v>
      </c>
      <c r="AC30" s="312">
        <f>SUM(AnnualDivReqs!$AA30:$AD30)</f>
        <v>5000.0000000019172</v>
      </c>
      <c r="AD30" s="312">
        <f>SUM(AnnualDivReqs!$BE30,AnnualDivReqs!$BA30,AnnualDivReqs!$AX30,AnnualDivReqs!$AH30,AnnualDivReqs!$AE30)</f>
        <v>56758.561368949719</v>
      </c>
      <c r="AE30" s="312">
        <f>SUM(AnnualDivReqs!$AR30,AnnualDivReqs!$AF30,AnnualDivReqs!$AZ30)</f>
        <v>22377.045438569654</v>
      </c>
      <c r="AF30" s="312">
        <f>SUM(AnnualDivReqs!$BD30,AnnualDivReqs!$K30,AnnualDivReqs!$H30)</f>
        <v>20457.450324044723</v>
      </c>
      <c r="AG30" s="380">
        <f>SUM(AnnualDivReqs!$I30,AnnualDivReqs!$W30,AnnualDivReqs!$X30,AnnualDivReqs!$Y30,AnnualDivReqs!$Z30,AnnualDivReqs!$AI30,AnnualDivReqs!$BB30,AnnualDivReqs!$BF30)</f>
        <v>19374.983333335964</v>
      </c>
    </row>
    <row r="31" spans="1:33" x14ac:dyDescent="0.25">
      <c r="A31" s="4">
        <v>19359.999305555557</v>
      </c>
      <c r="B31" s="311">
        <f>SUM(AnnualDepletions!$B31:$G31,AnnualDepletions!$M31:$V31,AnnualDepletions!$BJ31)</f>
        <v>57095.917849234283</v>
      </c>
      <c r="C31" s="312">
        <f>SUM(AnnualDepletions!$AT31:$AV31)</f>
        <v>262477.80519662995</v>
      </c>
      <c r="D31" s="312">
        <f>SUM(AnnualDepletions!$AS31,AnnualDepletions!$AW31)</f>
        <v>35893.000000000065</v>
      </c>
      <c r="E31" s="312">
        <f>SUM(AnnualDepletions!$AA31:$AD31)</f>
        <v>5000.0000000019463</v>
      </c>
      <c r="F31" s="312">
        <f>SUM(AnnualDepletions!$BE31,AnnualDepletions!$BA31,AnnualDepletions!$AX31,AnnualDepletions!$AH31,AnnualDepletions!$AE31)</f>
        <v>34098.6773668182</v>
      </c>
      <c r="G31" s="312">
        <f>SUM(AnnualDepletions!$AR31,AnnualDepletions!$AF31,AnnualDepletions!$AZ31)</f>
        <v>5338.8270375421434</v>
      </c>
      <c r="H31" s="312">
        <f>SUM(AnnualDepletions!$BD31,AnnualDepletions!$K31,AnnualDepletions!$H31)</f>
        <v>13395.999999998457</v>
      </c>
      <c r="I31" s="380">
        <f>SUM(AnnualDepletions!$I31,AnnualDepletions!$W31,AnnualDepletions!$X31,AnnualDepletions!$Y31,AnnualDepletions!$Z31,AnnualDepletions!$AI31,AnnualDepletions!$BB31,AnnualDepletions!$BF31)</f>
        <v>11624.990000001573</v>
      </c>
      <c r="J31" s="472">
        <f>SUM(AnnualDeplReqs!$B31:$G31,AnnualDeplReqs!$M31:$V31,AnnualDeplReqs!$BJ31)+AnnualDepletions!BJ31</f>
        <v>57095.917849234283</v>
      </c>
      <c r="K31" s="312">
        <f>SUM(AnnualDeplReqs!$AT31:$AV31)</f>
        <v>262477.80519662995</v>
      </c>
      <c r="L31" s="312">
        <f>SUM(AnnualDeplReqs!$AS31,AnnualDeplReqs!$AW31)</f>
        <v>35893.000000000073</v>
      </c>
      <c r="M31" s="312">
        <f>SUM(AnnualDeplReqs!$AA31:$AD31)</f>
        <v>5000.0000000019463</v>
      </c>
      <c r="N31" s="312">
        <f>SUM(AnnualDeplReqs!$BE31,AnnualDeplReqs!$BA31,AnnualDeplReqs!$AX31,AnnualDeplReqs!$AH31,AnnualDeplReqs!$AE31)</f>
        <v>34098.6773668182</v>
      </c>
      <c r="O31" s="312">
        <f>SUM(AnnualDeplReqs!$AR31,AnnualDeplReqs!$AF31,AnnualDeplReqs!$AZ31)</f>
        <v>12501.99999999857</v>
      </c>
      <c r="P31" s="312">
        <f>SUM(AnnualDeplReqs!$BD31,AnnualDeplReqs!$K31,AnnualDeplReqs!$H31)</f>
        <v>13395.999999998457</v>
      </c>
      <c r="Q31" s="380">
        <f>SUM(AnnualDeplReqs!$I31,AnnualDeplReqs!$W31,AnnualDeplReqs!$X31,AnnualDeplReqs!$Y31,AnnualDeplReqs!$Z31,AnnualDeplReqs!$AI31,AnnualDeplReqs!$BB31,AnnualDeplReqs!$BF31)</f>
        <v>11624.990000001573</v>
      </c>
      <c r="R31" s="311">
        <f>SUM(AnnualDiversions!$B31:$G31,AnnualDiversions!$M31:$V31,AnnualDiversions!$BJ31)</f>
        <v>109067.13000005131</v>
      </c>
      <c r="S31" s="312">
        <f>SUM(AnnualDiversions!$AT31:$AV31)</f>
        <v>328097.25649578829</v>
      </c>
      <c r="T31" s="312">
        <f>SUM(AnnualDiversions!$AS31,AnnualDiversions!$AW31)</f>
        <v>37763.476493275441</v>
      </c>
      <c r="U31" s="312">
        <f>SUM(AnnualDiversions!$AA31:$AD31)</f>
        <v>5000.0000000019463</v>
      </c>
      <c r="V31" s="312">
        <f>SUM(AnnualDiversions!$BE31,AnnualDiversions!$BA31,AnnualDiversions!$AX31,AnnualDiversions!$AH31,AnnualDiversions!$AE31)</f>
        <v>57240.665903815941</v>
      </c>
      <c r="W31" s="312">
        <f>SUM(AnnualDiversions!$AR31,AnnualDiversions!$AF31,AnnualDiversions!$AZ31)</f>
        <v>9724.2311024019891</v>
      </c>
      <c r="X31" s="312">
        <f>SUM(AnnualDiversions!$BD31,AnnualDiversions!$K31,AnnualDiversions!$H31)</f>
        <v>20535.330845082961</v>
      </c>
      <c r="Y31" s="380">
        <f>SUM(AnnualDiversions!$I31,AnnualDiversions!$W31,AnnualDiversions!$X31,AnnualDiversions!$Y31,AnnualDiversions!$Z31,AnnualDiversions!$AI31,AnnualDiversions!$BB31,AnnualDiversions!$BF31)</f>
        <v>19374.983333335967</v>
      </c>
      <c r="Z31" s="311">
        <f>SUM(AnnualDivReqs!$B31:$G31,AnnualDivReqs!$M31:$V31,AnnualDivReqs!$BJ31)</f>
        <v>109067.13000005131</v>
      </c>
      <c r="AA31" s="312">
        <f>SUM(AnnualDivReqs!$AT31:$AV31)</f>
        <v>328097.25649578829</v>
      </c>
      <c r="AB31" s="312">
        <f>SUM(AnnualDivReqs!$AS31,AnnualDivReqs!$AW31)</f>
        <v>37763.476493275448</v>
      </c>
      <c r="AC31" s="312">
        <f>SUM(AnnualDivReqs!$AA31:$AD31)</f>
        <v>5000.0000000019463</v>
      </c>
      <c r="AD31" s="312">
        <f>SUM(AnnualDivReqs!$BE31,AnnualDivReqs!$BA31,AnnualDivReqs!$AX31,AnnualDivReqs!$AH31,AnnualDivReqs!$AE31)</f>
        <v>57240.665903815941</v>
      </c>
      <c r="AE31" s="312">
        <f>SUM(AnnualDivReqs!$AR31,AnnualDivReqs!$AF31,AnnualDivReqs!$AZ31)</f>
        <v>22391.896716164425</v>
      </c>
      <c r="AF31" s="312">
        <f>SUM(AnnualDivReqs!$BD31,AnnualDivReqs!$K31,AnnualDivReqs!$H31)</f>
        <v>20535.330845082961</v>
      </c>
      <c r="AG31" s="380">
        <f>SUM(AnnualDivReqs!$I31,AnnualDivReqs!$W31,AnnualDivReqs!$X31,AnnualDivReqs!$Y31,AnnualDivReqs!$Z31,AnnualDivReqs!$AI31,AnnualDivReqs!$BB31,AnnualDivReqs!$BF31)</f>
        <v>19374.983333335967</v>
      </c>
    </row>
    <row r="32" spans="1:33" x14ac:dyDescent="0.25">
      <c r="A32" s="4">
        <v>19724.999305555557</v>
      </c>
      <c r="B32" s="311">
        <f>SUM(AnnualDepletions!$B32:$G32,AnnualDepletions!$M32:$V32,AnnualDepletions!$BJ32)</f>
        <v>57144.64842770691</v>
      </c>
      <c r="C32" s="312">
        <f>SUM(AnnualDepletions!$AT32:$AV32)</f>
        <v>269660.17644281004</v>
      </c>
      <c r="D32" s="312">
        <f>SUM(AnnualDepletions!$AS32,AnnualDepletions!$AW32)</f>
        <v>35893.000000000073</v>
      </c>
      <c r="E32" s="312">
        <f>SUM(AnnualDepletions!$AA32:$AD32)</f>
        <v>5000.0000000019172</v>
      </c>
      <c r="F32" s="312">
        <f>SUM(AnnualDepletions!$BE32,AnnualDepletions!$BA32,AnnualDepletions!$AX32,AnnualDepletions!$AH32,AnnualDepletions!$AE32)</f>
        <v>34525.943603459171</v>
      </c>
      <c r="G32" s="312">
        <f>SUM(AnnualDepletions!$AR32,AnnualDepletions!$AF32,AnnualDepletions!$AZ32)</f>
        <v>3030.5309878502417</v>
      </c>
      <c r="H32" s="312">
        <f>SUM(AnnualDepletions!$BD32,AnnualDepletions!$K32,AnnualDepletions!$H32)</f>
        <v>13315.999999998463</v>
      </c>
      <c r="I32" s="380">
        <f>SUM(AnnualDepletions!$I32,AnnualDepletions!$W32,AnnualDepletions!$X32,AnnualDepletions!$Y32,AnnualDepletions!$Z32,AnnualDepletions!$AI32,AnnualDepletions!$BB32,AnnualDepletions!$BF32)</f>
        <v>11624.990000001573</v>
      </c>
      <c r="J32" s="472">
        <f>SUM(AnnualDeplReqs!$B32:$G32,AnnualDeplReqs!$M32:$V32,AnnualDeplReqs!$BJ32)+AnnualDepletions!BJ32</f>
        <v>57272.057094373667</v>
      </c>
      <c r="K32" s="312">
        <f>SUM(AnnualDeplReqs!$AT32:$AV32)</f>
        <v>269660.17644281004</v>
      </c>
      <c r="L32" s="312">
        <f>SUM(AnnualDeplReqs!$AS32,AnnualDeplReqs!$AW32)</f>
        <v>35893.000000000073</v>
      </c>
      <c r="M32" s="312">
        <f>SUM(AnnualDeplReqs!$AA32:$AD32)</f>
        <v>5000.0000000019172</v>
      </c>
      <c r="N32" s="312">
        <f>SUM(AnnualDeplReqs!$BE32,AnnualDeplReqs!$BA32,AnnualDeplReqs!$AX32,AnnualDeplReqs!$AH32,AnnualDeplReqs!$AE32)</f>
        <v>34525.943603459171</v>
      </c>
      <c r="O32" s="312">
        <f>SUM(AnnualDeplReqs!$AR32,AnnualDeplReqs!$AF32,AnnualDeplReqs!$AZ32)</f>
        <v>12837.999999998519</v>
      </c>
      <c r="P32" s="312">
        <f>SUM(AnnualDeplReqs!$BD32,AnnualDeplReqs!$K32,AnnualDeplReqs!$H32)</f>
        <v>13315.999999998463</v>
      </c>
      <c r="Q32" s="380">
        <f>SUM(AnnualDeplReqs!$I32,AnnualDeplReqs!$W32,AnnualDeplReqs!$X32,AnnualDeplReqs!$Y32,AnnualDeplReqs!$Z32,AnnualDeplReqs!$AI32,AnnualDeplReqs!$BB32,AnnualDeplReqs!$BF32)</f>
        <v>11624.990000001573</v>
      </c>
      <c r="R32" s="311">
        <f>SUM(AnnualDiversions!$B32:$G32,AnnualDiversions!$M32:$V32,AnnualDiversions!$BJ32)</f>
        <v>109067.13000005134</v>
      </c>
      <c r="S32" s="312">
        <f>SUM(AnnualDiversions!$AT32:$AV32)</f>
        <v>337075.22055351286</v>
      </c>
      <c r="T32" s="312">
        <f>SUM(AnnualDiversions!$AS32,AnnualDiversions!$AW32)</f>
        <v>37764.238566617634</v>
      </c>
      <c r="U32" s="312">
        <f>SUM(AnnualDiversions!$AA32:$AD32)</f>
        <v>5000.0000000019172</v>
      </c>
      <c r="V32" s="312">
        <f>SUM(AnnualDiversions!$BE32,AnnualDiversions!$BA32,AnnualDiversions!$AX32,AnnualDiversions!$AH32,AnnualDiversions!$AE32)</f>
        <v>57954.792758464857</v>
      </c>
      <c r="W32" s="312">
        <f>SUM(AnnualDiversions!$AR32,AnnualDiversions!$AF32,AnnualDiversions!$AZ32)</f>
        <v>5191.6930637667265</v>
      </c>
      <c r="X32" s="312">
        <f>SUM(AnnualDiversions!$BD32,AnnualDiversions!$K32,AnnualDiversions!$H32)</f>
        <v>20411.954077443173</v>
      </c>
      <c r="Y32" s="380">
        <f>SUM(AnnualDiversions!$I32,AnnualDiversions!$W32,AnnualDiversions!$X32,AnnualDiversions!$Y32,AnnualDiversions!$Z32,AnnualDiversions!$AI32,AnnualDiversions!$BB32,AnnualDiversions!$BF32)</f>
        <v>19374.983333335964</v>
      </c>
      <c r="Z32" s="311">
        <f>SUM(AnnualDivReqs!$B32:$G32,AnnualDivReqs!$M32:$V32,AnnualDivReqs!$BJ32)</f>
        <v>109321.94733338486</v>
      </c>
      <c r="AA32" s="312">
        <f>SUM(AnnualDivReqs!$AT32:$AV32)</f>
        <v>337075.22055351286</v>
      </c>
      <c r="AB32" s="312">
        <f>SUM(AnnualDivReqs!$AS32,AnnualDivReqs!$AW32)</f>
        <v>37764.238566617634</v>
      </c>
      <c r="AC32" s="312">
        <f>SUM(AnnualDivReqs!$AA32:$AD32)</f>
        <v>5000.0000000019172</v>
      </c>
      <c r="AD32" s="312">
        <f>SUM(AnnualDivReqs!$BE32,AnnualDivReqs!$BA32,AnnualDivReqs!$AX32,AnnualDivReqs!$AH32,AnnualDivReqs!$AE32)</f>
        <v>57954.792758464857</v>
      </c>
      <c r="AE32" s="312">
        <f>SUM(AnnualDivReqs!$AR32,AnnualDivReqs!$AF32,AnnualDivReqs!$AZ32)</f>
        <v>22994.011476511889</v>
      </c>
      <c r="AF32" s="312">
        <f>SUM(AnnualDivReqs!$BD32,AnnualDivReqs!$K32,AnnualDivReqs!$H32)</f>
        <v>20411.954077443173</v>
      </c>
      <c r="AG32" s="380">
        <f>SUM(AnnualDivReqs!$I32,AnnualDivReqs!$W32,AnnualDivReqs!$X32,AnnualDivReqs!$Y32,AnnualDivReqs!$Z32,AnnualDivReqs!$AI32,AnnualDivReqs!$BB32,AnnualDivReqs!$BF32)</f>
        <v>19374.983333335964</v>
      </c>
    </row>
    <row r="33" spans="1:33" x14ac:dyDescent="0.25">
      <c r="A33" s="4">
        <v>20089.999305555557</v>
      </c>
      <c r="B33" s="311">
        <f>SUM(AnnualDepletions!$B33:$G33,AnnualDepletions!$M33:$V33,AnnualDepletions!$BJ33)</f>
        <v>57140.680103282066</v>
      </c>
      <c r="C33" s="312">
        <f>SUM(AnnualDepletions!$AT33:$AV33)</f>
        <v>250257.68997276097</v>
      </c>
      <c r="D33" s="312">
        <f>SUM(AnnualDepletions!$AS33,AnnualDepletions!$AW33)</f>
        <v>35893.000000000029</v>
      </c>
      <c r="E33" s="312">
        <f>SUM(AnnualDepletions!$AA33:$AD33)</f>
        <v>5000.0000000019172</v>
      </c>
      <c r="F33" s="312">
        <f>SUM(AnnualDepletions!$BE33,AnnualDepletions!$BA33,AnnualDepletions!$AX33,AnnualDepletions!$AH33,AnnualDepletions!$AE33)</f>
        <v>34852.999999995976</v>
      </c>
      <c r="G33" s="312">
        <f>SUM(AnnualDepletions!$AR33,AnnualDepletions!$AF33,AnnualDepletions!$AZ33)</f>
        <v>2686.9563457831314</v>
      </c>
      <c r="H33" s="312">
        <f>SUM(AnnualDepletions!$BD33,AnnualDepletions!$K33,AnnualDepletions!$H33)</f>
        <v>13640.999999998434</v>
      </c>
      <c r="I33" s="380">
        <f>SUM(AnnualDepletions!$I33,AnnualDepletions!$W33,AnnualDepletions!$X33,AnnualDepletions!$Y33,AnnualDepletions!$Z33,AnnualDepletions!$AI33,AnnualDepletions!$BB33,AnnualDepletions!$BF33)</f>
        <v>11624.990000001573</v>
      </c>
      <c r="J33" s="472">
        <f>SUM(AnnualDeplReqs!$B33:$G33,AnnualDeplReqs!$M33:$V33,AnnualDeplReqs!$BJ33)+AnnualDepletions!BJ33</f>
        <v>57142.263103282065</v>
      </c>
      <c r="K33" s="312">
        <f>SUM(AnnualDeplReqs!$AT33:$AV33)</f>
        <v>250257.68997276097</v>
      </c>
      <c r="L33" s="312">
        <f>SUM(AnnualDeplReqs!$AS33,AnnualDeplReqs!$AW33)</f>
        <v>35893.000000000073</v>
      </c>
      <c r="M33" s="312">
        <f>SUM(AnnualDeplReqs!$AA33:$AD33)</f>
        <v>5000.0000000019172</v>
      </c>
      <c r="N33" s="312">
        <f>SUM(AnnualDeplReqs!$BE33,AnnualDeplReqs!$BA33,AnnualDeplReqs!$AX33,AnnualDeplReqs!$AH33,AnnualDeplReqs!$AE33)</f>
        <v>34852.999999995976</v>
      </c>
      <c r="O33" s="312">
        <f>SUM(AnnualDeplReqs!$AR33,AnnualDeplReqs!$AF33,AnnualDeplReqs!$AZ33)</f>
        <v>13034.999999998498</v>
      </c>
      <c r="P33" s="312">
        <f>SUM(AnnualDeplReqs!$BD33,AnnualDeplReqs!$K33,AnnualDeplReqs!$H33)</f>
        <v>13640.999999998434</v>
      </c>
      <c r="Q33" s="380">
        <f>SUM(AnnualDeplReqs!$I33,AnnualDeplReqs!$W33,AnnualDeplReqs!$X33,AnnualDeplReqs!$Y33,AnnualDeplReqs!$Z33,AnnualDeplReqs!$AI33,AnnualDeplReqs!$BB33,AnnualDeplReqs!$BF33)</f>
        <v>11624.990000001573</v>
      </c>
      <c r="R33" s="311">
        <f>SUM(AnnualDiversions!$B33:$G33,AnnualDiversions!$M33:$V33,AnnualDiversions!$BJ33)</f>
        <v>109067.13000005133</v>
      </c>
      <c r="S33" s="312">
        <f>SUM(AnnualDiversions!$AT33:$AV33)</f>
        <v>312822.11246595217</v>
      </c>
      <c r="T33" s="312">
        <f>SUM(AnnualDiversions!$AS33,AnnualDiversions!$AW33)</f>
        <v>37764.238566617583</v>
      </c>
      <c r="U33" s="312">
        <f>SUM(AnnualDiversions!$AA33:$AD33)</f>
        <v>5000.0000000019172</v>
      </c>
      <c r="V33" s="312">
        <f>SUM(AnnualDiversions!$BE33,AnnualDiversions!$BA33,AnnualDiversions!$AX33,AnnualDiversions!$AH33,AnnualDiversions!$AE33)</f>
        <v>58534.611656329107</v>
      </c>
      <c r="W33" s="312">
        <f>SUM(AnnualDiversions!$AR33,AnnualDiversions!$AF33,AnnualDiversions!$AZ33)</f>
        <v>4616.3774079686918</v>
      </c>
      <c r="X33" s="312">
        <f>SUM(AnnualDiversions!$BD33,AnnualDiversions!$K33,AnnualDiversions!$H33)</f>
        <v>20910.065570020692</v>
      </c>
      <c r="Y33" s="380">
        <f>SUM(AnnualDiversions!$I33,AnnualDiversions!$W33,AnnualDiversions!$X33,AnnualDiversions!$Y33,AnnualDiversions!$Z33,AnnualDiversions!$AI33,AnnualDiversions!$BB33,AnnualDiversions!$BF33)</f>
        <v>19374.983333335964</v>
      </c>
      <c r="Z33" s="311">
        <f>SUM(AnnualDivReqs!$B33:$G33,AnnualDivReqs!$M33:$V33,AnnualDivReqs!$BJ33)</f>
        <v>109070.29600005133</v>
      </c>
      <c r="AA33" s="312">
        <f>SUM(AnnualDivReqs!$AT33:$AV33)</f>
        <v>312822.11246595217</v>
      </c>
      <c r="AB33" s="312">
        <f>SUM(AnnualDivReqs!$AS33,AnnualDivReqs!$AW33)</f>
        <v>37764.238566617634</v>
      </c>
      <c r="AC33" s="312">
        <f>SUM(AnnualDivReqs!$AA33:$AD33)</f>
        <v>5000.0000000019172</v>
      </c>
      <c r="AD33" s="312">
        <f>SUM(AnnualDivReqs!$BE33,AnnualDivReqs!$BA33,AnnualDivReqs!$AX33,AnnualDivReqs!$AH33,AnnualDivReqs!$AE33)</f>
        <v>58534.611656329107</v>
      </c>
      <c r="AE33" s="312">
        <f>SUM(AnnualDivReqs!$AR33,AnnualDivReqs!$AF33,AnnualDivReqs!$AZ33)</f>
        <v>23345.796519759631</v>
      </c>
      <c r="AF33" s="312">
        <f>SUM(AnnualDivReqs!$BD33,AnnualDivReqs!$K33,AnnualDivReqs!$H33)</f>
        <v>20910.065570020692</v>
      </c>
      <c r="AG33" s="380">
        <f>SUM(AnnualDivReqs!$I33,AnnualDivReqs!$W33,AnnualDivReqs!$X33,AnnualDivReqs!$Y33,AnnualDivReqs!$Z33,AnnualDivReqs!$AI33,AnnualDivReqs!$BB33,AnnualDivReqs!$BF33)</f>
        <v>19374.983333335964</v>
      </c>
    </row>
    <row r="34" spans="1:33" x14ac:dyDescent="0.25">
      <c r="A34" s="4">
        <v>20454.999305555557</v>
      </c>
      <c r="B34" s="311">
        <f>SUM(AnnualDepletions!$B34:$G34,AnnualDepletions!$M34:$V34,AnnualDepletions!$BJ34)</f>
        <v>57157.553337920661</v>
      </c>
      <c r="C34" s="312">
        <f>SUM(AnnualDepletions!$AT34:$AV34)</f>
        <v>243869.93860232364</v>
      </c>
      <c r="D34" s="312">
        <f>SUM(AnnualDepletions!$AS34,AnnualDepletions!$AW34)</f>
        <v>35893.000000000058</v>
      </c>
      <c r="E34" s="312">
        <f>SUM(AnnualDepletions!$AA34:$AD34)</f>
        <v>5000.0000000019172</v>
      </c>
      <c r="F34" s="312">
        <f>SUM(AnnualDepletions!$BE34,AnnualDepletions!$BA34,AnnualDepletions!$AX34,AnnualDepletions!$AH34,AnnualDepletions!$AE34)</f>
        <v>32952.999999996202</v>
      </c>
      <c r="G34" s="312">
        <f>SUM(AnnualDepletions!$AR34,AnnualDepletions!$AF34,AnnualDepletions!$AZ34)</f>
        <v>3474.2443040667558</v>
      </c>
      <c r="H34" s="312">
        <f>SUM(AnnualDepletions!$BD34,AnnualDepletions!$K34,AnnualDepletions!$H34)</f>
        <v>13191.999999998479</v>
      </c>
      <c r="I34" s="380">
        <f>SUM(AnnualDepletions!$I34,AnnualDepletions!$W34,AnnualDepletions!$X34,AnnualDepletions!$Y34,AnnualDepletions!$Z34,AnnualDepletions!$AI34,AnnualDepletions!$BB34,AnnualDepletions!$BF34)</f>
        <v>11624.990000001573</v>
      </c>
      <c r="J34" s="472">
        <f>SUM(AnnualDeplReqs!$B34:$G34,AnnualDeplReqs!$M34:$V34,AnnualDeplReqs!$BJ34)+AnnualDepletions!BJ34</f>
        <v>57222.909209570673</v>
      </c>
      <c r="K34" s="312">
        <f>SUM(AnnualDeplReqs!$AT34:$AV34)</f>
        <v>243869.93860232364</v>
      </c>
      <c r="L34" s="312">
        <f>SUM(AnnualDeplReqs!$AS34,AnnualDeplReqs!$AW34)</f>
        <v>35893.000000000073</v>
      </c>
      <c r="M34" s="312">
        <f>SUM(AnnualDeplReqs!$AA34:$AD34)</f>
        <v>5000.0000000019172</v>
      </c>
      <c r="N34" s="312">
        <f>SUM(AnnualDeplReqs!$BE34,AnnualDeplReqs!$BA34,AnnualDeplReqs!$AX34,AnnualDeplReqs!$AH34,AnnualDeplReqs!$AE34)</f>
        <v>32952.999999996202</v>
      </c>
      <c r="O34" s="312">
        <f>SUM(AnnualDeplReqs!$AR34,AnnualDeplReqs!$AF34,AnnualDeplReqs!$AZ34)</f>
        <v>12356.999999998581</v>
      </c>
      <c r="P34" s="312">
        <f>SUM(AnnualDeplReqs!$BD34,AnnualDeplReqs!$K34,AnnualDeplReqs!$H34)</f>
        <v>13191.999999998479</v>
      </c>
      <c r="Q34" s="380">
        <f>SUM(AnnualDeplReqs!$I34,AnnualDeplReqs!$W34,AnnualDeplReqs!$X34,AnnualDeplReqs!$Y34,AnnualDeplReqs!$Z34,AnnualDeplReqs!$AI34,AnnualDeplReqs!$BB34,AnnualDeplReqs!$BF34)</f>
        <v>11624.990000001573</v>
      </c>
      <c r="R34" s="311">
        <f>SUM(AnnualDiversions!$B34:$G34,AnnualDiversions!$M34:$V34,AnnualDiversions!$BJ34)</f>
        <v>109067.13000005133</v>
      </c>
      <c r="S34" s="312">
        <f>SUM(AnnualDiversions!$AT34:$AV34)</f>
        <v>304837.42325290432</v>
      </c>
      <c r="T34" s="312">
        <f>SUM(AnnualDiversions!$AS34,AnnualDiversions!$AW34)</f>
        <v>37764.23856661762</v>
      </c>
      <c r="U34" s="312">
        <f>SUM(AnnualDiversions!$AA34:$AD34)</f>
        <v>5000.0000000019172</v>
      </c>
      <c r="V34" s="312">
        <f>SUM(AnnualDiversions!$BE34,AnnualDiversions!$BA34,AnnualDiversions!$AX34,AnnualDiversions!$AH34,AnnualDiversions!$AE34)</f>
        <v>55358.436719437588</v>
      </c>
      <c r="W34" s="312">
        <f>SUM(AnnualDiversions!$AR34,AnnualDiversions!$AF34,AnnualDiversions!$AZ34)</f>
        <v>6076.9555746990482</v>
      </c>
      <c r="X34" s="312">
        <f>SUM(AnnualDiversions!$BD34,AnnualDiversions!$K34,AnnualDiversions!$H34)</f>
        <v>20222.045829184877</v>
      </c>
      <c r="Y34" s="380">
        <f>SUM(AnnualDiversions!$I34,AnnualDiversions!$W34,AnnualDiversions!$X34,AnnualDiversions!$Y34,AnnualDiversions!$Z34,AnnualDiversions!$AI34,AnnualDiversions!$BB34,AnnualDiversions!$BF34)</f>
        <v>19374.983333335964</v>
      </c>
      <c r="Z34" s="311">
        <f>SUM(AnnualDivReqs!$B34:$G34,AnnualDivReqs!$M34:$V34,AnnualDivReqs!$BJ34)</f>
        <v>109197.84174335135</v>
      </c>
      <c r="AA34" s="312">
        <f>SUM(AnnualDivReqs!$AT34:$AV34)</f>
        <v>304837.42325290432</v>
      </c>
      <c r="AB34" s="312">
        <f>SUM(AnnualDivReqs!$AS34,AnnualDivReqs!$AW34)</f>
        <v>37764.238566617634</v>
      </c>
      <c r="AC34" s="312">
        <f>SUM(AnnualDivReqs!$AA34:$AD34)</f>
        <v>5000.0000000019172</v>
      </c>
      <c r="AD34" s="312">
        <f>SUM(AnnualDivReqs!$BE34,AnnualDivReqs!$BA34,AnnualDivReqs!$AX34,AnnualDivReqs!$AH34,AnnualDivReqs!$AE34)</f>
        <v>55358.436719437588</v>
      </c>
      <c r="AE34" s="312">
        <f>SUM(AnnualDivReqs!$AR34,AnnualDivReqs!$AF34,AnnualDivReqs!$AZ34)</f>
        <v>22132.173243754805</v>
      </c>
      <c r="AF34" s="312">
        <f>SUM(AnnualDivReqs!$BD34,AnnualDivReqs!$K34,AnnualDivReqs!$H34)</f>
        <v>20222.045829184877</v>
      </c>
      <c r="AG34" s="380">
        <f>SUM(AnnualDivReqs!$I34,AnnualDivReqs!$W34,AnnualDivReqs!$X34,AnnualDivReqs!$Y34,AnnualDivReqs!$Z34,AnnualDivReqs!$AI34,AnnualDivReqs!$BB34,AnnualDivReqs!$BF34)</f>
        <v>19374.983333335964</v>
      </c>
    </row>
    <row r="35" spans="1:33" x14ac:dyDescent="0.25">
      <c r="A35" s="4">
        <v>20820.999305555557</v>
      </c>
      <c r="B35" s="311">
        <f>SUM(AnnualDepletions!$B35:$G35,AnnualDepletions!$M35:$V35,AnnualDepletions!$BJ35)</f>
        <v>57096.642170480234</v>
      </c>
      <c r="C35" s="312">
        <f>SUM(AnnualDepletions!$AT35:$AV35)</f>
        <v>273559.107146575</v>
      </c>
      <c r="D35" s="312">
        <f>SUM(AnnualDepletions!$AS35,AnnualDepletions!$AW35)</f>
        <v>35893.000000000073</v>
      </c>
      <c r="E35" s="312">
        <f>SUM(AnnualDepletions!$AA35:$AD35)</f>
        <v>5000.0000000019463</v>
      </c>
      <c r="F35" s="312">
        <f>SUM(AnnualDepletions!$BE35,AnnualDepletions!$BA35,AnnualDepletions!$AX35,AnnualDepletions!$AH35,AnnualDepletions!$AE35)</f>
        <v>36598.783922228649</v>
      </c>
      <c r="G35" s="312">
        <f>SUM(AnnualDepletions!$AR35,AnnualDepletions!$AF35,AnnualDepletions!$AZ35)</f>
        <v>1743.9984474460855</v>
      </c>
      <c r="H35" s="312">
        <f>SUM(AnnualDepletions!$BD35,AnnualDepletions!$K35,AnnualDepletions!$H35)</f>
        <v>14515.999999998328</v>
      </c>
      <c r="I35" s="380">
        <f>SUM(AnnualDepletions!$I35,AnnualDepletions!$W35,AnnualDepletions!$X35,AnnualDepletions!$Y35,AnnualDepletions!$Z35,AnnualDepletions!$AI35,AnnualDepletions!$BB35,AnnualDepletions!$BF35)</f>
        <v>11624.990000001573</v>
      </c>
      <c r="J35" s="472">
        <f>SUM(AnnualDeplReqs!$B35:$G35,AnnualDeplReqs!$M35:$V35,AnnualDeplReqs!$BJ35)+AnnualDepletions!BJ35</f>
        <v>57377.780557577222</v>
      </c>
      <c r="K35" s="312">
        <f>SUM(AnnualDeplReqs!$AT35:$AV35)</f>
        <v>273559.107146575</v>
      </c>
      <c r="L35" s="312">
        <f>SUM(AnnualDeplReqs!$AS35,AnnualDeplReqs!$AW35)</f>
        <v>35893.000000000073</v>
      </c>
      <c r="M35" s="312">
        <f>SUM(AnnualDeplReqs!$AA35:$AD35)</f>
        <v>5000.0000000019463</v>
      </c>
      <c r="N35" s="312">
        <f>SUM(AnnualDeplReqs!$BE35,AnnualDeplReqs!$BA35,AnnualDeplReqs!$AX35,AnnualDeplReqs!$AH35,AnnualDeplReqs!$AE35)</f>
        <v>36598.783922228649</v>
      </c>
      <c r="O35" s="312">
        <f>SUM(AnnualDeplReqs!$AR35,AnnualDeplReqs!$AF35,AnnualDeplReqs!$AZ35)</f>
        <v>13754.999999998416</v>
      </c>
      <c r="P35" s="312">
        <f>SUM(AnnualDeplReqs!$BD35,AnnualDeplReqs!$K35,AnnualDeplReqs!$H35)</f>
        <v>14515.999999998328</v>
      </c>
      <c r="Q35" s="380">
        <f>SUM(AnnualDeplReqs!$I35,AnnualDeplReqs!$W35,AnnualDeplReqs!$X35,AnnualDeplReqs!$Y35,AnnualDeplReqs!$Z35,AnnualDeplReqs!$AI35,AnnualDeplReqs!$BB35,AnnualDeplReqs!$BF35)</f>
        <v>11624.990000001573</v>
      </c>
      <c r="R35" s="311">
        <f>SUM(AnnualDiversions!$B35:$G35,AnnualDiversions!$M35:$V35,AnnualDiversions!$BJ35)</f>
        <v>109067.13000005134</v>
      </c>
      <c r="S35" s="312">
        <f>SUM(AnnualDiversions!$AT35:$AV35)</f>
        <v>341948.88393321919</v>
      </c>
      <c r="T35" s="312">
        <f>SUM(AnnualDiversions!$AS35,AnnualDiversions!$AW35)</f>
        <v>37763.476493275448</v>
      </c>
      <c r="U35" s="312">
        <f>SUM(AnnualDiversions!$AA35:$AD35)</f>
        <v>5000.0000000019463</v>
      </c>
      <c r="V35" s="312">
        <f>SUM(AnnualDiversions!$BE35,AnnualDiversions!$BA35,AnnualDiversions!$AX35,AnnualDiversions!$AH35,AnnualDiversions!$AE35)</f>
        <v>61472.716528649602</v>
      </c>
      <c r="W35" s="312">
        <f>SUM(AnnualDiversions!$AR35,AnnualDiversions!$AF35,AnnualDiversions!$AZ35)</f>
        <v>2878.5228289835827</v>
      </c>
      <c r="X35" s="312">
        <f>SUM(AnnualDiversions!$BD35,AnnualDiversions!$K35,AnnualDiversions!$H35)</f>
        <v>22250.972945803416</v>
      </c>
      <c r="Y35" s="380">
        <f>SUM(AnnualDiversions!$I35,AnnualDiversions!$W35,AnnualDiversions!$X35,AnnualDiversions!$Y35,AnnualDiversions!$Z35,AnnualDiversions!$AI35,AnnualDiversions!$BB35,AnnualDiversions!$BF35)</f>
        <v>19374.983333335967</v>
      </c>
      <c r="Z35" s="311">
        <f>SUM(AnnualDivReqs!$B35:$G35,AnnualDivReqs!$M35:$V35,AnnualDivReqs!$BJ35)</f>
        <v>109629.40677424532</v>
      </c>
      <c r="AA35" s="312">
        <f>SUM(AnnualDivReqs!$AT35:$AV35)</f>
        <v>341948.88393321919</v>
      </c>
      <c r="AB35" s="312">
        <f>SUM(AnnualDivReqs!$AS35,AnnualDivReqs!$AW35)</f>
        <v>37763.476493275448</v>
      </c>
      <c r="AC35" s="312">
        <f>SUM(AnnualDivReqs!$AA35:$AD35)</f>
        <v>5000.0000000019463</v>
      </c>
      <c r="AD35" s="312">
        <f>SUM(AnnualDivReqs!$BE35,AnnualDivReqs!$BA35,AnnualDivReqs!$AX35,AnnualDivReqs!$AH35,AnnualDivReqs!$AE35)</f>
        <v>61472.716528649602</v>
      </c>
      <c r="AE35" s="312">
        <f>SUM(AnnualDivReqs!$AR35,AnnualDivReqs!$AF35,AnnualDivReqs!$AZ35)</f>
        <v>24636.332204172737</v>
      </c>
      <c r="AF35" s="312">
        <f>SUM(AnnualDivReqs!$BD35,AnnualDivReqs!$K35,AnnualDivReqs!$H35)</f>
        <v>22250.972945803416</v>
      </c>
      <c r="AG35" s="380">
        <f>SUM(AnnualDivReqs!$I35,AnnualDivReqs!$W35,AnnualDivReqs!$X35,AnnualDivReqs!$Y35,AnnualDivReqs!$Z35,AnnualDivReqs!$AI35,AnnualDivReqs!$BB35,AnnualDivReqs!$BF35)</f>
        <v>19374.983333335967</v>
      </c>
    </row>
    <row r="36" spans="1:33" x14ac:dyDescent="0.25">
      <c r="A36" s="4">
        <v>21185.999305555557</v>
      </c>
      <c r="B36" s="311">
        <f>SUM(AnnualDepletions!$B36:$G36,AnnualDepletions!$M36:$V36,AnnualDepletions!$BJ36)</f>
        <v>57040.689551364645</v>
      </c>
      <c r="C36" s="312">
        <f>SUM(AnnualDepletions!$AT36:$AV36)</f>
        <v>223367.66655389874</v>
      </c>
      <c r="D36" s="312">
        <f>SUM(AnnualDepletions!$AS36,AnnualDepletions!$AW36)</f>
        <v>35893.000000000051</v>
      </c>
      <c r="E36" s="312">
        <f>SUM(AnnualDepletions!$AA36:$AD36)</f>
        <v>5000.0000000019172</v>
      </c>
      <c r="F36" s="312">
        <f>SUM(AnnualDepletions!$BE36,AnnualDepletions!$BA36,AnnualDepletions!$AX36,AnnualDepletions!$AH36,AnnualDepletions!$AE36)</f>
        <v>27405.999999996828</v>
      </c>
      <c r="G36" s="312">
        <f>SUM(AnnualDepletions!$AR36,AnnualDepletions!$AF36,AnnualDepletions!$AZ36)</f>
        <v>7582.8799875329341</v>
      </c>
      <c r="H36" s="312">
        <f>SUM(AnnualDepletions!$BD36,AnnualDepletions!$K36,AnnualDepletions!$H36)</f>
        <v>10339.99999999881</v>
      </c>
      <c r="I36" s="380">
        <f>SUM(AnnualDepletions!$I36,AnnualDepletions!$W36,AnnualDepletions!$X36,AnnualDepletions!$Y36,AnnualDepletions!$Z36,AnnualDepletions!$AI36,AnnualDepletions!$BB36,AnnualDepletions!$BF36)</f>
        <v>11624.990000001573</v>
      </c>
      <c r="J36" s="472">
        <f>SUM(AnnualDeplReqs!$B36:$G36,AnnualDeplReqs!$M36:$V36,AnnualDeplReqs!$BJ36)+AnnualDepletions!BJ36</f>
        <v>57040.689551364645</v>
      </c>
      <c r="K36" s="312">
        <f>SUM(AnnualDeplReqs!$AT36:$AV36)</f>
        <v>223367.66655389874</v>
      </c>
      <c r="L36" s="312">
        <f>SUM(AnnualDeplReqs!$AS36,AnnualDeplReqs!$AW36)</f>
        <v>35893.000000000073</v>
      </c>
      <c r="M36" s="312">
        <f>SUM(AnnualDeplReqs!$AA36:$AD36)</f>
        <v>5000.0000000019172</v>
      </c>
      <c r="N36" s="312">
        <f>SUM(AnnualDeplReqs!$BE36,AnnualDeplReqs!$BA36,AnnualDeplReqs!$AX36,AnnualDeplReqs!$AH36,AnnualDeplReqs!$AE36)</f>
        <v>27405.999999996828</v>
      </c>
      <c r="O36" s="312">
        <f>SUM(AnnualDeplReqs!$AR36,AnnualDeplReqs!$AF36,AnnualDeplReqs!$AZ36)</f>
        <v>10087.999999998839</v>
      </c>
      <c r="P36" s="312">
        <f>SUM(AnnualDeplReqs!$BD36,AnnualDeplReqs!$K36,AnnualDeplReqs!$H36)</f>
        <v>10339.99999999881</v>
      </c>
      <c r="Q36" s="380">
        <f>SUM(AnnualDeplReqs!$I36,AnnualDeplReqs!$W36,AnnualDeplReqs!$X36,AnnualDeplReqs!$Y36,AnnualDeplReqs!$Z36,AnnualDeplReqs!$AI36,AnnualDeplReqs!$BB36,AnnualDeplReqs!$BF36)</f>
        <v>11624.990000001573</v>
      </c>
      <c r="R36" s="311">
        <f>SUM(AnnualDiversions!$B36:$G36,AnnualDiversions!$M36:$V36,AnnualDiversions!$BJ36)</f>
        <v>109067.13000005133</v>
      </c>
      <c r="S36" s="312">
        <f>SUM(AnnualDiversions!$AT36:$AV36)</f>
        <v>279209.58319237374</v>
      </c>
      <c r="T36" s="312">
        <f>SUM(AnnualDiversions!$AS36,AnnualDiversions!$AW36)</f>
        <v>37764.238566617612</v>
      </c>
      <c r="U36" s="312">
        <f>SUM(AnnualDiversions!$AA36:$AD36)</f>
        <v>5000.0000000019172</v>
      </c>
      <c r="V36" s="312">
        <f>SUM(AnnualDiversions!$BE36,AnnualDiversions!$BA36,AnnualDiversions!$AX36,AnnualDiversions!$AH36,AnnualDiversions!$AE36)</f>
        <v>46001.69706934323</v>
      </c>
      <c r="W36" s="312">
        <f>SUM(AnnualDiversions!$AR36,AnnualDiversions!$AF36,AnnualDiversions!$AZ36)</f>
        <v>14435.702897751682</v>
      </c>
      <c r="X36" s="312">
        <f>SUM(AnnualDiversions!$BD36,AnnualDiversions!$K36,AnnualDiversions!$H36)</f>
        <v>15850.218566072317</v>
      </c>
      <c r="Y36" s="380">
        <f>SUM(AnnualDiversions!$I36,AnnualDiversions!$W36,AnnualDiversions!$X36,AnnualDiversions!$Y36,AnnualDiversions!$Z36,AnnualDiversions!$AI36,AnnualDiversions!$BB36,AnnualDiversions!$BF36)</f>
        <v>19374.983333335964</v>
      </c>
      <c r="Z36" s="311">
        <f>SUM(AnnualDivReqs!$B36:$G36,AnnualDivReqs!$M36:$V36,AnnualDivReqs!$BJ36)</f>
        <v>109067.13000005133</v>
      </c>
      <c r="AA36" s="312">
        <f>SUM(AnnualDivReqs!$AT36:$AV36)</f>
        <v>279209.58319237374</v>
      </c>
      <c r="AB36" s="312">
        <f>SUM(AnnualDivReqs!$AS36,AnnualDivReqs!$AW36)</f>
        <v>37764.238566617634</v>
      </c>
      <c r="AC36" s="312">
        <f>SUM(AnnualDivReqs!$AA36:$AD36)</f>
        <v>5000.0000000019172</v>
      </c>
      <c r="AD36" s="312">
        <f>SUM(AnnualDivReqs!$BE36,AnnualDivReqs!$BA36,AnnualDivReqs!$AX36,AnnualDivReqs!$AH36,AnnualDivReqs!$AE36)</f>
        <v>46001.69706934323</v>
      </c>
      <c r="AE36" s="312">
        <f>SUM(AnnualDivReqs!$AR36,AnnualDivReqs!$AF36,AnnualDivReqs!$AZ36)</f>
        <v>18067.34717836438</v>
      </c>
      <c r="AF36" s="312">
        <f>SUM(AnnualDivReqs!$BD36,AnnualDivReqs!$K36,AnnualDivReqs!$H36)</f>
        <v>15850.218566072317</v>
      </c>
      <c r="AG36" s="380">
        <f>SUM(AnnualDivReqs!$I36,AnnualDivReqs!$W36,AnnualDivReqs!$X36,AnnualDivReqs!$Y36,AnnualDivReqs!$Z36,AnnualDivReqs!$AI36,AnnualDivReqs!$BB36,AnnualDivReqs!$BF36)</f>
        <v>19374.983333335964</v>
      </c>
    </row>
    <row r="37" spans="1:33" x14ac:dyDescent="0.25">
      <c r="A37" s="4">
        <v>21550.999305555557</v>
      </c>
      <c r="B37" s="311">
        <f>SUM(AnnualDepletions!$B37:$G37,AnnualDepletions!$M37:$V37,AnnualDepletions!$BJ37)</f>
        <v>57168.483415119961</v>
      </c>
      <c r="C37" s="312">
        <f>SUM(AnnualDepletions!$AT37:$AV37)</f>
        <v>272238.82437448908</v>
      </c>
      <c r="D37" s="312">
        <f>SUM(AnnualDepletions!$AS37,AnnualDepletions!$AW37)</f>
        <v>35893.000000000051</v>
      </c>
      <c r="E37" s="312">
        <f>SUM(AnnualDepletions!$AA37:$AD37)</f>
        <v>5000.0000000019172</v>
      </c>
      <c r="F37" s="312">
        <f>SUM(AnnualDepletions!$BE37,AnnualDepletions!$BA37,AnnualDepletions!$AX37,AnnualDepletions!$AH37,AnnualDepletions!$AE37)</f>
        <v>35045.966292854304</v>
      </c>
      <c r="G37" s="312">
        <f>SUM(AnnualDepletions!$AR37,AnnualDepletions!$AF37,AnnualDepletions!$AZ37)</f>
        <v>5238.2587741373654</v>
      </c>
      <c r="H37" s="312">
        <f>SUM(AnnualDepletions!$BD37,AnnualDepletions!$K37,AnnualDepletions!$H37)</f>
        <v>13491.999999998448</v>
      </c>
      <c r="I37" s="380">
        <f>SUM(AnnualDepletions!$I37,AnnualDepletions!$W37,AnnualDepletions!$X37,AnnualDepletions!$Y37,AnnualDepletions!$Z37,AnnualDepletions!$AI37,AnnualDepletions!$BB37,AnnualDepletions!$BF37)</f>
        <v>11624.990000001573</v>
      </c>
      <c r="J37" s="472">
        <f>SUM(AnnualDeplReqs!$B37:$G37,AnnualDeplReqs!$M37:$V37,AnnualDeplReqs!$BJ37)+AnnualDepletions!BJ37</f>
        <v>57168.483415119961</v>
      </c>
      <c r="K37" s="312">
        <f>SUM(AnnualDeplReqs!$AT37:$AV37)</f>
        <v>272238.82437448908</v>
      </c>
      <c r="L37" s="312">
        <f>SUM(AnnualDeplReqs!$AS37,AnnualDeplReqs!$AW37)</f>
        <v>35893.000000000073</v>
      </c>
      <c r="M37" s="312">
        <f>SUM(AnnualDeplReqs!$AA37:$AD37)</f>
        <v>5000.0000000019172</v>
      </c>
      <c r="N37" s="312">
        <f>SUM(AnnualDeplReqs!$BE37,AnnualDeplReqs!$BA37,AnnualDeplReqs!$AX37,AnnualDeplReqs!$AH37,AnnualDeplReqs!$AE37)</f>
        <v>35045.966292854304</v>
      </c>
      <c r="O37" s="312">
        <f>SUM(AnnualDeplReqs!$AR37,AnnualDeplReqs!$AF37,AnnualDeplReqs!$AZ37)</f>
        <v>13030.999999998496</v>
      </c>
      <c r="P37" s="312">
        <f>SUM(AnnualDeplReqs!$BD37,AnnualDeplReqs!$K37,AnnualDeplReqs!$H37)</f>
        <v>13491.999999998448</v>
      </c>
      <c r="Q37" s="380">
        <f>SUM(AnnualDeplReqs!$I37,AnnualDeplReqs!$W37,AnnualDeplReqs!$X37,AnnualDeplReqs!$Y37,AnnualDeplReqs!$Z37,AnnualDeplReqs!$AI37,AnnualDeplReqs!$BB37,AnnualDeplReqs!$BF37)</f>
        <v>11624.990000001573</v>
      </c>
      <c r="R37" s="311">
        <f>SUM(AnnualDiversions!$B37:$G37,AnnualDiversions!$M37:$V37,AnnualDiversions!$BJ37)</f>
        <v>109067.13000005133</v>
      </c>
      <c r="S37" s="312">
        <f>SUM(AnnualDiversions!$AT37:$AV37)</f>
        <v>340298.53046811133</v>
      </c>
      <c r="T37" s="312">
        <f>SUM(AnnualDiversions!$AS37,AnnualDiversions!$AW37)</f>
        <v>37764.238566617612</v>
      </c>
      <c r="U37" s="312">
        <f>SUM(AnnualDiversions!$AA37:$AD37)</f>
        <v>5000.0000000019172</v>
      </c>
      <c r="V37" s="312">
        <f>SUM(AnnualDiversions!$BE37,AnnualDiversions!$BA37,AnnualDiversions!$AX37,AnnualDiversions!$AH37,AnnualDiversions!$AE37)</f>
        <v>58829.254451450768</v>
      </c>
      <c r="W37" s="312">
        <f>SUM(AnnualDiversions!$AR37,AnnualDiversions!$AF37,AnnualDiversions!$AZ37)</f>
        <v>9232.3955198786189</v>
      </c>
      <c r="X37" s="312">
        <f>SUM(AnnualDiversions!$BD37,AnnualDiversions!$K37,AnnualDiversions!$H37)</f>
        <v>20681.255430317207</v>
      </c>
      <c r="Y37" s="380">
        <f>SUM(AnnualDiversions!$I37,AnnualDiversions!$W37,AnnualDiversions!$X37,AnnualDiversions!$Y37,AnnualDiversions!$Z37,AnnualDiversions!$AI37,AnnualDiversions!$BB37,AnnualDiversions!$BF37)</f>
        <v>19374.983333335964</v>
      </c>
      <c r="Z37" s="311">
        <f>SUM(AnnualDivReqs!$B37:$G37,AnnualDivReqs!$M37:$V37,AnnualDivReqs!$BJ37)</f>
        <v>109067.13000005133</v>
      </c>
      <c r="AA37" s="312">
        <f>SUM(AnnualDivReqs!$AT37:$AV37)</f>
        <v>340298.53046811133</v>
      </c>
      <c r="AB37" s="312">
        <f>SUM(AnnualDivReqs!$AS37,AnnualDivReqs!$AW37)</f>
        <v>37764.238566617634</v>
      </c>
      <c r="AC37" s="312">
        <f>SUM(AnnualDivReqs!$AA37:$AD37)</f>
        <v>5000.0000000019172</v>
      </c>
      <c r="AD37" s="312">
        <f>SUM(AnnualDivReqs!$BE37,AnnualDivReqs!$BA37,AnnualDivReqs!$AX37,AnnualDivReqs!$AH37,AnnualDivReqs!$AE37)</f>
        <v>58829.254451450768</v>
      </c>
      <c r="AE37" s="312">
        <f>SUM(AnnualDivReqs!$AR37,AnnualDivReqs!$AF37,AnnualDivReqs!$AZ37)</f>
        <v>23338.519823379764</v>
      </c>
      <c r="AF37" s="312">
        <f>SUM(AnnualDivReqs!$BD37,AnnualDivReqs!$K37,AnnualDivReqs!$H37)</f>
        <v>20681.255430317207</v>
      </c>
      <c r="AG37" s="380">
        <f>SUM(AnnualDivReqs!$I37,AnnualDivReqs!$W37,AnnualDivReqs!$X37,AnnualDivReqs!$Y37,AnnualDivReqs!$Z37,AnnualDivReqs!$AI37,AnnualDivReqs!$BB37,AnnualDivReqs!$BF37)</f>
        <v>19374.983333335964</v>
      </c>
    </row>
    <row r="38" spans="1:33" x14ac:dyDescent="0.25">
      <c r="A38" s="4">
        <v>21915.999305555557</v>
      </c>
      <c r="B38" s="311">
        <f>SUM(AnnualDepletions!$B38:$G38,AnnualDepletions!$M38:$V38,AnnualDepletions!$BJ38)</f>
        <v>57127.884706051504</v>
      </c>
      <c r="C38" s="312">
        <f>SUM(AnnualDepletions!$AT38:$AV38)</f>
        <v>254552.60419826664</v>
      </c>
      <c r="D38" s="312">
        <f>SUM(AnnualDepletions!$AS38,AnnualDepletions!$AW38)</f>
        <v>35893.000000000051</v>
      </c>
      <c r="E38" s="312">
        <f>SUM(AnnualDepletions!$AA38:$AD38)</f>
        <v>5000.0000000019172</v>
      </c>
      <c r="F38" s="312">
        <f>SUM(AnnualDepletions!$BE38,AnnualDepletions!$BA38,AnnualDepletions!$AX38,AnnualDepletions!$AH38,AnnualDepletions!$AE38)</f>
        <v>34136.665166946048</v>
      </c>
      <c r="G38" s="312">
        <f>SUM(AnnualDepletions!$AR38,AnnualDepletions!$AF38,AnnualDepletions!$AZ38)</f>
        <v>2600.9078899185401</v>
      </c>
      <c r="H38" s="312">
        <f>SUM(AnnualDepletions!$BD38,AnnualDepletions!$K38,AnnualDepletions!$H38)</f>
        <v>12794.99999999853</v>
      </c>
      <c r="I38" s="380">
        <f>SUM(AnnualDepletions!$I38,AnnualDepletions!$W38,AnnualDepletions!$X38,AnnualDepletions!$Y38,AnnualDepletions!$Z38,AnnualDepletions!$AI38,AnnualDepletions!$BB38,AnnualDepletions!$BF38)</f>
        <v>11624.990000001573</v>
      </c>
      <c r="J38" s="472">
        <f>SUM(AnnualDeplReqs!$B38:$G38,AnnualDeplReqs!$M38:$V38,AnnualDeplReqs!$BJ38)+AnnualDepletions!BJ38</f>
        <v>57371.337022783329</v>
      </c>
      <c r="K38" s="312">
        <f>SUM(AnnualDeplReqs!$AT38:$AV38)</f>
        <v>254552.60419826664</v>
      </c>
      <c r="L38" s="312">
        <f>SUM(AnnualDeplReqs!$AS38,AnnualDeplReqs!$AW38)</f>
        <v>35893.000000000073</v>
      </c>
      <c r="M38" s="312">
        <f>SUM(AnnualDeplReqs!$AA38:$AD38)</f>
        <v>5000.0000000019172</v>
      </c>
      <c r="N38" s="312">
        <f>SUM(AnnualDeplReqs!$BE38,AnnualDeplReqs!$BA38,AnnualDeplReqs!$AX38,AnnualDeplReqs!$AH38,AnnualDeplReqs!$AE38)</f>
        <v>34136.665166946048</v>
      </c>
      <c r="O38" s="312">
        <f>SUM(AnnualDeplReqs!$AR38,AnnualDeplReqs!$AF38,AnnualDeplReqs!$AZ38)</f>
        <v>12848.999999998518</v>
      </c>
      <c r="P38" s="312">
        <f>SUM(AnnualDeplReqs!$BD38,AnnualDeplReqs!$K38,AnnualDeplReqs!$H38)</f>
        <v>12794.99999999853</v>
      </c>
      <c r="Q38" s="380">
        <f>SUM(AnnualDeplReqs!$I38,AnnualDeplReqs!$W38,AnnualDeplReqs!$X38,AnnualDeplReqs!$Y38,AnnualDeplReqs!$Z38,AnnualDeplReqs!$AI38,AnnualDeplReqs!$BB38,AnnualDeplReqs!$BF38)</f>
        <v>11624.990000001573</v>
      </c>
      <c r="R38" s="311">
        <f>SUM(AnnualDiversions!$B38:$G38,AnnualDiversions!$M38:$V38,AnnualDiversions!$BJ38)</f>
        <v>109067.13000005133</v>
      </c>
      <c r="S38" s="312">
        <f>SUM(AnnualDiversions!$AT38:$AV38)</f>
        <v>318190.75524783437</v>
      </c>
      <c r="T38" s="312">
        <f>SUM(AnnualDiversions!$AS38,AnnualDiversions!$AW38)</f>
        <v>37764.238566617612</v>
      </c>
      <c r="U38" s="312">
        <f>SUM(AnnualDiversions!$AA38:$AD38)</f>
        <v>5000.0000000019172</v>
      </c>
      <c r="V38" s="312">
        <f>SUM(AnnualDiversions!$BE38,AnnualDiversions!$BA38,AnnualDiversions!$AX38,AnnualDiversions!$AH38,AnnualDiversions!$AE38)</f>
        <v>57310.917356290061</v>
      </c>
      <c r="W38" s="312">
        <f>SUM(AnnualDiversions!$AR38,AnnualDiversions!$AF38,AnnualDiversions!$AZ38)</f>
        <v>4434.8066599543008</v>
      </c>
      <c r="X38" s="312">
        <f>SUM(AnnualDiversions!$BD38,AnnualDiversions!$K38,AnnualDiversions!$H38)</f>
        <v>19613.649407408488</v>
      </c>
      <c r="Y38" s="380">
        <f>SUM(AnnualDiversions!$I38,AnnualDiversions!$W38,AnnualDiversions!$X38,AnnualDiversions!$Y38,AnnualDiversions!$Z38,AnnualDiversions!$AI38,AnnualDiversions!$BB38,AnnualDiversions!$BF38)</f>
        <v>19374.983333335964</v>
      </c>
      <c r="Z38" s="311">
        <f>SUM(AnnualDivReqs!$B38:$G38,AnnualDivReqs!$M38:$V38,AnnualDivReqs!$BJ38)</f>
        <v>109554.03463351498</v>
      </c>
      <c r="AA38" s="312">
        <f>SUM(AnnualDivReqs!$AT38:$AV38)</f>
        <v>318190.75524783437</v>
      </c>
      <c r="AB38" s="312">
        <f>SUM(AnnualDivReqs!$AS38,AnnualDivReqs!$AW38)</f>
        <v>37764.238566617634</v>
      </c>
      <c r="AC38" s="312">
        <f>SUM(AnnualDivReqs!$AA38:$AD38)</f>
        <v>5000.0000000019172</v>
      </c>
      <c r="AD38" s="312">
        <f>SUM(AnnualDivReqs!$BE38,AnnualDivReqs!$BA38,AnnualDivReqs!$AX38,AnnualDivReqs!$AH38,AnnualDivReqs!$AE38)</f>
        <v>57310.917356290061</v>
      </c>
      <c r="AE38" s="312">
        <f>SUM(AnnualDivReqs!$AR38,AnnualDivReqs!$AF38,AnnualDivReqs!$AZ38)</f>
        <v>23011.994005876601</v>
      </c>
      <c r="AF38" s="312">
        <f>SUM(AnnualDivReqs!$BD38,AnnualDivReqs!$K38,AnnualDivReqs!$H38)</f>
        <v>19613.649407408488</v>
      </c>
      <c r="AG38" s="380">
        <f>SUM(AnnualDivReqs!$I38,AnnualDivReqs!$W38,AnnualDivReqs!$X38,AnnualDivReqs!$Y38,AnnualDivReqs!$Z38,AnnualDivReqs!$AI38,AnnualDivReqs!$BB38,AnnualDivReqs!$BF38)</f>
        <v>19374.983333335964</v>
      </c>
    </row>
    <row r="39" spans="1:33" x14ac:dyDescent="0.25">
      <c r="A39" s="4">
        <v>22281.999305555557</v>
      </c>
      <c r="B39" s="311">
        <f>SUM(AnnualDepletions!$B39:$G39,AnnualDepletions!$M39:$V39,AnnualDepletions!$BJ39)</f>
        <v>57140.458658696334</v>
      </c>
      <c r="C39" s="312">
        <f>SUM(AnnualDepletions!$AT39:$AV39)</f>
        <v>280105.72664918215</v>
      </c>
      <c r="D39" s="312">
        <f>SUM(AnnualDepletions!$AS39,AnnualDepletions!$AW39)</f>
        <v>35893.000000000044</v>
      </c>
      <c r="E39" s="312">
        <f>SUM(AnnualDepletions!$AA39:$AD39)</f>
        <v>5000.0000000019463</v>
      </c>
      <c r="F39" s="312">
        <f>SUM(AnnualDepletions!$BE39,AnnualDepletions!$BA39,AnnualDepletions!$AX39,AnnualDepletions!$AH39,AnnualDepletions!$AE39)</f>
        <v>37163.421915837542</v>
      </c>
      <c r="G39" s="312">
        <f>SUM(AnnualDepletions!$AR39,AnnualDepletions!$AF39,AnnualDepletions!$AZ39)</f>
        <v>3682.9072614765364</v>
      </c>
      <c r="H39" s="312">
        <f>SUM(AnnualDepletions!$BD39,AnnualDepletions!$K39,AnnualDepletions!$H39)</f>
        <v>14593.999999998319</v>
      </c>
      <c r="I39" s="380">
        <f>SUM(AnnualDepletions!$I39,AnnualDepletions!$W39,AnnualDepletions!$X39,AnnualDepletions!$Y39,AnnualDepletions!$Z39,AnnualDepletions!$AI39,AnnualDepletions!$BB39,AnnualDepletions!$BF39)</f>
        <v>11624.990000001573</v>
      </c>
      <c r="J39" s="472">
        <f>SUM(AnnualDeplReqs!$B39:$G39,AnnualDeplReqs!$M39:$V39,AnnualDeplReqs!$BJ39)+AnnualDepletions!BJ39</f>
        <v>57289.075518911537</v>
      </c>
      <c r="K39" s="312">
        <f>SUM(AnnualDeplReqs!$AT39:$AV39)</f>
        <v>280105.72664918215</v>
      </c>
      <c r="L39" s="312">
        <f>SUM(AnnualDeplReqs!$AS39,AnnualDeplReqs!$AW39)</f>
        <v>35893.000000000073</v>
      </c>
      <c r="M39" s="312">
        <f>SUM(AnnualDeplReqs!$AA39:$AD39)</f>
        <v>5000.0000000019463</v>
      </c>
      <c r="N39" s="312">
        <f>SUM(AnnualDeplReqs!$BE39,AnnualDeplReqs!$BA39,AnnualDeplReqs!$AX39,AnnualDeplReqs!$AH39,AnnualDeplReqs!$AE39)</f>
        <v>37163.421915837542</v>
      </c>
      <c r="O39" s="312">
        <f>SUM(AnnualDeplReqs!$AR39,AnnualDeplReqs!$AF39,AnnualDeplReqs!$AZ39)</f>
        <v>14111.999999998374</v>
      </c>
      <c r="P39" s="312">
        <f>SUM(AnnualDeplReqs!$BD39,AnnualDeplReqs!$K39,AnnualDeplReqs!$H39)</f>
        <v>14593.999999998319</v>
      </c>
      <c r="Q39" s="380">
        <f>SUM(AnnualDeplReqs!$I39,AnnualDeplReqs!$W39,AnnualDeplReqs!$X39,AnnualDeplReqs!$Y39,AnnualDeplReqs!$Z39,AnnualDeplReqs!$AI39,AnnualDeplReqs!$BB39,AnnualDeplReqs!$BF39)</f>
        <v>11624.990000001573</v>
      </c>
      <c r="R39" s="311">
        <f>SUM(AnnualDiversions!$B39:$G39,AnnualDiversions!$M39:$V39,AnnualDiversions!$BJ39)</f>
        <v>109067.13000005134</v>
      </c>
      <c r="S39" s="312">
        <f>SUM(AnnualDiversions!$AT39:$AV39)</f>
        <v>350132.15831147681</v>
      </c>
      <c r="T39" s="312">
        <f>SUM(AnnualDiversions!$AS39,AnnualDiversions!$AW39)</f>
        <v>37763.476493275419</v>
      </c>
      <c r="U39" s="312">
        <f>SUM(AnnualDiversions!$AA39:$AD39)</f>
        <v>5000.0000000019463</v>
      </c>
      <c r="V39" s="312">
        <f>SUM(AnnualDiversions!$BE39,AnnualDiversions!$BA39,AnnualDiversions!$AX39,AnnualDiversions!$AH39,AnnualDiversions!$AE39)</f>
        <v>62431.646303774905</v>
      </c>
      <c r="W39" s="312">
        <f>SUM(AnnualDiversions!$AR39,AnnualDiversions!$AF39,AnnualDiversions!$AZ39)</f>
        <v>6349.3089100277521</v>
      </c>
      <c r="X39" s="312">
        <f>SUM(AnnualDiversions!$BD39,AnnualDiversions!$K39,AnnualDiversions!$H39)</f>
        <v>22370.426451591087</v>
      </c>
      <c r="Y39" s="380">
        <f>SUM(AnnualDiversions!$I39,AnnualDiversions!$W39,AnnualDiversions!$X39,AnnualDiversions!$Y39,AnnualDiversions!$Z39,AnnualDiversions!$AI39,AnnualDiversions!$BB39,AnnualDiversions!$BF39)</f>
        <v>19374.983333335967</v>
      </c>
      <c r="Z39" s="311">
        <f>SUM(AnnualDivReqs!$B39:$G39,AnnualDivReqs!$M39:$V39,AnnualDivReqs!$BJ39)</f>
        <v>109364.36372048175</v>
      </c>
      <c r="AA39" s="312">
        <f>SUM(AnnualDivReqs!$AT39:$AV39)</f>
        <v>350132.15831147681</v>
      </c>
      <c r="AB39" s="312">
        <f>SUM(AnnualDivReqs!$AS39,AnnualDivReqs!$AW39)</f>
        <v>37763.476493275448</v>
      </c>
      <c r="AC39" s="312">
        <f>SUM(AnnualDivReqs!$AA39:$AD39)</f>
        <v>5000.0000000019463</v>
      </c>
      <c r="AD39" s="312">
        <f>SUM(AnnualDivReqs!$BE39,AnnualDivReqs!$BA39,AnnualDivReqs!$AX39,AnnualDivReqs!$AH39,AnnualDivReqs!$AE39)</f>
        <v>62431.646303774905</v>
      </c>
      <c r="AE39" s="312">
        <f>SUM(AnnualDivReqs!$AR39,AnnualDivReqs!$AF39,AnnualDivReqs!$AZ39)</f>
        <v>25274.62123483454</v>
      </c>
      <c r="AF39" s="312">
        <f>SUM(AnnualDivReqs!$BD39,AnnualDivReqs!$K39,AnnualDivReqs!$H39)</f>
        <v>22370.426451591087</v>
      </c>
      <c r="AG39" s="380">
        <f>SUM(AnnualDivReqs!$I39,AnnualDivReqs!$W39,AnnualDivReqs!$X39,AnnualDivReqs!$Y39,AnnualDivReqs!$Z39,AnnualDivReqs!$AI39,AnnualDivReqs!$BB39,AnnualDivReqs!$BF39)</f>
        <v>19374.983333335967</v>
      </c>
    </row>
    <row r="40" spans="1:33" x14ac:dyDescent="0.25">
      <c r="A40" s="4">
        <v>22646.999305555557</v>
      </c>
      <c r="B40" s="311">
        <f>SUM(AnnualDepletions!$B40:$G40,AnnualDepletions!$M40:$V40,AnnualDepletions!$BJ40)</f>
        <v>57168.032570211122</v>
      </c>
      <c r="C40" s="312">
        <f>SUM(AnnualDepletions!$AT40:$AV40)</f>
        <v>226878.24566833526</v>
      </c>
      <c r="D40" s="312">
        <f>SUM(AnnualDepletions!$AS40,AnnualDepletions!$AW40)</f>
        <v>35893.000000000065</v>
      </c>
      <c r="E40" s="312">
        <f>SUM(AnnualDepletions!$AA40:$AD40)</f>
        <v>5000.0000000019172</v>
      </c>
      <c r="F40" s="312">
        <f>SUM(AnnualDepletions!$BE40,AnnualDepletions!$BA40,AnnualDepletions!$AX40,AnnualDepletions!$AH40,AnnualDepletions!$AE40)</f>
        <v>31716.588340269165</v>
      </c>
      <c r="G40" s="312">
        <f>SUM(AnnualDepletions!$AR40,AnnualDepletions!$AF40,AnnualDepletions!$AZ40)</f>
        <v>3144.2728606566884</v>
      </c>
      <c r="H40" s="312">
        <f>SUM(AnnualDepletions!$BD40,AnnualDepletions!$K40,AnnualDepletions!$H40)</f>
        <v>12341.999999998579</v>
      </c>
      <c r="I40" s="380">
        <f>SUM(AnnualDepletions!$I40,AnnualDepletions!$W40,AnnualDepletions!$X40,AnnualDepletions!$Y40,AnnualDepletions!$Z40,AnnualDepletions!$AI40,AnnualDepletions!$BB40,AnnualDepletions!$BF40)</f>
        <v>11624.990000001573</v>
      </c>
      <c r="J40" s="472">
        <f>SUM(AnnualDeplReqs!$B40:$G40,AnnualDeplReqs!$M40:$V40,AnnualDeplReqs!$BJ40)+AnnualDepletions!BJ40</f>
        <v>57168.032570211122</v>
      </c>
      <c r="K40" s="312">
        <f>SUM(AnnualDeplReqs!$AT40:$AV40)</f>
        <v>226878.24566833526</v>
      </c>
      <c r="L40" s="312">
        <f>SUM(AnnualDeplReqs!$AS40,AnnualDeplReqs!$AW40)</f>
        <v>35893.000000000073</v>
      </c>
      <c r="M40" s="312">
        <f>SUM(AnnualDeplReqs!$AA40:$AD40)</f>
        <v>5000.0000000019172</v>
      </c>
      <c r="N40" s="312">
        <f>SUM(AnnualDeplReqs!$BE40,AnnualDeplReqs!$BA40,AnnualDeplReqs!$AX40,AnnualDeplReqs!$AH40,AnnualDeplReqs!$AE40)</f>
        <v>31716.588340269165</v>
      </c>
      <c r="O40" s="312">
        <f>SUM(AnnualDeplReqs!$AR40,AnnualDeplReqs!$AF40,AnnualDeplReqs!$AZ40)</f>
        <v>12056.999999998625</v>
      </c>
      <c r="P40" s="312">
        <f>SUM(AnnualDeplReqs!$BD40,AnnualDeplReqs!$K40,AnnualDeplReqs!$H40)</f>
        <v>12341.999999998579</v>
      </c>
      <c r="Q40" s="380">
        <f>SUM(AnnualDeplReqs!$I40,AnnualDeplReqs!$W40,AnnualDeplReqs!$X40,AnnualDeplReqs!$Y40,AnnualDeplReqs!$Z40,AnnualDeplReqs!$AI40,AnnualDeplReqs!$BB40,AnnualDeplReqs!$BF40)</f>
        <v>11624.990000001573</v>
      </c>
      <c r="R40" s="311">
        <f>SUM(AnnualDiversions!$B40:$G40,AnnualDiversions!$M40:$V40,AnnualDiversions!$BJ40)</f>
        <v>109067.13000005133</v>
      </c>
      <c r="S40" s="312">
        <f>SUM(AnnualDiversions!$AT40:$AV40)</f>
        <v>283597.80708541931</v>
      </c>
      <c r="T40" s="312">
        <f>SUM(AnnualDiversions!$AS40,AnnualDiversions!$AW40)</f>
        <v>37764.238566617627</v>
      </c>
      <c r="U40" s="312">
        <f>SUM(AnnualDiversions!$AA40:$AD40)</f>
        <v>5000.0000000019172</v>
      </c>
      <c r="V40" s="312">
        <f>SUM(AnnualDiversions!$BE40,AnnualDiversions!$BA40,AnnualDiversions!$AX40,AnnualDiversions!$AH40,AnnualDiversions!$AE40)</f>
        <v>53280.104387865809</v>
      </c>
      <c r="W40" s="312">
        <f>SUM(AnnualDiversions!$AR40,AnnualDiversions!$AF40,AnnualDiversions!$AZ40)</f>
        <v>5658.4080054006154</v>
      </c>
      <c r="X40" s="312">
        <f>SUM(AnnualDiversions!$BD40,AnnualDiversions!$K40,AnnualDiversions!$H40)</f>
        <v>18920.117082995192</v>
      </c>
      <c r="Y40" s="380">
        <f>SUM(AnnualDiversions!$I40,AnnualDiversions!$W40,AnnualDiversions!$X40,AnnualDiversions!$Y40,AnnualDiversions!$Z40,AnnualDiversions!$AI40,AnnualDiversions!$BB40,AnnualDiversions!$BF40)</f>
        <v>19374.983333335964</v>
      </c>
      <c r="Z40" s="311">
        <f>SUM(AnnualDivReqs!$B40:$G40,AnnualDivReqs!$M40:$V40,AnnualDivReqs!$BJ40)</f>
        <v>109067.13000005133</v>
      </c>
      <c r="AA40" s="312">
        <f>SUM(AnnualDivReqs!$AT40:$AV40)</f>
        <v>283597.80708541931</v>
      </c>
      <c r="AB40" s="312">
        <f>SUM(AnnualDivReqs!$AS40,AnnualDivReqs!$AW40)</f>
        <v>37764.238566617634</v>
      </c>
      <c r="AC40" s="312">
        <f>SUM(AnnualDivReqs!$AA40:$AD40)</f>
        <v>5000.0000000019172</v>
      </c>
      <c r="AD40" s="312">
        <f>SUM(AnnualDivReqs!$BE40,AnnualDivReqs!$BA40,AnnualDivReqs!$AX40,AnnualDivReqs!$AH40,AnnualDivReqs!$AE40)</f>
        <v>53280.104387865809</v>
      </c>
      <c r="AE40" s="312">
        <f>SUM(AnnualDivReqs!$AR40,AnnualDivReqs!$AF40,AnnualDivReqs!$AZ40)</f>
        <v>21595.041654405984</v>
      </c>
      <c r="AF40" s="312">
        <f>SUM(AnnualDivReqs!$BD40,AnnualDivReqs!$K40,AnnualDivReqs!$H40)</f>
        <v>18920.117082995192</v>
      </c>
      <c r="AG40" s="380">
        <f>SUM(AnnualDivReqs!$I40,AnnualDivReqs!$W40,AnnualDivReqs!$X40,AnnualDivReqs!$Y40,AnnualDivReqs!$Z40,AnnualDivReqs!$AI40,AnnualDivReqs!$BB40,AnnualDivReqs!$BF40)</f>
        <v>19374.983333335964</v>
      </c>
    </row>
    <row r="41" spans="1:33" x14ac:dyDescent="0.25">
      <c r="A41" s="4">
        <v>23011.999305555557</v>
      </c>
      <c r="B41" s="311">
        <f>SUM(AnnualDepletions!$B41:$G41,AnnualDepletions!$M41:$V41,AnnualDepletions!$BJ41)</f>
        <v>57152.367434554108</v>
      </c>
      <c r="C41" s="312">
        <f>SUM(AnnualDepletions!$AT41:$AV41)</f>
        <v>272342.61520390079</v>
      </c>
      <c r="D41" s="312">
        <f>SUM(AnnualDepletions!$AS41,AnnualDepletions!$AW41)</f>
        <v>35893.000000000058</v>
      </c>
      <c r="E41" s="312">
        <f>SUM(AnnualDepletions!$AA41:$AD41)</f>
        <v>5000.0000000019172</v>
      </c>
      <c r="F41" s="312">
        <f>SUM(AnnualDepletions!$BE41,AnnualDepletions!$BA41,AnnualDepletions!$AX41,AnnualDepletions!$AH41,AnnualDepletions!$AE41)</f>
        <v>34262.146912090044</v>
      </c>
      <c r="G41" s="312">
        <f>SUM(AnnualDepletions!$AR41,AnnualDepletions!$AF41,AnnualDepletions!$AZ41)</f>
        <v>2436.7110085229651</v>
      </c>
      <c r="H41" s="312">
        <f>SUM(AnnualDepletions!$BD41,AnnualDepletions!$K41,AnnualDepletions!$H41)</f>
        <v>13847.999999998405</v>
      </c>
      <c r="I41" s="380">
        <f>SUM(AnnualDepletions!$I41,AnnualDepletions!$W41,AnnualDepletions!$X41,AnnualDepletions!$Y41,AnnualDepletions!$Z41,AnnualDepletions!$AI41,AnnualDepletions!$BB41,AnnualDepletions!$BF41)</f>
        <v>11624.990000001573</v>
      </c>
      <c r="J41" s="472">
        <f>SUM(AnnualDeplReqs!$B41:$G41,AnnualDeplReqs!$M41:$V41,AnnualDeplReqs!$BJ41)+AnnualDepletions!BJ41</f>
        <v>57166.044208747669</v>
      </c>
      <c r="K41" s="312">
        <f>SUM(AnnualDeplReqs!$AT41:$AV41)</f>
        <v>272342.61520390079</v>
      </c>
      <c r="L41" s="312">
        <f>SUM(AnnualDeplReqs!$AS41,AnnualDeplReqs!$AW41)</f>
        <v>35893.000000000073</v>
      </c>
      <c r="M41" s="312">
        <f>SUM(AnnualDeplReqs!$AA41:$AD41)</f>
        <v>5000.0000000019172</v>
      </c>
      <c r="N41" s="312">
        <f>SUM(AnnualDeplReqs!$BE41,AnnualDeplReqs!$BA41,AnnualDeplReqs!$AX41,AnnualDeplReqs!$AH41,AnnualDeplReqs!$AE41)</f>
        <v>34262.146912090044</v>
      </c>
      <c r="O41" s="312">
        <f>SUM(AnnualDeplReqs!$AR41,AnnualDeplReqs!$AF41,AnnualDeplReqs!$AZ41)</f>
        <v>12836.999999998527</v>
      </c>
      <c r="P41" s="312">
        <f>SUM(AnnualDeplReqs!$BD41,AnnualDeplReqs!$K41,AnnualDeplReqs!$H41)</f>
        <v>13847.999999998405</v>
      </c>
      <c r="Q41" s="380">
        <f>SUM(AnnualDeplReqs!$I41,AnnualDeplReqs!$W41,AnnualDeplReqs!$X41,AnnualDeplReqs!$Y41,AnnualDeplReqs!$Z41,AnnualDeplReqs!$AI41,AnnualDeplReqs!$BB41,AnnualDeplReqs!$BF41)</f>
        <v>11624.990000001573</v>
      </c>
      <c r="R41" s="311">
        <f>SUM(AnnualDiversions!$B41:$G41,AnnualDiversions!$M41:$V41,AnnualDiversions!$BJ41)</f>
        <v>109067.13000005133</v>
      </c>
      <c r="S41" s="312">
        <f>SUM(AnnualDiversions!$AT41:$AV41)</f>
        <v>340428.26900487678</v>
      </c>
      <c r="T41" s="312">
        <f>SUM(AnnualDiversions!$AS41,AnnualDiversions!$AW41)</f>
        <v>37764.23856661762</v>
      </c>
      <c r="U41" s="312">
        <f>SUM(AnnualDiversions!$AA41:$AD41)</f>
        <v>5000.0000000019172</v>
      </c>
      <c r="V41" s="312">
        <f>SUM(AnnualDiversions!$BE41,AnnualDiversions!$BA41,AnnualDiversions!$AX41,AnnualDiversions!$AH41,AnnualDiversions!$AE41)</f>
        <v>57520.452213729681</v>
      </c>
      <c r="W41" s="312">
        <f>SUM(AnnualDiversions!$AR41,AnnualDiversions!$AF41,AnnualDiversions!$AZ41)</f>
        <v>4114.2453655981944</v>
      </c>
      <c r="X41" s="312">
        <f>SUM(AnnualDiversions!$BD41,AnnualDiversions!$K41,AnnualDiversions!$H41)</f>
        <v>21228.278881201863</v>
      </c>
      <c r="Y41" s="380">
        <f>SUM(AnnualDiversions!$I41,AnnualDiversions!$W41,AnnualDiversions!$X41,AnnualDiversions!$Y41,AnnualDiversions!$Z41,AnnualDiversions!$AI41,AnnualDiversions!$BB41,AnnualDiversions!$BF41)</f>
        <v>19374.983333335964</v>
      </c>
      <c r="Z41" s="311">
        <f>SUM(AnnualDivReqs!$B41:$G41,AnnualDivReqs!$M41:$V41,AnnualDivReqs!$BJ41)</f>
        <v>109094.48354843845</v>
      </c>
      <c r="AA41" s="312">
        <f>SUM(AnnualDivReqs!$AT41:$AV41)</f>
        <v>340428.26900487678</v>
      </c>
      <c r="AB41" s="312">
        <f>SUM(AnnualDivReqs!$AS41,AnnualDivReqs!$AW41)</f>
        <v>37764.238566617634</v>
      </c>
      <c r="AC41" s="312">
        <f>SUM(AnnualDivReqs!$AA41:$AD41)</f>
        <v>5000.0000000019172</v>
      </c>
      <c r="AD41" s="312">
        <f>SUM(AnnualDivReqs!$BE41,AnnualDivReqs!$BA41,AnnualDivReqs!$AX41,AnnualDivReqs!$AH41,AnnualDivReqs!$AE41)</f>
        <v>57520.452213729681</v>
      </c>
      <c r="AE41" s="312">
        <f>SUM(AnnualDivReqs!$AR41,AnnualDivReqs!$AF41,AnnualDivReqs!$AZ41)</f>
        <v>22991.178109577002</v>
      </c>
      <c r="AF41" s="312">
        <f>SUM(AnnualDivReqs!$BD41,AnnualDivReqs!$K41,AnnualDivReqs!$H41)</f>
        <v>21228.278881201863</v>
      </c>
      <c r="AG41" s="380">
        <f>SUM(AnnualDivReqs!$I41,AnnualDivReqs!$W41,AnnualDivReqs!$X41,AnnualDivReqs!$Y41,AnnualDivReqs!$Z41,AnnualDivReqs!$AI41,AnnualDivReqs!$BB41,AnnualDivReqs!$BF41)</f>
        <v>19374.983333335964</v>
      </c>
    </row>
    <row r="42" spans="1:33" x14ac:dyDescent="0.25">
      <c r="A42" s="4">
        <v>23376.999305555557</v>
      </c>
      <c r="B42" s="311">
        <f>SUM(AnnualDepletions!$B42:$G42,AnnualDepletions!$M42:$V42,AnnualDepletions!$BJ42)</f>
        <v>57158.69072698964</v>
      </c>
      <c r="C42" s="312">
        <f>SUM(AnnualDepletions!$AT42:$AV42)</f>
        <v>269895.08471710177</v>
      </c>
      <c r="D42" s="312">
        <f>SUM(AnnualDepletions!$AS42,AnnualDepletions!$AW42)</f>
        <v>35893.000000000058</v>
      </c>
      <c r="E42" s="312">
        <f>SUM(AnnualDepletions!$AA42:$AD42)</f>
        <v>5000.0000000019172</v>
      </c>
      <c r="F42" s="312">
        <f>SUM(AnnualDepletions!$BE42,AnnualDepletions!$BA42,AnnualDepletions!$AX42,AnnualDepletions!$AH42,AnnualDepletions!$AE42)</f>
        <v>36414.390645950065</v>
      </c>
      <c r="G42" s="312">
        <f>SUM(AnnualDepletions!$AR42,AnnualDepletions!$AF42,AnnualDepletions!$AZ42)</f>
        <v>2554.5248469985618</v>
      </c>
      <c r="H42" s="312">
        <f>SUM(AnnualDepletions!$BD42,AnnualDepletions!$K42,AnnualDepletions!$H42)</f>
        <v>14053.999999998381</v>
      </c>
      <c r="I42" s="380">
        <f>SUM(AnnualDepletions!$I42,AnnualDepletions!$W42,AnnualDepletions!$X42,AnnualDepletions!$Y42,AnnualDepletions!$Z42,AnnualDepletions!$AI42,AnnualDepletions!$BB42,AnnualDepletions!$BF42)</f>
        <v>11624.990000001573</v>
      </c>
      <c r="J42" s="472">
        <f>SUM(AnnualDeplReqs!$B42:$G42,AnnualDeplReqs!$M42:$V42,AnnualDeplReqs!$BJ42)+AnnualDepletions!BJ42</f>
        <v>57227.089759247712</v>
      </c>
      <c r="K42" s="312">
        <f>SUM(AnnualDeplReqs!$AT42:$AV42)</f>
        <v>269895.08471710177</v>
      </c>
      <c r="L42" s="312">
        <f>SUM(AnnualDeplReqs!$AS42,AnnualDeplReqs!$AW42)</f>
        <v>35893.000000000073</v>
      </c>
      <c r="M42" s="312">
        <f>SUM(AnnualDeplReqs!$AA42:$AD42)</f>
        <v>5000.0000000019172</v>
      </c>
      <c r="N42" s="312">
        <f>SUM(AnnualDeplReqs!$BE42,AnnualDeplReqs!$BA42,AnnualDeplReqs!$AX42,AnnualDeplReqs!$AH42,AnnualDeplReqs!$AE42)</f>
        <v>36414.390645950065</v>
      </c>
      <c r="O42" s="312">
        <f>SUM(AnnualDeplReqs!$AR42,AnnualDeplReqs!$AF42,AnnualDeplReqs!$AZ42)</f>
        <v>13650.999999998434</v>
      </c>
      <c r="P42" s="312">
        <f>SUM(AnnualDeplReqs!$BD42,AnnualDeplReqs!$K42,AnnualDeplReqs!$H42)</f>
        <v>14053.999999998381</v>
      </c>
      <c r="Q42" s="380">
        <f>SUM(AnnualDeplReqs!$I42,AnnualDeplReqs!$W42,AnnualDeplReqs!$X42,AnnualDeplReqs!$Y42,AnnualDeplReqs!$Z42,AnnualDeplReqs!$AI42,AnnualDeplReqs!$BB42,AnnualDeplReqs!$BF42)</f>
        <v>11624.990000001573</v>
      </c>
      <c r="R42" s="311">
        <f>SUM(AnnualDiversions!$B42:$G42,AnnualDiversions!$M42:$V42,AnnualDiversions!$BJ42)</f>
        <v>109067.13000005133</v>
      </c>
      <c r="S42" s="312">
        <f>SUM(AnnualDiversions!$AT42:$AV42)</f>
        <v>337368.85589637718</v>
      </c>
      <c r="T42" s="312">
        <f>SUM(AnnualDiversions!$AS42,AnnualDiversions!$AW42)</f>
        <v>37764.23856661762</v>
      </c>
      <c r="U42" s="312">
        <f>SUM(AnnualDiversions!$AA42:$AD42)</f>
        <v>5000.0000000019172</v>
      </c>
      <c r="V42" s="312">
        <f>SUM(AnnualDiversions!$BE42,AnnualDiversions!$BA42,AnnualDiversions!$AX42,AnnualDiversions!$AH42,AnnualDiversions!$AE42)</f>
        <v>61121.95580414484</v>
      </c>
      <c r="W42" s="312">
        <f>SUM(AnnualDiversions!$AR42,AnnualDiversions!$AF42,AnnualDiversions!$AZ42)</f>
        <v>4305.2977585374492</v>
      </c>
      <c r="X42" s="312">
        <f>SUM(AnnualDiversions!$BD42,AnnualDiversions!$K42,AnnualDiversions!$H42)</f>
        <v>21543.994709098522</v>
      </c>
      <c r="Y42" s="380">
        <f>SUM(AnnualDiversions!$I42,AnnualDiversions!$W42,AnnualDiversions!$X42,AnnualDiversions!$Y42,AnnualDiversions!$Z42,AnnualDiversions!$AI42,AnnualDiversions!$BB42,AnnualDiversions!$BF42)</f>
        <v>19374.983333335964</v>
      </c>
      <c r="Z42" s="311">
        <f>SUM(AnnualDivReqs!$B42:$G42,AnnualDivReqs!$M42:$V42,AnnualDivReqs!$BJ42)</f>
        <v>109203.92806456747</v>
      </c>
      <c r="AA42" s="312">
        <f>SUM(AnnualDivReqs!$AT42:$AV42)</f>
        <v>337368.85589637718</v>
      </c>
      <c r="AB42" s="312">
        <f>SUM(AnnualDivReqs!$AS42,AnnualDivReqs!$AW42)</f>
        <v>37764.238566617634</v>
      </c>
      <c r="AC42" s="312">
        <f>SUM(AnnualDivReqs!$AA42:$AD42)</f>
        <v>5000.0000000019172</v>
      </c>
      <c r="AD42" s="312">
        <f>SUM(AnnualDivReqs!$BE42,AnnualDivReqs!$BA42,AnnualDivReqs!$AX42,AnnualDivReqs!$AH42,AnnualDivReqs!$AE42)</f>
        <v>61121.95580414484</v>
      </c>
      <c r="AE42" s="312">
        <f>SUM(AnnualDivReqs!$AR42,AnnualDivReqs!$AF42,AnnualDivReqs!$AZ42)</f>
        <v>24448.659387556712</v>
      </c>
      <c r="AF42" s="312">
        <f>SUM(AnnualDivReqs!$BD42,AnnualDivReqs!$K42,AnnualDivReqs!$H42)</f>
        <v>21543.994709098522</v>
      </c>
      <c r="AG42" s="380">
        <f>SUM(AnnualDivReqs!$I42,AnnualDivReqs!$W42,AnnualDivReqs!$X42,AnnualDivReqs!$Y42,AnnualDivReqs!$Z42,AnnualDivReqs!$AI42,AnnualDivReqs!$BB42,AnnualDivReqs!$BF42)</f>
        <v>19374.983333335964</v>
      </c>
    </row>
    <row r="43" spans="1:33" x14ac:dyDescent="0.25">
      <c r="A43" s="4">
        <v>23742.999305555557</v>
      </c>
      <c r="B43" s="311">
        <f>SUM(AnnualDepletions!$B43:$G43,AnnualDepletions!$M43:$V43,AnnualDepletions!$BJ43)</f>
        <v>57147.121528975498</v>
      </c>
      <c r="C43" s="312">
        <f>SUM(AnnualDepletions!$AT43:$AV43)</f>
        <v>245560.76154134652</v>
      </c>
      <c r="D43" s="312">
        <f>SUM(AnnualDepletions!$AS43,AnnualDepletions!$AW43)</f>
        <v>35893.000000000044</v>
      </c>
      <c r="E43" s="312">
        <f>SUM(AnnualDepletions!$AA43:$AD43)</f>
        <v>5000.0000000019463</v>
      </c>
      <c r="F43" s="312">
        <f>SUM(AnnualDepletions!$BE43,AnnualDepletions!$BA43,AnnualDepletions!$AX43,AnnualDepletions!$AH43,AnnualDepletions!$AE43)</f>
        <v>33283.434798496302</v>
      </c>
      <c r="G43" s="312">
        <f>SUM(AnnualDepletions!$AR43,AnnualDepletions!$AF43,AnnualDepletions!$AZ43)</f>
        <v>3161.6134881903172</v>
      </c>
      <c r="H43" s="312">
        <f>SUM(AnnualDepletions!$BD43,AnnualDepletions!$K43,AnnualDepletions!$H43)</f>
        <v>12533.999999998568</v>
      </c>
      <c r="I43" s="380">
        <f>SUM(AnnualDepletions!$I43,AnnualDepletions!$W43,AnnualDepletions!$X43,AnnualDepletions!$Y43,AnnualDepletions!$Z43,AnnualDepletions!$AI43,AnnualDepletions!$BB43,AnnualDepletions!$BF43)</f>
        <v>11624.990000001573</v>
      </c>
      <c r="J43" s="472">
        <f>SUM(AnnualDeplReqs!$B43:$G43,AnnualDeplReqs!$M43:$V43,AnnualDeplReqs!$BJ43)+AnnualDepletions!BJ43</f>
        <v>57250.227491019345</v>
      </c>
      <c r="K43" s="312">
        <f>SUM(AnnualDeplReqs!$AT43:$AV43)</f>
        <v>245560.76154134652</v>
      </c>
      <c r="L43" s="312">
        <f>SUM(AnnualDeplReqs!$AS43,AnnualDeplReqs!$AW43)</f>
        <v>35893.000000000073</v>
      </c>
      <c r="M43" s="312">
        <f>SUM(AnnualDeplReqs!$AA43:$AD43)</f>
        <v>5000.0000000019463</v>
      </c>
      <c r="N43" s="312">
        <f>SUM(AnnualDeplReqs!$BE43,AnnualDeplReqs!$BA43,AnnualDeplReqs!$AX43,AnnualDeplReqs!$AH43,AnnualDeplReqs!$AE43)</f>
        <v>33283.434798496302</v>
      </c>
      <c r="O43" s="312">
        <f>SUM(AnnualDeplReqs!$AR43,AnnualDeplReqs!$AF43,AnnualDeplReqs!$AZ43)</f>
        <v>12530.999999998561</v>
      </c>
      <c r="P43" s="312">
        <f>SUM(AnnualDeplReqs!$BD43,AnnualDeplReqs!$K43,AnnualDeplReqs!$H43)</f>
        <v>12533.999999998568</v>
      </c>
      <c r="Q43" s="380">
        <f>SUM(AnnualDeplReqs!$I43,AnnualDeplReqs!$W43,AnnualDeplReqs!$X43,AnnualDeplReqs!$Y43,AnnualDeplReqs!$Z43,AnnualDeplReqs!$AI43,AnnualDeplReqs!$BB43,AnnualDeplReqs!$BF43)</f>
        <v>11624.990000001573</v>
      </c>
      <c r="R43" s="311">
        <f>SUM(AnnualDiversions!$B43:$G43,AnnualDiversions!$M43:$V43,AnnualDiversions!$BJ43)</f>
        <v>109067.13000005131</v>
      </c>
      <c r="S43" s="312">
        <f>SUM(AnnualDiversions!$AT43:$AV43)</f>
        <v>306950.95192668249</v>
      </c>
      <c r="T43" s="312">
        <f>SUM(AnnualDiversions!$AS43,AnnualDiversions!$AW43)</f>
        <v>37763.476493275419</v>
      </c>
      <c r="U43" s="312">
        <f>SUM(AnnualDiversions!$AA43:$AD43)</f>
        <v>5000.0000000019463</v>
      </c>
      <c r="V43" s="312">
        <f>SUM(AnnualDiversions!$BE43,AnnualDiversions!$BA43,AnnualDiversions!$AX43,AnnualDiversions!$AH43,AnnualDiversions!$AE43)</f>
        <v>55876.52801227117</v>
      </c>
      <c r="W43" s="312">
        <f>SUM(AnnualDiversions!$AR43,AnnualDiversions!$AF43,AnnualDiversions!$AZ43)</f>
        <v>5621.0431393120343</v>
      </c>
      <c r="X43" s="312">
        <f>SUM(AnnualDiversions!$BD43,AnnualDiversions!$K43,AnnualDiversions!$H43)</f>
        <v>19212.54047489609</v>
      </c>
      <c r="Y43" s="380">
        <f>SUM(AnnualDiversions!$I43,AnnualDiversions!$W43,AnnualDiversions!$X43,AnnualDiversions!$Y43,AnnualDiversions!$Z43,AnnualDiversions!$AI43,AnnualDiversions!$BB43,AnnualDiversions!$BF43)</f>
        <v>19374.983333335967</v>
      </c>
      <c r="Z43" s="311">
        <f>SUM(AnnualDivReqs!$B43:$G43,AnnualDivReqs!$M43:$V43,AnnualDivReqs!$BJ43)</f>
        <v>109273.34192413904</v>
      </c>
      <c r="AA43" s="312">
        <f>SUM(AnnualDivReqs!$AT43:$AV43)</f>
        <v>306950.95192668249</v>
      </c>
      <c r="AB43" s="312">
        <f>SUM(AnnualDivReqs!$AS43,AnnualDivReqs!$AW43)</f>
        <v>37763.476493275448</v>
      </c>
      <c r="AC43" s="312">
        <f>SUM(AnnualDivReqs!$AA43:$AD43)</f>
        <v>5000.0000000019463</v>
      </c>
      <c r="AD43" s="312">
        <f>SUM(AnnualDivReqs!$BE43,AnnualDivReqs!$BA43,AnnualDivReqs!$AX43,AnnualDivReqs!$AH43,AnnualDivReqs!$AE43)</f>
        <v>55876.52801227117</v>
      </c>
      <c r="AE43" s="312">
        <f>SUM(AnnualDivReqs!$AR43,AnnualDivReqs!$AF43,AnnualDivReqs!$AZ43)</f>
        <v>22444.14566849832</v>
      </c>
      <c r="AF43" s="312">
        <f>SUM(AnnualDivReqs!$BD43,AnnualDivReqs!$K43,AnnualDivReqs!$H43)</f>
        <v>19212.54047489609</v>
      </c>
      <c r="AG43" s="380">
        <f>SUM(AnnualDivReqs!$I43,AnnualDivReqs!$W43,AnnualDivReqs!$X43,AnnualDivReqs!$Y43,AnnualDivReqs!$Z43,AnnualDivReqs!$AI43,AnnualDivReqs!$BB43,AnnualDivReqs!$BF43)</f>
        <v>19374.983333335967</v>
      </c>
    </row>
    <row r="44" spans="1:33" x14ac:dyDescent="0.25">
      <c r="A44" s="4">
        <v>24107.999305555557</v>
      </c>
      <c r="B44" s="311">
        <f>SUM(AnnualDepletions!$B44:$G44,AnnualDepletions!$M44:$V44,AnnualDepletions!$BJ44)</f>
        <v>57166.863965641372</v>
      </c>
      <c r="C44" s="312">
        <f>SUM(AnnualDepletions!$AT44:$AV44)</f>
        <v>193671.50351790618</v>
      </c>
      <c r="D44" s="312">
        <f>SUM(AnnualDepletions!$AS44,AnnualDepletions!$AW44)</f>
        <v>35893.000000000051</v>
      </c>
      <c r="E44" s="312">
        <f>SUM(AnnualDepletions!$AA44:$AD44)</f>
        <v>5000.0000000019172</v>
      </c>
      <c r="F44" s="312">
        <f>SUM(AnnualDepletions!$BE44,AnnualDepletions!$BA44,AnnualDepletions!$AX44,AnnualDepletions!$AH44,AnnualDepletions!$AE44)</f>
        <v>26024.99999999698</v>
      </c>
      <c r="G44" s="312">
        <f>SUM(AnnualDepletions!$AR44,AnnualDepletions!$AF44,AnnualDepletions!$AZ44)</f>
        <v>7170.8527658960684</v>
      </c>
      <c r="H44" s="312">
        <f>SUM(AnnualDepletions!$BD44,AnnualDepletions!$K44,AnnualDepletions!$H44)</f>
        <v>10458.999999998803</v>
      </c>
      <c r="I44" s="380">
        <f>SUM(AnnualDepletions!$I44,AnnualDepletions!$W44,AnnualDepletions!$X44,AnnualDepletions!$Y44,AnnualDepletions!$Z44,AnnualDepletions!$AI44,AnnualDepletions!$BB44,AnnualDepletions!$BF44)</f>
        <v>11624.990000001573</v>
      </c>
      <c r="J44" s="472">
        <f>SUM(AnnualDeplReqs!$B44:$G44,AnnualDeplReqs!$M44:$V44,AnnualDeplReqs!$BJ44)+AnnualDepletions!BJ44</f>
        <v>57166.863965641372</v>
      </c>
      <c r="K44" s="312">
        <f>SUM(AnnualDeplReqs!$AT44:$AV44)</f>
        <v>193671.50351790618</v>
      </c>
      <c r="L44" s="312">
        <f>SUM(AnnualDeplReqs!$AS44,AnnualDeplReqs!$AW44)</f>
        <v>35893.000000000073</v>
      </c>
      <c r="M44" s="312">
        <f>SUM(AnnualDeplReqs!$AA44:$AD44)</f>
        <v>5000.0000000019172</v>
      </c>
      <c r="N44" s="312">
        <f>SUM(AnnualDeplReqs!$BE44,AnnualDeplReqs!$BA44,AnnualDeplReqs!$AX44,AnnualDeplReqs!$AH44,AnnualDeplReqs!$AE44)</f>
        <v>26024.99999999698</v>
      </c>
      <c r="O44" s="312">
        <f>SUM(AnnualDeplReqs!$AR44,AnnualDeplReqs!$AF44,AnnualDeplReqs!$AZ44)</f>
        <v>9714.9999999988777</v>
      </c>
      <c r="P44" s="312">
        <f>SUM(AnnualDeplReqs!$BD44,AnnualDeplReqs!$K44,AnnualDeplReqs!$H44)</f>
        <v>10458.999999998803</v>
      </c>
      <c r="Q44" s="380">
        <f>SUM(AnnualDeplReqs!$I44,AnnualDeplReqs!$W44,AnnualDeplReqs!$X44,AnnualDeplReqs!$Y44,AnnualDeplReqs!$Z44,AnnualDeplReqs!$AI44,AnnualDeplReqs!$BB44,AnnualDeplReqs!$BF44)</f>
        <v>11624.990000001573</v>
      </c>
      <c r="R44" s="311">
        <f>SUM(AnnualDiversions!$B44:$G44,AnnualDiversions!$M44:$V44,AnnualDiversions!$BJ44)</f>
        <v>109067.13000005133</v>
      </c>
      <c r="S44" s="312">
        <f>SUM(AnnualDiversions!$AT44:$AV44)</f>
        <v>242089.3793973822</v>
      </c>
      <c r="T44" s="312">
        <f>SUM(AnnualDiversions!$AS44,AnnualDiversions!$AW44)</f>
        <v>37764.238566617612</v>
      </c>
      <c r="U44" s="312">
        <f>SUM(AnnualDiversions!$AA44:$AD44)</f>
        <v>5000.0000000019172</v>
      </c>
      <c r="V44" s="312">
        <f>SUM(AnnualDiversions!$BE44,AnnualDiversions!$BA44,AnnualDiversions!$AX44,AnnualDiversions!$AH44,AnnualDiversions!$AE44)</f>
        <v>43727.941594720629</v>
      </c>
      <c r="W44" s="312">
        <f>SUM(AnnualDiversions!$AR44,AnnualDiversions!$AF44,AnnualDiversions!$AZ44)</f>
        <v>13680.861954283977</v>
      </c>
      <c r="X44" s="312">
        <f>SUM(AnnualDiversions!$BD44,AnnualDiversions!$K44,AnnualDiversions!$H44)</f>
        <v>16032.19348561653</v>
      </c>
      <c r="Y44" s="380">
        <f>SUM(AnnualDiversions!$I44,AnnualDiversions!$W44,AnnualDiversions!$X44,AnnualDiversions!$Y44,AnnualDiversions!$Z44,AnnualDiversions!$AI44,AnnualDiversions!$BB44,AnnualDiversions!$BF44)</f>
        <v>19374.983333335964</v>
      </c>
      <c r="Z44" s="311">
        <f>SUM(AnnualDivReqs!$B44:$G44,AnnualDivReqs!$M44:$V44,AnnualDivReqs!$BJ44)</f>
        <v>109067.13000005133</v>
      </c>
      <c r="AA44" s="312">
        <f>SUM(AnnualDivReqs!$AT44:$AV44)</f>
        <v>242089.3793973822</v>
      </c>
      <c r="AB44" s="312">
        <f>SUM(AnnualDivReqs!$AS44,AnnualDivReqs!$AW44)</f>
        <v>37764.238566617634</v>
      </c>
      <c r="AC44" s="312">
        <f>SUM(AnnualDivReqs!$AA44:$AD44)</f>
        <v>5000.0000000019172</v>
      </c>
      <c r="AD44" s="312">
        <f>SUM(AnnualDivReqs!$BE44,AnnualDivReqs!$BA44,AnnualDivReqs!$AX44,AnnualDivReqs!$AH44,AnnualDivReqs!$AE44)</f>
        <v>43727.941594720629</v>
      </c>
      <c r="AE44" s="312">
        <f>SUM(AnnualDivReqs!$AR44,AnnualDivReqs!$AF44,AnnualDivReqs!$AZ44)</f>
        <v>17401.472651443131</v>
      </c>
      <c r="AF44" s="312">
        <f>SUM(AnnualDivReqs!$BD44,AnnualDivReqs!$K44,AnnualDivReqs!$H44)</f>
        <v>16032.19348561653</v>
      </c>
      <c r="AG44" s="380">
        <f>SUM(AnnualDivReqs!$I44,AnnualDivReqs!$W44,AnnualDivReqs!$X44,AnnualDivReqs!$Y44,AnnualDivReqs!$Z44,AnnualDivReqs!$AI44,AnnualDivReqs!$BB44,AnnualDivReqs!$BF44)</f>
        <v>19374.983333335964</v>
      </c>
    </row>
    <row r="45" spans="1:33" x14ac:dyDescent="0.25">
      <c r="A45" s="4">
        <v>24472.999305555557</v>
      </c>
      <c r="B45" s="311">
        <f>SUM(AnnualDepletions!$B45:$G45,AnnualDepletions!$M45:$V45,AnnualDepletions!$BJ45)</f>
        <v>57145.205860185764</v>
      </c>
      <c r="C45" s="312">
        <f>SUM(AnnualDepletions!$AT45:$AV45)</f>
        <v>272933.12286697497</v>
      </c>
      <c r="D45" s="312">
        <f>SUM(AnnualDepletions!$AS45,AnnualDepletions!$AW45)</f>
        <v>35893.000000000036</v>
      </c>
      <c r="E45" s="312">
        <f>SUM(AnnualDepletions!$AA45:$AD45)</f>
        <v>5000.0000000019172</v>
      </c>
      <c r="F45" s="312">
        <f>SUM(AnnualDepletions!$BE45,AnnualDepletions!$BA45,AnnualDepletions!$AX45,AnnualDepletions!$AH45,AnnualDepletions!$AE45)</f>
        <v>37070.849116106343</v>
      </c>
      <c r="G45" s="312">
        <f>SUM(AnnualDepletions!$AR45,AnnualDepletions!$AF45,AnnualDepletions!$AZ45)</f>
        <v>3287.3930950664658</v>
      </c>
      <c r="H45" s="312">
        <f>SUM(AnnualDepletions!$BD45,AnnualDepletions!$K45,AnnualDepletions!$H45)</f>
        <v>13654.999999998419</v>
      </c>
      <c r="I45" s="380">
        <f>SUM(AnnualDepletions!$I45,AnnualDepletions!$W45,AnnualDepletions!$X45,AnnualDepletions!$Y45,AnnualDepletions!$Z45,AnnualDepletions!$AI45,AnnualDepletions!$BB45,AnnualDepletions!$BF45)</f>
        <v>11624.990000001573</v>
      </c>
      <c r="J45" s="472">
        <f>SUM(AnnualDeplReqs!$B45:$G45,AnnualDeplReqs!$M45:$V45,AnnualDeplReqs!$BJ45)+AnnualDepletions!BJ45</f>
        <v>57185.471493931145</v>
      </c>
      <c r="K45" s="312">
        <f>SUM(AnnualDeplReqs!$AT45:$AV45)</f>
        <v>272933.12286697497</v>
      </c>
      <c r="L45" s="312">
        <f>SUM(AnnualDeplReqs!$AS45,AnnualDeplReqs!$AW45)</f>
        <v>35893.000000000073</v>
      </c>
      <c r="M45" s="312">
        <f>SUM(AnnualDeplReqs!$AA45:$AD45)</f>
        <v>5000.0000000019172</v>
      </c>
      <c r="N45" s="312">
        <f>SUM(AnnualDeplReqs!$BE45,AnnualDeplReqs!$BA45,AnnualDeplReqs!$AX45,AnnualDeplReqs!$AH45,AnnualDeplReqs!$AE45)</f>
        <v>37070.849116106343</v>
      </c>
      <c r="O45" s="312">
        <f>SUM(AnnualDeplReqs!$AR45,AnnualDeplReqs!$AF45,AnnualDeplReqs!$AZ45)</f>
        <v>13713.999999998425</v>
      </c>
      <c r="P45" s="312">
        <f>SUM(AnnualDeplReqs!$BD45,AnnualDeplReqs!$K45,AnnualDeplReqs!$H45)</f>
        <v>13654.999999998419</v>
      </c>
      <c r="Q45" s="380">
        <f>SUM(AnnualDeplReqs!$I45,AnnualDeplReqs!$W45,AnnualDeplReqs!$X45,AnnualDeplReqs!$Y45,AnnualDeplReqs!$Z45,AnnualDeplReqs!$AI45,AnnualDeplReqs!$BB45,AnnualDeplReqs!$BF45)</f>
        <v>11624.990000001573</v>
      </c>
      <c r="R45" s="311">
        <f>SUM(AnnualDiversions!$B45:$G45,AnnualDiversions!$M45:$V45,AnnualDiversions!$BJ45)</f>
        <v>109067.13000005134</v>
      </c>
      <c r="S45" s="312">
        <f>SUM(AnnualDiversions!$AT45:$AV45)</f>
        <v>341166.40358371742</v>
      </c>
      <c r="T45" s="312">
        <f>SUM(AnnualDiversions!$AS45,AnnualDiversions!$AW45)</f>
        <v>37764.238566617598</v>
      </c>
      <c r="U45" s="312">
        <f>SUM(AnnualDiversions!$AA45:$AD45)</f>
        <v>5000.0000000019172</v>
      </c>
      <c r="V45" s="312">
        <f>SUM(AnnualDiversions!$BE45,AnnualDiversions!$BA45,AnnualDiversions!$AX45,AnnualDiversions!$AH45,AnnualDiversions!$AE45)</f>
        <v>62235.325660176604</v>
      </c>
      <c r="W45" s="312">
        <f>SUM(AnnualDiversions!$AR45,AnnualDiversions!$AF45,AnnualDiversions!$AZ45)</f>
        <v>5641.8369194182478</v>
      </c>
      <c r="X45" s="312">
        <f>SUM(AnnualDiversions!$BD45,AnnualDiversions!$K45,AnnualDiversions!$H45)</f>
        <v>20929.187609047556</v>
      </c>
      <c r="Y45" s="380">
        <f>SUM(AnnualDiversions!$I45,AnnualDiversions!$W45,AnnualDiversions!$X45,AnnualDiversions!$Y45,AnnualDiversions!$Z45,AnnualDiversions!$AI45,AnnualDiversions!$BB45,AnnualDiversions!$BF45)</f>
        <v>19374.983333335964</v>
      </c>
      <c r="Z45" s="311">
        <f>SUM(AnnualDivReqs!$B45:$G45,AnnualDivReqs!$M45:$V45,AnnualDivReqs!$BJ45)</f>
        <v>109147.66126754211</v>
      </c>
      <c r="AA45" s="312">
        <f>SUM(AnnualDivReqs!$AT45:$AV45)</f>
        <v>341166.40358371742</v>
      </c>
      <c r="AB45" s="312">
        <f>SUM(AnnualDivReqs!$AS45,AnnualDivReqs!$AW45)</f>
        <v>37764.238566617634</v>
      </c>
      <c r="AC45" s="312">
        <f>SUM(AnnualDivReqs!$AA45:$AD45)</f>
        <v>5000.0000000019172</v>
      </c>
      <c r="AD45" s="312">
        <f>SUM(AnnualDivReqs!$BE45,AnnualDivReqs!$BA45,AnnualDivReqs!$AX45,AnnualDivReqs!$AH45,AnnualDivReqs!$AE45)</f>
        <v>62235.325660176604</v>
      </c>
      <c r="AE45" s="312">
        <f>SUM(AnnualDivReqs!$AR45,AnnualDivReqs!$AF45,AnnualDivReqs!$AZ45)</f>
        <v>24563.774451959202</v>
      </c>
      <c r="AF45" s="312">
        <f>SUM(AnnualDivReqs!$BD45,AnnualDivReqs!$K45,AnnualDivReqs!$H45)</f>
        <v>20929.187609047556</v>
      </c>
      <c r="AG45" s="380">
        <f>SUM(AnnualDivReqs!$I45,AnnualDivReqs!$W45,AnnualDivReqs!$X45,AnnualDivReqs!$Y45,AnnualDivReqs!$Z45,AnnualDivReqs!$AI45,AnnualDivReqs!$BB45,AnnualDivReqs!$BF45)</f>
        <v>19374.983333335964</v>
      </c>
    </row>
    <row r="46" spans="1:33" x14ac:dyDescent="0.25">
      <c r="A46" s="4">
        <v>24837.999305555557</v>
      </c>
      <c r="B46" s="311">
        <f>SUM(AnnualDepletions!$B46:$G46,AnnualDepletions!$M46:$V46,AnnualDepletions!$BJ46)</f>
        <v>57147.914910333267</v>
      </c>
      <c r="C46" s="312">
        <f>SUM(AnnualDepletions!$AT46:$AV46)</f>
        <v>245755.76899619837</v>
      </c>
      <c r="D46" s="312">
        <f>SUM(AnnualDepletions!$AS46,AnnualDepletions!$AW46)</f>
        <v>35893.000000000044</v>
      </c>
      <c r="E46" s="312">
        <f>SUM(AnnualDepletions!$AA46:$AD46)</f>
        <v>5000.0000000019172</v>
      </c>
      <c r="F46" s="312">
        <f>SUM(AnnualDepletions!$BE46,AnnualDepletions!$BA46,AnnualDepletions!$AX46,AnnualDepletions!$AH46,AnnualDepletions!$AE46)</f>
        <v>33107.590624105571</v>
      </c>
      <c r="G46" s="312">
        <f>SUM(AnnualDepletions!$AR46,AnnualDepletions!$AF46,AnnualDepletions!$AZ46)</f>
        <v>2711.2636025323086</v>
      </c>
      <c r="H46" s="312">
        <f>SUM(AnnualDepletions!$BD46,AnnualDepletions!$K46,AnnualDepletions!$H46)</f>
        <v>12993.999999998503</v>
      </c>
      <c r="I46" s="380">
        <f>SUM(AnnualDepletions!$I46,AnnualDepletions!$W46,AnnualDepletions!$X46,AnnualDepletions!$Y46,AnnualDepletions!$Z46,AnnualDepletions!$AI46,AnnualDepletions!$BB46,AnnualDepletions!$BF46)</f>
        <v>11624.990000001573</v>
      </c>
      <c r="J46" s="472">
        <f>SUM(AnnualDeplReqs!$B46:$G46,AnnualDeplReqs!$M46:$V46,AnnualDeplReqs!$BJ46)+AnnualDepletions!BJ46</f>
        <v>57172.449818787944</v>
      </c>
      <c r="K46" s="312">
        <f>SUM(AnnualDeplReqs!$AT46:$AV46)</f>
        <v>245755.76899619837</v>
      </c>
      <c r="L46" s="312">
        <f>SUM(AnnualDeplReqs!$AS46,AnnualDeplReqs!$AW46)</f>
        <v>35893.000000000073</v>
      </c>
      <c r="M46" s="312">
        <f>SUM(AnnualDeplReqs!$AA46:$AD46)</f>
        <v>5000.0000000019172</v>
      </c>
      <c r="N46" s="312">
        <f>SUM(AnnualDeplReqs!$BE46,AnnualDeplReqs!$BA46,AnnualDeplReqs!$AX46,AnnualDeplReqs!$AH46,AnnualDeplReqs!$AE46)</f>
        <v>33107.590624105571</v>
      </c>
      <c r="O46" s="312">
        <f>SUM(AnnualDeplReqs!$AR46,AnnualDeplReqs!$AF46,AnnualDeplReqs!$AZ46)</f>
        <v>12169.999999998608</v>
      </c>
      <c r="P46" s="312">
        <f>SUM(AnnualDeplReqs!$BD46,AnnualDeplReqs!$K46,AnnualDeplReqs!$H46)</f>
        <v>12993.999999998503</v>
      </c>
      <c r="Q46" s="380">
        <f>SUM(AnnualDeplReqs!$I46,AnnualDeplReqs!$W46,AnnualDeplReqs!$X46,AnnualDeplReqs!$Y46,AnnualDeplReqs!$Z46,AnnualDeplReqs!$AI46,AnnualDeplReqs!$BB46,AnnualDeplReqs!$BF46)</f>
        <v>11624.990000001573</v>
      </c>
      <c r="R46" s="311">
        <f>SUM(AnnualDiversions!$B46:$G46,AnnualDiversions!$M46:$V46,AnnualDiversions!$BJ46)</f>
        <v>109067.13000005134</v>
      </c>
      <c r="S46" s="312">
        <f>SUM(AnnualDiversions!$AT46:$AV46)</f>
        <v>307194.71124524897</v>
      </c>
      <c r="T46" s="312">
        <f>SUM(AnnualDiversions!$AS46,AnnualDiversions!$AW46)</f>
        <v>37764.238566617612</v>
      </c>
      <c r="U46" s="312">
        <f>SUM(AnnualDiversions!$AA46:$AD46)</f>
        <v>5000.0000000019172</v>
      </c>
      <c r="V46" s="312">
        <f>SUM(AnnualDiversions!$BE46,AnnualDiversions!$BA46,AnnualDiversions!$AX46,AnnualDiversions!$AH46,AnnualDiversions!$AE46)</f>
        <v>55586.564430690487</v>
      </c>
      <c r="W46" s="312">
        <f>SUM(AnnualDiversions!$AR46,AnnualDiversions!$AF46,AnnualDiversions!$AZ46)</f>
        <v>4825.4812092796992</v>
      </c>
      <c r="X46" s="312">
        <f>SUM(AnnualDiversions!$BD46,AnnualDiversions!$K46,AnnualDiversions!$H46)</f>
        <v>19917.431906591082</v>
      </c>
      <c r="Y46" s="380">
        <f>SUM(AnnualDiversions!$I46,AnnualDiversions!$W46,AnnualDiversions!$X46,AnnualDiversions!$Y46,AnnualDiversions!$Z46,AnnualDiversions!$AI46,AnnualDiversions!$BB46,AnnualDiversions!$BF46)</f>
        <v>19374.983333335964</v>
      </c>
      <c r="Z46" s="311">
        <f>SUM(AnnualDivReqs!$B46:$G46,AnnualDivReqs!$M46:$V46,AnnualDivReqs!$BJ46)</f>
        <v>109116.1998169607</v>
      </c>
      <c r="AA46" s="312">
        <f>SUM(AnnualDivReqs!$AT46:$AV46)</f>
        <v>307194.71124524897</v>
      </c>
      <c r="AB46" s="312">
        <f>SUM(AnnualDivReqs!$AS46,AnnualDivReqs!$AW46)</f>
        <v>37764.238566617634</v>
      </c>
      <c r="AC46" s="312">
        <f>SUM(AnnualDivReqs!$AA46:$AD46)</f>
        <v>5000.0000000019172</v>
      </c>
      <c r="AD46" s="312">
        <f>SUM(AnnualDivReqs!$BE46,AnnualDivReqs!$BA46,AnnualDivReqs!$AX46,AnnualDivReqs!$AH46,AnnualDivReqs!$AE46)</f>
        <v>55586.564430690487</v>
      </c>
      <c r="AE46" s="312">
        <f>SUM(AnnualDivReqs!$AR46,AnnualDivReqs!$AF46,AnnualDivReqs!$AZ46)</f>
        <v>21798.579941456683</v>
      </c>
      <c r="AF46" s="312">
        <f>SUM(AnnualDivReqs!$BD46,AnnualDivReqs!$K46,AnnualDivReqs!$H46)</f>
        <v>19917.431906591082</v>
      </c>
      <c r="AG46" s="380">
        <f>SUM(AnnualDivReqs!$I46,AnnualDivReqs!$W46,AnnualDivReqs!$X46,AnnualDivReqs!$Y46,AnnualDivReqs!$Z46,AnnualDivReqs!$AI46,AnnualDivReqs!$BB46,AnnualDivReqs!$BF46)</f>
        <v>19374.983333335964</v>
      </c>
    </row>
    <row r="47" spans="1:33" x14ac:dyDescent="0.25">
      <c r="A47" s="4">
        <v>25203.999305555557</v>
      </c>
      <c r="B47" s="311">
        <f>SUM(AnnualDepletions!$B47:$G47,AnnualDepletions!$M47:$V47,AnnualDepletions!$BJ47)</f>
        <v>57161.450585639941</v>
      </c>
      <c r="C47" s="312">
        <f>SUM(AnnualDepletions!$AT47:$AV47)</f>
        <v>240542.49027684936</v>
      </c>
      <c r="D47" s="312">
        <f>SUM(AnnualDepletions!$AS47,AnnualDepletions!$AW47)</f>
        <v>35893.000000000051</v>
      </c>
      <c r="E47" s="312">
        <f>SUM(AnnualDepletions!$AA47:$AD47)</f>
        <v>5000.0000000019463</v>
      </c>
      <c r="F47" s="312">
        <f>SUM(AnnualDepletions!$BE47,AnnualDepletions!$BA47,AnnualDepletions!$AX47,AnnualDepletions!$AH47,AnnualDepletions!$AE47)</f>
        <v>30821.146842224811</v>
      </c>
      <c r="G47" s="312">
        <f>SUM(AnnualDepletions!$AR47,AnnualDepletions!$AF47,AnnualDepletions!$AZ47)</f>
        <v>4272.9263714705803</v>
      </c>
      <c r="H47" s="312">
        <f>SUM(AnnualDepletions!$BD47,AnnualDepletions!$K47,AnnualDepletions!$H47)</f>
        <v>12996.99999999851</v>
      </c>
      <c r="I47" s="380">
        <f>SUM(AnnualDepletions!$I47,AnnualDepletions!$W47,AnnualDepletions!$X47,AnnualDepletions!$Y47,AnnualDepletions!$Z47,AnnualDepletions!$AI47,AnnualDepletions!$BB47,AnnualDepletions!$BF47)</f>
        <v>11624.990000001573</v>
      </c>
      <c r="J47" s="472">
        <f>SUM(AnnualDeplReqs!$B47:$G47,AnnualDeplReqs!$M47:$V47,AnnualDeplReqs!$BJ47)+AnnualDepletions!BJ47</f>
        <v>57239.855918973328</v>
      </c>
      <c r="K47" s="312">
        <f>SUM(AnnualDeplReqs!$AT47:$AV47)</f>
        <v>240542.49027684936</v>
      </c>
      <c r="L47" s="312">
        <f>SUM(AnnualDeplReqs!$AS47,AnnualDeplReqs!$AW47)</f>
        <v>35893.000000000073</v>
      </c>
      <c r="M47" s="312">
        <f>SUM(AnnualDeplReqs!$AA47:$AD47)</f>
        <v>5000.0000000019463</v>
      </c>
      <c r="N47" s="312">
        <f>SUM(AnnualDeplReqs!$BE47,AnnualDeplReqs!$BA47,AnnualDeplReqs!$AX47,AnnualDeplReqs!$AH47,AnnualDeplReqs!$AE47)</f>
        <v>30821.146842224811</v>
      </c>
      <c r="O47" s="312">
        <f>SUM(AnnualDeplReqs!$AR47,AnnualDeplReqs!$AF47,AnnualDeplReqs!$AZ47)</f>
        <v>11456.999999998679</v>
      </c>
      <c r="P47" s="312">
        <f>SUM(AnnualDeplReqs!$BD47,AnnualDeplReqs!$K47,AnnualDeplReqs!$H47)</f>
        <v>12996.99999999851</v>
      </c>
      <c r="Q47" s="380">
        <f>SUM(AnnualDeplReqs!$I47,AnnualDeplReqs!$W47,AnnualDeplReqs!$X47,AnnualDeplReqs!$Y47,AnnualDeplReqs!$Z47,AnnualDeplReqs!$AI47,AnnualDeplReqs!$BB47,AnnualDeplReqs!$BF47)</f>
        <v>11624.990000001573</v>
      </c>
      <c r="R47" s="311">
        <f>SUM(AnnualDiversions!$B47:$G47,AnnualDiversions!$M47:$V47,AnnualDiversions!$BJ47)</f>
        <v>109067.13000005134</v>
      </c>
      <c r="S47" s="312">
        <f>SUM(AnnualDiversions!$AT47:$AV47)</f>
        <v>300678.11284606159</v>
      </c>
      <c r="T47" s="312">
        <f>SUM(AnnualDiversions!$AS47,AnnualDiversions!$AW47)</f>
        <v>37763.476493275426</v>
      </c>
      <c r="U47" s="312">
        <f>SUM(AnnualDiversions!$AA47:$AD47)</f>
        <v>5000.0000000019463</v>
      </c>
      <c r="V47" s="312">
        <f>SUM(AnnualDiversions!$BE47,AnnualDiversions!$BA47,AnnualDiversions!$AX47,AnnualDiversions!$AH47,AnnualDiversions!$AE47)</f>
        <v>51756.553089356166</v>
      </c>
      <c r="W47" s="312">
        <f>SUM(AnnualDiversions!$AR47,AnnualDiversions!$AF47,AnnualDiversions!$AZ47)</f>
        <v>8071.9499635537113</v>
      </c>
      <c r="X47" s="312">
        <f>SUM(AnnualDiversions!$BD47,AnnualDiversions!$K47,AnnualDiversions!$H47)</f>
        <v>19921.518711600962</v>
      </c>
      <c r="Y47" s="380">
        <f>SUM(AnnualDiversions!$I47,AnnualDiversions!$W47,AnnualDiversions!$X47,AnnualDiversions!$Y47,AnnualDiversions!$Z47,AnnualDiversions!$AI47,AnnualDiversions!$BB47,AnnualDiversions!$BF47)</f>
        <v>19374.983333335967</v>
      </c>
      <c r="Z47" s="311">
        <f>SUM(AnnualDivReqs!$B47:$G47,AnnualDivReqs!$M47:$V47,AnnualDivReqs!$BJ47)</f>
        <v>109223.94066671812</v>
      </c>
      <c r="AA47" s="312">
        <f>SUM(AnnualDivReqs!$AT47:$AV47)</f>
        <v>300678.11284606159</v>
      </c>
      <c r="AB47" s="312">
        <f>SUM(AnnualDivReqs!$AS47,AnnualDivReqs!$AW47)</f>
        <v>37763.476493275448</v>
      </c>
      <c r="AC47" s="312">
        <f>SUM(AnnualDivReqs!$AA47:$AD47)</f>
        <v>5000.0000000019463</v>
      </c>
      <c r="AD47" s="312">
        <f>SUM(AnnualDivReqs!$BE47,AnnualDivReqs!$BA47,AnnualDivReqs!$AX47,AnnualDivReqs!$AH47,AnnualDivReqs!$AE47)</f>
        <v>51756.553089356166</v>
      </c>
      <c r="AE47" s="312">
        <f>SUM(AnnualDivReqs!$AR47,AnnualDivReqs!$AF47,AnnualDivReqs!$AZ47)</f>
        <v>20519.764282868371</v>
      </c>
      <c r="AF47" s="312">
        <f>SUM(AnnualDivReqs!$BD47,AnnualDivReqs!$K47,AnnualDivReqs!$H47)</f>
        <v>19921.518711600962</v>
      </c>
      <c r="AG47" s="380">
        <f>SUM(AnnualDivReqs!$I47,AnnualDivReqs!$W47,AnnualDivReqs!$X47,AnnualDivReqs!$Y47,AnnualDivReqs!$Z47,AnnualDivReqs!$AI47,AnnualDivReqs!$BB47,AnnualDivReqs!$BF47)</f>
        <v>19374.983333335967</v>
      </c>
    </row>
    <row r="48" spans="1:33" x14ac:dyDescent="0.25">
      <c r="A48" s="4">
        <v>25568.999305555557</v>
      </c>
      <c r="B48" s="311">
        <f>SUM(AnnualDepletions!$B48:$G48,AnnualDepletions!$M48:$V48,AnnualDepletions!$BJ48)</f>
        <v>57173.113621154662</v>
      </c>
      <c r="C48" s="312">
        <f>SUM(AnnualDepletions!$AT48:$AV48)</f>
        <v>236862.36943159031</v>
      </c>
      <c r="D48" s="312">
        <f>SUM(AnnualDepletions!$AS48,AnnualDepletions!$AW48)</f>
        <v>35893.000000000029</v>
      </c>
      <c r="E48" s="312">
        <f>SUM(AnnualDepletions!$AA48:$AD48)</f>
        <v>5000.0000000019172</v>
      </c>
      <c r="F48" s="312">
        <f>SUM(AnnualDepletions!$BE48,AnnualDepletions!$BA48,AnnualDepletions!$AX48,AnnualDepletions!$AH48,AnnualDepletions!$AE48)</f>
        <v>31985.825453776059</v>
      </c>
      <c r="G48" s="312">
        <f>SUM(AnnualDepletions!$AR48,AnnualDepletions!$AF48,AnnualDepletions!$AZ48)</f>
        <v>6280.9516502212455</v>
      </c>
      <c r="H48" s="312">
        <f>SUM(AnnualDepletions!$BD48,AnnualDepletions!$K48,AnnualDepletions!$H48)</f>
        <v>11695.999999998659</v>
      </c>
      <c r="I48" s="380">
        <f>SUM(AnnualDepletions!$I48,AnnualDepletions!$W48,AnnualDepletions!$X48,AnnualDepletions!$Y48,AnnualDepletions!$Z48,AnnualDepletions!$AI48,AnnualDepletions!$BB48,AnnualDepletions!$BF48)</f>
        <v>11624.990000001573</v>
      </c>
      <c r="J48" s="472">
        <f>SUM(AnnualDeplReqs!$B48:$G48,AnnualDeplReqs!$M48:$V48,AnnualDeplReqs!$BJ48)+AnnualDepletions!BJ48</f>
        <v>57173.113621154662</v>
      </c>
      <c r="K48" s="312">
        <f>SUM(AnnualDeplReqs!$AT48:$AV48)</f>
        <v>236862.36943159031</v>
      </c>
      <c r="L48" s="312">
        <f>SUM(AnnualDeplReqs!$AS48,AnnualDeplReqs!$AW48)</f>
        <v>35893.000000000073</v>
      </c>
      <c r="M48" s="312">
        <f>SUM(AnnualDeplReqs!$AA48:$AD48)</f>
        <v>5000.0000000019172</v>
      </c>
      <c r="N48" s="312">
        <f>SUM(AnnualDeplReqs!$BE48,AnnualDeplReqs!$BA48,AnnualDeplReqs!$AX48,AnnualDeplReqs!$AH48,AnnualDeplReqs!$AE48)</f>
        <v>31985.825453776059</v>
      </c>
      <c r="O48" s="312">
        <f>SUM(AnnualDeplReqs!$AR48,AnnualDeplReqs!$AF48,AnnualDeplReqs!$AZ48)</f>
        <v>12030.999999998616</v>
      </c>
      <c r="P48" s="312">
        <f>SUM(AnnualDeplReqs!$BD48,AnnualDeplReqs!$K48,AnnualDeplReqs!$H48)</f>
        <v>11695.999999998659</v>
      </c>
      <c r="Q48" s="380">
        <f>SUM(AnnualDeplReqs!$I48,AnnualDeplReqs!$W48,AnnualDeplReqs!$X48,AnnualDeplReqs!$Y48,AnnualDeplReqs!$Z48,AnnualDeplReqs!$AI48,AnnualDeplReqs!$BB48,AnnualDeplReqs!$BF48)</f>
        <v>11624.990000001573</v>
      </c>
      <c r="R48" s="311">
        <f>SUM(AnnualDiversions!$B48:$G48,AnnualDiversions!$M48:$V48,AnnualDiversions!$BJ48)</f>
        <v>109067.13000005133</v>
      </c>
      <c r="S48" s="312">
        <f>SUM(AnnualDiversions!$AT48:$AV48)</f>
        <v>296077.96178948792</v>
      </c>
      <c r="T48" s="312">
        <f>SUM(AnnualDiversions!$AS48,AnnualDiversions!$AW48)</f>
        <v>37764.238566617591</v>
      </c>
      <c r="U48" s="312">
        <f>SUM(AnnualDiversions!$AA48:$AD48)</f>
        <v>5000.0000000019172</v>
      </c>
      <c r="V48" s="312">
        <f>SUM(AnnualDiversions!$BE48,AnnualDiversions!$BA48,AnnualDiversions!$AX48,AnnualDiversions!$AH48,AnnualDiversions!$AE48)</f>
        <v>53711.578836581684</v>
      </c>
      <c r="W48" s="312">
        <f>SUM(AnnualDiversions!$AR48,AnnualDiversions!$AF48,AnnualDiversions!$AZ48)</f>
        <v>11659.212094530154</v>
      </c>
      <c r="X48" s="312">
        <f>SUM(AnnualDiversions!$BD48,AnnualDiversions!$K48,AnnualDiversions!$H48)</f>
        <v>17929.560157713488</v>
      </c>
      <c r="Y48" s="380">
        <f>SUM(AnnualDiversions!$I48,AnnualDiversions!$W48,AnnualDiversions!$X48,AnnualDiversions!$Y48,AnnualDiversions!$Z48,AnnualDiversions!$AI48,AnnualDiversions!$BB48,AnnualDiversions!$BF48)</f>
        <v>19374.983333335964</v>
      </c>
      <c r="Z48" s="311">
        <f>SUM(AnnualDivReqs!$B48:$G48,AnnualDivReqs!$M48:$V48,AnnualDivReqs!$BJ48)</f>
        <v>109067.13000005133</v>
      </c>
      <c r="AA48" s="312">
        <f>SUM(AnnualDivReqs!$AT48:$AV48)</f>
        <v>296077.96178948792</v>
      </c>
      <c r="AB48" s="312">
        <f>SUM(AnnualDivReqs!$AS48,AnnualDivReqs!$AW48)</f>
        <v>37764.238566617634</v>
      </c>
      <c r="AC48" s="312">
        <f>SUM(AnnualDivReqs!$AA48:$AD48)</f>
        <v>5000.0000000019172</v>
      </c>
      <c r="AD48" s="312">
        <f>SUM(AnnualDivReqs!$BE48,AnnualDivReqs!$BA48,AnnualDivReqs!$AX48,AnnualDivReqs!$AH48,AnnualDivReqs!$AE48)</f>
        <v>53711.578836581684</v>
      </c>
      <c r="AE48" s="312">
        <f>SUM(AnnualDivReqs!$AR48,AnnualDivReqs!$AF48,AnnualDivReqs!$AZ48)</f>
        <v>21547.743127936996</v>
      </c>
      <c r="AF48" s="312">
        <f>SUM(AnnualDivReqs!$BD48,AnnualDivReqs!$K48,AnnualDivReqs!$H48)</f>
        <v>17929.560157713488</v>
      </c>
      <c r="AG48" s="380">
        <f>SUM(AnnualDivReqs!$I48,AnnualDivReqs!$W48,AnnualDivReqs!$X48,AnnualDivReqs!$Y48,AnnualDivReqs!$Z48,AnnualDivReqs!$AI48,AnnualDivReqs!$BB48,AnnualDivReqs!$BF48)</f>
        <v>19374.983333335964</v>
      </c>
    </row>
    <row r="49" spans="1:33" x14ac:dyDescent="0.25">
      <c r="A49" s="4">
        <v>25933.999305555557</v>
      </c>
      <c r="B49" s="311">
        <f>SUM(AnnualDepletions!$B49:$G49,AnnualDepletions!$M49:$V49,AnnualDepletions!$BJ49)</f>
        <v>57171.576736657502</v>
      </c>
      <c r="C49" s="312">
        <f>SUM(AnnualDepletions!$AT49:$AV49)</f>
        <v>243152.71456010779</v>
      </c>
      <c r="D49" s="312">
        <f>SUM(AnnualDepletions!$AS49,AnnualDepletions!$AW49)</f>
        <v>35893.000000000051</v>
      </c>
      <c r="E49" s="312">
        <f>SUM(AnnualDepletions!$AA49:$AD49)</f>
        <v>5000.0000000019172</v>
      </c>
      <c r="F49" s="312">
        <f>SUM(AnnualDepletions!$BE49,AnnualDepletions!$BA49,AnnualDepletions!$AX49,AnnualDepletions!$AH49,AnnualDepletions!$AE49)</f>
        <v>30788.891278082956</v>
      </c>
      <c r="G49" s="312">
        <f>SUM(AnnualDepletions!$AR49,AnnualDepletions!$AF49,AnnualDepletions!$AZ49)</f>
        <v>3082.54676656109</v>
      </c>
      <c r="H49" s="312">
        <f>SUM(AnnualDepletions!$BD49,AnnualDepletions!$K49,AnnualDepletions!$H49)</f>
        <v>11907.99999999863</v>
      </c>
      <c r="I49" s="380">
        <f>SUM(AnnualDepletions!$I49,AnnualDepletions!$W49,AnnualDepletions!$X49,AnnualDepletions!$Y49,AnnualDepletions!$Z49,AnnualDepletions!$AI49,AnnualDepletions!$BB49,AnnualDepletions!$BF49)</f>
        <v>11624.990000001573</v>
      </c>
      <c r="J49" s="472">
        <f>SUM(AnnualDeplReqs!$B49:$G49,AnnualDeplReqs!$M49:$V49,AnnualDeplReqs!$BJ49)+AnnualDepletions!BJ49</f>
        <v>57181.074736657494</v>
      </c>
      <c r="K49" s="312">
        <f>SUM(AnnualDeplReqs!$AT49:$AV49)</f>
        <v>243152.71456010779</v>
      </c>
      <c r="L49" s="312">
        <f>SUM(AnnualDeplReqs!$AS49,AnnualDeplReqs!$AW49)</f>
        <v>35893.000000000073</v>
      </c>
      <c r="M49" s="312">
        <f>SUM(AnnualDeplReqs!$AA49:$AD49)</f>
        <v>5000.0000000019172</v>
      </c>
      <c r="N49" s="312">
        <f>SUM(AnnualDeplReqs!$BE49,AnnualDeplReqs!$BA49,AnnualDeplReqs!$AX49,AnnualDeplReqs!$AH49,AnnualDeplReqs!$AE49)</f>
        <v>30788.891278082956</v>
      </c>
      <c r="O49" s="312">
        <f>SUM(AnnualDeplReqs!$AR49,AnnualDeplReqs!$AF49,AnnualDeplReqs!$AZ49)</f>
        <v>11478.999999998678</v>
      </c>
      <c r="P49" s="312">
        <f>SUM(AnnualDeplReqs!$BD49,AnnualDeplReqs!$K49,AnnualDeplReqs!$H49)</f>
        <v>11907.99999999863</v>
      </c>
      <c r="Q49" s="380">
        <f>SUM(AnnualDeplReqs!$I49,AnnualDeplReqs!$W49,AnnualDeplReqs!$X49,AnnualDeplReqs!$Y49,AnnualDeplReqs!$Z49,AnnualDeplReqs!$AI49,AnnualDeplReqs!$BB49,AnnualDeplReqs!$BF49)</f>
        <v>11624.990000001573</v>
      </c>
      <c r="R49" s="311">
        <f>SUM(AnnualDiversions!$B49:$G49,AnnualDiversions!$M49:$V49,AnnualDiversions!$BJ49)</f>
        <v>109067.13000005133</v>
      </c>
      <c r="S49" s="312">
        <f>SUM(AnnualDiversions!$AT49:$AV49)</f>
        <v>303940.89320013527</v>
      </c>
      <c r="T49" s="312">
        <f>SUM(AnnualDiversions!$AS49,AnnualDiversions!$AW49)</f>
        <v>37764.238566617612</v>
      </c>
      <c r="U49" s="312">
        <f>SUM(AnnualDiversions!$AA49:$AD49)</f>
        <v>5000.0000000019172</v>
      </c>
      <c r="V49" s="312">
        <f>SUM(AnnualDiversions!$BE49,AnnualDiversions!$BA49,AnnualDiversions!$AX49,AnnualDiversions!$AH49,AnnualDiversions!$AE49)</f>
        <v>51675.791422326787</v>
      </c>
      <c r="W49" s="312">
        <f>SUM(AnnualDiversions!$AR49,AnnualDiversions!$AF49,AnnualDiversions!$AZ49)</f>
        <v>5521.0651567117266</v>
      </c>
      <c r="X49" s="312">
        <f>SUM(AnnualDiversions!$BD49,AnnualDiversions!$K49,AnnualDiversions!$H49)</f>
        <v>18252.875374197578</v>
      </c>
      <c r="Y49" s="380">
        <f>SUM(AnnualDiversions!$I49,AnnualDiversions!$W49,AnnualDiversions!$X49,AnnualDiversions!$Y49,AnnualDiversions!$Z49,AnnualDiversions!$AI49,AnnualDiversions!$BB49,AnnualDiversions!$BF49)</f>
        <v>19374.983333335964</v>
      </c>
      <c r="Z49" s="311">
        <f>SUM(AnnualDivReqs!$B49:$G49,AnnualDivReqs!$M49:$V49,AnnualDivReqs!$BJ49)</f>
        <v>109086.12600005131</v>
      </c>
      <c r="AA49" s="312">
        <f>SUM(AnnualDivReqs!$AT49:$AV49)</f>
        <v>303940.89320013527</v>
      </c>
      <c r="AB49" s="312">
        <f>SUM(AnnualDivReqs!$AS49,AnnualDivReqs!$AW49)</f>
        <v>37764.238566617634</v>
      </c>
      <c r="AC49" s="312">
        <f>SUM(AnnualDivReqs!$AA49:$AD49)</f>
        <v>5000.0000000019172</v>
      </c>
      <c r="AD49" s="312">
        <f>SUM(AnnualDivReqs!$BE49,AnnualDivReqs!$BA49,AnnualDivReqs!$AX49,AnnualDivReqs!$AH49,AnnualDivReqs!$AE49)</f>
        <v>51675.791422326787</v>
      </c>
      <c r="AE49" s="312">
        <f>SUM(AnnualDivReqs!$AR49,AnnualDivReqs!$AF49,AnnualDivReqs!$AZ49)</f>
        <v>20560.800305797413</v>
      </c>
      <c r="AF49" s="312">
        <f>SUM(AnnualDivReqs!$BD49,AnnualDivReqs!$K49,AnnualDivReqs!$H49)</f>
        <v>18252.875374197578</v>
      </c>
      <c r="AG49" s="380">
        <f>SUM(AnnualDivReqs!$I49,AnnualDivReqs!$W49,AnnualDivReqs!$X49,AnnualDivReqs!$Y49,AnnualDivReqs!$Z49,AnnualDivReqs!$AI49,AnnualDivReqs!$BB49,AnnualDivReqs!$BF49)</f>
        <v>19374.983333335964</v>
      </c>
    </row>
    <row r="50" spans="1:33" x14ac:dyDescent="0.25">
      <c r="A50" s="4">
        <v>26298.999305555557</v>
      </c>
      <c r="B50" s="311">
        <f>SUM(AnnualDepletions!$B50:$G50,AnnualDepletions!$M50:$V50,AnnualDepletions!$BJ50)</f>
        <v>57169.199647812879</v>
      </c>
      <c r="C50" s="312">
        <f>SUM(AnnualDepletions!$AT50:$AV50)</f>
        <v>251950.43743319449</v>
      </c>
      <c r="D50" s="312">
        <f>SUM(AnnualDepletions!$AS50,AnnualDepletions!$AW50)</f>
        <v>35893.000000000029</v>
      </c>
      <c r="E50" s="312">
        <f>SUM(AnnualDepletions!$AA50:$AD50)</f>
        <v>5000.0000000019172</v>
      </c>
      <c r="F50" s="312">
        <f>SUM(AnnualDepletions!$BE50,AnnualDepletions!$BA50,AnnualDepletions!$AX50,AnnualDepletions!$AH50,AnnualDepletions!$AE50)</f>
        <v>31421.561101326432</v>
      </c>
      <c r="G50" s="312">
        <f>SUM(AnnualDepletions!$AR50,AnnualDepletions!$AF50,AnnualDepletions!$AZ50)</f>
        <v>3375.9250375054912</v>
      </c>
      <c r="H50" s="312">
        <f>SUM(AnnualDepletions!$BD50,AnnualDepletions!$K50,AnnualDepletions!$H50)</f>
        <v>12005.999999998623</v>
      </c>
      <c r="I50" s="380">
        <f>SUM(AnnualDepletions!$I50,AnnualDepletions!$W50,AnnualDepletions!$X50,AnnualDepletions!$Y50,AnnualDepletions!$Z50,AnnualDepletions!$AI50,AnnualDepletions!$BB50,AnnualDepletions!$BF50)</f>
        <v>11624.990000001573</v>
      </c>
      <c r="J50" s="472">
        <f>SUM(AnnualDeplReqs!$B50:$G50,AnnualDeplReqs!$M50:$V50,AnnualDeplReqs!$BJ50)+AnnualDepletions!BJ50</f>
        <v>57171.996120841526</v>
      </c>
      <c r="K50" s="312">
        <f>SUM(AnnualDeplReqs!$AT50:$AV50)</f>
        <v>251950.43743319449</v>
      </c>
      <c r="L50" s="312">
        <f>SUM(AnnualDeplReqs!$AS50,AnnualDeplReqs!$AW50)</f>
        <v>35893.000000000073</v>
      </c>
      <c r="M50" s="312">
        <f>SUM(AnnualDeplReqs!$AA50:$AD50)</f>
        <v>5000.0000000019172</v>
      </c>
      <c r="N50" s="312">
        <f>SUM(AnnualDeplReqs!$BE50,AnnualDeplReqs!$BA50,AnnualDeplReqs!$AX50,AnnualDeplReqs!$AH50,AnnualDeplReqs!$AE50)</f>
        <v>31421.561101326432</v>
      </c>
      <c r="O50" s="312">
        <f>SUM(AnnualDeplReqs!$AR50,AnnualDeplReqs!$AF50,AnnualDeplReqs!$AZ50)</f>
        <v>11552.99999999867</v>
      </c>
      <c r="P50" s="312">
        <f>SUM(AnnualDeplReqs!$BD50,AnnualDeplReqs!$K50,AnnualDeplReqs!$H50)</f>
        <v>12005.999999998623</v>
      </c>
      <c r="Q50" s="380">
        <f>SUM(AnnualDeplReqs!$I50,AnnualDeplReqs!$W50,AnnualDeplReqs!$X50,AnnualDeplReqs!$Y50,AnnualDeplReqs!$Z50,AnnualDeplReqs!$AI50,AnnualDeplReqs!$BB50,AnnualDeplReqs!$BF50)</f>
        <v>11624.990000001573</v>
      </c>
      <c r="R50" s="311">
        <f>SUM(AnnualDiversions!$B50:$G50,AnnualDiversions!$M50:$V50,AnnualDiversions!$BJ50)</f>
        <v>109067.13000005133</v>
      </c>
      <c r="S50" s="312">
        <f>SUM(AnnualDiversions!$AT50:$AV50)</f>
        <v>314938.04679149308</v>
      </c>
      <c r="T50" s="312">
        <f>SUM(AnnualDiversions!$AS50,AnnualDiversions!$AW50)</f>
        <v>37764.238566617591</v>
      </c>
      <c r="U50" s="312">
        <f>SUM(AnnualDiversions!$AA50:$AD50)</f>
        <v>5000.0000000019172</v>
      </c>
      <c r="V50" s="312">
        <f>SUM(AnnualDiversions!$BE50,AnnualDiversions!$BA50,AnnualDiversions!$AX50,AnnualDiversions!$AH50,AnnualDiversions!$AE50)</f>
        <v>52739.575436739215</v>
      </c>
      <c r="W50" s="312">
        <f>SUM(AnnualDiversions!$AR50,AnnualDiversions!$AF50,AnnualDiversions!$AZ50)</f>
        <v>6034.8732939344218</v>
      </c>
      <c r="X50" s="312">
        <f>SUM(AnnualDiversions!$BD50,AnnualDiversions!$K50,AnnualDiversions!$H50)</f>
        <v>18402.225737999397</v>
      </c>
      <c r="Y50" s="380">
        <f>SUM(AnnualDiversions!$I50,AnnualDiversions!$W50,AnnualDiversions!$X50,AnnualDiversions!$Y50,AnnualDiversions!$Z50,AnnualDiversions!$AI50,AnnualDiversions!$BB50,AnnualDiversions!$BF50)</f>
        <v>19374.983333335964</v>
      </c>
      <c r="Z50" s="311">
        <f>SUM(AnnualDivReqs!$B50:$G50,AnnualDivReqs!$M50:$V50,AnnualDivReqs!$BJ50)</f>
        <v>109072.72294610862</v>
      </c>
      <c r="AA50" s="312">
        <f>SUM(AnnualDivReqs!$AT50:$AV50)</f>
        <v>314938.04679149308</v>
      </c>
      <c r="AB50" s="312">
        <f>SUM(AnnualDivReqs!$AS50,AnnualDivReqs!$AW50)</f>
        <v>37764.238566617634</v>
      </c>
      <c r="AC50" s="312">
        <f>SUM(AnnualDivReqs!$AA50:$AD50)</f>
        <v>5000.0000000019172</v>
      </c>
      <c r="AD50" s="312">
        <f>SUM(AnnualDivReqs!$BE50,AnnualDivReqs!$BA50,AnnualDivReqs!$AX50,AnnualDivReqs!$AH50,AnnualDivReqs!$AE50)</f>
        <v>52739.575436739215</v>
      </c>
      <c r="AE50" s="312">
        <f>SUM(AnnualDivReqs!$AR50,AnnualDivReqs!$AF50,AnnualDivReqs!$AZ50)</f>
        <v>20692.883706724704</v>
      </c>
      <c r="AF50" s="312">
        <f>SUM(AnnualDivReqs!$BD50,AnnualDivReqs!$K50,AnnualDivReqs!$H50)</f>
        <v>18402.225737999397</v>
      </c>
      <c r="AG50" s="380">
        <f>SUM(AnnualDivReqs!$I50,AnnualDivReqs!$W50,AnnualDivReqs!$X50,AnnualDivReqs!$Y50,AnnualDivReqs!$Z50,AnnualDivReqs!$AI50,AnnualDivReqs!$BB50,AnnualDivReqs!$BF50)</f>
        <v>19374.983333335964</v>
      </c>
    </row>
    <row r="51" spans="1:33" x14ac:dyDescent="0.25">
      <c r="A51" s="4">
        <v>26664.999305555557</v>
      </c>
      <c r="B51" s="311">
        <f>SUM(AnnualDepletions!$B51:$G51,AnnualDepletions!$M51:$V51,AnnualDepletions!$BJ51)</f>
        <v>57107.805153005611</v>
      </c>
      <c r="C51" s="312">
        <f>SUM(AnnualDepletions!$AT51:$AV51)</f>
        <v>270124.56335813185</v>
      </c>
      <c r="D51" s="312">
        <f>SUM(AnnualDepletions!$AS51,AnnualDepletions!$AW51)</f>
        <v>35893.000000000036</v>
      </c>
      <c r="E51" s="312">
        <f>SUM(AnnualDepletions!$AA51:$AD51)</f>
        <v>5000.0000000019463</v>
      </c>
      <c r="F51" s="312">
        <f>SUM(AnnualDepletions!$BE51,AnnualDepletions!$BA51,AnnualDepletions!$AX51,AnnualDepletions!$AH51,AnnualDepletions!$AE51)</f>
        <v>32918.854342494131</v>
      </c>
      <c r="G51" s="312">
        <f>SUM(AnnualDepletions!$AR51,AnnualDepletions!$AF51,AnnualDepletions!$AZ51)</f>
        <v>1387.0084815530856</v>
      </c>
      <c r="H51" s="312">
        <f>SUM(AnnualDepletions!$BD51,AnnualDepletions!$K51,AnnualDepletions!$H51)</f>
        <v>13454.999999998448</v>
      </c>
      <c r="I51" s="380">
        <f>SUM(AnnualDepletions!$I51,AnnualDepletions!$W51,AnnualDepletions!$X51,AnnualDepletions!$Y51,AnnualDepletions!$Z51,AnnualDepletions!$AI51,AnnualDepletions!$BB51,AnnualDepletions!$BF51)</f>
        <v>11624.990000001573</v>
      </c>
      <c r="J51" s="472">
        <f>SUM(AnnualDeplReqs!$B51:$G51,AnnualDeplReqs!$M51:$V51,AnnualDeplReqs!$BJ51)+AnnualDepletions!BJ51</f>
        <v>57317.887421822918</v>
      </c>
      <c r="K51" s="312">
        <f>SUM(AnnualDeplReqs!$AT51:$AV51)</f>
        <v>270124.56335813185</v>
      </c>
      <c r="L51" s="312">
        <f>SUM(AnnualDeplReqs!$AS51,AnnualDeplReqs!$AW51)</f>
        <v>35893.000000000073</v>
      </c>
      <c r="M51" s="312">
        <f>SUM(AnnualDeplReqs!$AA51:$AD51)</f>
        <v>5000.0000000019463</v>
      </c>
      <c r="N51" s="312">
        <f>SUM(AnnualDeplReqs!$BE51,AnnualDeplReqs!$BA51,AnnualDeplReqs!$AX51,AnnualDeplReqs!$AH51,AnnualDeplReqs!$AE51)</f>
        <v>32918.854342494131</v>
      </c>
      <c r="O51" s="312">
        <f>SUM(AnnualDeplReqs!$AR51,AnnualDeplReqs!$AF51,AnnualDeplReqs!$AZ51)</f>
        <v>12071.999999998608</v>
      </c>
      <c r="P51" s="312">
        <f>SUM(AnnualDeplReqs!$BD51,AnnualDeplReqs!$K51,AnnualDeplReqs!$H51)</f>
        <v>13454.999999998448</v>
      </c>
      <c r="Q51" s="380">
        <f>SUM(AnnualDeplReqs!$I51,AnnualDeplReqs!$W51,AnnualDeplReqs!$X51,AnnualDeplReqs!$Y51,AnnualDeplReqs!$Z51,AnnualDeplReqs!$AI51,AnnualDeplReqs!$BB51,AnnualDeplReqs!$BF51)</f>
        <v>11624.990000001573</v>
      </c>
      <c r="R51" s="311">
        <f>SUM(AnnualDiversions!$B51:$G51,AnnualDiversions!$M51:$V51,AnnualDiversions!$BJ51)</f>
        <v>109067.13000005131</v>
      </c>
      <c r="S51" s="312">
        <f>SUM(AnnualDiversions!$AT51:$AV51)</f>
        <v>337655.70419766405</v>
      </c>
      <c r="T51" s="312">
        <f>SUM(AnnualDiversions!$AS51,AnnualDiversions!$AW51)</f>
        <v>37763.476493275411</v>
      </c>
      <c r="U51" s="312">
        <f>SUM(AnnualDiversions!$AA51:$AD51)</f>
        <v>5000.0000000019463</v>
      </c>
      <c r="V51" s="312">
        <f>SUM(AnnualDiversions!$BE51,AnnualDiversions!$BA51,AnnualDiversions!$AX51,AnnualDiversions!$AH51,AnnualDiversions!$AE51)</f>
        <v>55242.025407338115</v>
      </c>
      <c r="W51" s="312">
        <f>SUM(AnnualDiversions!$AR51,AnnualDiversions!$AF51,AnnualDiversions!$AZ51)</f>
        <v>2193.9872145453401</v>
      </c>
      <c r="X51" s="312">
        <f>SUM(AnnualDiversions!$BD51,AnnualDiversions!$K51,AnnualDiversions!$H51)</f>
        <v>20625.241566707176</v>
      </c>
      <c r="Y51" s="380">
        <f>SUM(AnnualDiversions!$I51,AnnualDiversions!$W51,AnnualDiversions!$X51,AnnualDiversions!$Y51,AnnualDiversions!$Z51,AnnualDiversions!$AI51,AnnualDiversions!$BB51,AnnualDiversions!$BF51)</f>
        <v>19374.983333335967</v>
      </c>
      <c r="Z51" s="311">
        <f>SUM(AnnualDivReqs!$B51:$G51,AnnualDivReqs!$M51:$V51,AnnualDivReqs!$BJ51)</f>
        <v>109487.29453768593</v>
      </c>
      <c r="AA51" s="312">
        <f>SUM(AnnualDivReqs!$AT51:$AV51)</f>
        <v>337655.70419766405</v>
      </c>
      <c r="AB51" s="312">
        <f>SUM(AnnualDivReqs!$AS51,AnnualDivReqs!$AW51)</f>
        <v>37763.476493275448</v>
      </c>
      <c r="AC51" s="312">
        <f>SUM(AnnualDivReqs!$AA51:$AD51)</f>
        <v>5000.0000000019463</v>
      </c>
      <c r="AD51" s="312">
        <f>SUM(AnnualDivReqs!$BE51,AnnualDivReqs!$BA51,AnnualDivReqs!$AX51,AnnualDivReqs!$AH51,AnnualDivReqs!$AE51)</f>
        <v>55242.025407338115</v>
      </c>
      <c r="AE51" s="312">
        <f>SUM(AnnualDivReqs!$AR51,AnnualDivReqs!$AF51,AnnualDivReqs!$AZ51)</f>
        <v>21623.343458670326</v>
      </c>
      <c r="AF51" s="312">
        <f>SUM(AnnualDivReqs!$BD51,AnnualDivReqs!$K51,AnnualDivReqs!$H51)</f>
        <v>20625.241566707176</v>
      </c>
      <c r="AG51" s="380">
        <f>SUM(AnnualDivReqs!$I51,AnnualDivReqs!$W51,AnnualDivReqs!$X51,AnnualDivReqs!$Y51,AnnualDivReqs!$Z51,AnnualDivReqs!$AI51,AnnualDivReqs!$BB51,AnnualDivReqs!$BF51)</f>
        <v>19374.983333335967</v>
      </c>
    </row>
    <row r="52" spans="1:33" x14ac:dyDescent="0.25">
      <c r="A52" s="4">
        <v>27029.999305555557</v>
      </c>
      <c r="B52" s="311">
        <f>SUM(AnnualDepletions!$B52:$G52,AnnualDepletions!$M52:$V52,AnnualDepletions!$BJ52)</f>
        <v>57173.855514924762</v>
      </c>
      <c r="C52" s="312">
        <f>SUM(AnnualDepletions!$AT52:$AV52)</f>
        <v>233345.63642122349</v>
      </c>
      <c r="D52" s="312">
        <f>SUM(AnnualDepletions!$AS52,AnnualDepletions!$AW52)</f>
        <v>35893.000000000073</v>
      </c>
      <c r="E52" s="312">
        <f>SUM(AnnualDepletions!$AA52:$AD52)</f>
        <v>5000.0000000019172</v>
      </c>
      <c r="F52" s="312">
        <f>SUM(AnnualDepletions!$BE52,AnnualDepletions!$BA52,AnnualDepletions!$AX52,AnnualDepletions!$AH52,AnnualDepletions!$AE52)</f>
        <v>28435.487411814487</v>
      </c>
      <c r="G52" s="312">
        <f>SUM(AnnualDepletions!$AR52,AnnualDepletions!$AF52,AnnualDepletions!$AZ52)</f>
        <v>5713.1696961229609</v>
      </c>
      <c r="H52" s="312">
        <f>SUM(AnnualDepletions!$BD52,AnnualDepletions!$K52,AnnualDepletions!$H52)</f>
        <v>11865.999999998636</v>
      </c>
      <c r="I52" s="380">
        <f>SUM(AnnualDepletions!$I52,AnnualDepletions!$W52,AnnualDepletions!$X52,AnnualDepletions!$Y52,AnnualDepletions!$Z52,AnnualDepletions!$AI52,AnnualDepletions!$BB52,AnnualDepletions!$BF52)</f>
        <v>11624.990000001573</v>
      </c>
      <c r="J52" s="472">
        <f>SUM(AnnualDeplReqs!$B52:$G52,AnnualDeplReqs!$M52:$V52,AnnualDeplReqs!$BJ52)+AnnualDepletions!BJ52</f>
        <v>57173.855514924762</v>
      </c>
      <c r="K52" s="312">
        <f>SUM(AnnualDeplReqs!$AT52:$AV52)</f>
        <v>233345.63642122349</v>
      </c>
      <c r="L52" s="312">
        <f>SUM(AnnualDeplReqs!$AS52,AnnualDeplReqs!$AW52)</f>
        <v>35893.000000000073</v>
      </c>
      <c r="M52" s="312">
        <f>SUM(AnnualDeplReqs!$AA52:$AD52)</f>
        <v>5000.0000000019172</v>
      </c>
      <c r="N52" s="312">
        <f>SUM(AnnualDeplReqs!$BE52,AnnualDeplReqs!$BA52,AnnualDeplReqs!$AX52,AnnualDeplReqs!$AH52,AnnualDeplReqs!$AE52)</f>
        <v>28435.487411814487</v>
      </c>
      <c r="O52" s="312">
        <f>SUM(AnnualDeplReqs!$AR52,AnnualDeplReqs!$AF52,AnnualDeplReqs!$AZ52)</f>
        <v>10367.999999998805</v>
      </c>
      <c r="P52" s="312">
        <f>SUM(AnnualDeplReqs!$BD52,AnnualDeplReqs!$K52,AnnualDeplReqs!$H52)</f>
        <v>11865.999999998636</v>
      </c>
      <c r="Q52" s="380">
        <f>SUM(AnnualDeplReqs!$I52,AnnualDeplReqs!$W52,AnnualDeplReqs!$X52,AnnualDeplReqs!$Y52,AnnualDeplReqs!$Z52,AnnualDeplReqs!$AI52,AnnualDeplReqs!$BB52,AnnualDeplReqs!$BF52)</f>
        <v>11624.990000001573</v>
      </c>
      <c r="R52" s="311">
        <f>SUM(AnnualDiversions!$B52:$G52,AnnualDiversions!$M52:$V52,AnnualDiversions!$BJ52)</f>
        <v>109067.13000005133</v>
      </c>
      <c r="S52" s="312">
        <f>SUM(AnnualDiversions!$AT52:$AV52)</f>
        <v>291682.04552652931</v>
      </c>
      <c r="T52" s="312">
        <f>SUM(AnnualDiversions!$AS52,AnnualDiversions!$AW52)</f>
        <v>37764.238566617634</v>
      </c>
      <c r="U52" s="312">
        <f>SUM(AnnualDiversions!$AA52:$AD52)</f>
        <v>5000.0000000019172</v>
      </c>
      <c r="V52" s="312">
        <f>SUM(AnnualDiversions!$BE52,AnnualDiversions!$BA52,AnnualDiversions!$AX52,AnnualDiversions!$AH52,AnnualDiversions!$AE52)</f>
        <v>47747.797750030251</v>
      </c>
      <c r="W52" s="312">
        <f>SUM(AnnualDiversions!$AR52,AnnualDiversions!$AF52,AnnualDiversions!$AZ52)</f>
        <v>11095.031183153471</v>
      </c>
      <c r="X52" s="312">
        <f>SUM(AnnualDiversions!$BD52,AnnualDiversions!$K52,AnnualDiversions!$H52)</f>
        <v>18189.425665157942</v>
      </c>
      <c r="Y52" s="380">
        <f>SUM(AnnualDiversions!$I52,AnnualDiversions!$W52,AnnualDiversions!$X52,AnnualDiversions!$Y52,AnnualDiversions!$Z52,AnnualDiversions!$AI52,AnnualDiversions!$BB52,AnnualDiversions!$BF52)</f>
        <v>19374.983333335964</v>
      </c>
      <c r="Z52" s="311">
        <f>SUM(AnnualDivReqs!$B52:$G52,AnnualDivReqs!$M52:$V52,AnnualDivReqs!$BJ52)</f>
        <v>109067.13000005133</v>
      </c>
      <c r="AA52" s="312">
        <f>SUM(AnnualDivReqs!$AT52:$AV52)</f>
        <v>291682.04552652931</v>
      </c>
      <c r="AB52" s="312">
        <f>SUM(AnnualDivReqs!$AS52,AnnualDivReqs!$AW52)</f>
        <v>37764.238566617634</v>
      </c>
      <c r="AC52" s="312">
        <f>SUM(AnnualDivReqs!$AA52:$AD52)</f>
        <v>5000.0000000019172</v>
      </c>
      <c r="AD52" s="312">
        <f>SUM(AnnualDivReqs!$BE52,AnnualDivReqs!$BA52,AnnualDivReqs!$AX52,AnnualDivReqs!$AH52,AnnualDivReqs!$AE52)</f>
        <v>47747.797750030251</v>
      </c>
      <c r="AE52" s="312">
        <f>SUM(AnnualDivReqs!$AR52,AnnualDivReqs!$AF52,AnnualDivReqs!$AZ52)</f>
        <v>18572.659153593657</v>
      </c>
      <c r="AF52" s="312">
        <f>SUM(AnnualDivReqs!$BD52,AnnualDivReqs!$K52,AnnualDivReqs!$H52)</f>
        <v>18189.425665157942</v>
      </c>
      <c r="AG52" s="380">
        <f>SUM(AnnualDivReqs!$I52,AnnualDivReqs!$W52,AnnualDivReqs!$X52,AnnualDivReqs!$Y52,AnnualDivReqs!$Z52,AnnualDivReqs!$AI52,AnnualDivReqs!$BB52,AnnualDivReqs!$BF52)</f>
        <v>19374.983333335964</v>
      </c>
    </row>
    <row r="53" spans="1:33" x14ac:dyDescent="0.25">
      <c r="A53" s="4">
        <v>27394.999305555557</v>
      </c>
      <c r="B53" s="311">
        <f>SUM(AnnualDepletions!$B53:$G53,AnnualDepletions!$M53:$V53,AnnualDepletions!$BJ53)</f>
        <v>57122.748191928134</v>
      </c>
      <c r="C53" s="312">
        <f>SUM(AnnualDepletions!$AT53:$AV53)</f>
        <v>274373.59248602425</v>
      </c>
      <c r="D53" s="312">
        <f>SUM(AnnualDepletions!$AS53,AnnualDepletions!$AW53)</f>
        <v>35893.000000000051</v>
      </c>
      <c r="E53" s="312">
        <f>SUM(AnnualDepletions!$AA53:$AD53)</f>
        <v>5000.0000000019172</v>
      </c>
      <c r="F53" s="312">
        <f>SUM(AnnualDepletions!$BE53,AnnualDepletions!$BA53,AnnualDepletions!$AX53,AnnualDepletions!$AH53,AnnualDepletions!$AE53)</f>
        <v>32660.508856900433</v>
      </c>
      <c r="G53" s="312">
        <f>SUM(AnnualDepletions!$AR53,AnnualDepletions!$AF53,AnnualDepletions!$AZ53)</f>
        <v>1584.0888521949842</v>
      </c>
      <c r="H53" s="312">
        <f>SUM(AnnualDepletions!$BD53,AnnualDepletions!$K53,AnnualDepletions!$H53)</f>
        <v>13637.99999999843</v>
      </c>
      <c r="I53" s="380">
        <f>SUM(AnnualDepletions!$I53,AnnualDepletions!$W53,AnnualDepletions!$X53,AnnualDepletions!$Y53,AnnualDepletions!$Z53,AnnualDepletions!$AI53,AnnualDepletions!$BB53,AnnualDepletions!$BF53)</f>
        <v>11624.990000001573</v>
      </c>
      <c r="J53" s="472">
        <f>SUM(AnnualDeplReqs!$B53:$G53,AnnualDeplReqs!$M53:$V53,AnnualDeplReqs!$BJ53)+AnnualDepletions!BJ53</f>
        <v>57392.849159670317</v>
      </c>
      <c r="K53" s="312">
        <f>SUM(AnnualDeplReqs!$AT53:$AV53)</f>
        <v>274373.59248602425</v>
      </c>
      <c r="L53" s="312">
        <f>SUM(AnnualDeplReqs!$AS53,AnnualDeplReqs!$AW53)</f>
        <v>35893.000000000073</v>
      </c>
      <c r="M53" s="312">
        <f>SUM(AnnualDeplReqs!$AA53:$AD53)</f>
        <v>5000.0000000019172</v>
      </c>
      <c r="N53" s="312">
        <f>SUM(AnnualDeplReqs!$BE53,AnnualDeplReqs!$BA53,AnnualDeplReqs!$AX53,AnnualDeplReqs!$AH53,AnnualDeplReqs!$AE53)</f>
        <v>32660.508856900433</v>
      </c>
      <c r="O53" s="312">
        <f>SUM(AnnualDeplReqs!$AR53,AnnualDeplReqs!$AF53,AnnualDeplReqs!$AZ53)</f>
        <v>11842.999999998639</v>
      </c>
      <c r="P53" s="312">
        <f>SUM(AnnualDeplReqs!$BD53,AnnualDeplReqs!$K53,AnnualDeplReqs!$H53)</f>
        <v>13637.99999999843</v>
      </c>
      <c r="Q53" s="380">
        <f>SUM(AnnualDeplReqs!$I53,AnnualDeplReqs!$W53,AnnualDeplReqs!$X53,AnnualDeplReqs!$Y53,AnnualDeplReqs!$Z53,AnnualDeplReqs!$AI53,AnnualDeplReqs!$BB53,AnnualDeplReqs!$BF53)</f>
        <v>11624.990000001573</v>
      </c>
      <c r="R53" s="311">
        <f>SUM(AnnualDiversions!$B53:$G53,AnnualDiversions!$M53:$V53,AnnualDiversions!$BJ53)</f>
        <v>109067.13000005134</v>
      </c>
      <c r="S53" s="312">
        <f>SUM(AnnualDiversions!$AT53:$AV53)</f>
        <v>342966.99060753011</v>
      </c>
      <c r="T53" s="312">
        <f>SUM(AnnualDiversions!$AS53,AnnualDiversions!$AW53)</f>
        <v>37764.238566617612</v>
      </c>
      <c r="U53" s="312">
        <f>SUM(AnnualDiversions!$AA53:$AD53)</f>
        <v>5000.0000000019172</v>
      </c>
      <c r="V53" s="312">
        <f>SUM(AnnualDiversions!$BE53,AnnualDiversions!$BA53,AnnualDiversions!$AX53,AnnualDiversions!$AH53,AnnualDiversions!$AE53)</f>
        <v>54824.982818567092</v>
      </c>
      <c r="W53" s="312">
        <f>SUM(AnnualDiversions!$AR53,AnnualDiversions!$AF53,AnnualDiversions!$AZ53)</f>
        <v>2805.697497706753</v>
      </c>
      <c r="X53" s="312">
        <f>SUM(AnnualDiversions!$BD53,AnnualDiversions!$K53,AnnualDiversions!$H53)</f>
        <v>20905.137274737601</v>
      </c>
      <c r="Y53" s="380">
        <f>SUM(AnnualDiversions!$I53,AnnualDiversions!$W53,AnnualDiversions!$X53,AnnualDiversions!$Y53,AnnualDiversions!$Z53,AnnualDiversions!$AI53,AnnualDiversions!$BB53,AnnualDiversions!$BF53)</f>
        <v>19374.983333335964</v>
      </c>
      <c r="Z53" s="311">
        <f>SUM(AnnualDivReqs!$B53:$G53,AnnualDivReqs!$M53:$V53,AnnualDivReqs!$BJ53)</f>
        <v>109607.33193553571</v>
      </c>
      <c r="AA53" s="312">
        <f>SUM(AnnualDivReqs!$AT53:$AV53)</f>
        <v>342966.99060753011</v>
      </c>
      <c r="AB53" s="312">
        <f>SUM(AnnualDivReqs!$AS53,AnnualDivReqs!$AW53)</f>
        <v>37764.238566617634</v>
      </c>
      <c r="AC53" s="312">
        <f>SUM(AnnualDivReqs!$AA53:$AD53)</f>
        <v>5000.0000000019172</v>
      </c>
      <c r="AD53" s="312">
        <f>SUM(AnnualDivReqs!$BE53,AnnualDivReqs!$BA53,AnnualDivReqs!$AX53,AnnualDivReqs!$AH53,AnnualDivReqs!$AE53)</f>
        <v>54824.982818567092</v>
      </c>
      <c r="AE53" s="312">
        <f>SUM(AnnualDivReqs!$AR53,AnnualDivReqs!$AF53,AnnualDivReqs!$AZ53)</f>
        <v>21213.344844383813</v>
      </c>
      <c r="AF53" s="312">
        <f>SUM(AnnualDivReqs!$BD53,AnnualDivReqs!$K53,AnnualDivReqs!$H53)</f>
        <v>20905.137274737601</v>
      </c>
      <c r="AG53" s="380">
        <f>SUM(AnnualDivReqs!$I53,AnnualDivReqs!$W53,AnnualDivReqs!$X53,AnnualDivReqs!$Y53,AnnualDivReqs!$Z53,AnnualDivReqs!$AI53,AnnualDivReqs!$BB53,AnnualDivReqs!$BF53)</f>
        <v>19374.983333335964</v>
      </c>
    </row>
    <row r="54" spans="1:33" x14ac:dyDescent="0.25">
      <c r="A54" s="4">
        <v>27759.999305555557</v>
      </c>
      <c r="B54" s="311">
        <f>SUM(AnnualDepletions!$B54:$G54,AnnualDepletions!$M54:$V54,AnnualDepletions!$BJ54)</f>
        <v>57127.399432821527</v>
      </c>
      <c r="C54" s="312">
        <f>SUM(AnnualDepletions!$AT54:$AV54)</f>
        <v>237918.98024197394</v>
      </c>
      <c r="D54" s="312">
        <f>SUM(AnnualDepletions!$AS54,AnnualDepletions!$AW54)</f>
        <v>35893.000000000058</v>
      </c>
      <c r="E54" s="312">
        <f>SUM(AnnualDepletions!$AA54:$AD54)</f>
        <v>5000.0000000019172</v>
      </c>
      <c r="F54" s="312">
        <f>SUM(AnnualDepletions!$BE54,AnnualDepletions!$BA54,AnnualDepletions!$AX54,AnnualDepletions!$AH54,AnnualDepletions!$AE54)</f>
        <v>29540.999999996591</v>
      </c>
      <c r="G54" s="312">
        <f>SUM(AnnualDepletions!$AR54,AnnualDepletions!$AF54,AnnualDepletions!$AZ54)</f>
        <v>5925.8132334129823</v>
      </c>
      <c r="H54" s="312">
        <f>SUM(AnnualDepletions!$BD54,AnnualDepletions!$K54,AnnualDepletions!$H54)</f>
        <v>11911.999999998627</v>
      </c>
      <c r="I54" s="380">
        <f>SUM(AnnualDepletions!$I54,AnnualDepletions!$W54,AnnualDepletions!$X54,AnnualDepletions!$Y54,AnnualDepletions!$Z54,AnnualDepletions!$AI54,AnnualDepletions!$BB54,AnnualDepletions!$BF54)</f>
        <v>11624.990000001573</v>
      </c>
      <c r="J54" s="472">
        <f>SUM(AnnualDeplReqs!$B54:$G54,AnnualDeplReqs!$M54:$V54,AnnualDeplReqs!$BJ54)+AnnualDepletions!BJ54</f>
        <v>57127.399432821527</v>
      </c>
      <c r="K54" s="312">
        <f>SUM(AnnualDeplReqs!$AT54:$AV54)</f>
        <v>237918.98024197394</v>
      </c>
      <c r="L54" s="312">
        <f>SUM(AnnualDeplReqs!$AS54,AnnualDeplReqs!$AW54)</f>
        <v>35893.000000000073</v>
      </c>
      <c r="M54" s="312">
        <f>SUM(AnnualDeplReqs!$AA54:$AD54)</f>
        <v>5000.0000000019172</v>
      </c>
      <c r="N54" s="312">
        <f>SUM(AnnualDeplReqs!$BE54,AnnualDeplReqs!$BA54,AnnualDeplReqs!$AX54,AnnualDeplReqs!$AH54,AnnualDeplReqs!$AE54)</f>
        <v>29540.999999996591</v>
      </c>
      <c r="O54" s="312">
        <f>SUM(AnnualDeplReqs!$AR54,AnnualDeplReqs!$AF54,AnnualDeplReqs!$AZ54)</f>
        <v>10903.999999998749</v>
      </c>
      <c r="P54" s="312">
        <f>SUM(AnnualDeplReqs!$BD54,AnnualDeplReqs!$K54,AnnualDeplReqs!$H54)</f>
        <v>11911.999999998627</v>
      </c>
      <c r="Q54" s="380">
        <f>SUM(AnnualDeplReqs!$I54,AnnualDeplReqs!$W54,AnnualDeplReqs!$X54,AnnualDeplReqs!$Y54,AnnualDeplReqs!$Z54,AnnualDeplReqs!$AI54,AnnualDeplReqs!$BB54,AnnualDeplReqs!$BF54)</f>
        <v>11624.990000001573</v>
      </c>
      <c r="R54" s="311">
        <f>SUM(AnnualDiversions!$B54:$G54,AnnualDiversions!$M54:$V54,AnnualDiversions!$BJ54)</f>
        <v>109067.13000005133</v>
      </c>
      <c r="S54" s="312">
        <f>SUM(AnnualDiversions!$AT54:$AV54)</f>
        <v>297398.7253024684</v>
      </c>
      <c r="T54" s="312">
        <f>SUM(AnnualDiversions!$AS54,AnnualDiversions!$AW54)</f>
        <v>37764.23856661762</v>
      </c>
      <c r="U54" s="312">
        <f>SUM(AnnualDiversions!$AA54:$AD54)</f>
        <v>5000.0000000019172</v>
      </c>
      <c r="V54" s="312">
        <f>SUM(AnnualDiversions!$BE54,AnnualDiversions!$BA54,AnnualDiversions!$AX54,AnnualDiversions!$AH54,AnnualDiversions!$AE54)</f>
        <v>49605.572779594986</v>
      </c>
      <c r="W54" s="312">
        <f>SUM(AnnualDiversions!$AR54,AnnualDiversions!$AF54,AnnualDiversions!$AZ54)</f>
        <v>11773.312405639179</v>
      </c>
      <c r="X54" s="312">
        <f>SUM(AnnualDiversions!$BD54,AnnualDiversions!$K54,AnnualDiversions!$H54)</f>
        <v>18259.803669480669</v>
      </c>
      <c r="Y54" s="380">
        <f>SUM(AnnualDiversions!$I54,AnnualDiversions!$W54,AnnualDiversions!$X54,AnnualDiversions!$Y54,AnnualDiversions!$Z54,AnnualDiversions!$AI54,AnnualDiversions!$BB54,AnnualDiversions!$BF54)</f>
        <v>19374.983333335964</v>
      </c>
      <c r="Z54" s="311">
        <f>SUM(AnnualDivReqs!$B54:$G54,AnnualDivReqs!$M54:$V54,AnnualDivReqs!$BJ54)</f>
        <v>109067.13000005133</v>
      </c>
      <c r="AA54" s="312">
        <f>SUM(AnnualDivReqs!$AT54:$AV54)</f>
        <v>297398.7253024684</v>
      </c>
      <c r="AB54" s="312">
        <f>SUM(AnnualDivReqs!$AS54,AnnualDivReqs!$AW54)</f>
        <v>37764.238566617634</v>
      </c>
      <c r="AC54" s="312">
        <f>SUM(AnnualDivReqs!$AA54:$AD54)</f>
        <v>5000.0000000019172</v>
      </c>
      <c r="AD54" s="312">
        <f>SUM(AnnualDivReqs!$BE54,AnnualDivReqs!$BA54,AnnualDivReqs!$AX54,AnnualDivReqs!$AH54,AnnualDivReqs!$AE54)</f>
        <v>49605.572779594986</v>
      </c>
      <c r="AE54" s="312">
        <f>SUM(AnnualDivReqs!$AR54,AnnualDivReqs!$AF54,AnnualDivReqs!$AZ54)</f>
        <v>19532.523575893731</v>
      </c>
      <c r="AF54" s="312">
        <f>SUM(AnnualDivReqs!$BD54,AnnualDivReqs!$K54,AnnualDivReqs!$H54)</f>
        <v>18259.803669480669</v>
      </c>
      <c r="AG54" s="380">
        <f>SUM(AnnualDivReqs!$I54,AnnualDivReqs!$W54,AnnualDivReqs!$X54,AnnualDivReqs!$Y54,AnnualDivReqs!$Z54,AnnualDivReqs!$AI54,AnnualDivReqs!$BB54,AnnualDivReqs!$BF54)</f>
        <v>19374.983333335964</v>
      </c>
    </row>
    <row r="55" spans="1:33" x14ac:dyDescent="0.25">
      <c r="A55" s="4">
        <v>28125.999305555557</v>
      </c>
      <c r="B55" s="311">
        <f>SUM(AnnualDepletions!$B55:$G55,AnnualDepletions!$M55:$V55,AnnualDepletions!$BJ55)</f>
        <v>57168.337839666019</v>
      </c>
      <c r="C55" s="312">
        <f>SUM(AnnualDepletions!$AT55:$AV55)</f>
        <v>248527.6841249415</v>
      </c>
      <c r="D55" s="312">
        <f>SUM(AnnualDepletions!$AS55,AnnualDepletions!$AW55)</f>
        <v>35893.000000000058</v>
      </c>
      <c r="E55" s="312">
        <f>SUM(AnnualDepletions!$AA55:$AD55)</f>
        <v>5000.0000000019463</v>
      </c>
      <c r="F55" s="312">
        <f>SUM(AnnualDepletions!$BE55,AnnualDepletions!$BA55,AnnualDepletions!$AX55,AnnualDepletions!$AH55,AnnualDepletions!$AE55)</f>
        <v>31248.047115705558</v>
      </c>
      <c r="G55" s="312">
        <f>SUM(AnnualDepletions!$AR55,AnnualDepletions!$AF55,AnnualDepletions!$AZ55)</f>
        <v>3003.7977361228782</v>
      </c>
      <c r="H55" s="312">
        <f>SUM(AnnualDepletions!$BD55,AnnualDepletions!$K55,AnnualDepletions!$H55)</f>
        <v>11992.999999998618</v>
      </c>
      <c r="I55" s="380">
        <f>SUM(AnnualDepletions!$I55,AnnualDepletions!$W55,AnnualDepletions!$X55,AnnualDepletions!$Y55,AnnualDepletions!$Z55,AnnualDepletions!$AI55,AnnualDepletions!$BB55,AnnualDepletions!$BF55)</f>
        <v>11624.990000001573</v>
      </c>
      <c r="J55" s="472">
        <f>SUM(AnnualDeplReqs!$B55:$G55,AnnualDeplReqs!$M55:$V55,AnnualDeplReqs!$BJ55)+AnnualDepletions!BJ55</f>
        <v>57168.337839666019</v>
      </c>
      <c r="K55" s="312">
        <f>SUM(AnnualDeplReqs!$AT55:$AV55)</f>
        <v>248527.6841249415</v>
      </c>
      <c r="L55" s="312">
        <f>SUM(AnnualDeplReqs!$AS55,AnnualDeplReqs!$AW55)</f>
        <v>35893.000000000073</v>
      </c>
      <c r="M55" s="312">
        <f>SUM(AnnualDeplReqs!$AA55:$AD55)</f>
        <v>5000.0000000019463</v>
      </c>
      <c r="N55" s="312">
        <f>SUM(AnnualDeplReqs!$BE55,AnnualDeplReqs!$BA55,AnnualDeplReqs!$AX55,AnnualDeplReqs!$AH55,AnnualDeplReqs!$AE55)</f>
        <v>31248.047115705558</v>
      </c>
      <c r="O55" s="312">
        <f>SUM(AnnualDeplReqs!$AR55,AnnualDeplReqs!$AF55,AnnualDeplReqs!$AZ55)</f>
        <v>11425.999999998687</v>
      </c>
      <c r="P55" s="312">
        <f>SUM(AnnualDeplReqs!$BD55,AnnualDeplReqs!$K55,AnnualDeplReqs!$H55)</f>
        <v>11992.999999998618</v>
      </c>
      <c r="Q55" s="380">
        <f>SUM(AnnualDeplReqs!$I55,AnnualDeplReqs!$W55,AnnualDeplReqs!$X55,AnnualDeplReqs!$Y55,AnnualDeplReqs!$Z55,AnnualDeplReqs!$AI55,AnnualDeplReqs!$BB55,AnnualDeplReqs!$BF55)</f>
        <v>11624.990000001573</v>
      </c>
      <c r="R55" s="311">
        <f>SUM(AnnualDiversions!$B55:$G55,AnnualDiversions!$M55:$V55,AnnualDiversions!$BJ55)</f>
        <v>109067.13000005131</v>
      </c>
      <c r="S55" s="312">
        <f>SUM(AnnualDiversions!$AT55:$AV55)</f>
        <v>310659.60515617736</v>
      </c>
      <c r="T55" s="312">
        <f>SUM(AnnualDiversions!$AS55,AnnualDiversions!$AW55)</f>
        <v>37763.476493275433</v>
      </c>
      <c r="U55" s="312">
        <f>SUM(AnnualDiversions!$AA55:$AD55)</f>
        <v>5000.0000000019463</v>
      </c>
      <c r="V55" s="312">
        <f>SUM(AnnualDiversions!$BE55,AnnualDiversions!$BA55,AnnualDiversions!$AX55,AnnualDiversions!$AH55,AnnualDiversions!$AE55)</f>
        <v>52460.616526899285</v>
      </c>
      <c r="W55" s="312">
        <f>SUM(AnnualDiversions!$AR55,AnnualDiversions!$AF55,AnnualDiversions!$AZ55)</f>
        <v>5584.8767325392064</v>
      </c>
      <c r="X55" s="312">
        <f>SUM(AnnualDiversions!$BD55,AnnualDiversions!$K55,AnnualDiversions!$H55)</f>
        <v>18383.611249119036</v>
      </c>
      <c r="Y55" s="380">
        <f>SUM(AnnualDiversions!$I55,AnnualDiversions!$W55,AnnualDiversions!$X55,AnnualDiversions!$Y55,AnnualDiversions!$Z55,AnnualDiversions!$AI55,AnnualDiversions!$BB55,AnnualDiversions!$BF55)</f>
        <v>19374.983333335967</v>
      </c>
      <c r="Z55" s="311">
        <f>SUM(AnnualDivReqs!$B55:$G55,AnnualDivReqs!$M55:$V55,AnnualDivReqs!$BJ55)</f>
        <v>109067.13000005131</v>
      </c>
      <c r="AA55" s="312">
        <f>SUM(AnnualDivReqs!$AT55:$AV55)</f>
        <v>310659.60515617736</v>
      </c>
      <c r="AB55" s="312">
        <f>SUM(AnnualDivReqs!$AS55,AnnualDivReqs!$AW55)</f>
        <v>37763.476493275448</v>
      </c>
      <c r="AC55" s="312">
        <f>SUM(AnnualDivReqs!$AA55:$AD55)</f>
        <v>5000.0000000019463</v>
      </c>
      <c r="AD55" s="312">
        <f>SUM(AnnualDivReqs!$BE55,AnnualDivReqs!$BA55,AnnualDivReqs!$AX55,AnnualDivReqs!$AH55,AnnualDivReqs!$AE55)</f>
        <v>52460.616526899285</v>
      </c>
      <c r="AE55" s="312">
        <f>SUM(AnnualDivReqs!$AR55,AnnualDivReqs!$AF55,AnnualDivReqs!$AZ55)</f>
        <v>20466.412464444362</v>
      </c>
      <c r="AF55" s="312">
        <f>SUM(AnnualDivReqs!$BD55,AnnualDivReqs!$K55,AnnualDivReqs!$H55)</f>
        <v>18383.611249119036</v>
      </c>
      <c r="AG55" s="380">
        <f>SUM(AnnualDivReqs!$I55,AnnualDivReqs!$W55,AnnualDivReqs!$X55,AnnualDivReqs!$Y55,AnnualDivReqs!$Z55,AnnualDivReqs!$AI55,AnnualDivReqs!$BB55,AnnualDivReqs!$BF55)</f>
        <v>19374.983333335967</v>
      </c>
    </row>
    <row r="56" spans="1:33" x14ac:dyDescent="0.25">
      <c r="A56" s="4">
        <v>28490.999305555557</v>
      </c>
      <c r="B56" s="311">
        <f>SUM(AnnualDepletions!$B56:$G56,AnnualDepletions!$M56:$V56,AnnualDepletions!$BJ56)</f>
        <v>56994.510800552278</v>
      </c>
      <c r="C56" s="312">
        <f>SUM(AnnualDepletions!$AT56:$AV56)</f>
        <v>269188.8569872044</v>
      </c>
      <c r="D56" s="312">
        <f>SUM(AnnualDepletions!$AS56,AnnualDepletions!$AW56)</f>
        <v>35893.000000000051</v>
      </c>
      <c r="E56" s="312">
        <f>SUM(AnnualDepletions!$AA56:$AD56)</f>
        <v>5000.0000000019172</v>
      </c>
      <c r="F56" s="312">
        <f>SUM(AnnualDepletions!$BE56,AnnualDepletions!$BA56,AnnualDepletions!$AX56,AnnualDepletions!$AH56,AnnualDepletions!$AE56)</f>
        <v>31460.082176340744</v>
      </c>
      <c r="G56" s="312">
        <f>SUM(AnnualDepletions!$AR56,AnnualDepletions!$AF56,AnnualDepletions!$AZ56)</f>
        <v>1850.6978263489827</v>
      </c>
      <c r="H56" s="312">
        <f>SUM(AnnualDepletions!$BD56,AnnualDepletions!$K56,AnnualDepletions!$H56)</f>
        <v>13838.999999998412</v>
      </c>
      <c r="I56" s="380">
        <f>SUM(AnnualDepletions!$I56,AnnualDepletions!$W56,AnnualDepletions!$X56,AnnualDepletions!$Y56,AnnualDepletions!$Z56,AnnualDepletions!$AI56,AnnualDepletions!$BB56,AnnualDepletions!$BF56)</f>
        <v>11624.990000001573</v>
      </c>
      <c r="J56" s="472">
        <f>SUM(AnnualDeplReqs!$B56:$G56,AnnualDeplReqs!$M56:$V56,AnnualDeplReqs!$BJ56)+AnnualDepletions!BJ56</f>
        <v>57288.451238755959</v>
      </c>
      <c r="K56" s="312">
        <f>SUM(AnnualDeplReqs!$AT56:$AV56)</f>
        <v>269188.8569872044</v>
      </c>
      <c r="L56" s="312">
        <f>SUM(AnnualDeplReqs!$AS56,AnnualDeplReqs!$AW56)</f>
        <v>35893.000000000073</v>
      </c>
      <c r="M56" s="312">
        <f>SUM(AnnualDeplReqs!$AA56:$AD56)</f>
        <v>5000.0000000019172</v>
      </c>
      <c r="N56" s="312">
        <f>SUM(AnnualDeplReqs!$BE56,AnnualDeplReqs!$BA56,AnnualDeplReqs!$AX56,AnnualDeplReqs!$AH56,AnnualDeplReqs!$AE56)</f>
        <v>31460.082176340744</v>
      </c>
      <c r="O56" s="312">
        <f>SUM(AnnualDeplReqs!$AR56,AnnualDeplReqs!$AF56,AnnualDeplReqs!$AZ56)</f>
        <v>11120.999999998714</v>
      </c>
      <c r="P56" s="312">
        <f>SUM(AnnualDeplReqs!$BD56,AnnualDeplReqs!$K56,AnnualDeplReqs!$H56)</f>
        <v>13838.999999998412</v>
      </c>
      <c r="Q56" s="380">
        <f>SUM(AnnualDeplReqs!$I56,AnnualDeplReqs!$W56,AnnualDeplReqs!$X56,AnnualDeplReqs!$Y56,AnnualDeplReqs!$Z56,AnnualDeplReqs!$AI56,AnnualDeplReqs!$BB56,AnnualDeplReqs!$BF56)</f>
        <v>11624.990000001573</v>
      </c>
      <c r="R56" s="311">
        <f>SUM(AnnualDiversions!$B56:$G56,AnnualDiversions!$M56:$V56,AnnualDiversions!$BJ56)</f>
        <v>109065.29657506953</v>
      </c>
      <c r="S56" s="312">
        <f>SUM(AnnualDiversions!$AT56:$AV56)</f>
        <v>336486.0712340055</v>
      </c>
      <c r="T56" s="312">
        <f>SUM(AnnualDiversions!$AS56,AnnualDiversions!$AW56)</f>
        <v>37764.238566617612</v>
      </c>
      <c r="U56" s="312">
        <f>SUM(AnnualDiversions!$AA56:$AD56)</f>
        <v>5000.0000000019172</v>
      </c>
      <c r="V56" s="312">
        <f>SUM(AnnualDiversions!$BE56,AnnualDiversions!$BA56,AnnualDiversions!$AX56,AnnualDiversions!$AH56,AnnualDiversions!$AE56)</f>
        <v>52778.819181772487</v>
      </c>
      <c r="W56" s="312">
        <f>SUM(AnnualDiversions!$AR56,AnnualDiversions!$AF56,AnnualDiversions!$AZ56)</f>
        <v>3296.7288396575982</v>
      </c>
      <c r="X56" s="312">
        <f>SUM(AnnualDiversions!$BD56,AnnualDiversions!$K56,AnnualDiversions!$H56)</f>
        <v>21214.335485625772</v>
      </c>
      <c r="Y56" s="380">
        <f>SUM(AnnualDiversions!$I56,AnnualDiversions!$W56,AnnualDiversions!$X56,AnnualDiversions!$Y56,AnnualDiversions!$Z56,AnnualDiversions!$AI56,AnnualDiversions!$BB56,AnnualDiversions!$BF56)</f>
        <v>19374.983333335964</v>
      </c>
      <c r="Z56" s="311">
        <f>SUM(AnnualDivReqs!$B56:$G56,AnnualDivReqs!$M56:$V56,AnnualDivReqs!$BJ56)</f>
        <v>109653.17745147689</v>
      </c>
      <c r="AA56" s="312">
        <f>SUM(AnnualDivReqs!$AT56:$AV56)</f>
        <v>336486.0712340055</v>
      </c>
      <c r="AB56" s="312">
        <f>SUM(AnnualDivReqs!$AS56,AnnualDivReqs!$AW56)</f>
        <v>37764.238566617634</v>
      </c>
      <c r="AC56" s="312">
        <f>SUM(AnnualDivReqs!$AA56:$AD56)</f>
        <v>5000.0000000019172</v>
      </c>
      <c r="AD56" s="312">
        <f>SUM(AnnualDivReqs!$BE56,AnnualDivReqs!$BA56,AnnualDivReqs!$AX56,AnnualDivReqs!$AH56,AnnualDivReqs!$AE56)</f>
        <v>52778.819181772487</v>
      </c>
      <c r="AE56" s="312">
        <f>SUM(AnnualDivReqs!$AR56,AnnualDivReqs!$AF56,AnnualDivReqs!$AZ56)</f>
        <v>19923.227583140477</v>
      </c>
      <c r="AF56" s="312">
        <f>SUM(AnnualDivReqs!$BD56,AnnualDivReqs!$K56,AnnualDivReqs!$H56)</f>
        <v>21214.335485625772</v>
      </c>
      <c r="AG56" s="380">
        <f>SUM(AnnualDivReqs!$I56,AnnualDivReqs!$W56,AnnualDivReqs!$X56,AnnualDivReqs!$Y56,AnnualDivReqs!$Z56,AnnualDivReqs!$AI56,AnnualDivReqs!$BB56,AnnualDivReqs!$BF56)</f>
        <v>19374.983333335964</v>
      </c>
    </row>
    <row r="57" spans="1:33" x14ac:dyDescent="0.25">
      <c r="A57" s="4">
        <v>28855.999305555557</v>
      </c>
      <c r="B57" s="311">
        <f>SUM(AnnualDepletions!$B57:$G57,AnnualDepletions!$M57:$V57,AnnualDepletions!$BJ57)</f>
        <v>57084.202365798061</v>
      </c>
      <c r="C57" s="312">
        <f>SUM(AnnualDepletions!$AT57:$AV57)</f>
        <v>261356.73428463849</v>
      </c>
      <c r="D57" s="312">
        <f>SUM(AnnualDepletions!$AS57,AnnualDepletions!$AW57)</f>
        <v>35893.000000000058</v>
      </c>
      <c r="E57" s="312">
        <f>SUM(AnnualDepletions!$AA57:$AD57)</f>
        <v>5000.0000000019172</v>
      </c>
      <c r="F57" s="312">
        <f>SUM(AnnualDepletions!$BE57,AnnualDepletions!$BA57,AnnualDepletions!$AX57,AnnualDepletions!$AH57,AnnualDepletions!$AE57)</f>
        <v>30809.585033754451</v>
      </c>
      <c r="G57" s="312">
        <f>SUM(AnnualDepletions!$AR57,AnnualDepletions!$AF57,AnnualDepletions!$AZ57)</f>
        <v>3583.5021721409626</v>
      </c>
      <c r="H57" s="312">
        <f>SUM(AnnualDepletions!$BD57,AnnualDepletions!$K57,AnnualDepletions!$H57)</f>
        <v>12670.999999998536</v>
      </c>
      <c r="I57" s="380">
        <f>SUM(AnnualDepletions!$I57,AnnualDepletions!$W57,AnnualDepletions!$X57,AnnualDepletions!$Y57,AnnualDepletions!$Z57,AnnualDepletions!$AI57,AnnualDepletions!$BB57,AnnualDepletions!$BF57)</f>
        <v>11624.990000001573</v>
      </c>
      <c r="J57" s="472">
        <f>SUM(AnnualDeplReqs!$B57:$G57,AnnualDeplReqs!$M57:$V57,AnnualDeplReqs!$BJ57)+AnnualDepletions!BJ57</f>
        <v>57285.471284840853</v>
      </c>
      <c r="K57" s="312">
        <f>SUM(AnnualDeplReqs!$AT57:$AV57)</f>
        <v>261356.73428463849</v>
      </c>
      <c r="L57" s="312">
        <f>SUM(AnnualDeplReqs!$AS57,AnnualDeplReqs!$AW57)</f>
        <v>35893.000000000073</v>
      </c>
      <c r="M57" s="312">
        <f>SUM(AnnualDeplReqs!$AA57:$AD57)</f>
        <v>5000.0000000019172</v>
      </c>
      <c r="N57" s="312">
        <f>SUM(AnnualDeplReqs!$BE57,AnnualDeplReqs!$BA57,AnnualDeplReqs!$AX57,AnnualDeplReqs!$AH57,AnnualDeplReqs!$AE57)</f>
        <v>30809.585033754451</v>
      </c>
      <c r="O57" s="312">
        <f>SUM(AnnualDeplReqs!$AR57,AnnualDeplReqs!$AF57,AnnualDeplReqs!$AZ57)</f>
        <v>11094.999999998723</v>
      </c>
      <c r="P57" s="312">
        <f>SUM(AnnualDeplReqs!$BD57,AnnualDeplReqs!$K57,AnnualDeplReqs!$H57)</f>
        <v>12670.999999998536</v>
      </c>
      <c r="Q57" s="380">
        <f>SUM(AnnualDeplReqs!$I57,AnnualDeplReqs!$W57,AnnualDeplReqs!$X57,AnnualDeplReqs!$Y57,AnnualDeplReqs!$Z57,AnnualDeplReqs!$AI57,AnnualDeplReqs!$BB57,AnnualDeplReqs!$BF57)</f>
        <v>11624.990000001573</v>
      </c>
      <c r="R57" s="311">
        <f>SUM(AnnualDiversions!$B57:$G57,AnnualDiversions!$M57:$V57,AnnualDiversions!$BJ57)</f>
        <v>109067.13000005134</v>
      </c>
      <c r="S57" s="312">
        <f>SUM(AnnualDiversions!$AT57:$AV57)</f>
        <v>326695.91785579844</v>
      </c>
      <c r="T57" s="312">
        <f>SUM(AnnualDiversions!$AS57,AnnualDiversions!$AW57)</f>
        <v>37764.23856661762</v>
      </c>
      <c r="U57" s="312">
        <f>SUM(AnnualDiversions!$AA57:$AD57)</f>
        <v>5000.0000000019172</v>
      </c>
      <c r="V57" s="312">
        <f>SUM(AnnualDiversions!$BE57,AnnualDiversions!$BA57,AnnualDiversions!$AX57,AnnualDiversions!$AH57,AnnualDiversions!$AE57)</f>
        <v>51678.430305842172</v>
      </c>
      <c r="W57" s="312">
        <f>SUM(AnnualDiversions!$AR57,AnnualDiversions!$AF57,AnnualDiversions!$AZ57)</f>
        <v>6550.3115192668065</v>
      </c>
      <c r="X57" s="312">
        <f>SUM(AnnualDiversions!$BD57,AnnualDiversions!$K57,AnnualDiversions!$H57)</f>
        <v>19424.736125719181</v>
      </c>
      <c r="Y57" s="380">
        <f>SUM(AnnualDiversions!$I57,AnnualDiversions!$W57,AnnualDiversions!$X57,AnnualDiversions!$Y57,AnnualDiversions!$Z57,AnnualDiversions!$AI57,AnnualDiversions!$BB57,AnnualDiversions!$BF57)</f>
        <v>19374.983333335964</v>
      </c>
      <c r="Z57" s="311">
        <f>SUM(AnnualDivReqs!$B57:$G57,AnnualDivReqs!$M57:$V57,AnnualDivReqs!$BJ57)</f>
        <v>109469.66783813693</v>
      </c>
      <c r="AA57" s="312">
        <f>SUM(AnnualDivReqs!$AT57:$AV57)</f>
        <v>326695.91785579844</v>
      </c>
      <c r="AB57" s="312">
        <f>SUM(AnnualDivReqs!$AS57,AnnualDivReqs!$AW57)</f>
        <v>37764.238566617634</v>
      </c>
      <c r="AC57" s="312">
        <f>SUM(AnnualDivReqs!$AA57:$AD57)</f>
        <v>5000.0000000019172</v>
      </c>
      <c r="AD57" s="312">
        <f>SUM(AnnualDivReqs!$BE57,AnnualDivReqs!$BA57,AnnualDivReqs!$AX57,AnnualDivReqs!$AH57,AnnualDivReqs!$AE57)</f>
        <v>51678.430305842172</v>
      </c>
      <c r="AE57" s="312">
        <f>SUM(AnnualDivReqs!$AR57,AnnualDivReqs!$AF57,AnnualDivReqs!$AZ57)</f>
        <v>19874.914863831596</v>
      </c>
      <c r="AF57" s="312">
        <f>SUM(AnnualDivReqs!$BD57,AnnualDivReqs!$K57,AnnualDivReqs!$H57)</f>
        <v>19424.736125719181</v>
      </c>
      <c r="AG57" s="380">
        <f>SUM(AnnualDivReqs!$I57,AnnualDivReqs!$W57,AnnualDivReqs!$X57,AnnualDivReqs!$Y57,AnnualDivReqs!$Z57,AnnualDivReqs!$AI57,AnnualDivReqs!$BB57,AnnualDivReqs!$BF57)</f>
        <v>19374.983333335964</v>
      </c>
    </row>
    <row r="58" spans="1:33" x14ac:dyDescent="0.25">
      <c r="A58" s="4">
        <v>29220.999305555557</v>
      </c>
      <c r="B58" s="311">
        <f>SUM(AnnualDepletions!$B58:$G58,AnnualDepletions!$M58:$V58,AnnualDepletions!$BJ58)</f>
        <v>57156.18257810369</v>
      </c>
      <c r="C58" s="312">
        <f>SUM(AnnualDepletions!$AT58:$AV58)</f>
        <v>250262.96118933489</v>
      </c>
      <c r="D58" s="312">
        <f>SUM(AnnualDepletions!$AS58,AnnualDepletions!$AW58)</f>
        <v>35893.000000000058</v>
      </c>
      <c r="E58" s="312">
        <f>SUM(AnnualDepletions!$AA58:$AD58)</f>
        <v>5000.0000000019172</v>
      </c>
      <c r="F58" s="312">
        <f>SUM(AnnualDepletions!$BE58,AnnualDepletions!$BA58,AnnualDepletions!$AX58,AnnualDepletions!$AH58,AnnualDepletions!$AE58)</f>
        <v>33043.999999996209</v>
      </c>
      <c r="G58" s="312">
        <f>SUM(AnnualDepletions!$AR58,AnnualDepletions!$AF58,AnnualDepletions!$AZ58)</f>
        <v>5927.5916292350985</v>
      </c>
      <c r="H58" s="312">
        <f>SUM(AnnualDepletions!$BD58,AnnualDepletions!$K58,AnnualDepletions!$H58)</f>
        <v>11741.999999998639</v>
      </c>
      <c r="I58" s="380">
        <f>SUM(AnnualDepletions!$I58,AnnualDepletions!$W58,AnnualDepletions!$X58,AnnualDepletions!$Y58,AnnualDepletions!$Z58,AnnualDepletions!$AI58,AnnualDepletions!$BB58,AnnualDepletions!$BF58)</f>
        <v>11624.990000001573</v>
      </c>
      <c r="J58" s="472">
        <f>SUM(AnnualDeplReqs!$B58:$G58,AnnualDeplReqs!$M58:$V58,AnnualDeplReqs!$BJ58)+AnnualDepletions!BJ58</f>
        <v>57192.1644745097</v>
      </c>
      <c r="K58" s="312">
        <f>SUM(AnnualDeplReqs!$AT58:$AV58)</f>
        <v>250262.96118933489</v>
      </c>
      <c r="L58" s="312">
        <f>SUM(AnnualDeplReqs!$AS58,AnnualDeplReqs!$AW58)</f>
        <v>35893.000000000073</v>
      </c>
      <c r="M58" s="312">
        <f>SUM(AnnualDeplReqs!$AA58:$AD58)</f>
        <v>5000.0000000019172</v>
      </c>
      <c r="N58" s="312">
        <f>SUM(AnnualDeplReqs!$BE58,AnnualDeplReqs!$BA58,AnnualDeplReqs!$AX58,AnnualDeplReqs!$AH58,AnnualDeplReqs!$AE58)</f>
        <v>33043.999999996209</v>
      </c>
      <c r="O58" s="312">
        <f>SUM(AnnualDeplReqs!$AR58,AnnualDeplReqs!$AF58,AnnualDeplReqs!$AZ58)</f>
        <v>12273.999999998592</v>
      </c>
      <c r="P58" s="312">
        <f>SUM(AnnualDeplReqs!$BD58,AnnualDeplReqs!$K58,AnnualDeplReqs!$H58)</f>
        <v>11741.999999998639</v>
      </c>
      <c r="Q58" s="380">
        <f>SUM(AnnualDeplReqs!$I58,AnnualDeplReqs!$W58,AnnualDeplReqs!$X58,AnnualDeplReqs!$Y58,AnnualDeplReqs!$Z58,AnnualDeplReqs!$AI58,AnnualDeplReqs!$BB58,AnnualDeplReqs!$BF58)</f>
        <v>11624.990000001573</v>
      </c>
      <c r="R58" s="311">
        <f>SUM(AnnualDiversions!$B58:$G58,AnnualDiversions!$M58:$V58,AnnualDiversions!$BJ58)</f>
        <v>109067.13000005134</v>
      </c>
      <c r="S58" s="312">
        <f>SUM(AnnualDiversions!$AT58:$AV58)</f>
        <v>312828.70148666896</v>
      </c>
      <c r="T58" s="312">
        <f>SUM(AnnualDiversions!$AS58,AnnualDiversions!$AW58)</f>
        <v>37764.23856661762</v>
      </c>
      <c r="U58" s="312">
        <f>SUM(AnnualDiversions!$AA58:$AD58)</f>
        <v>5000.0000000019172</v>
      </c>
      <c r="V58" s="312">
        <f>SUM(AnnualDiversions!$BE58,AnnualDiversions!$BA58,AnnualDiversions!$AX58,AnnualDiversions!$AH58,AnnualDiversions!$AE58)</f>
        <v>55479.49721429011</v>
      </c>
      <c r="W58" s="312">
        <f>SUM(AnnualDiversions!$AR58,AnnualDiversions!$AF58,AnnualDiversions!$AZ58)</f>
        <v>10527.773238684495</v>
      </c>
      <c r="X58" s="312">
        <f>SUM(AnnualDiversions!$BD58,AnnualDiversions!$K58,AnnualDiversions!$H58)</f>
        <v>17998.522450330624</v>
      </c>
      <c r="Y58" s="380">
        <f>SUM(AnnualDiversions!$I58,AnnualDiversions!$W58,AnnualDiversions!$X58,AnnualDiversions!$Y58,AnnualDiversions!$Z58,AnnualDiversions!$AI58,AnnualDiversions!$BB58,AnnualDiversions!$BF58)</f>
        <v>19374.983333335964</v>
      </c>
      <c r="Z58" s="311">
        <f>SUM(AnnualDivReqs!$B58:$G58,AnnualDivReqs!$M58:$V58,AnnualDivReqs!$BJ58)</f>
        <v>109139.09379286336</v>
      </c>
      <c r="AA58" s="312">
        <f>SUM(AnnualDivReqs!$AT58:$AV58)</f>
        <v>312828.70148666896</v>
      </c>
      <c r="AB58" s="312">
        <f>SUM(AnnualDivReqs!$AS58,AnnualDivReqs!$AW58)</f>
        <v>37764.238566617634</v>
      </c>
      <c r="AC58" s="312">
        <f>SUM(AnnualDivReqs!$AA58:$AD58)</f>
        <v>5000.0000000019172</v>
      </c>
      <c r="AD58" s="312">
        <f>SUM(AnnualDivReqs!$BE58,AnnualDivReqs!$BA58,AnnualDivReqs!$AX58,AnnualDivReqs!$AH58,AnnualDivReqs!$AE58)</f>
        <v>55479.49721429011</v>
      </c>
      <c r="AE58" s="312">
        <f>SUM(AnnualDivReqs!$AR58,AnnualDivReqs!$AF58,AnnualDivReqs!$AZ58)</f>
        <v>21983.210179552931</v>
      </c>
      <c r="AF58" s="312">
        <f>SUM(AnnualDivReqs!$BD58,AnnualDivReqs!$K58,AnnualDivReqs!$H58)</f>
        <v>17998.522450330624</v>
      </c>
      <c r="AG58" s="380">
        <f>SUM(AnnualDivReqs!$I58,AnnualDivReqs!$W58,AnnualDivReqs!$X58,AnnualDivReqs!$Y58,AnnualDivReqs!$Z58,AnnualDivReqs!$AI58,AnnualDivReqs!$BB58,AnnualDivReqs!$BF58)</f>
        <v>19374.983333335964</v>
      </c>
    </row>
    <row r="59" spans="1:33" x14ac:dyDescent="0.25">
      <c r="A59" s="4">
        <v>29586.999305555557</v>
      </c>
      <c r="B59" s="311">
        <f>SUM(AnnualDepletions!$B59:$G59,AnnualDepletions!$M59:$V59,AnnualDepletions!$BJ59)</f>
        <v>57162.623688016683</v>
      </c>
      <c r="C59" s="312">
        <f>SUM(AnnualDepletions!$AT59:$AV59)</f>
        <v>260914.80817889789</v>
      </c>
      <c r="D59" s="312">
        <f>SUM(AnnualDepletions!$AS59,AnnualDepletions!$AW59)</f>
        <v>35893.000000000058</v>
      </c>
      <c r="E59" s="312">
        <f>SUM(AnnualDepletions!$AA59:$AD59)</f>
        <v>5000.0000000019463</v>
      </c>
      <c r="F59" s="312">
        <f>SUM(AnnualDepletions!$BE59,AnnualDepletions!$BA59,AnnualDepletions!$AX59,AnnualDepletions!$AH59,AnnualDepletions!$AE59)</f>
        <v>32958.841156008748</v>
      </c>
      <c r="G59" s="312">
        <f>SUM(AnnualDepletions!$AR59,AnnualDepletions!$AF59,AnnualDepletions!$AZ59)</f>
        <v>6888.3584600542345</v>
      </c>
      <c r="H59" s="312">
        <f>SUM(AnnualDepletions!$BD59,AnnualDepletions!$K59,AnnualDepletions!$H59)</f>
        <v>12466.999999998561</v>
      </c>
      <c r="I59" s="380">
        <f>SUM(AnnualDepletions!$I59,AnnualDepletions!$W59,AnnualDepletions!$X59,AnnualDepletions!$Y59,AnnualDepletions!$Z59,AnnualDepletions!$AI59,AnnualDepletions!$BB59,AnnualDepletions!$BF59)</f>
        <v>11624.990000001573</v>
      </c>
      <c r="J59" s="472">
        <f>SUM(AnnualDeplReqs!$B59:$G59,AnnualDeplReqs!$M59:$V59,AnnualDeplReqs!$BJ59)+AnnualDepletions!BJ59</f>
        <v>57162.623688016683</v>
      </c>
      <c r="K59" s="312">
        <f>SUM(AnnualDeplReqs!$AT59:$AV59)</f>
        <v>260914.80817889789</v>
      </c>
      <c r="L59" s="312">
        <f>SUM(AnnualDeplReqs!$AS59,AnnualDeplReqs!$AW59)</f>
        <v>35893.000000000073</v>
      </c>
      <c r="M59" s="312">
        <f>SUM(AnnualDeplReqs!$AA59:$AD59)</f>
        <v>5000.0000000019463</v>
      </c>
      <c r="N59" s="312">
        <f>SUM(AnnualDeplReqs!$BE59,AnnualDeplReqs!$BA59,AnnualDeplReqs!$AX59,AnnualDeplReqs!$AH59,AnnualDeplReqs!$AE59)</f>
        <v>32958.841156008748</v>
      </c>
      <c r="O59" s="312">
        <f>SUM(AnnualDeplReqs!$AR59,AnnualDeplReqs!$AF59,AnnualDeplReqs!$AZ59)</f>
        <v>12224.99999999859</v>
      </c>
      <c r="P59" s="312">
        <f>SUM(AnnualDeplReqs!$BD59,AnnualDeplReqs!$K59,AnnualDeplReqs!$H59)</f>
        <v>12466.999999998561</v>
      </c>
      <c r="Q59" s="380">
        <f>SUM(AnnualDeplReqs!$I59,AnnualDeplReqs!$W59,AnnualDeplReqs!$X59,AnnualDeplReqs!$Y59,AnnualDeplReqs!$Z59,AnnualDeplReqs!$AI59,AnnualDeplReqs!$BB59,AnnualDeplReqs!$BF59)</f>
        <v>11624.990000001573</v>
      </c>
      <c r="R59" s="311">
        <f>SUM(AnnualDiversions!$B59:$G59,AnnualDiversions!$M59:$V59,AnnualDiversions!$BJ59)</f>
        <v>109067.13000005131</v>
      </c>
      <c r="S59" s="312">
        <f>SUM(AnnualDiversions!$AT59:$AV59)</f>
        <v>326143.51022362133</v>
      </c>
      <c r="T59" s="312">
        <f>SUM(AnnualDiversions!$AS59,AnnualDiversions!$AW59)</f>
        <v>37763.476493275433</v>
      </c>
      <c r="U59" s="312">
        <f>SUM(AnnualDiversions!$AA59:$AD59)</f>
        <v>5000.0000000019463</v>
      </c>
      <c r="V59" s="312">
        <f>SUM(AnnualDiversions!$BE59,AnnualDiversions!$BA59,AnnualDiversions!$AX59,AnnualDiversions!$AH59,AnnualDiversions!$AE59)</f>
        <v>55310.693063848492</v>
      </c>
      <c r="W59" s="312">
        <f>SUM(AnnualDiversions!$AR59,AnnualDiversions!$AF59,AnnualDiversions!$AZ59)</f>
        <v>12495.398655686013</v>
      </c>
      <c r="X59" s="312">
        <f>SUM(AnnualDiversions!$BD59,AnnualDiversions!$K59,AnnualDiversions!$H59)</f>
        <v>19109.614652978893</v>
      </c>
      <c r="Y59" s="380">
        <f>SUM(AnnualDiversions!$I59,AnnualDiversions!$W59,AnnualDiversions!$X59,AnnualDiversions!$Y59,AnnualDiversions!$Z59,AnnualDiversions!$AI59,AnnualDiversions!$BB59,AnnualDiversions!$BF59)</f>
        <v>19374.983333335967</v>
      </c>
      <c r="Z59" s="311">
        <f>SUM(AnnualDivReqs!$B59:$G59,AnnualDivReqs!$M59:$V59,AnnualDivReqs!$BJ59)</f>
        <v>109067.13000005131</v>
      </c>
      <c r="AA59" s="312">
        <f>SUM(AnnualDivReqs!$AT59:$AV59)</f>
        <v>326143.51022362133</v>
      </c>
      <c r="AB59" s="312">
        <f>SUM(AnnualDivReqs!$AS59,AnnualDivReqs!$AW59)</f>
        <v>37763.476493275448</v>
      </c>
      <c r="AC59" s="312">
        <f>SUM(AnnualDivReqs!$AA59:$AD59)</f>
        <v>5000.0000000019463</v>
      </c>
      <c r="AD59" s="312">
        <f>SUM(AnnualDivReqs!$BE59,AnnualDivReqs!$BA59,AnnualDivReqs!$AX59,AnnualDivReqs!$AH59,AnnualDivReqs!$AE59)</f>
        <v>55310.693063848492</v>
      </c>
      <c r="AE59" s="312">
        <f>SUM(AnnualDivReqs!$AR59,AnnualDivReqs!$AF59,AnnualDivReqs!$AZ59)</f>
        <v>21896.099034579696</v>
      </c>
      <c r="AF59" s="312">
        <f>SUM(AnnualDivReqs!$BD59,AnnualDivReqs!$K59,AnnualDivReqs!$H59)</f>
        <v>19109.614652978893</v>
      </c>
      <c r="AG59" s="380">
        <f>SUM(AnnualDivReqs!$I59,AnnualDivReqs!$W59,AnnualDivReqs!$X59,AnnualDivReqs!$Y59,AnnualDivReqs!$Z59,AnnualDivReqs!$AI59,AnnualDivReqs!$BB59,AnnualDivReqs!$BF59)</f>
        <v>19374.983333335967</v>
      </c>
    </row>
    <row r="60" spans="1:33" x14ac:dyDescent="0.25">
      <c r="A60" s="4">
        <v>29951.999305555557</v>
      </c>
      <c r="B60" s="311">
        <f>SUM(AnnualDepletions!$B60:$G60,AnnualDepletions!$M60:$V60,AnnualDepletions!$BJ60)</f>
        <v>57155.298609804282</v>
      </c>
      <c r="C60" s="312">
        <f>SUM(AnnualDepletions!$AT60:$AV60)</f>
        <v>251435.42933175038</v>
      </c>
      <c r="D60" s="312">
        <f>SUM(AnnualDepletions!$AS60,AnnualDepletions!$AW60)</f>
        <v>35893.000000000044</v>
      </c>
      <c r="E60" s="312">
        <f>SUM(AnnualDepletions!$AA60:$AD60)</f>
        <v>5000.0000000019172</v>
      </c>
      <c r="F60" s="312">
        <f>SUM(AnnualDepletions!$BE60,AnnualDepletions!$BA60,AnnualDepletions!$AX60,AnnualDepletions!$AH60,AnnualDepletions!$AE60)</f>
        <v>34653.457937709689</v>
      </c>
      <c r="G60" s="312">
        <f>SUM(AnnualDepletions!$AR60,AnnualDepletions!$AF60,AnnualDepletions!$AZ60)</f>
        <v>4514.8865059182199</v>
      </c>
      <c r="H60" s="312">
        <f>SUM(AnnualDepletions!$BD60,AnnualDepletions!$K60,AnnualDepletions!$H60)</f>
        <v>12360.999999998588</v>
      </c>
      <c r="I60" s="380">
        <f>SUM(AnnualDepletions!$I60,AnnualDepletions!$W60,AnnualDepletions!$X60,AnnualDepletions!$Y60,AnnualDepletions!$Z60,AnnualDepletions!$AI60,AnnualDepletions!$BB60,AnnualDepletions!$BF60)</f>
        <v>11624.990000001573</v>
      </c>
      <c r="J60" s="472">
        <f>SUM(AnnualDeplReqs!$B60:$G60,AnnualDeplReqs!$M60:$V60,AnnualDeplReqs!$BJ60)+AnnualDepletions!BJ60</f>
        <v>57169.54560980427</v>
      </c>
      <c r="K60" s="312">
        <f>SUM(AnnualDeplReqs!$AT60:$AV60)</f>
        <v>251435.42933175038</v>
      </c>
      <c r="L60" s="312">
        <f>SUM(AnnualDeplReqs!$AS60,AnnualDeplReqs!$AW60)</f>
        <v>35893.000000000073</v>
      </c>
      <c r="M60" s="312">
        <f>SUM(AnnualDeplReqs!$AA60:$AD60)</f>
        <v>5000.0000000019172</v>
      </c>
      <c r="N60" s="312">
        <f>SUM(AnnualDeplReqs!$BE60,AnnualDeplReqs!$BA60,AnnualDeplReqs!$AX60,AnnualDeplReqs!$AH60,AnnualDeplReqs!$AE60)</f>
        <v>34653.457937709689</v>
      </c>
      <c r="O60" s="312">
        <f>SUM(AnnualDeplReqs!$AR60,AnnualDeplReqs!$AF60,AnnualDeplReqs!$AZ60)</f>
        <v>12982.999999998505</v>
      </c>
      <c r="P60" s="312">
        <f>SUM(AnnualDeplReqs!$BD60,AnnualDeplReqs!$K60,AnnualDeplReqs!$H60)</f>
        <v>12360.999999998588</v>
      </c>
      <c r="Q60" s="380">
        <f>SUM(AnnualDeplReqs!$I60,AnnualDeplReqs!$W60,AnnualDeplReqs!$X60,AnnualDeplReqs!$Y60,AnnualDeplReqs!$Z60,AnnualDeplReqs!$AI60,AnnualDeplReqs!$BB60,AnnualDeplReqs!$BF60)</f>
        <v>11624.990000001573</v>
      </c>
      <c r="R60" s="311">
        <f>SUM(AnnualDiversions!$B60:$G60,AnnualDiversions!$M60:$V60,AnnualDiversions!$BJ60)</f>
        <v>109067.13000005134</v>
      </c>
      <c r="S60" s="312">
        <f>SUM(AnnualDiversions!$AT60:$AV60)</f>
        <v>314294.28666468861</v>
      </c>
      <c r="T60" s="312">
        <f>SUM(AnnualDiversions!$AS60,AnnualDiversions!$AW60)</f>
        <v>37764.238566617605</v>
      </c>
      <c r="U60" s="312">
        <f>SUM(AnnualDiversions!$AA60:$AD60)</f>
        <v>5000.0000000019172</v>
      </c>
      <c r="V60" s="312">
        <f>SUM(AnnualDiversions!$BE60,AnnualDiversions!$BA60,AnnualDiversions!$AX60,AnnualDiversions!$AH60,AnnualDiversions!$AE60)</f>
        <v>58187.266391707555</v>
      </c>
      <c r="W60" s="312">
        <f>SUM(AnnualDiversions!$AR60,AnnualDiversions!$AF60,AnnualDiversions!$AZ60)</f>
        <v>8073.3910422379868</v>
      </c>
      <c r="X60" s="312">
        <f>SUM(AnnualDiversions!$BD60,AnnualDiversions!$K60,AnnualDiversions!$H60)</f>
        <v>18948.664900589662</v>
      </c>
      <c r="Y60" s="380">
        <f>SUM(AnnualDiversions!$I60,AnnualDiversions!$W60,AnnualDiversions!$X60,AnnualDiversions!$Y60,AnnualDiversions!$Z60,AnnualDiversions!$AI60,AnnualDiversions!$BB60,AnnualDiversions!$BF60)</f>
        <v>19374.983333335964</v>
      </c>
      <c r="Z60" s="311">
        <f>SUM(AnnualDivReqs!$B60:$G60,AnnualDivReqs!$M60:$V60,AnnualDivReqs!$BJ60)</f>
        <v>109095.62400005132</v>
      </c>
      <c r="AA60" s="312">
        <f>SUM(AnnualDivReqs!$AT60:$AV60)</f>
        <v>314294.28666468861</v>
      </c>
      <c r="AB60" s="312">
        <f>SUM(AnnualDivReqs!$AS60,AnnualDivReqs!$AW60)</f>
        <v>37764.238566617634</v>
      </c>
      <c r="AC60" s="312">
        <f>SUM(AnnualDivReqs!$AA60:$AD60)</f>
        <v>5000.0000000019172</v>
      </c>
      <c r="AD60" s="312">
        <f>SUM(AnnualDivReqs!$BE60,AnnualDivReqs!$BA60,AnnualDivReqs!$AX60,AnnualDivReqs!$AH60,AnnualDivReqs!$AE60)</f>
        <v>58187.266391707555</v>
      </c>
      <c r="AE60" s="312">
        <f>SUM(AnnualDivReqs!$AR60,AnnualDivReqs!$AF60,AnnualDivReqs!$AZ60)</f>
        <v>23252.2136596616</v>
      </c>
      <c r="AF60" s="312">
        <f>SUM(AnnualDivReqs!$BD60,AnnualDivReqs!$K60,AnnualDivReqs!$H60)</f>
        <v>18948.664900589662</v>
      </c>
      <c r="AG60" s="380">
        <f>SUM(AnnualDivReqs!$I60,AnnualDivReqs!$W60,AnnualDivReqs!$X60,AnnualDivReqs!$Y60,AnnualDivReqs!$Z60,AnnualDivReqs!$AI60,AnnualDivReqs!$BB60,AnnualDivReqs!$BF60)</f>
        <v>19374.983333335964</v>
      </c>
    </row>
    <row r="61" spans="1:33" x14ac:dyDescent="0.25">
      <c r="A61" s="4">
        <v>30316.999305555557</v>
      </c>
      <c r="B61" s="311">
        <f>SUM(AnnualDepletions!$B61:$G61,AnnualDepletions!$M61:$V61,AnnualDepletions!$BJ61)</f>
        <v>57173.99867530651</v>
      </c>
      <c r="C61" s="312">
        <f>SUM(AnnualDepletions!$AT61:$AV61)</f>
        <v>217663.57837595366</v>
      </c>
      <c r="D61" s="312">
        <f>SUM(AnnualDepletions!$AS61,AnnualDepletions!$AW61)</f>
        <v>35893.000000000058</v>
      </c>
      <c r="E61" s="312">
        <f>SUM(AnnualDepletions!$AA61:$AD61)</f>
        <v>5000.0000000019172</v>
      </c>
      <c r="F61" s="312">
        <f>SUM(AnnualDepletions!$BE61,AnnualDepletions!$BA61,AnnualDepletions!$AX61,AnnualDepletions!$AH61,AnnualDepletions!$AE61)</f>
        <v>31703.999999996351</v>
      </c>
      <c r="G61" s="312">
        <f>SUM(AnnualDepletions!$AR61,AnnualDepletions!$AF61,AnnualDepletions!$AZ61)</f>
        <v>7815.8520819312189</v>
      </c>
      <c r="H61" s="312">
        <f>SUM(AnnualDepletions!$BD61,AnnualDepletions!$K61,AnnualDepletions!$H61)</f>
        <v>11117.999999998716</v>
      </c>
      <c r="I61" s="380">
        <f>SUM(AnnualDepletions!$I61,AnnualDepletions!$W61,AnnualDepletions!$X61,AnnualDepletions!$Y61,AnnualDepletions!$Z61,AnnualDepletions!$AI61,AnnualDepletions!$BB61,AnnualDepletions!$BF61)</f>
        <v>11624.990000001573</v>
      </c>
      <c r="J61" s="472">
        <f>SUM(AnnualDeplReqs!$B61:$G61,AnnualDeplReqs!$M61:$V61,AnnualDeplReqs!$BJ61)+AnnualDepletions!BJ61</f>
        <v>57173.99867530651</v>
      </c>
      <c r="K61" s="312">
        <f>SUM(AnnualDeplReqs!$AT61:$AV61)</f>
        <v>217663.57837595366</v>
      </c>
      <c r="L61" s="312">
        <f>SUM(AnnualDeplReqs!$AS61,AnnualDeplReqs!$AW61)</f>
        <v>35893.000000000073</v>
      </c>
      <c r="M61" s="312">
        <f>SUM(AnnualDeplReqs!$AA61:$AD61)</f>
        <v>5000.0000000019172</v>
      </c>
      <c r="N61" s="312">
        <f>SUM(AnnualDeplReqs!$BE61,AnnualDeplReqs!$BA61,AnnualDeplReqs!$AX61,AnnualDeplReqs!$AH61,AnnualDeplReqs!$AE61)</f>
        <v>31703.999999996351</v>
      </c>
      <c r="O61" s="312">
        <f>SUM(AnnualDeplReqs!$AR61,AnnualDeplReqs!$AF61,AnnualDeplReqs!$AZ61)</f>
        <v>11974.999999998625</v>
      </c>
      <c r="P61" s="312">
        <f>SUM(AnnualDeplReqs!$BD61,AnnualDeplReqs!$K61,AnnualDeplReqs!$H61)</f>
        <v>11117.999999998716</v>
      </c>
      <c r="Q61" s="380">
        <f>SUM(AnnualDeplReqs!$I61,AnnualDeplReqs!$W61,AnnualDeplReqs!$X61,AnnualDeplReqs!$Y61,AnnualDeplReqs!$Z61,AnnualDeplReqs!$AI61,AnnualDeplReqs!$BB61,AnnualDeplReqs!$BF61)</f>
        <v>11624.990000001573</v>
      </c>
      <c r="R61" s="311">
        <f>SUM(AnnualDiversions!$B61:$G61,AnnualDiversions!$M61:$V61,AnnualDiversions!$BJ61)</f>
        <v>109067.13000005133</v>
      </c>
      <c r="S61" s="312">
        <f>SUM(AnnualDiversions!$AT61:$AV61)</f>
        <v>272079.47296994139</v>
      </c>
      <c r="T61" s="312">
        <f>SUM(AnnualDiversions!$AS61,AnnualDiversions!$AW61)</f>
        <v>37764.23856661762</v>
      </c>
      <c r="U61" s="312">
        <f>SUM(AnnualDiversions!$AA61:$AD61)</f>
        <v>5000.0000000019172</v>
      </c>
      <c r="V61" s="312">
        <f>SUM(AnnualDiversions!$BE61,AnnualDiversions!$BA61,AnnualDiversions!$AX61,AnnualDiversions!$AH61,AnnualDiversions!$AE61)</f>
        <v>53266.466956524397</v>
      </c>
      <c r="W61" s="312">
        <f>SUM(AnnualDiversions!$AR61,AnnualDiversions!$AF61,AnnualDiversions!$AZ61)</f>
        <v>14433.283188500523</v>
      </c>
      <c r="X61" s="312">
        <f>SUM(AnnualDiversions!$BD61,AnnualDiversions!$K61,AnnualDiversions!$H61)</f>
        <v>17041.785644915184</v>
      </c>
      <c r="Y61" s="380">
        <f>SUM(AnnualDiversions!$I61,AnnualDiversions!$W61,AnnualDiversions!$X61,AnnualDiversions!$Y61,AnnualDiversions!$Z61,AnnualDiversions!$AI61,AnnualDiversions!$BB61,AnnualDiversions!$BF61)</f>
        <v>19374.983333335964</v>
      </c>
      <c r="Z61" s="311">
        <f>SUM(AnnualDivReqs!$B61:$G61,AnnualDivReqs!$M61:$V61,AnnualDivReqs!$BJ61)</f>
        <v>109067.13000005133</v>
      </c>
      <c r="AA61" s="312">
        <f>SUM(AnnualDivReqs!$AT61:$AV61)</f>
        <v>272079.47296994139</v>
      </c>
      <c r="AB61" s="312">
        <f>SUM(AnnualDivReqs!$AS61,AnnualDivReqs!$AW61)</f>
        <v>37764.238566617634</v>
      </c>
      <c r="AC61" s="312">
        <f>SUM(AnnualDivReqs!$AA61:$AD61)</f>
        <v>5000.0000000019172</v>
      </c>
      <c r="AD61" s="312">
        <f>SUM(AnnualDivReqs!$BE61,AnnualDivReqs!$BA61,AnnualDivReqs!$AX61,AnnualDivReqs!$AH61,AnnualDivReqs!$AE61)</f>
        <v>53266.466956524397</v>
      </c>
      <c r="AE61" s="312">
        <f>SUM(AnnualDivReqs!$AR61,AnnualDivReqs!$AF61,AnnualDivReqs!$AZ61)</f>
        <v>21449.419053558926</v>
      </c>
      <c r="AF61" s="312">
        <f>SUM(AnnualDivReqs!$BD61,AnnualDivReqs!$K61,AnnualDivReqs!$H61)</f>
        <v>17041.785644915184</v>
      </c>
      <c r="AG61" s="380">
        <f>SUM(AnnualDivReqs!$I61,AnnualDivReqs!$W61,AnnualDivReqs!$X61,AnnualDivReqs!$Y61,AnnualDivReqs!$Z61,AnnualDivReqs!$AI61,AnnualDivReqs!$BB61,AnnualDivReqs!$BF61)</f>
        <v>19374.983333335964</v>
      </c>
    </row>
    <row r="62" spans="1:33" x14ac:dyDescent="0.25">
      <c r="A62" s="4">
        <v>30681.999305555557</v>
      </c>
      <c r="B62" s="311">
        <f>SUM(AnnualDepletions!$B62:$G62,AnnualDepletions!$M62:$V62,AnnualDepletions!$BJ62)</f>
        <v>57173.295461349851</v>
      </c>
      <c r="C62" s="312">
        <f>SUM(AnnualDepletions!$AT62:$AV62)</f>
        <v>241668.02715715033</v>
      </c>
      <c r="D62" s="312">
        <f>SUM(AnnualDepletions!$AS62,AnnualDepletions!$AW62)</f>
        <v>35893.000000000073</v>
      </c>
      <c r="E62" s="312">
        <f>SUM(AnnualDepletions!$AA62:$AD62)</f>
        <v>5000.0000000019172</v>
      </c>
      <c r="F62" s="312">
        <f>SUM(AnnualDepletions!$BE62,AnnualDepletions!$BA62,AnnualDepletions!$AX62,AnnualDepletions!$AH62,AnnualDepletions!$AE62)</f>
        <v>31552.999999996395</v>
      </c>
      <c r="G62" s="312">
        <f>SUM(AnnualDepletions!$AR62,AnnualDepletions!$AF62,AnnualDepletions!$AZ62)</f>
        <v>7978.95884168468</v>
      </c>
      <c r="H62" s="312">
        <f>SUM(AnnualDepletions!$BD62,AnnualDepletions!$K62,AnnualDepletions!$H62)</f>
        <v>11497.999999998685</v>
      </c>
      <c r="I62" s="380">
        <f>SUM(AnnualDepletions!$I62,AnnualDepletions!$W62,AnnualDepletions!$X62,AnnualDepletions!$Y62,AnnualDepletions!$Z62,AnnualDepletions!$AI62,AnnualDepletions!$BB62,AnnualDepletions!$BF62)</f>
        <v>11624.990000001573</v>
      </c>
      <c r="J62" s="472">
        <f>SUM(AnnualDeplReqs!$B62:$G62,AnnualDeplReqs!$M62:$V62,AnnualDeplReqs!$BJ62)+AnnualDepletions!BJ62</f>
        <v>57173.295461349851</v>
      </c>
      <c r="K62" s="312">
        <f>SUM(AnnualDeplReqs!$AT62:$AV62)</f>
        <v>241668.02715715033</v>
      </c>
      <c r="L62" s="312">
        <f>SUM(AnnualDeplReqs!$AS62,AnnualDeplReqs!$AW62)</f>
        <v>35893.000000000073</v>
      </c>
      <c r="M62" s="312">
        <f>SUM(AnnualDeplReqs!$AA62:$AD62)</f>
        <v>5000.0000000019172</v>
      </c>
      <c r="N62" s="312">
        <f>SUM(AnnualDeplReqs!$BE62,AnnualDeplReqs!$BA62,AnnualDeplReqs!$AX62,AnnualDeplReqs!$AH62,AnnualDeplReqs!$AE62)</f>
        <v>31552.999999996395</v>
      </c>
      <c r="O62" s="312">
        <f>SUM(AnnualDeplReqs!$AR62,AnnualDeplReqs!$AF62,AnnualDeplReqs!$AZ62)</f>
        <v>11770.999999998645</v>
      </c>
      <c r="P62" s="312">
        <f>SUM(AnnualDeplReqs!$BD62,AnnualDeplReqs!$K62,AnnualDeplReqs!$H62)</f>
        <v>11497.999999998685</v>
      </c>
      <c r="Q62" s="380">
        <f>SUM(AnnualDeplReqs!$I62,AnnualDeplReqs!$W62,AnnualDeplReqs!$X62,AnnualDeplReqs!$Y62,AnnualDeplReqs!$Z62,AnnualDeplReqs!$AI62,AnnualDeplReqs!$BB62,AnnualDeplReqs!$BF62)</f>
        <v>11624.990000001573</v>
      </c>
      <c r="R62" s="311">
        <f>SUM(AnnualDiversions!$B62:$G62,AnnualDiversions!$M62:$V62,AnnualDiversions!$BJ62)</f>
        <v>109067.13000005133</v>
      </c>
      <c r="S62" s="312">
        <f>SUM(AnnualDiversions!$AT62:$AV62)</f>
        <v>302085.03394643811</v>
      </c>
      <c r="T62" s="312">
        <f>SUM(AnnualDiversions!$AS62,AnnualDiversions!$AW62)</f>
        <v>37764.238566617634</v>
      </c>
      <c r="U62" s="312">
        <f>SUM(AnnualDiversions!$AA62:$AD62)</f>
        <v>5000.0000000019172</v>
      </c>
      <c r="V62" s="312">
        <f>SUM(AnnualDiversions!$BE62,AnnualDiversions!$BA62,AnnualDiversions!$AX62,AnnualDiversions!$AH62,AnnualDiversions!$AE62)</f>
        <v>52968.626370423008</v>
      </c>
      <c r="W62" s="312">
        <f>SUM(AnnualDiversions!$AR62,AnnualDiversions!$AF62,AnnualDiversions!$AZ62)</f>
        <v>15270.236766008826</v>
      </c>
      <c r="X62" s="312">
        <f>SUM(AnnualDiversions!$BD62,AnnualDiversions!$K62,AnnualDiversions!$H62)</f>
        <v>17625.787725392925</v>
      </c>
      <c r="Y62" s="380">
        <f>SUM(AnnualDiversions!$I62,AnnualDiversions!$W62,AnnualDiversions!$X62,AnnualDiversions!$Y62,AnnualDiversions!$Z62,AnnualDiversions!$AI62,AnnualDiversions!$BB62,AnnualDiversions!$BF62)</f>
        <v>19374.983333335964</v>
      </c>
      <c r="Z62" s="311">
        <f>SUM(AnnualDivReqs!$B62:$G62,AnnualDivReqs!$M62:$V62,AnnualDivReqs!$BJ62)</f>
        <v>109067.13000005133</v>
      </c>
      <c r="AA62" s="312">
        <f>SUM(AnnualDivReqs!$AT62:$AV62)</f>
        <v>302085.03394643811</v>
      </c>
      <c r="AB62" s="312">
        <f>SUM(AnnualDivReqs!$AS62,AnnualDivReqs!$AW62)</f>
        <v>37764.238566617634</v>
      </c>
      <c r="AC62" s="312">
        <f>SUM(AnnualDivReqs!$AA62:$AD62)</f>
        <v>5000.0000000019172</v>
      </c>
      <c r="AD62" s="312">
        <f>SUM(AnnualDivReqs!$BE62,AnnualDivReqs!$BA62,AnnualDivReqs!$AX62,AnnualDivReqs!$AH62,AnnualDivReqs!$AE62)</f>
        <v>52968.626370423008</v>
      </c>
      <c r="AE62" s="312">
        <f>SUM(AnnualDivReqs!$AR62,AnnualDivReqs!$AF62,AnnualDivReqs!$AZ62)</f>
        <v>21082.871405966605</v>
      </c>
      <c r="AF62" s="312">
        <f>SUM(AnnualDivReqs!$BD62,AnnualDivReqs!$K62,AnnualDivReqs!$H62)</f>
        <v>17625.787725392925</v>
      </c>
      <c r="AG62" s="380">
        <f>SUM(AnnualDivReqs!$I62,AnnualDivReqs!$W62,AnnualDivReqs!$X62,AnnualDivReqs!$Y62,AnnualDivReqs!$Z62,AnnualDivReqs!$AI62,AnnualDivReqs!$BB62,AnnualDivReqs!$BF62)</f>
        <v>19374.983333335964</v>
      </c>
    </row>
    <row r="63" spans="1:33" x14ac:dyDescent="0.25">
      <c r="A63" s="4">
        <v>31047.999305555557</v>
      </c>
      <c r="B63" s="311">
        <f>SUM(AnnualDepletions!$B63:$G63,AnnualDepletions!$M63:$V63,AnnualDepletions!$BJ63)</f>
        <v>57174.022949505095</v>
      </c>
      <c r="C63" s="312">
        <f>SUM(AnnualDepletions!$AT63:$AV63)</f>
        <v>218474.14087278556</v>
      </c>
      <c r="D63" s="312">
        <f>SUM(AnnualDepletions!$AS63,AnnualDepletions!$AW63)</f>
        <v>35893.000000000051</v>
      </c>
      <c r="E63" s="312">
        <f>SUM(AnnualDepletions!$AA63:$AD63)</f>
        <v>5000.0000000019463</v>
      </c>
      <c r="F63" s="312">
        <f>SUM(AnnualDepletions!$BE63,AnnualDepletions!$BA63,AnnualDepletions!$AX63,AnnualDepletions!$AH63,AnnualDepletions!$AE63)</f>
        <v>32322.318318451507</v>
      </c>
      <c r="G63" s="312">
        <f>SUM(AnnualDepletions!$AR63,AnnualDepletions!$AF63,AnnualDepletions!$AZ63)</f>
        <v>5782.8078972136145</v>
      </c>
      <c r="H63" s="312">
        <f>SUM(AnnualDepletions!$BD63,AnnualDepletions!$K63,AnnualDepletions!$H63)</f>
        <v>12068.999999998607</v>
      </c>
      <c r="I63" s="380">
        <f>SUM(AnnualDepletions!$I63,AnnualDepletions!$W63,AnnualDepletions!$X63,AnnualDepletions!$Y63,AnnualDepletions!$Z63,AnnualDepletions!$AI63,AnnualDepletions!$BB63,AnnualDepletions!$BF63)</f>
        <v>11624.990000001573</v>
      </c>
      <c r="J63" s="472">
        <f>SUM(AnnualDeplReqs!$B63:$G63,AnnualDeplReqs!$M63:$V63,AnnualDeplReqs!$BJ63)+AnnualDepletions!BJ63</f>
        <v>57174.022949505095</v>
      </c>
      <c r="K63" s="312">
        <f>SUM(AnnualDeplReqs!$AT63:$AV63)</f>
        <v>218474.14087278556</v>
      </c>
      <c r="L63" s="312">
        <f>SUM(AnnualDeplReqs!$AS63,AnnualDeplReqs!$AW63)</f>
        <v>35893.000000000073</v>
      </c>
      <c r="M63" s="312">
        <f>SUM(AnnualDeplReqs!$AA63:$AD63)</f>
        <v>5000.0000000019463</v>
      </c>
      <c r="N63" s="312">
        <f>SUM(AnnualDeplReqs!$BE63,AnnualDeplReqs!$BA63,AnnualDeplReqs!$AX63,AnnualDeplReqs!$AH63,AnnualDeplReqs!$AE63)</f>
        <v>32322.318318451507</v>
      </c>
      <c r="O63" s="312">
        <f>SUM(AnnualDeplReqs!$AR63,AnnualDeplReqs!$AF63,AnnualDeplReqs!$AZ63)</f>
        <v>12033.999999998623</v>
      </c>
      <c r="P63" s="312">
        <f>SUM(AnnualDeplReqs!$BD63,AnnualDeplReqs!$K63,AnnualDeplReqs!$H63)</f>
        <v>12068.999999998607</v>
      </c>
      <c r="Q63" s="380">
        <f>SUM(AnnualDeplReqs!$I63,AnnualDeplReqs!$W63,AnnualDeplReqs!$X63,AnnualDeplReqs!$Y63,AnnualDeplReqs!$Z63,AnnualDeplReqs!$AI63,AnnualDeplReqs!$BB63,AnnualDeplReqs!$BF63)</f>
        <v>11624.990000001573</v>
      </c>
      <c r="R63" s="311">
        <f>SUM(AnnualDiversions!$B63:$G63,AnnualDiversions!$M63:$V63,AnnualDiversions!$BJ63)</f>
        <v>109067.13000005131</v>
      </c>
      <c r="S63" s="312">
        <f>SUM(AnnualDiversions!$AT63:$AV63)</f>
        <v>273092.67609098158</v>
      </c>
      <c r="T63" s="312">
        <f>SUM(AnnualDiversions!$AS63,AnnualDiversions!$AW63)</f>
        <v>37763.476493275426</v>
      </c>
      <c r="U63" s="312">
        <f>SUM(AnnualDiversions!$AA63:$AD63)</f>
        <v>5000.0000000019463</v>
      </c>
      <c r="V63" s="312">
        <f>SUM(AnnualDiversions!$BE63,AnnualDiversions!$BA63,AnnualDiversions!$AX63,AnnualDiversions!$AH63,AnnualDiversions!$AE63)</f>
        <v>54253.718141996833</v>
      </c>
      <c r="W63" s="312">
        <f>SUM(AnnualDiversions!$AR63,AnnualDiversions!$AF63,AnnualDiversions!$AZ63)</f>
        <v>10812.341803849049</v>
      </c>
      <c r="X63" s="312">
        <f>SUM(AnnualDiversions!$BD63,AnnualDiversions!$K63,AnnualDiversions!$H63)</f>
        <v>18500.136459623631</v>
      </c>
      <c r="Y63" s="380">
        <f>SUM(AnnualDiversions!$I63,AnnualDiversions!$W63,AnnualDiversions!$X63,AnnualDiversions!$Y63,AnnualDiversions!$Z63,AnnualDiversions!$AI63,AnnualDiversions!$BB63,AnnualDiversions!$BF63)</f>
        <v>19374.983333335967</v>
      </c>
      <c r="Z63" s="311">
        <f>SUM(AnnualDivReqs!$B63:$G63,AnnualDivReqs!$M63:$V63,AnnualDivReqs!$BJ63)</f>
        <v>109067.13000005131</v>
      </c>
      <c r="AA63" s="312">
        <f>SUM(AnnualDivReqs!$AT63:$AV63)</f>
        <v>273092.67609098158</v>
      </c>
      <c r="AB63" s="312">
        <f>SUM(AnnualDivReqs!$AS63,AnnualDivReqs!$AW63)</f>
        <v>37763.476493275448</v>
      </c>
      <c r="AC63" s="312">
        <f>SUM(AnnualDivReqs!$AA63:$AD63)</f>
        <v>5000.0000000019463</v>
      </c>
      <c r="AD63" s="312">
        <f>SUM(AnnualDivReqs!$BE63,AnnualDivReqs!$BA63,AnnualDivReqs!$AX63,AnnualDivReqs!$AH63,AnnualDivReqs!$AE63)</f>
        <v>54253.718141996833</v>
      </c>
      <c r="AE63" s="312">
        <f>SUM(AnnualDivReqs!$AR63,AnnualDivReqs!$AF63,AnnualDivReqs!$AZ63)</f>
        <v>21552.69355380191</v>
      </c>
      <c r="AF63" s="312">
        <f>SUM(AnnualDivReqs!$BD63,AnnualDivReqs!$K63,AnnualDivReqs!$H63)</f>
        <v>18500.136459623631</v>
      </c>
      <c r="AG63" s="380">
        <f>SUM(AnnualDivReqs!$I63,AnnualDivReqs!$W63,AnnualDivReqs!$X63,AnnualDivReqs!$Y63,AnnualDivReqs!$Z63,AnnualDivReqs!$AI63,AnnualDivReqs!$BB63,AnnualDivReqs!$BF63)</f>
        <v>19374.983333335967</v>
      </c>
    </row>
    <row r="64" spans="1:33" x14ac:dyDescent="0.25">
      <c r="A64" s="4">
        <v>31412.999305555557</v>
      </c>
      <c r="B64" s="311">
        <f>SUM(AnnualDepletions!$B64:$G64,AnnualDepletions!$M64:$V64,AnnualDepletions!$BJ64)</f>
        <v>57172.793560968457</v>
      </c>
      <c r="C64" s="312">
        <f>SUM(AnnualDepletions!$AT64:$AV64)</f>
        <v>249695.28810707264</v>
      </c>
      <c r="D64" s="312">
        <f>SUM(AnnualDepletions!$AS64,AnnualDepletions!$AW64)</f>
        <v>35893.000000000051</v>
      </c>
      <c r="E64" s="312">
        <f>SUM(AnnualDepletions!$AA64:$AD64)</f>
        <v>5000.0000000019172</v>
      </c>
      <c r="F64" s="312">
        <f>SUM(AnnualDepletions!$BE64,AnnualDepletions!$BA64,AnnualDepletions!$AX64,AnnualDepletions!$AH64,AnnualDepletions!$AE64)</f>
        <v>32672.55337840804</v>
      </c>
      <c r="G64" s="312">
        <f>SUM(AnnualDepletions!$AR64,AnnualDepletions!$AF64,AnnualDepletions!$AZ64)</f>
        <v>6189.4031566024496</v>
      </c>
      <c r="H64" s="312">
        <f>SUM(AnnualDepletions!$BD64,AnnualDepletions!$K64,AnnualDepletions!$H64)</f>
        <v>12235.999999998594</v>
      </c>
      <c r="I64" s="380">
        <f>SUM(AnnualDepletions!$I64,AnnualDepletions!$W64,AnnualDepletions!$X64,AnnualDepletions!$Y64,AnnualDepletions!$Z64,AnnualDepletions!$AI64,AnnualDepletions!$BB64,AnnualDepletions!$BF64)</f>
        <v>11624.990000001573</v>
      </c>
      <c r="J64" s="472">
        <f>SUM(AnnualDeplReqs!$B64:$G64,AnnualDeplReqs!$M64:$V64,AnnualDeplReqs!$BJ64)+AnnualDepletions!BJ64</f>
        <v>57172.793560968457</v>
      </c>
      <c r="K64" s="312">
        <f>SUM(AnnualDeplReqs!$AT64:$AV64)</f>
        <v>249695.28810707264</v>
      </c>
      <c r="L64" s="312">
        <f>SUM(AnnualDeplReqs!$AS64,AnnualDeplReqs!$AW64)</f>
        <v>35893.000000000073</v>
      </c>
      <c r="M64" s="312">
        <f>SUM(AnnualDeplReqs!$AA64:$AD64)</f>
        <v>5000.0000000019172</v>
      </c>
      <c r="N64" s="312">
        <f>SUM(AnnualDeplReqs!$BE64,AnnualDeplReqs!$BA64,AnnualDeplReqs!$AX64,AnnualDeplReqs!$AH64,AnnualDeplReqs!$AE64)</f>
        <v>32672.55337840804</v>
      </c>
      <c r="O64" s="312">
        <f>SUM(AnnualDeplReqs!$AR64,AnnualDeplReqs!$AF64,AnnualDeplReqs!$AZ64)</f>
        <v>12060.999999998621</v>
      </c>
      <c r="P64" s="312">
        <f>SUM(AnnualDeplReqs!$BD64,AnnualDeplReqs!$K64,AnnualDeplReqs!$H64)</f>
        <v>12235.999999998594</v>
      </c>
      <c r="Q64" s="380">
        <f>SUM(AnnualDeplReqs!$I64,AnnualDeplReqs!$W64,AnnualDeplReqs!$X64,AnnualDeplReqs!$Y64,AnnualDeplReqs!$Z64,AnnualDeplReqs!$AI64,AnnualDeplReqs!$BB64,AnnualDeplReqs!$BF64)</f>
        <v>11624.990000001573</v>
      </c>
      <c r="R64" s="311">
        <f>SUM(AnnualDiversions!$B64:$G64,AnnualDiversions!$M64:$V64,AnnualDiversions!$BJ64)</f>
        <v>109067.13000005133</v>
      </c>
      <c r="S64" s="312">
        <f>SUM(AnnualDiversions!$AT64:$AV64)</f>
        <v>312119.1101338414</v>
      </c>
      <c r="T64" s="312">
        <f>SUM(AnnualDiversions!$AS64,AnnualDiversions!$AW64)</f>
        <v>37764.238566617612</v>
      </c>
      <c r="U64" s="312">
        <f>SUM(AnnualDiversions!$AA64:$AD64)</f>
        <v>5000.0000000019172</v>
      </c>
      <c r="V64" s="312">
        <f>SUM(AnnualDiversions!$BE64,AnnualDiversions!$BA64,AnnualDiversions!$AX64,AnnualDiversions!$AH64,AnnualDiversions!$AE64)</f>
        <v>54844.662114769955</v>
      </c>
      <c r="W64" s="312">
        <f>SUM(AnnualDiversions!$AR64,AnnualDiversions!$AF64,AnnualDiversions!$AZ64)</f>
        <v>11425.000710999801</v>
      </c>
      <c r="X64" s="312">
        <f>SUM(AnnualDiversions!$BD64,AnnualDiversions!$K64,AnnualDiversions!$H64)</f>
        <v>18756.83339047926</v>
      </c>
      <c r="Y64" s="380">
        <f>SUM(AnnualDiversions!$I64,AnnualDiversions!$W64,AnnualDiversions!$X64,AnnualDiversions!$Y64,AnnualDiversions!$Z64,AnnualDiversions!$AI64,AnnualDiversions!$BB64,AnnualDiversions!$BF64)</f>
        <v>19374.983333335964</v>
      </c>
      <c r="Z64" s="311">
        <f>SUM(AnnualDivReqs!$B64:$G64,AnnualDivReqs!$M64:$V64,AnnualDivReqs!$BJ64)</f>
        <v>109067.13000005133</v>
      </c>
      <c r="AA64" s="312">
        <f>SUM(AnnualDivReqs!$AT64:$AV64)</f>
        <v>312119.1101338414</v>
      </c>
      <c r="AB64" s="312">
        <f>SUM(AnnualDivReqs!$AS64,AnnualDivReqs!$AW64)</f>
        <v>37764.238566617634</v>
      </c>
      <c r="AC64" s="312">
        <f>SUM(AnnualDivReqs!$AA64:$AD64)</f>
        <v>5000.0000000019172</v>
      </c>
      <c r="AD64" s="312">
        <f>SUM(AnnualDivReqs!$BE64,AnnualDivReqs!$BA64,AnnualDivReqs!$AX64,AnnualDivReqs!$AH64,AnnualDivReqs!$AE64)</f>
        <v>54844.662114769955</v>
      </c>
      <c r="AE64" s="312">
        <f>SUM(AnnualDivReqs!$AR64,AnnualDivReqs!$AF64,AnnualDivReqs!$AZ64)</f>
        <v>21601.811254365861</v>
      </c>
      <c r="AF64" s="312">
        <f>SUM(AnnualDivReqs!$BD64,AnnualDivReqs!$K64,AnnualDivReqs!$H64)</f>
        <v>18756.83339047926</v>
      </c>
      <c r="AG64" s="380">
        <f>SUM(AnnualDivReqs!$I64,AnnualDivReqs!$W64,AnnualDivReqs!$X64,AnnualDivReqs!$Y64,AnnualDivReqs!$Z64,AnnualDivReqs!$AI64,AnnualDivReqs!$BB64,AnnualDivReqs!$BF64)</f>
        <v>19374.983333335964</v>
      </c>
    </row>
    <row r="65" spans="1:33" x14ac:dyDescent="0.25">
      <c r="A65" s="4">
        <v>31777.999305555557</v>
      </c>
      <c r="B65" s="311">
        <f>SUM(AnnualDepletions!$B65:$G65,AnnualDepletions!$M65:$V65,AnnualDepletions!$BJ65)</f>
        <v>57174.024543631749</v>
      </c>
      <c r="C65" s="312">
        <f>SUM(AnnualDepletions!$AT65:$AV65)</f>
        <v>207797.03008561779</v>
      </c>
      <c r="D65" s="312">
        <f>SUM(AnnualDepletions!$AS65,AnnualDepletions!$AW65)</f>
        <v>35893.000000000044</v>
      </c>
      <c r="E65" s="312">
        <f>SUM(AnnualDepletions!$AA65:$AD65)</f>
        <v>5000.0000000019172</v>
      </c>
      <c r="F65" s="312">
        <f>SUM(AnnualDepletions!$BE65,AnnualDepletions!$BA65,AnnualDepletions!$AX65,AnnualDepletions!$AH65,AnnualDepletions!$AE65)</f>
        <v>26360.999999996944</v>
      </c>
      <c r="G65" s="312">
        <f>SUM(AnnualDepletions!$AR65,AnnualDepletions!$AF65,AnnualDepletions!$AZ65)</f>
        <v>8965.8565144055046</v>
      </c>
      <c r="H65" s="312">
        <f>SUM(AnnualDepletions!$BD65,AnnualDepletions!$K65,AnnualDepletions!$H65)</f>
        <v>10570.999999998776</v>
      </c>
      <c r="I65" s="380">
        <f>SUM(AnnualDepletions!$I65,AnnualDepletions!$W65,AnnualDepletions!$X65,AnnualDepletions!$Y65,AnnualDepletions!$Z65,AnnualDepletions!$AI65,AnnualDepletions!$BB65,AnnualDepletions!$BF65)</f>
        <v>11624.990000001573</v>
      </c>
      <c r="J65" s="472">
        <f>SUM(AnnualDeplReqs!$B65:$G65,AnnualDeplReqs!$M65:$V65,AnnualDeplReqs!$BJ65)+AnnualDepletions!BJ65</f>
        <v>57174.024543631749</v>
      </c>
      <c r="K65" s="312">
        <f>SUM(AnnualDeplReqs!$AT65:$AV65)</f>
        <v>207797.03008561779</v>
      </c>
      <c r="L65" s="312">
        <f>SUM(AnnualDeplReqs!$AS65,AnnualDeplReqs!$AW65)</f>
        <v>35893.000000000073</v>
      </c>
      <c r="M65" s="312">
        <f>SUM(AnnualDeplReqs!$AA65:$AD65)</f>
        <v>5000.0000000019172</v>
      </c>
      <c r="N65" s="312">
        <f>SUM(AnnualDeplReqs!$BE65,AnnualDeplReqs!$BA65,AnnualDeplReqs!$AX65,AnnualDeplReqs!$AH65,AnnualDeplReqs!$AE65)</f>
        <v>26360.999999996944</v>
      </c>
      <c r="O65" s="312">
        <f>SUM(AnnualDeplReqs!$AR65,AnnualDeplReqs!$AF65,AnnualDeplReqs!$AZ65)</f>
        <v>9617.9999999988886</v>
      </c>
      <c r="P65" s="312">
        <f>SUM(AnnualDeplReqs!$BD65,AnnualDeplReqs!$K65,AnnualDeplReqs!$H65)</f>
        <v>10570.999999998776</v>
      </c>
      <c r="Q65" s="380">
        <f>SUM(AnnualDeplReqs!$I65,AnnualDeplReqs!$W65,AnnualDeplReqs!$X65,AnnualDeplReqs!$Y65,AnnualDeplReqs!$Z65,AnnualDeplReqs!$AI65,AnnualDeplReqs!$BB65,AnnualDeplReqs!$BF65)</f>
        <v>11624.990000001573</v>
      </c>
      <c r="R65" s="311">
        <f>SUM(AnnualDiversions!$B65:$G65,AnnualDiversions!$M65:$V65,AnnualDiversions!$BJ65)</f>
        <v>109067.13000005133</v>
      </c>
      <c r="S65" s="312">
        <f>SUM(AnnualDiversions!$AT65:$AV65)</f>
        <v>259746.28760702224</v>
      </c>
      <c r="T65" s="312">
        <f>SUM(AnnualDiversions!$AS65,AnnualDiversions!$AW65)</f>
        <v>37764.238566617605</v>
      </c>
      <c r="U65" s="312">
        <f>SUM(AnnualDiversions!$AA65:$AD65)</f>
        <v>5000.0000000019172</v>
      </c>
      <c r="V65" s="312">
        <f>SUM(AnnualDiversions!$BE65,AnnualDiversions!$BA65,AnnualDiversions!$AX65,AnnualDiversions!$AH65,AnnualDiversions!$AE65)</f>
        <v>44249.607068876925</v>
      </c>
      <c r="W65" s="312">
        <f>SUM(AnnualDiversions!$AR65,AnnualDiversions!$AF65,AnnualDiversions!$AZ65)</f>
        <v>16506.172143616677</v>
      </c>
      <c r="X65" s="312">
        <f>SUM(AnnualDiversions!$BD65,AnnualDiversions!$K65,AnnualDiversions!$H65)</f>
        <v>16204.071533288843</v>
      </c>
      <c r="Y65" s="380">
        <f>SUM(AnnualDiversions!$I65,AnnualDiversions!$W65,AnnualDiversions!$X65,AnnualDiversions!$Y65,AnnualDiversions!$Z65,AnnualDiversions!$AI65,AnnualDiversions!$BB65,AnnualDiversions!$BF65)</f>
        <v>19374.983333335964</v>
      </c>
      <c r="Z65" s="311">
        <f>SUM(AnnualDivReqs!$B65:$G65,AnnualDivReqs!$M65:$V65,AnnualDivReqs!$BJ65)</f>
        <v>109067.13000005133</v>
      </c>
      <c r="AA65" s="312">
        <f>SUM(AnnualDivReqs!$AT65:$AV65)</f>
        <v>259746.28760702224</v>
      </c>
      <c r="AB65" s="312">
        <f>SUM(AnnualDivReqs!$AS65,AnnualDivReqs!$AW65)</f>
        <v>37764.238566617634</v>
      </c>
      <c r="AC65" s="312">
        <f>SUM(AnnualDivReqs!$AA65:$AD65)</f>
        <v>5000.0000000019172</v>
      </c>
      <c r="AD65" s="312">
        <f>SUM(AnnualDivReqs!$BE65,AnnualDivReqs!$BA65,AnnualDivReqs!$AX65,AnnualDivReqs!$AH65,AnnualDivReqs!$AE65)</f>
        <v>44249.607068876925</v>
      </c>
      <c r="AE65" s="312">
        <f>SUM(AnnualDivReqs!$AR65,AnnualDivReqs!$AF65,AnnualDivReqs!$AZ65)</f>
        <v>17223.998571391996</v>
      </c>
      <c r="AF65" s="312">
        <f>SUM(AnnualDivReqs!$BD65,AnnualDivReqs!$K65,AnnualDivReqs!$H65)</f>
        <v>16204.071533288843</v>
      </c>
      <c r="AG65" s="380">
        <f>SUM(AnnualDivReqs!$I65,AnnualDivReqs!$W65,AnnualDivReqs!$X65,AnnualDivReqs!$Y65,AnnualDivReqs!$Z65,AnnualDivReqs!$AI65,AnnualDivReqs!$BB65,AnnualDivReqs!$BF65)</f>
        <v>19374.983333335964</v>
      </c>
    </row>
    <row r="66" spans="1:33" x14ac:dyDescent="0.25">
      <c r="A66" s="4">
        <v>32142.999305555557</v>
      </c>
      <c r="B66" s="311">
        <f>SUM(AnnualDepletions!$B66:$G66,AnnualDepletions!$M66:$V66,AnnualDepletions!$BJ66)</f>
        <v>57171.682722238453</v>
      </c>
      <c r="C66" s="312">
        <f>SUM(AnnualDepletions!$AT66:$AV66)</f>
        <v>254390.78611477971</v>
      </c>
      <c r="D66" s="312">
        <f>SUM(AnnualDepletions!$AS66,AnnualDepletions!$AW66)</f>
        <v>35893.000000000073</v>
      </c>
      <c r="E66" s="312">
        <f>SUM(AnnualDepletions!$AA66:$AD66)</f>
        <v>5000.0000000019172</v>
      </c>
      <c r="F66" s="312">
        <f>SUM(AnnualDepletions!$BE66,AnnualDepletions!$BA66,AnnualDepletions!$AX66,AnnualDepletions!$AH66,AnnualDepletions!$AE66)</f>
        <v>32686.015783555093</v>
      </c>
      <c r="G66" s="312">
        <f>SUM(AnnualDepletions!$AR66,AnnualDepletions!$AF66,AnnualDepletions!$AZ66)</f>
        <v>6821.8007601757281</v>
      </c>
      <c r="H66" s="312">
        <f>SUM(AnnualDepletions!$BD66,AnnualDepletions!$K66,AnnualDepletions!$H66)</f>
        <v>12251.999999998588</v>
      </c>
      <c r="I66" s="380">
        <f>SUM(AnnualDepletions!$I66,AnnualDepletions!$W66,AnnualDepletions!$X66,AnnualDepletions!$Y66,AnnualDepletions!$Z66,AnnualDepletions!$AI66,AnnualDepletions!$BB66,AnnualDepletions!$BF66)</f>
        <v>11624.990000001573</v>
      </c>
      <c r="J66" s="472">
        <f>SUM(AnnualDeplReqs!$B66:$G66,AnnualDeplReqs!$M66:$V66,AnnualDeplReqs!$BJ66)+AnnualDepletions!BJ66</f>
        <v>57171.682722238453</v>
      </c>
      <c r="K66" s="312">
        <f>SUM(AnnualDeplReqs!$AT66:$AV66)</f>
        <v>254390.78611477971</v>
      </c>
      <c r="L66" s="312">
        <f>SUM(AnnualDeplReqs!$AS66,AnnualDeplReqs!$AW66)</f>
        <v>35893.000000000073</v>
      </c>
      <c r="M66" s="312">
        <f>SUM(AnnualDeplReqs!$AA66:$AD66)</f>
        <v>5000.0000000019172</v>
      </c>
      <c r="N66" s="312">
        <f>SUM(AnnualDeplReqs!$BE66,AnnualDeplReqs!$BA66,AnnualDeplReqs!$AX66,AnnualDeplReqs!$AH66,AnnualDeplReqs!$AE66)</f>
        <v>32686.015783555093</v>
      </c>
      <c r="O66" s="312">
        <f>SUM(AnnualDeplReqs!$AR66,AnnualDeplReqs!$AF66,AnnualDeplReqs!$AZ66)</f>
        <v>11992.999999998619</v>
      </c>
      <c r="P66" s="312">
        <f>SUM(AnnualDeplReqs!$BD66,AnnualDeplReqs!$K66,AnnualDeplReqs!$H66)</f>
        <v>12251.999999998588</v>
      </c>
      <c r="Q66" s="380">
        <f>SUM(AnnualDeplReqs!$I66,AnnualDeplReqs!$W66,AnnualDeplReqs!$X66,AnnualDeplReqs!$Y66,AnnualDeplReqs!$Z66,AnnualDeplReqs!$AI66,AnnualDeplReqs!$BB66,AnnualDeplReqs!$BF66)</f>
        <v>11624.990000001573</v>
      </c>
      <c r="R66" s="311">
        <f>SUM(AnnualDiversions!$B66:$G66,AnnualDiversions!$M66:$V66,AnnualDiversions!$BJ66)</f>
        <v>109067.13000005133</v>
      </c>
      <c r="S66" s="312">
        <f>SUM(AnnualDiversions!$AT66:$AV66)</f>
        <v>317988.48264347471</v>
      </c>
      <c r="T66" s="312">
        <f>SUM(AnnualDiversions!$AS66,AnnualDiversions!$AW66)</f>
        <v>37764.238566617634</v>
      </c>
      <c r="U66" s="312">
        <f>SUM(AnnualDiversions!$AA66:$AD66)</f>
        <v>5000.0000000019172</v>
      </c>
      <c r="V66" s="312">
        <f>SUM(AnnualDiversions!$BE66,AnnualDiversions!$BA66,AnnualDiversions!$AX66,AnnualDiversions!$AH66,AnnualDiversions!$AE66)</f>
        <v>54850.528379843316</v>
      </c>
      <c r="W66" s="312">
        <f>SUM(AnnualDiversions!$AR66,AnnualDiversions!$AF66,AnnualDiversions!$AZ66)</f>
        <v>12330.319481168117</v>
      </c>
      <c r="X66" s="312">
        <f>SUM(AnnualDiversions!$BD66,AnnualDiversions!$K66,AnnualDiversions!$H66)</f>
        <v>18780.452912790632</v>
      </c>
      <c r="Y66" s="380">
        <f>SUM(AnnualDiversions!$I66,AnnualDiversions!$W66,AnnualDiversions!$X66,AnnualDiversions!$Y66,AnnualDiversions!$Z66,AnnualDiversions!$AI66,AnnualDiversions!$BB66,AnnualDiversions!$BF66)</f>
        <v>19374.983333335964</v>
      </c>
      <c r="Z66" s="311">
        <f>SUM(AnnualDivReqs!$B66:$G66,AnnualDivReqs!$M66:$V66,AnnualDivReqs!$BJ66)</f>
        <v>109067.13000005133</v>
      </c>
      <c r="AA66" s="312">
        <f>SUM(AnnualDivReqs!$AT66:$AV66)</f>
        <v>317988.48264347471</v>
      </c>
      <c r="AB66" s="312">
        <f>SUM(AnnualDivReqs!$AS66,AnnualDivReqs!$AW66)</f>
        <v>37764.238566617634</v>
      </c>
      <c r="AC66" s="312">
        <f>SUM(AnnualDivReqs!$AA66:$AD66)</f>
        <v>5000.0000000019172</v>
      </c>
      <c r="AD66" s="312">
        <f>SUM(AnnualDivReqs!$BE66,AnnualDivReqs!$BA66,AnnualDivReqs!$AX66,AnnualDivReqs!$AH66,AnnualDivReqs!$AE66)</f>
        <v>54850.528379843316</v>
      </c>
      <c r="AE66" s="312">
        <f>SUM(AnnualDivReqs!$AR66,AnnualDivReqs!$AF66,AnnualDivReqs!$AZ66)</f>
        <v>21479.628705168419</v>
      </c>
      <c r="AF66" s="312">
        <f>SUM(AnnualDivReqs!$BD66,AnnualDivReqs!$K66,AnnualDivReqs!$H66)</f>
        <v>18780.452912790632</v>
      </c>
      <c r="AG66" s="380">
        <f>SUM(AnnualDivReqs!$I66,AnnualDivReqs!$W66,AnnualDivReqs!$X66,AnnualDivReqs!$Y66,AnnualDivReqs!$Z66,AnnualDivReqs!$AI66,AnnualDivReqs!$BB66,AnnualDivReqs!$BF66)</f>
        <v>19374.983333335964</v>
      </c>
    </row>
    <row r="67" spans="1:33" x14ac:dyDescent="0.25">
      <c r="A67" s="4">
        <v>32508.999305555557</v>
      </c>
      <c r="B67" s="311">
        <f>SUM(AnnualDepletions!$B67:$G67,AnnualDepletions!$M67:$V67,AnnualDepletions!$BJ67)</f>
        <v>57173.18719713694</v>
      </c>
      <c r="C67" s="312">
        <f>SUM(AnnualDepletions!$AT67:$AV67)</f>
        <v>246916.31337557448</v>
      </c>
      <c r="D67" s="312">
        <f>SUM(AnnualDepletions!$AS67,AnnualDepletions!$AW67)</f>
        <v>35893.000000000051</v>
      </c>
      <c r="E67" s="312">
        <f>SUM(AnnualDepletions!$AA67:$AD67)</f>
        <v>5000.0000000019463</v>
      </c>
      <c r="F67" s="312">
        <f>SUM(AnnualDepletions!$BE67,AnnualDepletions!$BA67,AnnualDepletions!$AX67,AnnualDepletions!$AH67,AnnualDepletions!$AE67)</f>
        <v>31986.63451409098</v>
      </c>
      <c r="G67" s="312">
        <f>SUM(AnnualDepletions!$AR67,AnnualDepletions!$AF67,AnnualDepletions!$AZ67)</f>
        <v>3842.5794974173041</v>
      </c>
      <c r="H67" s="312">
        <f>SUM(AnnualDepletions!$BD67,AnnualDepletions!$K67,AnnualDepletions!$H67)</f>
        <v>12510.999999998561</v>
      </c>
      <c r="I67" s="380">
        <f>SUM(AnnualDepletions!$I67,AnnualDepletions!$W67,AnnualDepletions!$X67,AnnualDepletions!$Y67,AnnualDepletions!$Z67,AnnualDepletions!$AI67,AnnualDepletions!$BB67,AnnualDepletions!$BF67)</f>
        <v>11624.990000001573</v>
      </c>
      <c r="J67" s="472">
        <f>SUM(AnnualDeplReqs!$B67:$G67,AnnualDeplReqs!$M67:$V67,AnnualDeplReqs!$BJ67)+AnnualDepletions!BJ67</f>
        <v>57173.18719713694</v>
      </c>
      <c r="K67" s="312">
        <f>SUM(AnnualDeplReqs!$AT67:$AV67)</f>
        <v>246916.31337557448</v>
      </c>
      <c r="L67" s="312">
        <f>SUM(AnnualDeplReqs!$AS67,AnnualDeplReqs!$AW67)</f>
        <v>35893.000000000073</v>
      </c>
      <c r="M67" s="312">
        <f>SUM(AnnualDeplReqs!$AA67:$AD67)</f>
        <v>5000.0000000019463</v>
      </c>
      <c r="N67" s="312">
        <f>SUM(AnnualDeplReqs!$BE67,AnnualDeplReqs!$BA67,AnnualDeplReqs!$AX67,AnnualDeplReqs!$AH67,AnnualDeplReqs!$AE67)</f>
        <v>31986.63451409098</v>
      </c>
      <c r="O67" s="312">
        <f>SUM(AnnualDeplReqs!$AR67,AnnualDeplReqs!$AF67,AnnualDeplReqs!$AZ67)</f>
        <v>11755.99999999865</v>
      </c>
      <c r="P67" s="312">
        <f>SUM(AnnualDeplReqs!$BD67,AnnualDeplReqs!$K67,AnnualDeplReqs!$H67)</f>
        <v>12510.999999998561</v>
      </c>
      <c r="Q67" s="380">
        <f>SUM(AnnualDeplReqs!$I67,AnnualDeplReqs!$W67,AnnualDeplReqs!$X67,AnnualDeplReqs!$Y67,AnnualDeplReqs!$Z67,AnnualDeplReqs!$AI67,AnnualDeplReqs!$BB67,AnnualDeplReqs!$BF67)</f>
        <v>11624.990000001573</v>
      </c>
      <c r="R67" s="311">
        <f>SUM(AnnualDiversions!$B67:$G67,AnnualDiversions!$M67:$V67,AnnualDiversions!$BJ67)</f>
        <v>109067.13000005131</v>
      </c>
      <c r="S67" s="312">
        <f>SUM(AnnualDiversions!$AT67:$AV67)</f>
        <v>308645.39171946753</v>
      </c>
      <c r="T67" s="312">
        <f>SUM(AnnualDiversions!$AS67,AnnualDiversions!$AW67)</f>
        <v>37763.476493275426</v>
      </c>
      <c r="U67" s="312">
        <f>SUM(AnnualDiversions!$AA67:$AD67)</f>
        <v>5000.0000000019463</v>
      </c>
      <c r="V67" s="312">
        <f>SUM(AnnualDiversions!$BE67,AnnualDiversions!$BA67,AnnualDiversions!$AX67,AnnualDiversions!$AH67,AnnualDiversions!$AE67)</f>
        <v>53662.573381863862</v>
      </c>
      <c r="W67" s="312">
        <f>SUM(AnnualDiversions!$AR67,AnnualDiversions!$AF67,AnnualDiversions!$AZ67)</f>
        <v>7565.252483168304</v>
      </c>
      <c r="X67" s="312">
        <f>SUM(AnnualDiversions!$BD67,AnnualDiversions!$K67,AnnualDiversions!$H67)</f>
        <v>19177.561845303018</v>
      </c>
      <c r="Y67" s="380">
        <f>SUM(AnnualDiversions!$I67,AnnualDiversions!$W67,AnnualDiversions!$X67,AnnualDiversions!$Y67,AnnualDiversions!$Z67,AnnualDiversions!$AI67,AnnualDiversions!$BB67,AnnualDiversions!$BF67)</f>
        <v>19374.983333335967</v>
      </c>
      <c r="Z67" s="311">
        <f>SUM(AnnualDivReqs!$B67:$G67,AnnualDivReqs!$M67:$V67,AnnualDivReqs!$BJ67)</f>
        <v>109067.13000005131</v>
      </c>
      <c r="AA67" s="312">
        <f>SUM(AnnualDivReqs!$AT67:$AV67)</f>
        <v>308645.39171946753</v>
      </c>
      <c r="AB67" s="312">
        <f>SUM(AnnualDivReqs!$AS67,AnnualDivReqs!$AW67)</f>
        <v>37763.476493275448</v>
      </c>
      <c r="AC67" s="312">
        <f>SUM(AnnualDivReqs!$AA67:$AD67)</f>
        <v>5000.0000000019463</v>
      </c>
      <c r="AD67" s="312">
        <f>SUM(AnnualDivReqs!$BE67,AnnualDivReqs!$BA67,AnnualDivReqs!$AX67,AnnualDivReqs!$AH67,AnnualDivReqs!$AE67)</f>
        <v>53662.573381863862</v>
      </c>
      <c r="AE67" s="312">
        <f>SUM(AnnualDivReqs!$AR67,AnnualDivReqs!$AF67,AnnualDivReqs!$AZ67)</f>
        <v>21054.062505282327</v>
      </c>
      <c r="AF67" s="312">
        <f>SUM(AnnualDivReqs!$BD67,AnnualDivReqs!$K67,AnnualDivReqs!$H67)</f>
        <v>19177.561845303018</v>
      </c>
      <c r="AG67" s="380">
        <f>SUM(AnnualDivReqs!$I67,AnnualDivReqs!$W67,AnnualDivReqs!$X67,AnnualDivReqs!$Y67,AnnualDivReqs!$Z67,AnnualDivReqs!$AI67,AnnualDivReqs!$BB67,AnnualDivReqs!$BF67)</f>
        <v>19374.983333335967</v>
      </c>
    </row>
    <row r="68" spans="1:33" x14ac:dyDescent="0.25">
      <c r="A68" s="4">
        <v>32873.999305555553</v>
      </c>
      <c r="B68" s="311">
        <f>SUM(AnnualDepletions!$B68:$G68,AnnualDepletions!$M68:$V68,AnnualDepletions!$BJ68)</f>
        <v>57157.11901197867</v>
      </c>
      <c r="C68" s="312">
        <f>SUM(AnnualDepletions!$AT68:$AV68)</f>
        <v>279541.313396201</v>
      </c>
      <c r="D68" s="312">
        <f>SUM(AnnualDepletions!$AS68,AnnualDepletions!$AW68)</f>
        <v>35893.000000000036</v>
      </c>
      <c r="E68" s="312">
        <f>SUM(AnnualDepletions!$AA68:$AD68)</f>
        <v>5000.0000000019172</v>
      </c>
      <c r="F68" s="312">
        <f>SUM(AnnualDepletions!$BE68,AnnualDepletions!$BA68,AnnualDepletions!$AX68,AnnualDepletions!$AH68,AnnualDepletions!$AE68)</f>
        <v>35960.23795474771</v>
      </c>
      <c r="G68" s="312">
        <f>SUM(AnnualDepletions!$AR68,AnnualDepletions!$AF68,AnnualDepletions!$AZ68)</f>
        <v>3334.7301983893653</v>
      </c>
      <c r="H68" s="312">
        <f>SUM(AnnualDepletions!$BD68,AnnualDepletions!$K68,AnnualDepletions!$H68)</f>
        <v>14477.99999999833</v>
      </c>
      <c r="I68" s="380">
        <f>SUM(AnnualDepletions!$I68,AnnualDepletions!$W68,AnnualDepletions!$X68,AnnualDepletions!$Y68,AnnualDepletions!$Z68,AnnualDepletions!$AI68,AnnualDepletions!$BB68,AnnualDepletions!$BF68)</f>
        <v>11624.990000001573</v>
      </c>
      <c r="J68" s="472">
        <f>SUM(AnnualDeplReqs!$B68:$G68,AnnualDeplReqs!$M68:$V68,AnnualDeplReqs!$BJ68)+AnnualDepletions!BJ68</f>
        <v>57242.838029079656</v>
      </c>
      <c r="K68" s="312">
        <f>SUM(AnnualDeplReqs!$AT68:$AV68)</f>
        <v>279541.313396201</v>
      </c>
      <c r="L68" s="312">
        <f>SUM(AnnualDeplReqs!$AS68,AnnualDeplReqs!$AW68)</f>
        <v>35893.000000000073</v>
      </c>
      <c r="M68" s="312">
        <f>SUM(AnnualDeplReqs!$AA68:$AD68)</f>
        <v>5000.0000000019172</v>
      </c>
      <c r="N68" s="312">
        <f>SUM(AnnualDeplReqs!$BE68,AnnualDeplReqs!$BA68,AnnualDeplReqs!$AX68,AnnualDeplReqs!$AH68,AnnualDeplReqs!$AE68)</f>
        <v>35960.23795474771</v>
      </c>
      <c r="O68" s="312">
        <f>SUM(AnnualDeplReqs!$AR68,AnnualDeplReqs!$AF68,AnnualDeplReqs!$AZ68)</f>
        <v>13131.999999998488</v>
      </c>
      <c r="P68" s="312">
        <f>SUM(AnnualDeplReqs!$BD68,AnnualDeplReqs!$K68,AnnualDeplReqs!$H68)</f>
        <v>14477.99999999833</v>
      </c>
      <c r="Q68" s="380">
        <f>SUM(AnnualDeplReqs!$I68,AnnualDeplReqs!$W68,AnnualDeplReqs!$X68,AnnualDeplReqs!$Y68,AnnualDeplReqs!$Z68,AnnualDeplReqs!$AI68,AnnualDeplReqs!$BB68,AnnualDeplReqs!$BF68)</f>
        <v>11624.990000001573</v>
      </c>
      <c r="R68" s="311">
        <f>SUM(AnnualDiversions!$B68:$G68,AnnualDiversions!$M68:$V68,AnnualDiversions!$BJ68)</f>
        <v>109067.13000005133</v>
      </c>
      <c r="S68" s="312">
        <f>SUM(AnnualDiversions!$AT68:$AV68)</f>
        <v>349426.64174525248</v>
      </c>
      <c r="T68" s="312">
        <f>SUM(AnnualDiversions!$AS68,AnnualDiversions!$AW68)</f>
        <v>37764.238566617598</v>
      </c>
      <c r="U68" s="312">
        <f>SUM(AnnualDiversions!$AA68:$AD68)</f>
        <v>5000.0000000019172</v>
      </c>
      <c r="V68" s="312">
        <f>SUM(AnnualDiversions!$BE68,AnnualDiversions!$BA68,AnnualDiversions!$AX68,AnnualDiversions!$AH68,AnnualDiversions!$AE68)</f>
        <v>60344.257945087389</v>
      </c>
      <c r="W68" s="312">
        <f>SUM(AnnualDiversions!$AR68,AnnualDiversions!$AF68,AnnualDiversions!$AZ68)</f>
        <v>5848.6456877429919</v>
      </c>
      <c r="X68" s="312">
        <f>SUM(AnnualDiversions!$BD68,AnnualDiversions!$K68,AnnualDiversions!$H68)</f>
        <v>22192.538337056762</v>
      </c>
      <c r="Y68" s="380">
        <f>SUM(AnnualDiversions!$I68,AnnualDiversions!$W68,AnnualDiversions!$X68,AnnualDiversions!$Y68,AnnualDiversions!$Z68,AnnualDiversions!$AI68,AnnualDiversions!$BB68,AnnualDiversions!$BF68)</f>
        <v>19374.983333335964</v>
      </c>
      <c r="Z68" s="311">
        <f>SUM(AnnualDivReqs!$B68:$G68,AnnualDivReqs!$M68:$V68,AnnualDivReqs!$BJ68)</f>
        <v>109238.5680342533</v>
      </c>
      <c r="AA68" s="312">
        <f>SUM(AnnualDivReqs!$AT68:$AV68)</f>
        <v>349426.64174525248</v>
      </c>
      <c r="AB68" s="312">
        <f>SUM(AnnualDivReqs!$AS68,AnnualDivReqs!$AW68)</f>
        <v>37764.238566617634</v>
      </c>
      <c r="AC68" s="312">
        <f>SUM(AnnualDivReqs!$AA68:$AD68)</f>
        <v>5000.0000000019172</v>
      </c>
      <c r="AD68" s="312">
        <f>SUM(AnnualDivReqs!$BE68,AnnualDivReqs!$BA68,AnnualDivReqs!$AX68,AnnualDivReqs!$AH68,AnnualDivReqs!$AE68)</f>
        <v>60344.257945087389</v>
      </c>
      <c r="AE68" s="312">
        <f>SUM(AnnualDivReqs!$AR68,AnnualDivReqs!$AF68,AnnualDivReqs!$AZ68)</f>
        <v>23519.213828451033</v>
      </c>
      <c r="AF68" s="312">
        <f>SUM(AnnualDivReqs!$BD68,AnnualDivReqs!$K68,AnnualDivReqs!$H68)</f>
        <v>22192.538337056762</v>
      </c>
      <c r="AG68" s="380">
        <f>SUM(AnnualDivReqs!$I68,AnnualDivReqs!$W68,AnnualDivReqs!$X68,AnnualDivReqs!$Y68,AnnualDivReqs!$Z68,AnnualDivReqs!$AI68,AnnualDivReqs!$BB68,AnnualDivReqs!$BF68)</f>
        <v>19374.983333335964</v>
      </c>
    </row>
    <row r="69" spans="1:33" x14ac:dyDescent="0.25">
      <c r="A69" s="4">
        <v>33238.999305555553</v>
      </c>
      <c r="B69" s="311">
        <f>SUM(AnnualDepletions!$B69:$G69,AnnualDepletions!$M69:$V69,AnnualDepletions!$BJ69)</f>
        <v>57061.295736012769</v>
      </c>
      <c r="C69" s="312">
        <f>SUM(AnnualDepletions!$AT69:$AV69)</f>
        <v>260388.81842197009</v>
      </c>
      <c r="D69" s="312">
        <f>SUM(AnnualDepletions!$AS69,AnnualDepletions!$AW69)</f>
        <v>35893.000000000058</v>
      </c>
      <c r="E69" s="312">
        <f>SUM(AnnualDepletions!$AA69:$AD69)</f>
        <v>5000.0000000019172</v>
      </c>
      <c r="F69" s="312">
        <f>SUM(AnnualDepletions!$BE69,AnnualDepletions!$BA69,AnnualDepletions!$AX69,AnnualDepletions!$AH69,AnnualDepletions!$AE69)</f>
        <v>32276.143328320206</v>
      </c>
      <c r="G69" s="312">
        <f>SUM(AnnualDepletions!$AR69,AnnualDepletions!$AF69,AnnualDepletions!$AZ69)</f>
        <v>3766.420970845305</v>
      </c>
      <c r="H69" s="312">
        <f>SUM(AnnualDepletions!$BD69,AnnualDepletions!$K69,AnnualDepletions!$H69)</f>
        <v>12811.999999998532</v>
      </c>
      <c r="I69" s="380">
        <f>SUM(AnnualDepletions!$I69,AnnualDepletions!$W69,AnnualDepletions!$X69,AnnualDepletions!$Y69,AnnualDepletions!$Z69,AnnualDepletions!$AI69,AnnualDepletions!$BB69,AnnualDepletions!$BF69)</f>
        <v>11624.990000001573</v>
      </c>
      <c r="J69" s="472">
        <f>SUM(AnnualDeplReqs!$B69:$G69,AnnualDeplReqs!$M69:$V69,AnnualDeplReqs!$BJ69)+AnnualDepletions!BJ69</f>
        <v>57075.542736012758</v>
      </c>
      <c r="K69" s="312">
        <f>SUM(AnnualDeplReqs!$AT69:$AV69)</f>
        <v>260388.81842197009</v>
      </c>
      <c r="L69" s="312">
        <f>SUM(AnnualDeplReqs!$AS69,AnnualDeplReqs!$AW69)</f>
        <v>35893.000000000073</v>
      </c>
      <c r="M69" s="312">
        <f>SUM(AnnualDeplReqs!$AA69:$AD69)</f>
        <v>5000.0000000019172</v>
      </c>
      <c r="N69" s="312">
        <f>SUM(AnnualDeplReqs!$BE69,AnnualDeplReqs!$BA69,AnnualDeplReqs!$AX69,AnnualDeplReqs!$AH69,AnnualDeplReqs!$AE69)</f>
        <v>32276.143328320206</v>
      </c>
      <c r="O69" s="312">
        <f>SUM(AnnualDeplReqs!$AR69,AnnualDeplReqs!$AF69,AnnualDeplReqs!$AZ69)</f>
        <v>11769.999999998656</v>
      </c>
      <c r="P69" s="312">
        <f>SUM(AnnualDeplReqs!$BD69,AnnualDeplReqs!$K69,AnnualDeplReqs!$H69)</f>
        <v>12811.999999998532</v>
      </c>
      <c r="Q69" s="380">
        <f>SUM(AnnualDeplReqs!$I69,AnnualDeplReqs!$W69,AnnualDeplReqs!$X69,AnnualDeplReqs!$Y69,AnnualDeplReqs!$Z69,AnnualDeplReqs!$AI69,AnnualDeplReqs!$BB69,AnnualDeplReqs!$BF69)</f>
        <v>11624.990000001573</v>
      </c>
      <c r="R69" s="311">
        <f>SUM(AnnualDiversions!$B69:$G69,AnnualDiversions!$M69:$V69,AnnualDiversions!$BJ69)</f>
        <v>109067.13000005134</v>
      </c>
      <c r="S69" s="312">
        <f>SUM(AnnualDiversions!$AT69:$AV69)</f>
        <v>325486.02302746312</v>
      </c>
      <c r="T69" s="312">
        <f>SUM(AnnualDiversions!$AS69,AnnualDiversions!$AW69)</f>
        <v>37764.23856661762</v>
      </c>
      <c r="U69" s="312">
        <f>SUM(AnnualDiversions!$AA69:$AD69)</f>
        <v>5000.0000000019172</v>
      </c>
      <c r="V69" s="312">
        <f>SUM(AnnualDiversions!$BE69,AnnualDiversions!$BA69,AnnualDiversions!$AX69,AnnualDiversions!$AH69,AnnualDiversions!$AE69)</f>
        <v>54126.38059388315</v>
      </c>
      <c r="W69" s="312">
        <f>SUM(AnnualDiversions!$AR69,AnnualDiversions!$AF69,AnnualDiversions!$AZ69)</f>
        <v>6805.5584077610019</v>
      </c>
      <c r="X69" s="312">
        <f>SUM(AnnualDiversions!$BD69,AnnualDiversions!$K69,AnnualDiversions!$H69)</f>
        <v>19639.612936708556</v>
      </c>
      <c r="Y69" s="380">
        <f>SUM(AnnualDiversions!$I69,AnnualDiversions!$W69,AnnualDiversions!$X69,AnnualDiversions!$Y69,AnnualDiversions!$Z69,AnnualDiversions!$AI69,AnnualDiversions!$BB69,AnnualDiversions!$BF69)</f>
        <v>19374.983333335964</v>
      </c>
      <c r="Z69" s="311">
        <f>SUM(AnnualDivReqs!$B69:$G69,AnnualDivReqs!$M69:$V69,AnnualDivReqs!$BJ69)</f>
        <v>109095.62400005132</v>
      </c>
      <c r="AA69" s="312">
        <f>SUM(AnnualDivReqs!$AT69:$AV69)</f>
        <v>325486.02302746312</v>
      </c>
      <c r="AB69" s="312">
        <f>SUM(AnnualDivReqs!$AS69,AnnualDivReqs!$AW69)</f>
        <v>37764.238566617634</v>
      </c>
      <c r="AC69" s="312">
        <f>SUM(AnnualDivReqs!$AA69:$AD69)</f>
        <v>5000.0000000019172</v>
      </c>
      <c r="AD69" s="312">
        <f>SUM(AnnualDivReqs!$BE69,AnnualDivReqs!$BA69,AnnualDivReqs!$AX69,AnnualDivReqs!$AH69,AnnualDivReqs!$AE69)</f>
        <v>54126.38059388315</v>
      </c>
      <c r="AE69" s="312">
        <f>SUM(AnnualDivReqs!$AR69,AnnualDivReqs!$AF69,AnnualDivReqs!$AZ69)</f>
        <v>21079.530942611771</v>
      </c>
      <c r="AF69" s="312">
        <f>SUM(AnnualDivReqs!$BD69,AnnualDivReqs!$K69,AnnualDivReqs!$H69)</f>
        <v>19639.612936708556</v>
      </c>
      <c r="AG69" s="380">
        <f>SUM(AnnualDivReqs!$I69,AnnualDivReqs!$W69,AnnualDivReqs!$X69,AnnualDivReqs!$Y69,AnnualDivReqs!$Z69,AnnualDivReqs!$AI69,AnnualDivReqs!$BB69,AnnualDivReqs!$BF69)</f>
        <v>19374.983333335964</v>
      </c>
    </row>
    <row r="70" spans="1:33" x14ac:dyDescent="0.25">
      <c r="A70" s="4">
        <v>33603.999305555553</v>
      </c>
      <c r="B70" s="311">
        <f>SUM(AnnualDepletions!$B70:$G70,AnnualDepletions!$M70:$V70,AnnualDepletions!$BJ70)</f>
        <v>57171.988915098664</v>
      </c>
      <c r="C70" s="312">
        <f>SUM(AnnualDepletions!$AT70:$AV70)</f>
        <v>256603.3557338242</v>
      </c>
      <c r="D70" s="312">
        <f>SUM(AnnualDepletions!$AS70,AnnualDepletions!$AW70)</f>
        <v>35893.000000000058</v>
      </c>
      <c r="E70" s="312">
        <f>SUM(AnnualDepletions!$AA70:$AD70)</f>
        <v>5000.0000000019172</v>
      </c>
      <c r="F70" s="312">
        <f>SUM(AnnualDepletions!$BE70,AnnualDepletions!$BA70,AnnualDepletions!$AX70,AnnualDepletions!$AH70,AnnualDepletions!$AE70)</f>
        <v>32747.287984905008</v>
      </c>
      <c r="G70" s="312">
        <f>SUM(AnnualDepletions!$AR70,AnnualDepletions!$AF70,AnnualDepletions!$AZ70)</f>
        <v>2444.384611557879</v>
      </c>
      <c r="H70" s="312">
        <f>SUM(AnnualDepletions!$BD70,AnnualDepletions!$K70,AnnualDepletions!$H70)</f>
        <v>12948.999999998508</v>
      </c>
      <c r="I70" s="380">
        <f>SUM(AnnualDepletions!$I70,AnnualDepletions!$W70,AnnualDepletions!$X70,AnnualDepletions!$Y70,AnnualDepletions!$Z70,AnnualDepletions!$AI70,AnnualDepletions!$BB70,AnnualDepletions!$BF70)</f>
        <v>11624.990000001573</v>
      </c>
      <c r="J70" s="472">
        <f>SUM(AnnualDeplReqs!$B70:$G70,AnnualDeplReqs!$M70:$V70,AnnualDeplReqs!$BJ70)+AnnualDepletions!BJ70</f>
        <v>57171.988915098664</v>
      </c>
      <c r="K70" s="312">
        <f>SUM(AnnualDeplReqs!$AT70:$AV70)</f>
        <v>256603.3557338242</v>
      </c>
      <c r="L70" s="312">
        <f>SUM(AnnualDeplReqs!$AS70,AnnualDeplReqs!$AW70)</f>
        <v>35893.000000000073</v>
      </c>
      <c r="M70" s="312">
        <f>SUM(AnnualDeplReqs!$AA70:$AD70)</f>
        <v>5000.0000000019172</v>
      </c>
      <c r="N70" s="312">
        <f>SUM(AnnualDeplReqs!$BE70,AnnualDeplReqs!$BA70,AnnualDeplReqs!$AX70,AnnualDeplReqs!$AH70,AnnualDeplReqs!$AE70)</f>
        <v>32747.287984905008</v>
      </c>
      <c r="O70" s="312">
        <f>SUM(AnnualDeplReqs!$AR70,AnnualDeplReqs!$AF70,AnnualDeplReqs!$AZ70)</f>
        <v>12076.999999998605</v>
      </c>
      <c r="P70" s="312">
        <f>SUM(AnnualDeplReqs!$BD70,AnnualDeplReqs!$K70,AnnualDeplReqs!$H70)</f>
        <v>12948.999999998508</v>
      </c>
      <c r="Q70" s="380">
        <f>SUM(AnnualDeplReqs!$I70,AnnualDeplReqs!$W70,AnnualDeplReqs!$X70,AnnualDeplReqs!$Y70,AnnualDeplReqs!$Z70,AnnualDeplReqs!$AI70,AnnualDeplReqs!$BB70,AnnualDeplReqs!$BF70)</f>
        <v>11624.990000001573</v>
      </c>
      <c r="R70" s="311">
        <f>SUM(AnnualDiversions!$B70:$G70,AnnualDiversions!$M70:$V70,AnnualDiversions!$BJ70)</f>
        <v>109067.13000005133</v>
      </c>
      <c r="S70" s="312">
        <f>SUM(AnnualDiversions!$AT70:$AV70)</f>
        <v>320754.19466728065</v>
      </c>
      <c r="T70" s="312">
        <f>SUM(AnnualDiversions!$AS70,AnnualDiversions!$AW70)</f>
        <v>37764.23856661762</v>
      </c>
      <c r="U70" s="312">
        <f>SUM(AnnualDiversions!$AA70:$AD70)</f>
        <v>5000.0000000019172</v>
      </c>
      <c r="V70" s="312">
        <f>SUM(AnnualDiversions!$BE70,AnnualDiversions!$BA70,AnnualDiversions!$AX70,AnnualDiversions!$AH70,AnnualDiversions!$AE70)</f>
        <v>54965.897725903342</v>
      </c>
      <c r="W70" s="312">
        <f>SUM(AnnualDiversions!$AR70,AnnualDiversions!$AF70,AnnualDiversions!$AZ70)</f>
        <v>4402.4786418408312</v>
      </c>
      <c r="X70" s="312">
        <f>SUM(AnnualDiversions!$BD70,AnnualDiversions!$K70,AnnualDiversions!$H70)</f>
        <v>19848.479680835942</v>
      </c>
      <c r="Y70" s="380">
        <f>SUM(AnnualDiversions!$I70,AnnualDiversions!$W70,AnnualDiversions!$X70,AnnualDiversions!$Y70,AnnualDiversions!$Z70,AnnualDiversions!$AI70,AnnualDiversions!$BB70,AnnualDiversions!$BF70)</f>
        <v>19374.983333335964</v>
      </c>
      <c r="Z70" s="311">
        <f>SUM(AnnualDivReqs!$B70:$G70,AnnualDivReqs!$M70:$V70,AnnualDivReqs!$BJ70)</f>
        <v>109067.13000005133</v>
      </c>
      <c r="AA70" s="312">
        <f>SUM(AnnualDivReqs!$AT70:$AV70)</f>
        <v>320754.19466728065</v>
      </c>
      <c r="AB70" s="312">
        <f>SUM(AnnualDivReqs!$AS70,AnnualDivReqs!$AW70)</f>
        <v>37764.238566617634</v>
      </c>
      <c r="AC70" s="312">
        <f>SUM(AnnualDivReqs!$AA70:$AD70)</f>
        <v>5000.0000000019172</v>
      </c>
      <c r="AD70" s="312">
        <f>SUM(AnnualDivReqs!$BE70,AnnualDivReqs!$BA70,AnnualDivReqs!$AX70,AnnualDivReqs!$AH70,AnnualDivReqs!$AE70)</f>
        <v>54965.897725903342</v>
      </c>
      <c r="AE70" s="312">
        <f>SUM(AnnualDivReqs!$AR70,AnnualDivReqs!$AF70,AnnualDivReqs!$AZ70)</f>
        <v>21630.918039885219</v>
      </c>
      <c r="AF70" s="312">
        <f>SUM(AnnualDivReqs!$BD70,AnnualDivReqs!$K70,AnnualDivReqs!$H70)</f>
        <v>19848.479680835942</v>
      </c>
      <c r="AG70" s="380">
        <f>SUM(AnnualDivReqs!$I70,AnnualDivReqs!$W70,AnnualDivReqs!$X70,AnnualDivReqs!$Y70,AnnualDivReqs!$Z70,AnnualDivReqs!$AI70,AnnualDivReqs!$BB70,AnnualDivReqs!$BF70)</f>
        <v>19374.983333335964</v>
      </c>
    </row>
    <row r="71" spans="1:33" x14ac:dyDescent="0.25">
      <c r="A71" s="4">
        <v>33969.999305555553</v>
      </c>
      <c r="B71" s="311">
        <f>SUM(AnnualDepletions!$B71:$G71,AnnualDepletions!$M71:$V71,AnnualDepletions!$BJ71)</f>
        <v>57173.427538655553</v>
      </c>
      <c r="C71" s="312">
        <f>SUM(AnnualDepletions!$AT71:$AV71)</f>
        <v>241446.04199848979</v>
      </c>
      <c r="D71" s="312">
        <f>SUM(AnnualDepletions!$AS71,AnnualDepletions!$AW71)</f>
        <v>35893.000000000051</v>
      </c>
      <c r="E71" s="312">
        <f>SUM(AnnualDepletions!$AA71:$AD71)</f>
        <v>5000.0000000019463</v>
      </c>
      <c r="F71" s="312">
        <f>SUM(AnnualDepletions!$BE71,AnnualDepletions!$BA71,AnnualDepletions!$AX71,AnnualDepletions!$AH71,AnnualDepletions!$AE71)</f>
        <v>31749.999999996358</v>
      </c>
      <c r="G71" s="312">
        <f>SUM(AnnualDepletions!$AR71,AnnualDepletions!$AF71,AnnualDepletions!$AZ71)</f>
        <v>5483.3364571871916</v>
      </c>
      <c r="H71" s="312">
        <f>SUM(AnnualDepletions!$BD71,AnnualDepletions!$K71,AnnualDepletions!$H71)</f>
        <v>12680.999999998548</v>
      </c>
      <c r="I71" s="380">
        <f>SUM(AnnualDepletions!$I71,AnnualDepletions!$W71,AnnualDepletions!$X71,AnnualDepletions!$Y71,AnnualDepletions!$Z71,AnnualDepletions!$AI71,AnnualDepletions!$BB71,AnnualDepletions!$BF71)</f>
        <v>11624.990000001573</v>
      </c>
      <c r="J71" s="472">
        <f>SUM(AnnualDeplReqs!$B71:$G71,AnnualDeplReqs!$M71:$V71,AnnualDeplReqs!$BJ71)+AnnualDepletions!BJ71</f>
        <v>57173.427538655553</v>
      </c>
      <c r="K71" s="312">
        <f>SUM(AnnualDeplReqs!$AT71:$AV71)</f>
        <v>241446.04199848979</v>
      </c>
      <c r="L71" s="312">
        <f>SUM(AnnualDeplReqs!$AS71,AnnualDeplReqs!$AW71)</f>
        <v>35893.000000000073</v>
      </c>
      <c r="M71" s="312">
        <f>SUM(AnnualDeplReqs!$AA71:$AD71)</f>
        <v>5000.0000000019463</v>
      </c>
      <c r="N71" s="312">
        <f>SUM(AnnualDeplReqs!$BE71,AnnualDeplReqs!$BA71,AnnualDeplReqs!$AX71,AnnualDeplReqs!$AH71,AnnualDeplReqs!$AE71)</f>
        <v>31749.999999996358</v>
      </c>
      <c r="O71" s="312">
        <f>SUM(AnnualDeplReqs!$AR71,AnnualDeplReqs!$AF71,AnnualDeplReqs!$AZ71)</f>
        <v>11616.999999998665</v>
      </c>
      <c r="P71" s="312">
        <f>SUM(AnnualDeplReqs!$BD71,AnnualDeplReqs!$K71,AnnualDeplReqs!$H71)</f>
        <v>12680.999999998548</v>
      </c>
      <c r="Q71" s="380">
        <f>SUM(AnnualDeplReqs!$I71,AnnualDeplReqs!$W71,AnnualDeplReqs!$X71,AnnualDeplReqs!$Y71,AnnualDeplReqs!$Z71,AnnualDeplReqs!$AI71,AnnualDeplReqs!$BB71,AnnualDeplReqs!$BF71)</f>
        <v>11624.990000001573</v>
      </c>
      <c r="R71" s="311">
        <f>SUM(AnnualDiversions!$B71:$G71,AnnualDiversions!$M71:$V71,AnnualDiversions!$BJ71)</f>
        <v>109067.13000005131</v>
      </c>
      <c r="S71" s="312">
        <f>SUM(AnnualDiversions!$AT71:$AV71)</f>
        <v>301807.55249811104</v>
      </c>
      <c r="T71" s="312">
        <f>SUM(AnnualDiversions!$AS71,AnnualDiversions!$AW71)</f>
        <v>37763.476493275426</v>
      </c>
      <c r="U71" s="312">
        <f>SUM(AnnualDiversions!$AA71:$AD71)</f>
        <v>5000.0000000019463</v>
      </c>
      <c r="V71" s="312">
        <f>SUM(AnnualDiversions!$BE71,AnnualDiversions!$BA71,AnnualDiversions!$AX71,AnnualDiversions!$AH71,AnnualDiversions!$AE71)</f>
        <v>53308.418081073345</v>
      </c>
      <c r="W71" s="312">
        <f>SUM(AnnualDiversions!$AR71,AnnualDiversions!$AF71,AnnualDiversions!$AZ71)</f>
        <v>10564.34938592851</v>
      </c>
      <c r="X71" s="312">
        <f>SUM(AnnualDiversions!$BD71,AnnualDiversions!$K71,AnnualDiversions!$H71)</f>
        <v>19439.607816578358</v>
      </c>
      <c r="Y71" s="380">
        <f>SUM(AnnualDiversions!$I71,AnnualDiversions!$W71,AnnualDiversions!$X71,AnnualDiversions!$Y71,AnnualDiversions!$Z71,AnnualDiversions!$AI71,AnnualDiversions!$BB71,AnnualDiversions!$BF71)</f>
        <v>19374.983333335967</v>
      </c>
      <c r="Z71" s="311">
        <f>SUM(AnnualDivReqs!$B71:$G71,AnnualDivReqs!$M71:$V71,AnnualDivReqs!$BJ71)</f>
        <v>109067.13000005131</v>
      </c>
      <c r="AA71" s="312">
        <f>SUM(AnnualDivReqs!$AT71:$AV71)</f>
        <v>301807.55249811104</v>
      </c>
      <c r="AB71" s="312">
        <f>SUM(AnnualDivReqs!$AS71,AnnualDivReqs!$AW71)</f>
        <v>37763.476493275448</v>
      </c>
      <c r="AC71" s="312">
        <f>SUM(AnnualDivReqs!$AA71:$AD71)</f>
        <v>5000.0000000019463</v>
      </c>
      <c r="AD71" s="312">
        <f>SUM(AnnualDivReqs!$BE71,AnnualDivReqs!$BA71,AnnualDivReqs!$AX71,AnnualDivReqs!$AH71,AnnualDivReqs!$AE71)</f>
        <v>53308.418081073345</v>
      </c>
      <c r="AE71" s="312">
        <f>SUM(AnnualDivReqs!$AR71,AnnualDivReqs!$AF71,AnnualDivReqs!$AZ71)</f>
        <v>20806.268270282406</v>
      </c>
      <c r="AF71" s="312">
        <f>SUM(AnnualDivReqs!$BD71,AnnualDivReqs!$K71,AnnualDivReqs!$H71)</f>
        <v>19439.607816578358</v>
      </c>
      <c r="AG71" s="380">
        <f>SUM(AnnualDivReqs!$I71,AnnualDivReqs!$W71,AnnualDivReqs!$X71,AnnualDivReqs!$Y71,AnnualDivReqs!$Z71,AnnualDivReqs!$AI71,AnnualDivReqs!$BB71,AnnualDivReqs!$BF71)</f>
        <v>19374.983333335967</v>
      </c>
    </row>
    <row r="72" spans="1:33" x14ac:dyDescent="0.25">
      <c r="A72" s="4">
        <v>34334.999305555553</v>
      </c>
      <c r="B72" s="311">
        <f>SUM(AnnualDepletions!$B72:$G72,AnnualDepletions!$M72:$V72,AnnualDepletions!$BJ72)</f>
        <v>57173.738627734208</v>
      </c>
      <c r="C72" s="312">
        <f>SUM(AnnualDepletions!$AT72:$AV72)</f>
        <v>252616.31411771968</v>
      </c>
      <c r="D72" s="312">
        <f>SUM(AnnualDepletions!$AS72,AnnualDepletions!$AW72)</f>
        <v>35893.000000000058</v>
      </c>
      <c r="E72" s="312">
        <f>SUM(AnnualDepletions!$AA72:$AD72)</f>
        <v>5000.0000000019172</v>
      </c>
      <c r="F72" s="312">
        <f>SUM(AnnualDepletions!$BE72,AnnualDepletions!$BA72,AnnualDepletions!$AX72,AnnualDepletions!$AH72,AnnualDepletions!$AE72)</f>
        <v>32039.123257467632</v>
      </c>
      <c r="G72" s="312">
        <f>SUM(AnnualDepletions!$AR72,AnnualDepletions!$AF72,AnnualDepletions!$AZ72)</f>
        <v>7743.2210737893411</v>
      </c>
      <c r="H72" s="312">
        <f>SUM(AnnualDepletions!$BD72,AnnualDepletions!$K72,AnnualDepletions!$H72)</f>
        <v>12940.99999999851</v>
      </c>
      <c r="I72" s="380">
        <f>SUM(AnnualDepletions!$I72,AnnualDepletions!$W72,AnnualDepletions!$X72,AnnualDepletions!$Y72,AnnualDepletions!$Z72,AnnualDepletions!$AI72,AnnualDepletions!$BB72,AnnualDepletions!$BF72)</f>
        <v>11624.990000001573</v>
      </c>
      <c r="J72" s="472">
        <f>SUM(AnnualDeplReqs!$B72:$G72,AnnualDeplReqs!$M72:$V72,AnnualDeplReqs!$BJ72)+AnnualDepletions!BJ72</f>
        <v>57173.738627734208</v>
      </c>
      <c r="K72" s="312">
        <f>SUM(AnnualDeplReqs!$AT72:$AV72)</f>
        <v>252616.31411771968</v>
      </c>
      <c r="L72" s="312">
        <f>SUM(AnnualDeplReqs!$AS72,AnnualDeplReqs!$AW72)</f>
        <v>35893.000000000073</v>
      </c>
      <c r="M72" s="312">
        <f>SUM(AnnualDeplReqs!$AA72:$AD72)</f>
        <v>5000.0000000019172</v>
      </c>
      <c r="N72" s="312">
        <f>SUM(AnnualDeplReqs!$BE72,AnnualDeplReqs!$BA72,AnnualDeplReqs!$AX72,AnnualDeplReqs!$AH72,AnnualDeplReqs!$AE72)</f>
        <v>32039.123257467632</v>
      </c>
      <c r="O72" s="312">
        <f>SUM(AnnualDeplReqs!$AR72,AnnualDeplReqs!$AF72,AnnualDeplReqs!$AZ72)</f>
        <v>11865.999999998634</v>
      </c>
      <c r="P72" s="312">
        <f>SUM(AnnualDeplReqs!$BD72,AnnualDeplReqs!$K72,AnnualDeplReqs!$H72)</f>
        <v>12940.99999999851</v>
      </c>
      <c r="Q72" s="380">
        <f>SUM(AnnualDeplReqs!$I72,AnnualDeplReqs!$W72,AnnualDeplReqs!$X72,AnnualDeplReqs!$Y72,AnnualDeplReqs!$Z72,AnnualDeplReqs!$AI72,AnnualDeplReqs!$BB72,AnnualDeplReqs!$BF72)</f>
        <v>11624.990000001573</v>
      </c>
      <c r="R72" s="311">
        <f>SUM(AnnualDiversions!$B72:$G72,AnnualDiversions!$M72:$V72,AnnualDiversions!$BJ72)</f>
        <v>109067.13000005133</v>
      </c>
      <c r="S72" s="312">
        <f>SUM(AnnualDiversions!$AT72:$AV72)</f>
        <v>315770.39264714881</v>
      </c>
      <c r="T72" s="312">
        <f>SUM(AnnualDiversions!$AS72,AnnualDiversions!$AW72)</f>
        <v>37764.23856661762</v>
      </c>
      <c r="U72" s="312">
        <f>SUM(AnnualDiversions!$AA72:$AD72)</f>
        <v>5000.0000000019172</v>
      </c>
      <c r="V72" s="312">
        <f>SUM(AnnualDiversions!$BE72,AnnualDiversions!$BA72,AnnualDiversions!$AX72,AnnualDiversions!$AH72,AnnualDiversions!$AE72)</f>
        <v>53776.432883191759</v>
      </c>
      <c r="W72" s="312">
        <f>SUM(AnnualDiversions!$AR72,AnnualDiversions!$AF72,AnnualDiversions!$AZ72)</f>
        <v>14223.237493984407</v>
      </c>
      <c r="X72" s="312">
        <f>SUM(AnnualDiversions!$BD72,AnnualDiversions!$K72,AnnualDiversions!$H72)</f>
        <v>19836.536285259863</v>
      </c>
      <c r="Y72" s="380">
        <f>SUM(AnnualDiversions!$I72,AnnualDiversions!$W72,AnnualDiversions!$X72,AnnualDiversions!$Y72,AnnualDiversions!$Z72,AnnualDiversions!$AI72,AnnualDiversions!$BB72,AnnualDiversions!$BF72)</f>
        <v>19374.983333335964</v>
      </c>
      <c r="Z72" s="311">
        <f>SUM(AnnualDivReqs!$B72:$G72,AnnualDivReqs!$M72:$V72,AnnualDivReqs!$BJ72)</f>
        <v>109067.13000005133</v>
      </c>
      <c r="AA72" s="312">
        <f>SUM(AnnualDivReqs!$AT72:$AV72)</f>
        <v>315770.39264714881</v>
      </c>
      <c r="AB72" s="312">
        <f>SUM(AnnualDivReqs!$AS72,AnnualDivReqs!$AW72)</f>
        <v>37764.238566617634</v>
      </c>
      <c r="AC72" s="312">
        <f>SUM(AnnualDivReqs!$AA72:$AD72)</f>
        <v>5000.0000000019172</v>
      </c>
      <c r="AD72" s="312">
        <f>SUM(AnnualDivReqs!$BE72,AnnualDivReqs!$BA72,AnnualDivReqs!$AX72,AnnualDivReqs!$AH72,AnnualDivReqs!$AE72)</f>
        <v>53776.432883191759</v>
      </c>
      <c r="AE72" s="312">
        <f>SUM(AnnualDivReqs!$AR72,AnnualDivReqs!$AF72,AnnualDivReqs!$AZ72)</f>
        <v>21252.143270048135</v>
      </c>
      <c r="AF72" s="312">
        <f>SUM(AnnualDivReqs!$BD72,AnnualDivReqs!$K72,AnnualDivReqs!$H72)</f>
        <v>19836.536285259863</v>
      </c>
      <c r="AG72" s="380">
        <f>SUM(AnnualDivReqs!$I72,AnnualDivReqs!$W72,AnnualDivReqs!$X72,AnnualDivReqs!$Y72,AnnualDivReqs!$Z72,AnnualDivReqs!$AI72,AnnualDivReqs!$BB72,AnnualDivReqs!$BF72)</f>
        <v>19374.983333335964</v>
      </c>
    </row>
    <row r="73" spans="1:33" x14ac:dyDescent="0.25">
      <c r="A73" s="4">
        <v>34699.999305555553</v>
      </c>
      <c r="B73" s="311">
        <f>SUM(AnnualDepletions!$B73:$G73,AnnualDepletions!$M73:$V73,AnnualDepletions!$BJ73)</f>
        <v>57130.36555325715</v>
      </c>
      <c r="C73" s="312">
        <f>SUM(AnnualDepletions!$AT73:$AV73)</f>
        <v>288433.5806983721</v>
      </c>
      <c r="D73" s="312">
        <f>SUM(AnnualDepletions!$AS73,AnnualDepletions!$AW73)</f>
        <v>35893.000000000051</v>
      </c>
      <c r="E73" s="312">
        <f>SUM(AnnualDepletions!$AA73:$AD73)</f>
        <v>5000.0000000019172</v>
      </c>
      <c r="F73" s="312">
        <f>SUM(AnnualDepletions!$BE73,AnnualDepletions!$BA73,AnnualDepletions!$AX73,AnnualDepletions!$AH73,AnnualDepletions!$AE73)</f>
        <v>35341.159271155986</v>
      </c>
      <c r="G73" s="312">
        <f>SUM(AnnualDepletions!$AR73,AnnualDepletions!$AF73,AnnualDepletions!$AZ73)</f>
        <v>4099.753370913324</v>
      </c>
      <c r="H73" s="312">
        <f>SUM(AnnualDepletions!$BD73,AnnualDepletions!$K73,AnnualDepletions!$H73)</f>
        <v>14613.999999998312</v>
      </c>
      <c r="I73" s="380">
        <f>SUM(AnnualDepletions!$I73,AnnualDepletions!$W73,AnnualDepletions!$X73,AnnualDepletions!$Y73,AnnualDepletions!$Z73,AnnualDepletions!$AI73,AnnualDepletions!$BB73,AnnualDepletions!$BF73)</f>
        <v>11624.990000001573</v>
      </c>
      <c r="J73" s="472">
        <f>SUM(AnnualDeplReqs!$B73:$G73,AnnualDeplReqs!$M73:$V73,AnnualDeplReqs!$BJ73)+AnnualDepletions!BJ73</f>
        <v>57157.719101644274</v>
      </c>
      <c r="K73" s="312">
        <f>SUM(AnnualDeplReqs!$AT73:$AV73)</f>
        <v>288433.5806983721</v>
      </c>
      <c r="L73" s="312">
        <f>SUM(AnnualDeplReqs!$AS73,AnnualDeplReqs!$AW73)</f>
        <v>35893.000000000073</v>
      </c>
      <c r="M73" s="312">
        <f>SUM(AnnualDeplReqs!$AA73:$AD73)</f>
        <v>5000.0000000019172</v>
      </c>
      <c r="N73" s="312">
        <f>SUM(AnnualDeplReqs!$BE73,AnnualDeplReqs!$BA73,AnnualDeplReqs!$AX73,AnnualDeplReqs!$AH73,AnnualDeplReqs!$AE73)</f>
        <v>35341.159271155986</v>
      </c>
      <c r="O73" s="312">
        <f>SUM(AnnualDeplReqs!$AR73,AnnualDeplReqs!$AF73,AnnualDeplReqs!$AZ73)</f>
        <v>13087.999999998496</v>
      </c>
      <c r="P73" s="312">
        <f>SUM(AnnualDeplReqs!$BD73,AnnualDeplReqs!$K73,AnnualDeplReqs!$H73)</f>
        <v>14613.999999998312</v>
      </c>
      <c r="Q73" s="380">
        <f>SUM(AnnualDeplReqs!$I73,AnnualDeplReqs!$W73,AnnualDeplReqs!$X73,AnnualDeplReqs!$Y73,AnnualDeplReqs!$Z73,AnnualDeplReqs!$AI73,AnnualDeplReqs!$BB73,AnnualDeplReqs!$BF73)</f>
        <v>11624.990000001573</v>
      </c>
      <c r="R73" s="311">
        <f>SUM(AnnualDiversions!$B73:$G73,AnnualDiversions!$M73:$V73,AnnualDiversions!$BJ73)</f>
        <v>109067.13000005134</v>
      </c>
      <c r="S73" s="312">
        <f>SUM(AnnualDiversions!$AT73:$AV73)</f>
        <v>360541.97587296693</v>
      </c>
      <c r="T73" s="312">
        <f>SUM(AnnualDiversions!$AS73,AnnualDiversions!$AW73)</f>
        <v>37764.238566617612</v>
      </c>
      <c r="U73" s="312">
        <f>SUM(AnnualDiversions!$AA73:$AD73)</f>
        <v>5000.0000000019172</v>
      </c>
      <c r="V73" s="312">
        <f>SUM(AnnualDiversions!$BE73,AnnualDiversions!$BA73,AnnualDiversions!$AX73,AnnualDiversions!$AH73,AnnualDiversions!$AE73)</f>
        <v>59283.820942803461</v>
      </c>
      <c r="W73" s="312">
        <f>SUM(AnnualDiversions!$AR73,AnnualDiversions!$AF73,AnnualDiversions!$AZ73)</f>
        <v>7380.0272792832375</v>
      </c>
      <c r="X73" s="312">
        <f>SUM(AnnualDiversions!$BD73,AnnualDiversions!$K73,AnnualDiversions!$H73)</f>
        <v>22401.318276174265</v>
      </c>
      <c r="Y73" s="380">
        <f>SUM(AnnualDiversions!$I73,AnnualDiversions!$W73,AnnualDiversions!$X73,AnnualDiversions!$Y73,AnnualDiversions!$Z73,AnnualDiversions!$AI73,AnnualDiversions!$BB73,AnnualDiversions!$BF73)</f>
        <v>19374.983333335964</v>
      </c>
      <c r="Z73" s="311">
        <f>SUM(AnnualDivReqs!$B73:$G73,AnnualDivReqs!$M73:$V73,AnnualDivReqs!$BJ73)</f>
        <v>109121.83709682559</v>
      </c>
      <c r="AA73" s="312">
        <f>SUM(AnnualDivReqs!$AT73:$AV73)</f>
        <v>360541.97587296693</v>
      </c>
      <c r="AB73" s="312">
        <f>SUM(AnnualDivReqs!$AS73,AnnualDivReqs!$AW73)</f>
        <v>37764.238566617634</v>
      </c>
      <c r="AC73" s="312">
        <f>SUM(AnnualDivReqs!$AA73:$AD73)</f>
        <v>5000.0000000019172</v>
      </c>
      <c r="AD73" s="312">
        <f>SUM(AnnualDivReqs!$BE73,AnnualDivReqs!$BA73,AnnualDivReqs!$AX73,AnnualDivReqs!$AH73,AnnualDivReqs!$AE73)</f>
        <v>59283.820942803461</v>
      </c>
      <c r="AE73" s="312">
        <f>SUM(AnnualDivReqs!$AR73,AnnualDivReqs!$AF73,AnnualDivReqs!$AZ73)</f>
        <v>23440.184361112671</v>
      </c>
      <c r="AF73" s="312">
        <f>SUM(AnnualDivReqs!$BD73,AnnualDivReqs!$K73,AnnualDivReqs!$H73)</f>
        <v>22401.318276174265</v>
      </c>
      <c r="AG73" s="380">
        <f>SUM(AnnualDivReqs!$I73,AnnualDivReqs!$W73,AnnualDivReqs!$X73,AnnualDivReqs!$Y73,AnnualDivReqs!$Z73,AnnualDivReqs!$AI73,AnnualDivReqs!$BB73,AnnualDivReqs!$BF73)</f>
        <v>19374.983333335964</v>
      </c>
    </row>
    <row r="74" spans="1:33" x14ac:dyDescent="0.25">
      <c r="A74" s="4">
        <v>35064.999305555553</v>
      </c>
      <c r="B74" s="311">
        <f>SUM(AnnualDepletions!$B74:$G74,AnnualDepletions!$M74:$V74,AnnualDepletions!$BJ74)</f>
        <v>57173.968443789861</v>
      </c>
      <c r="C74" s="312">
        <f>SUM(AnnualDepletions!$AT74:$AV74)</f>
        <v>246566.47143508683</v>
      </c>
      <c r="D74" s="312">
        <f>SUM(AnnualDepletions!$AS74,AnnualDepletions!$AW74)</f>
        <v>35893.000000000051</v>
      </c>
      <c r="E74" s="312">
        <f>SUM(AnnualDepletions!$AA74:$AD74)</f>
        <v>5000.0000000019172</v>
      </c>
      <c r="F74" s="312">
        <f>SUM(AnnualDepletions!$BE74,AnnualDepletions!$BA74,AnnualDepletions!$AX74,AnnualDepletions!$AH74,AnnualDepletions!$AE74)</f>
        <v>31860.062082598117</v>
      </c>
      <c r="G74" s="312">
        <f>SUM(AnnualDepletions!$AR74,AnnualDepletions!$AF74,AnnualDepletions!$AZ74)</f>
        <v>6751.4211378613709</v>
      </c>
      <c r="H74" s="312">
        <f>SUM(AnnualDepletions!$BD74,AnnualDepletions!$K74,AnnualDepletions!$H74)</f>
        <v>13026.999999998496</v>
      </c>
      <c r="I74" s="380">
        <f>SUM(AnnualDepletions!$I74,AnnualDepletions!$W74,AnnualDepletions!$X74,AnnualDepletions!$Y74,AnnualDepletions!$Z74,AnnualDepletions!$AI74,AnnualDepletions!$BB74,AnnualDepletions!$BF74)</f>
        <v>11624.990000001573</v>
      </c>
      <c r="J74" s="472">
        <f>SUM(AnnualDeplReqs!$B74:$G74,AnnualDeplReqs!$M74:$V74,AnnualDeplReqs!$BJ74)+AnnualDepletions!BJ74</f>
        <v>57173.968443789861</v>
      </c>
      <c r="K74" s="312">
        <f>SUM(AnnualDeplReqs!$AT74:$AV74)</f>
        <v>246566.47143508683</v>
      </c>
      <c r="L74" s="312">
        <f>SUM(AnnualDeplReqs!$AS74,AnnualDeplReqs!$AW74)</f>
        <v>35893.000000000073</v>
      </c>
      <c r="M74" s="312">
        <f>SUM(AnnualDeplReqs!$AA74:$AD74)</f>
        <v>5000.0000000019172</v>
      </c>
      <c r="N74" s="312">
        <f>SUM(AnnualDeplReqs!$BE74,AnnualDeplReqs!$BA74,AnnualDeplReqs!$AX74,AnnualDeplReqs!$AH74,AnnualDeplReqs!$AE74)</f>
        <v>31860.062082598117</v>
      </c>
      <c r="O74" s="312">
        <f>SUM(AnnualDeplReqs!$AR74,AnnualDeplReqs!$AF74,AnnualDeplReqs!$AZ74)</f>
        <v>11798.999999998638</v>
      </c>
      <c r="P74" s="312">
        <f>SUM(AnnualDeplReqs!$BD74,AnnualDeplReqs!$K74,AnnualDeplReqs!$H74)</f>
        <v>13026.999999998496</v>
      </c>
      <c r="Q74" s="380">
        <f>SUM(AnnualDeplReqs!$I74,AnnualDeplReqs!$W74,AnnualDeplReqs!$X74,AnnualDeplReqs!$Y74,AnnualDeplReqs!$Z74,AnnualDeplReqs!$AI74,AnnualDeplReqs!$BB74,AnnualDeplReqs!$BF74)</f>
        <v>11624.990000001573</v>
      </c>
      <c r="R74" s="311">
        <f>SUM(AnnualDiversions!$B74:$G74,AnnualDiversions!$M74:$V74,AnnualDiversions!$BJ74)</f>
        <v>109067.13000005133</v>
      </c>
      <c r="S74" s="312">
        <f>SUM(AnnualDiversions!$AT74:$AV74)</f>
        <v>308208.08929385868</v>
      </c>
      <c r="T74" s="312">
        <f>SUM(AnnualDiversions!$AS74,AnnualDiversions!$AW74)</f>
        <v>37764.238566617612</v>
      </c>
      <c r="U74" s="312">
        <f>SUM(AnnualDiversions!$AA74:$AD74)</f>
        <v>5000.0000000019172</v>
      </c>
      <c r="V74" s="312">
        <f>SUM(AnnualDiversions!$BE74,AnnualDiversions!$BA74,AnnualDiversions!$AX74,AnnualDiversions!$AH74,AnnualDiversions!$AE74)</f>
        <v>53509.998617374418</v>
      </c>
      <c r="W74" s="312">
        <f>SUM(AnnualDiversions!$AR74,AnnualDiversions!$AF74,AnnualDiversions!$AZ74)</f>
        <v>12925.422466401553</v>
      </c>
      <c r="X74" s="312">
        <f>SUM(AnnualDiversions!$BD74,AnnualDiversions!$K74,AnnualDiversions!$H74)</f>
        <v>19968.353931760226</v>
      </c>
      <c r="Y74" s="380">
        <f>SUM(AnnualDiversions!$I74,AnnualDiversions!$W74,AnnualDiversions!$X74,AnnualDiversions!$Y74,AnnualDiversions!$Z74,AnnualDiversions!$AI74,AnnualDiversions!$BB74,AnnualDiversions!$BF74)</f>
        <v>19374.983333335964</v>
      </c>
      <c r="Z74" s="311">
        <f>SUM(AnnualDivReqs!$B74:$G74,AnnualDivReqs!$M74:$V74,AnnualDivReqs!$BJ74)</f>
        <v>109067.13000005133</v>
      </c>
      <c r="AA74" s="312">
        <f>SUM(AnnualDivReqs!$AT74:$AV74)</f>
        <v>308208.08929385868</v>
      </c>
      <c r="AB74" s="312">
        <f>SUM(AnnualDivReqs!$AS74,AnnualDivReqs!$AW74)</f>
        <v>37764.238566617634</v>
      </c>
      <c r="AC74" s="312">
        <f>SUM(AnnualDivReqs!$AA74:$AD74)</f>
        <v>5000.0000000019172</v>
      </c>
      <c r="AD74" s="312">
        <f>SUM(AnnualDivReqs!$BE74,AnnualDivReqs!$BA74,AnnualDivReqs!$AX74,AnnualDivReqs!$AH74,AnnualDivReqs!$AE74)</f>
        <v>53509.998617374418</v>
      </c>
      <c r="AE74" s="312">
        <f>SUM(AnnualDivReqs!$AR74,AnnualDivReqs!$AF74,AnnualDivReqs!$AZ74)</f>
        <v>21134.315377045474</v>
      </c>
      <c r="AF74" s="312">
        <f>SUM(AnnualDivReqs!$BD74,AnnualDivReqs!$K74,AnnualDivReqs!$H74)</f>
        <v>19968.353931760226</v>
      </c>
      <c r="AG74" s="380">
        <f>SUM(AnnualDivReqs!$I74,AnnualDivReqs!$W74,AnnualDivReqs!$X74,AnnualDivReqs!$Y74,AnnualDivReqs!$Z74,AnnualDivReqs!$AI74,AnnualDivReqs!$BB74,AnnualDivReqs!$BF74)</f>
        <v>19374.983333335964</v>
      </c>
    </row>
    <row r="75" spans="1:33" x14ac:dyDescent="0.25">
      <c r="A75" s="4">
        <v>35430.999305555553</v>
      </c>
      <c r="B75" s="311">
        <f>SUM(AnnualDepletions!$B75:$G75,AnnualDepletions!$M75:$V75,AnnualDepletions!$BJ75)</f>
        <v>57114.736154763581</v>
      </c>
      <c r="C75" s="312">
        <f>SUM(AnnualDepletions!$AT75:$AV75)</f>
        <v>271002.65592718206</v>
      </c>
      <c r="D75" s="312">
        <f>SUM(AnnualDepletions!$AS75,AnnualDepletions!$AW75)</f>
        <v>35893.000000000044</v>
      </c>
      <c r="E75" s="312">
        <f>SUM(AnnualDepletions!$AA75:$AD75)</f>
        <v>5000.0000000019463</v>
      </c>
      <c r="F75" s="312">
        <f>SUM(AnnualDepletions!$BE75,AnnualDepletions!$BA75,AnnualDepletions!$AX75,AnnualDepletions!$AH75,AnnualDepletions!$AE75)</f>
        <v>35429.874302776414</v>
      </c>
      <c r="G75" s="312">
        <f>SUM(AnnualDepletions!$AR75,AnnualDepletions!$AF75,AnnualDepletions!$AZ75)</f>
        <v>2357.9851256526322</v>
      </c>
      <c r="H75" s="312">
        <f>SUM(AnnualDepletions!$BD75,AnnualDepletions!$K75,AnnualDepletions!$H75)</f>
        <v>14358.999999998352</v>
      </c>
      <c r="I75" s="380">
        <f>SUM(AnnualDepletions!$I75,AnnualDepletions!$W75,AnnualDepletions!$X75,AnnualDepletions!$Y75,AnnualDepletions!$Z75,AnnualDepletions!$AI75,AnnualDepletions!$BB75,AnnualDepletions!$BF75)</f>
        <v>11624.990000001573</v>
      </c>
      <c r="J75" s="472">
        <f>SUM(AnnualDeplReqs!$B75:$G75,AnnualDeplReqs!$M75:$V75,AnnualDeplReqs!$BJ75)+AnnualDepletions!BJ75</f>
        <v>57406.636918204662</v>
      </c>
      <c r="K75" s="312">
        <f>SUM(AnnualDeplReqs!$AT75:$AV75)</f>
        <v>271002.65592718206</v>
      </c>
      <c r="L75" s="312">
        <f>SUM(AnnualDeplReqs!$AS75,AnnualDeplReqs!$AW75)</f>
        <v>35893.000000000073</v>
      </c>
      <c r="M75" s="312">
        <f>SUM(AnnualDeplReqs!$AA75:$AD75)</f>
        <v>5000.0000000019463</v>
      </c>
      <c r="N75" s="312">
        <f>SUM(AnnualDeplReqs!$BE75,AnnualDeplReqs!$BA75,AnnualDeplReqs!$AX75,AnnualDeplReqs!$AH75,AnnualDeplReqs!$AE75)</f>
        <v>35429.874302776414</v>
      </c>
      <c r="O75" s="312">
        <f>SUM(AnnualDeplReqs!$AR75,AnnualDeplReqs!$AF75,AnnualDeplReqs!$AZ75)</f>
        <v>13248.999999998479</v>
      </c>
      <c r="P75" s="312">
        <f>SUM(AnnualDeplReqs!$BD75,AnnualDeplReqs!$K75,AnnualDeplReqs!$H75)</f>
        <v>14358.999999998352</v>
      </c>
      <c r="Q75" s="380">
        <f>SUM(AnnualDeplReqs!$I75,AnnualDeplReqs!$W75,AnnualDeplReqs!$X75,AnnualDeplReqs!$Y75,AnnualDeplReqs!$Z75,AnnualDeplReqs!$AI75,AnnualDeplReqs!$BB75,AnnualDeplReqs!$BF75)</f>
        <v>11624.990000001573</v>
      </c>
      <c r="R75" s="311">
        <f>SUM(AnnualDiversions!$B75:$G75,AnnualDiversions!$M75:$V75,AnnualDiversions!$BJ75)</f>
        <v>109067.13000005134</v>
      </c>
      <c r="S75" s="312">
        <f>SUM(AnnualDiversions!$AT75:$AV75)</f>
        <v>338753.31990897848</v>
      </c>
      <c r="T75" s="312">
        <f>SUM(AnnualDiversions!$AS75,AnnualDiversions!$AW75)</f>
        <v>37763.476493275419</v>
      </c>
      <c r="U75" s="312">
        <f>SUM(AnnualDiversions!$AA75:$AD75)</f>
        <v>5000.0000000019463</v>
      </c>
      <c r="V75" s="312">
        <f>SUM(AnnualDiversions!$BE75,AnnualDiversions!$BA75,AnnualDiversions!$AX75,AnnualDiversions!$AH75,AnnualDiversions!$AE75)</f>
        <v>59480.722040258079</v>
      </c>
      <c r="W75" s="312">
        <f>SUM(AnnualDiversions!$AR75,AnnualDiversions!$AF75,AnnualDiversions!$AZ75)</f>
        <v>4011.669496617008</v>
      </c>
      <c r="X75" s="312">
        <f>SUM(AnnualDiversions!$BD75,AnnualDiversions!$K75,AnnualDiversions!$H75)</f>
        <v>22009.301182102739</v>
      </c>
      <c r="Y75" s="380">
        <f>SUM(AnnualDiversions!$I75,AnnualDiversions!$W75,AnnualDiversions!$X75,AnnualDiversions!$Y75,AnnualDiversions!$Z75,AnnualDiversions!$AI75,AnnualDiversions!$BB75,AnnualDiversions!$BF75)</f>
        <v>19374.983333335967</v>
      </c>
      <c r="Z75" s="311">
        <f>SUM(AnnualDivReqs!$B75:$G75,AnnualDivReqs!$M75:$V75,AnnualDivReqs!$BJ75)</f>
        <v>109650.93152693348</v>
      </c>
      <c r="AA75" s="312">
        <f>SUM(AnnualDivReqs!$AT75:$AV75)</f>
        <v>338753.31990897848</v>
      </c>
      <c r="AB75" s="312">
        <f>SUM(AnnualDivReqs!$AS75,AnnualDivReqs!$AW75)</f>
        <v>37763.476493275448</v>
      </c>
      <c r="AC75" s="312">
        <f>SUM(AnnualDivReqs!$AA75:$AD75)</f>
        <v>5000.0000000019463</v>
      </c>
      <c r="AD75" s="312">
        <f>SUM(AnnualDivReqs!$BE75,AnnualDivReqs!$BA75,AnnualDivReqs!$AX75,AnnualDivReqs!$AH75,AnnualDivReqs!$AE75)</f>
        <v>59480.722040258079</v>
      </c>
      <c r="AE75" s="312">
        <f>SUM(AnnualDivReqs!$AR75,AnnualDivReqs!$AF75,AnnualDivReqs!$AZ75)</f>
        <v>23728.507522621701</v>
      </c>
      <c r="AF75" s="312">
        <f>SUM(AnnualDivReqs!$BD75,AnnualDivReqs!$K75,AnnualDivReqs!$H75)</f>
        <v>22009.301182102739</v>
      </c>
      <c r="AG75" s="380">
        <f>SUM(AnnualDivReqs!$I75,AnnualDivReqs!$W75,AnnualDivReqs!$X75,AnnualDivReqs!$Y75,AnnualDivReqs!$Z75,AnnualDivReqs!$AI75,AnnualDivReqs!$BB75,AnnualDivReqs!$BF75)</f>
        <v>19374.983333335967</v>
      </c>
    </row>
    <row r="76" spans="1:33" x14ac:dyDescent="0.25">
      <c r="A76" s="4">
        <v>35795.999305555553</v>
      </c>
      <c r="B76" s="311">
        <f>SUM(AnnualDepletions!$B76:$G76,AnnualDepletions!$M76:$V76,AnnualDepletions!$BJ76)</f>
        <v>57174.024543631749</v>
      </c>
      <c r="C76" s="312">
        <f>SUM(AnnualDepletions!$AT76:$AV76)</f>
        <v>227653.14554067893</v>
      </c>
      <c r="D76" s="312">
        <f>SUM(AnnualDepletions!$AS76,AnnualDepletions!$AW76)</f>
        <v>35893.000000000044</v>
      </c>
      <c r="E76" s="312">
        <f>SUM(AnnualDepletions!$AA76:$AD76)</f>
        <v>5000.0000000019172</v>
      </c>
      <c r="F76" s="312">
        <f>SUM(AnnualDepletions!$BE76,AnnualDepletions!$BA76,AnnualDepletions!$AX76,AnnualDepletions!$AH76,AnnualDepletions!$AE76)</f>
        <v>27790.999999996806</v>
      </c>
      <c r="G76" s="312">
        <f>SUM(AnnualDepletions!$AR76,AnnualDepletions!$AF76,AnnualDepletions!$AZ76)</f>
        <v>7895.0478939140985</v>
      </c>
      <c r="H76" s="312">
        <f>SUM(AnnualDepletions!$BD76,AnnualDepletions!$K76,AnnualDepletions!$H76)</f>
        <v>11401.999999998692</v>
      </c>
      <c r="I76" s="380">
        <f>SUM(AnnualDepletions!$I76,AnnualDepletions!$W76,AnnualDepletions!$X76,AnnualDepletions!$Y76,AnnualDepletions!$Z76,AnnualDepletions!$AI76,AnnualDepletions!$BB76,AnnualDepletions!$BF76)</f>
        <v>11624.990000001573</v>
      </c>
      <c r="J76" s="472">
        <f>SUM(AnnualDeplReqs!$B76:$G76,AnnualDeplReqs!$M76:$V76,AnnualDeplReqs!$BJ76)+AnnualDepletions!BJ76</f>
        <v>57174.024543631749</v>
      </c>
      <c r="K76" s="312">
        <f>SUM(AnnualDeplReqs!$AT76:$AV76)</f>
        <v>227653.14554067893</v>
      </c>
      <c r="L76" s="312">
        <f>SUM(AnnualDeplReqs!$AS76,AnnualDeplReqs!$AW76)</f>
        <v>35893.000000000073</v>
      </c>
      <c r="M76" s="312">
        <f>SUM(AnnualDeplReqs!$AA76:$AD76)</f>
        <v>5000.0000000019172</v>
      </c>
      <c r="N76" s="312">
        <f>SUM(AnnualDeplReqs!$BE76,AnnualDeplReqs!$BA76,AnnualDeplReqs!$AX76,AnnualDeplReqs!$AH76,AnnualDeplReqs!$AE76)</f>
        <v>27790.999999996806</v>
      </c>
      <c r="O76" s="312">
        <f>SUM(AnnualDeplReqs!$AR76,AnnualDeplReqs!$AF76,AnnualDeplReqs!$AZ76)</f>
        <v>10103.999999998843</v>
      </c>
      <c r="P76" s="312">
        <f>SUM(AnnualDeplReqs!$BD76,AnnualDeplReqs!$K76,AnnualDeplReqs!$H76)</f>
        <v>11401.999999998692</v>
      </c>
      <c r="Q76" s="380">
        <f>SUM(AnnualDeplReqs!$I76,AnnualDeplReqs!$W76,AnnualDeplReqs!$X76,AnnualDeplReqs!$Y76,AnnualDeplReqs!$Z76,AnnualDeplReqs!$AI76,AnnualDeplReqs!$BB76,AnnualDeplReqs!$BF76)</f>
        <v>11624.990000001573</v>
      </c>
      <c r="R76" s="311">
        <f>SUM(AnnualDiversions!$B76:$G76,AnnualDiversions!$M76:$V76,AnnualDiversions!$BJ76)</f>
        <v>109067.13000005133</v>
      </c>
      <c r="S76" s="312">
        <f>SUM(AnnualDiversions!$AT76:$AV76)</f>
        <v>284566.43192585016</v>
      </c>
      <c r="T76" s="312">
        <f>SUM(AnnualDiversions!$AS76,AnnualDiversions!$AW76)</f>
        <v>37764.238566617605</v>
      </c>
      <c r="U76" s="312">
        <f>SUM(AnnualDiversions!$AA76:$AD76)</f>
        <v>5000.0000000019172</v>
      </c>
      <c r="V76" s="312">
        <f>SUM(AnnualDiversions!$BE76,AnnualDiversions!$BA76,AnnualDiversions!$AX76,AnnualDiversions!$AH76,AnnualDiversions!$AE76)</f>
        <v>46649.84077557682</v>
      </c>
      <c r="W76" s="312">
        <f>SUM(AnnualDiversions!$AR76,AnnualDiversions!$AF76,AnnualDiversions!$AZ76)</f>
        <v>15273.230394185501</v>
      </c>
      <c r="X76" s="312">
        <f>SUM(AnnualDiversions!$BD76,AnnualDiversions!$K76,AnnualDiversions!$H76)</f>
        <v>17475.616005041848</v>
      </c>
      <c r="Y76" s="380">
        <f>SUM(AnnualDiversions!$I76,AnnualDiversions!$W76,AnnualDiversions!$X76,AnnualDiversions!$Y76,AnnualDiversions!$Z76,AnnualDiversions!$AI76,AnnualDiversions!$BB76,AnnualDiversions!$BF76)</f>
        <v>19374.983333335964</v>
      </c>
      <c r="Z76" s="311">
        <f>SUM(AnnualDivReqs!$B76:$G76,AnnualDivReqs!$M76:$V76,AnnualDivReqs!$BJ76)</f>
        <v>109067.13000005133</v>
      </c>
      <c r="AA76" s="312">
        <f>SUM(AnnualDivReqs!$AT76:$AV76)</f>
        <v>284566.43192585016</v>
      </c>
      <c r="AB76" s="312">
        <f>SUM(AnnualDivReqs!$AS76,AnnualDivReqs!$AW76)</f>
        <v>37764.238566617634</v>
      </c>
      <c r="AC76" s="312">
        <f>SUM(AnnualDivReqs!$AA76:$AD76)</f>
        <v>5000.0000000019172</v>
      </c>
      <c r="AD76" s="312">
        <f>SUM(AnnualDivReqs!$BE76,AnnualDivReqs!$BA76,AnnualDivReqs!$AX76,AnnualDivReqs!$AH76,AnnualDivReqs!$AE76)</f>
        <v>46649.84077557682</v>
      </c>
      <c r="AE76" s="312">
        <f>SUM(AnnualDivReqs!$AR76,AnnualDivReqs!$AF76,AnnualDivReqs!$AZ76)</f>
        <v>18095.439771043842</v>
      </c>
      <c r="AF76" s="312">
        <f>SUM(AnnualDivReqs!$BD76,AnnualDivReqs!$K76,AnnualDivReqs!$H76)</f>
        <v>17475.616005041848</v>
      </c>
      <c r="AG76" s="380">
        <f>SUM(AnnualDivReqs!$I76,AnnualDivReqs!$W76,AnnualDivReqs!$X76,AnnualDivReqs!$Y76,AnnualDivReqs!$Z76,AnnualDivReqs!$AI76,AnnualDivReqs!$BB76,AnnualDivReqs!$BF76)</f>
        <v>19374.983333335964</v>
      </c>
    </row>
    <row r="77" spans="1:33" x14ac:dyDescent="0.25">
      <c r="A77" s="4">
        <v>36160.999305555553</v>
      </c>
      <c r="B77" s="311">
        <f>SUM(AnnualDepletions!$B77:$G77,AnnualDepletions!$M77:$V77,AnnualDepletions!$BJ77)</f>
        <v>57173.463874063724</v>
      </c>
      <c r="C77" s="312">
        <f>SUM(AnnualDepletions!$AT77:$AV77)</f>
        <v>258778.16284057341</v>
      </c>
      <c r="D77" s="312">
        <f>SUM(AnnualDepletions!$AS77,AnnualDepletions!$AW77)</f>
        <v>35893.000000000051</v>
      </c>
      <c r="E77" s="312">
        <f>SUM(AnnualDepletions!$AA77:$AD77)</f>
        <v>5000.0000000019172</v>
      </c>
      <c r="F77" s="312">
        <f>SUM(AnnualDepletions!$BE77,AnnualDepletions!$BA77,AnnualDepletions!$AX77,AnnualDepletions!$AH77,AnnualDepletions!$AE77)</f>
        <v>31845.400761973386</v>
      </c>
      <c r="G77" s="312">
        <f>SUM(AnnualDepletions!$AR77,AnnualDepletions!$AF77,AnnualDepletions!$AZ77)</f>
        <v>2743.016759715465</v>
      </c>
      <c r="H77" s="312">
        <f>SUM(AnnualDepletions!$BD77,AnnualDepletions!$K77,AnnualDepletions!$H77)</f>
        <v>12562.999999998563</v>
      </c>
      <c r="I77" s="380">
        <f>SUM(AnnualDepletions!$I77,AnnualDepletions!$W77,AnnualDepletions!$X77,AnnualDepletions!$Y77,AnnualDepletions!$Z77,AnnualDepletions!$AI77,AnnualDepletions!$BB77,AnnualDepletions!$BF77)</f>
        <v>11624.990000001573</v>
      </c>
      <c r="J77" s="472">
        <f>SUM(AnnualDeplReqs!$B77:$G77,AnnualDeplReqs!$M77:$V77,AnnualDeplReqs!$BJ77)+AnnualDepletions!BJ77</f>
        <v>57173.463874063724</v>
      </c>
      <c r="K77" s="312">
        <f>SUM(AnnualDeplReqs!$AT77:$AV77)</f>
        <v>258778.16284057341</v>
      </c>
      <c r="L77" s="312">
        <f>SUM(AnnualDeplReqs!$AS77,AnnualDeplReqs!$AW77)</f>
        <v>35893.000000000073</v>
      </c>
      <c r="M77" s="312">
        <f>SUM(AnnualDeplReqs!$AA77:$AD77)</f>
        <v>5000.0000000019172</v>
      </c>
      <c r="N77" s="312">
        <f>SUM(AnnualDeplReqs!$BE77,AnnualDeplReqs!$BA77,AnnualDeplReqs!$AX77,AnnualDeplReqs!$AH77,AnnualDeplReqs!$AE77)</f>
        <v>31845.400761973386</v>
      </c>
      <c r="O77" s="312">
        <f>SUM(AnnualDeplReqs!$AR77,AnnualDeplReqs!$AF77,AnnualDeplReqs!$AZ77)</f>
        <v>11761.99999999865</v>
      </c>
      <c r="P77" s="312">
        <f>SUM(AnnualDeplReqs!$BD77,AnnualDeplReqs!$K77,AnnualDeplReqs!$H77)</f>
        <v>12562.999999998563</v>
      </c>
      <c r="Q77" s="380">
        <f>SUM(AnnualDeplReqs!$I77,AnnualDeplReqs!$W77,AnnualDeplReqs!$X77,AnnualDeplReqs!$Y77,AnnualDeplReqs!$Z77,AnnualDeplReqs!$AI77,AnnualDeplReqs!$BB77,AnnualDeplReqs!$BF77)</f>
        <v>11624.990000001573</v>
      </c>
      <c r="R77" s="311">
        <f>SUM(AnnualDiversions!$B77:$G77,AnnualDiversions!$M77:$V77,AnnualDiversions!$BJ77)</f>
        <v>109067.13000005133</v>
      </c>
      <c r="S77" s="312">
        <f>SUM(AnnualDiversions!$AT77:$AV77)</f>
        <v>323472.70355071744</v>
      </c>
      <c r="T77" s="312">
        <f>SUM(AnnualDiversions!$AS77,AnnualDiversions!$AW77)</f>
        <v>37764.238566617612</v>
      </c>
      <c r="U77" s="312">
        <f>SUM(AnnualDiversions!$AA77:$AD77)</f>
        <v>5000.0000000019172</v>
      </c>
      <c r="V77" s="312">
        <f>SUM(AnnualDiversions!$BE77,AnnualDiversions!$BA77,AnnualDiversions!$AX77,AnnualDiversions!$AH77,AnnualDiversions!$AE77)</f>
        <v>53465.859332406013</v>
      </c>
      <c r="W77" s="312">
        <f>SUM(AnnualDiversions!$AR77,AnnualDiversions!$AF77,AnnualDiversions!$AZ77)</f>
        <v>4899.752423182209</v>
      </c>
      <c r="X77" s="312">
        <f>SUM(AnnualDiversions!$BD77,AnnualDiversions!$K77,AnnualDiversions!$H77)</f>
        <v>19256.534204782143</v>
      </c>
      <c r="Y77" s="380">
        <f>SUM(AnnualDiversions!$I77,AnnualDiversions!$W77,AnnualDiversions!$X77,AnnualDiversions!$Y77,AnnualDiversions!$Z77,AnnualDiversions!$AI77,AnnualDiversions!$BB77,AnnualDiversions!$BF77)</f>
        <v>19374.983333335964</v>
      </c>
      <c r="Z77" s="311">
        <f>SUM(AnnualDivReqs!$B77:$G77,AnnualDivReqs!$M77:$V77,AnnualDivReqs!$BJ77)</f>
        <v>109067.13000005133</v>
      </c>
      <c r="AA77" s="312">
        <f>SUM(AnnualDivReqs!$AT77:$AV77)</f>
        <v>323472.70355071744</v>
      </c>
      <c r="AB77" s="312">
        <f>SUM(AnnualDivReqs!$AS77,AnnualDivReqs!$AW77)</f>
        <v>37764.238566617634</v>
      </c>
      <c r="AC77" s="312">
        <f>SUM(AnnualDivReqs!$AA77:$AD77)</f>
        <v>5000.0000000019172</v>
      </c>
      <c r="AD77" s="312">
        <f>SUM(AnnualDivReqs!$BE77,AnnualDivReqs!$BA77,AnnualDivReqs!$AX77,AnnualDivReqs!$AH77,AnnualDivReqs!$AE77)</f>
        <v>53465.859332406013</v>
      </c>
      <c r="AE77" s="312">
        <f>SUM(AnnualDivReqs!$AR77,AnnualDivReqs!$AF77,AnnualDivReqs!$AZ77)</f>
        <v>21065.991742692026</v>
      </c>
      <c r="AF77" s="312">
        <f>SUM(AnnualDivReqs!$BD77,AnnualDivReqs!$K77,AnnualDivReqs!$H77)</f>
        <v>19256.534204782143</v>
      </c>
      <c r="AG77" s="380">
        <f>SUM(AnnualDivReqs!$I77,AnnualDivReqs!$W77,AnnualDivReqs!$X77,AnnualDivReqs!$Y77,AnnualDivReqs!$Z77,AnnualDivReqs!$AI77,AnnualDivReqs!$BB77,AnnualDivReqs!$BF77)</f>
        <v>19374.983333335964</v>
      </c>
    </row>
    <row r="78" spans="1:33" x14ac:dyDescent="0.25">
      <c r="A78" s="4">
        <v>36525.999305555553</v>
      </c>
      <c r="B78" s="311">
        <f>SUM(AnnualDepletions!$B78:$G78,AnnualDepletions!$M78:$V78,AnnualDepletions!$BJ78)</f>
        <v>57174.017058238955</v>
      </c>
      <c r="C78" s="312">
        <f>SUM(AnnualDepletions!$AT78:$AV78)</f>
        <v>206996.03654918703</v>
      </c>
      <c r="D78" s="312">
        <f>SUM(AnnualDepletions!$AS78,AnnualDepletions!$AW78)</f>
        <v>35893.000000000036</v>
      </c>
      <c r="E78" s="312">
        <f>SUM(AnnualDepletions!$AA78:$AD78)</f>
        <v>5000.0000000019172</v>
      </c>
      <c r="F78" s="312">
        <f>SUM(AnnualDepletions!$BE78,AnnualDepletions!$BA78,AnnualDepletions!$AX78,AnnualDepletions!$AH78,AnnualDepletions!$AE78)</f>
        <v>27438.99999999685</v>
      </c>
      <c r="G78" s="312">
        <f>SUM(AnnualDepletions!$AR78,AnnualDepletions!$AF78,AnnualDepletions!$AZ78)</f>
        <v>6037.3356053113876</v>
      </c>
      <c r="H78" s="312">
        <f>SUM(AnnualDepletions!$BD78,AnnualDepletions!$K78,AnnualDepletions!$H78)</f>
        <v>11920.999999998632</v>
      </c>
      <c r="I78" s="380">
        <f>SUM(AnnualDepletions!$I78,AnnualDepletions!$W78,AnnualDepletions!$X78,AnnualDepletions!$Y78,AnnualDepletions!$Z78,AnnualDepletions!$AI78,AnnualDepletions!$BB78,AnnualDepletions!$BF78)</f>
        <v>11624.990000001573</v>
      </c>
      <c r="J78" s="472">
        <f>SUM(AnnualDeplReqs!$B78:$G78,AnnualDeplReqs!$M78:$V78,AnnualDeplReqs!$BJ78)+AnnualDepletions!BJ78</f>
        <v>57174.017058238955</v>
      </c>
      <c r="K78" s="312">
        <f>SUM(AnnualDeplReqs!$AT78:$AV78)</f>
        <v>206996.03654918703</v>
      </c>
      <c r="L78" s="312">
        <f>SUM(AnnualDeplReqs!$AS78,AnnualDeplReqs!$AW78)</f>
        <v>35893.000000000073</v>
      </c>
      <c r="M78" s="312">
        <f>SUM(AnnualDeplReqs!$AA78:$AD78)</f>
        <v>5000.0000000019172</v>
      </c>
      <c r="N78" s="312">
        <f>SUM(AnnualDeplReqs!$BE78,AnnualDeplReqs!$BA78,AnnualDeplReqs!$AX78,AnnualDeplReqs!$AH78,AnnualDeplReqs!$AE78)</f>
        <v>27438.99999999685</v>
      </c>
      <c r="O78" s="312">
        <f>SUM(AnnualDeplReqs!$AR78,AnnualDeplReqs!$AF78,AnnualDeplReqs!$AZ78)</f>
        <v>9877.9999999988613</v>
      </c>
      <c r="P78" s="312">
        <f>SUM(AnnualDeplReqs!$BD78,AnnualDeplReqs!$K78,AnnualDeplReqs!$H78)</f>
        <v>11920.999999998632</v>
      </c>
      <c r="Q78" s="380">
        <f>SUM(AnnualDeplReqs!$I78,AnnualDeplReqs!$W78,AnnualDeplReqs!$X78,AnnualDeplReqs!$Y78,AnnualDeplReqs!$Z78,AnnualDeplReqs!$AI78,AnnualDeplReqs!$BB78,AnnualDeplReqs!$BF78)</f>
        <v>11624.990000001573</v>
      </c>
      <c r="R78" s="311">
        <f>SUM(AnnualDiversions!$B78:$G78,AnnualDiversions!$M78:$V78,AnnualDiversions!$BJ78)</f>
        <v>109067.13000005133</v>
      </c>
      <c r="S78" s="312">
        <f>SUM(AnnualDiversions!$AT78:$AV78)</f>
        <v>258745.04568648356</v>
      </c>
      <c r="T78" s="312">
        <f>SUM(AnnualDiversions!$AS78,AnnualDiversions!$AW78)</f>
        <v>37764.238566617598</v>
      </c>
      <c r="U78" s="312">
        <f>SUM(AnnualDiversions!$AA78:$AD78)</f>
        <v>5000.0000000019172</v>
      </c>
      <c r="V78" s="312">
        <f>SUM(AnnualDiversions!$BE78,AnnualDiversions!$BA78,AnnualDiversions!$AX78,AnnualDiversions!$AH78,AnnualDiversions!$AE78)</f>
        <v>46104.744421734606</v>
      </c>
      <c r="W78" s="312">
        <f>SUM(AnnualDiversions!$AR78,AnnualDiversions!$AF78,AnnualDiversions!$AZ78)</f>
        <v>12003.921574055081</v>
      </c>
      <c r="X78" s="312">
        <f>SUM(AnnualDiversions!$BD78,AnnualDiversions!$K78,AnnualDiversions!$H78)</f>
        <v>18272.828836635636</v>
      </c>
      <c r="Y78" s="380">
        <f>SUM(AnnualDiversions!$I78,AnnualDiversions!$W78,AnnualDiversions!$X78,AnnualDiversions!$Y78,AnnualDiversions!$Z78,AnnualDiversions!$AI78,AnnualDiversions!$BB78,AnnualDiversions!$BF78)</f>
        <v>19374.983333335964</v>
      </c>
      <c r="Z78" s="311">
        <f>SUM(AnnualDivReqs!$B78:$G78,AnnualDivReqs!$M78:$V78,AnnualDivReqs!$BJ78)</f>
        <v>109067.13000005133</v>
      </c>
      <c r="AA78" s="312">
        <f>SUM(AnnualDivReqs!$AT78:$AV78)</f>
        <v>258745.04568648356</v>
      </c>
      <c r="AB78" s="312">
        <f>SUM(AnnualDivReqs!$AS78,AnnualDivReqs!$AW78)</f>
        <v>37764.238566617634</v>
      </c>
      <c r="AC78" s="312">
        <f>SUM(AnnualDivReqs!$AA78:$AD78)</f>
        <v>5000.0000000019172</v>
      </c>
      <c r="AD78" s="312">
        <f>SUM(AnnualDivReqs!$BE78,AnnualDivReqs!$BA78,AnnualDivReqs!$AX78,AnnualDivReqs!$AH78,AnnualDivReqs!$AE78)</f>
        <v>46104.744421734606</v>
      </c>
      <c r="AE78" s="312">
        <f>SUM(AnnualDivReqs!$AR78,AnnualDivReqs!$AF78,AnnualDivReqs!$AZ78)</f>
        <v>17696.476739661808</v>
      </c>
      <c r="AF78" s="312">
        <f>SUM(AnnualDivReqs!$BD78,AnnualDivReqs!$K78,AnnualDivReqs!$H78)</f>
        <v>18272.828836635636</v>
      </c>
      <c r="AG78" s="380">
        <f>SUM(AnnualDivReqs!$I78,AnnualDivReqs!$W78,AnnualDivReqs!$X78,AnnualDivReqs!$Y78,AnnualDivReqs!$Z78,AnnualDivReqs!$AI78,AnnualDivReqs!$BB78,AnnualDivReqs!$BF78)</f>
        <v>19374.983333335964</v>
      </c>
    </row>
    <row r="79" spans="1:33" x14ac:dyDescent="0.25">
      <c r="A79" s="4">
        <v>36891.999305555553</v>
      </c>
      <c r="B79" s="311">
        <f>SUM(AnnualDepletions!$B79:$G79,AnnualDepletions!$M79:$V79,AnnualDepletions!$BJ79)</f>
        <v>57103.827328755295</v>
      </c>
      <c r="C79" s="312">
        <f>SUM(AnnualDepletions!$AT79:$AV79)</f>
        <v>289778.66461234522</v>
      </c>
      <c r="D79" s="312">
        <f>SUM(AnnualDepletions!$AS79,AnnualDepletions!$AW79)</f>
        <v>35893.000000000058</v>
      </c>
      <c r="E79" s="312">
        <f>SUM(AnnualDepletions!$AA79:$AD79)</f>
        <v>5000.0000000019463</v>
      </c>
      <c r="F79" s="312">
        <f>SUM(AnnualDepletions!$BE79,AnnualDepletions!$BA79,AnnualDepletions!$AX79,AnnualDepletions!$AH79,AnnualDepletions!$AE79)</f>
        <v>37366.617595614945</v>
      </c>
      <c r="G79" s="312">
        <f>SUM(AnnualDepletions!$AR79,AnnualDepletions!$AF79,AnnualDepletions!$AZ79)</f>
        <v>2572.1492226774799</v>
      </c>
      <c r="H79" s="312">
        <f>SUM(AnnualDepletions!$BD79,AnnualDepletions!$K79,AnnualDepletions!$H79)</f>
        <v>15006.999999998281</v>
      </c>
      <c r="I79" s="380">
        <f>SUM(AnnualDepletions!$I79,AnnualDepletions!$W79,AnnualDepletions!$X79,AnnualDepletions!$Y79,AnnualDepletions!$Z79,AnnualDepletions!$AI79,AnnualDepletions!$BB79,AnnualDepletions!$BF79)</f>
        <v>11624.990000001573</v>
      </c>
      <c r="J79" s="472">
        <f>SUM(AnnualDeplReqs!$B79:$G79,AnnualDeplReqs!$M79:$V79,AnnualDeplReqs!$BJ79)+AnnualDepletions!BJ79</f>
        <v>57310.979900741448</v>
      </c>
      <c r="K79" s="312">
        <f>SUM(AnnualDeplReqs!$AT79:$AV79)</f>
        <v>289778.66461234522</v>
      </c>
      <c r="L79" s="312">
        <f>SUM(AnnualDeplReqs!$AS79,AnnualDeplReqs!$AW79)</f>
        <v>35893.000000000073</v>
      </c>
      <c r="M79" s="312">
        <f>SUM(AnnualDeplReqs!$AA79:$AD79)</f>
        <v>5000.0000000019463</v>
      </c>
      <c r="N79" s="312">
        <f>SUM(AnnualDeplReqs!$BE79,AnnualDeplReqs!$BA79,AnnualDeplReqs!$AX79,AnnualDeplReqs!$AH79,AnnualDeplReqs!$AE79)</f>
        <v>37366.617595614945</v>
      </c>
      <c r="O79" s="312">
        <f>SUM(AnnualDeplReqs!$AR79,AnnualDeplReqs!$AF79,AnnualDeplReqs!$AZ79)</f>
        <v>14013.999999998387</v>
      </c>
      <c r="P79" s="312">
        <f>SUM(AnnualDeplReqs!$BD79,AnnualDeplReqs!$K79,AnnualDeplReqs!$H79)</f>
        <v>15006.999999998281</v>
      </c>
      <c r="Q79" s="380">
        <f>SUM(AnnualDeplReqs!$I79,AnnualDeplReqs!$W79,AnnualDeplReqs!$X79,AnnualDeplReqs!$Y79,AnnualDeplReqs!$Z79,AnnualDeplReqs!$AI79,AnnualDeplReqs!$BB79,AnnualDeplReqs!$BF79)</f>
        <v>11624.990000001573</v>
      </c>
      <c r="R79" s="311">
        <f>SUM(AnnualDiversions!$B79:$G79,AnnualDiversions!$M79:$V79,AnnualDiversions!$BJ79)</f>
        <v>109067.13000005134</v>
      </c>
      <c r="S79" s="312">
        <f>SUM(AnnualDiversions!$AT79:$AV79)</f>
        <v>362223.33076543163</v>
      </c>
      <c r="T79" s="312">
        <f>SUM(AnnualDiversions!$AS79,AnnualDiversions!$AW79)</f>
        <v>37763.476493275433</v>
      </c>
      <c r="U79" s="312">
        <f>SUM(AnnualDiversions!$AA79:$AD79)</f>
        <v>5000.0000000019463</v>
      </c>
      <c r="V79" s="312">
        <f>SUM(AnnualDiversions!$BE79,AnnualDiversions!$BA79,AnnualDiversions!$AX79,AnnualDiversions!$AH79,AnnualDiversions!$AE79)</f>
        <v>62731.077729849974</v>
      </c>
      <c r="W79" s="312">
        <f>SUM(AnnualDiversions!$AR79,AnnualDiversions!$AF79,AnnualDiversions!$AZ79)</f>
        <v>4348.7438046857378</v>
      </c>
      <c r="X79" s="312">
        <f>SUM(AnnualDiversions!$BD79,AnnualDiversions!$K79,AnnualDiversions!$H79)</f>
        <v>23004.853073953469</v>
      </c>
      <c r="Y79" s="380">
        <f>SUM(AnnualDiversions!$I79,AnnualDiversions!$W79,AnnualDiversions!$X79,AnnualDiversions!$Y79,AnnualDiversions!$Z79,AnnualDiversions!$AI79,AnnualDiversions!$BB79,AnnualDiversions!$BF79)</f>
        <v>19374.983333335967</v>
      </c>
      <c r="Z79" s="311">
        <f>SUM(AnnualDivReqs!$B79:$G79,AnnualDivReqs!$M79:$V79,AnnualDivReqs!$BJ79)</f>
        <v>109481.43514402365</v>
      </c>
      <c r="AA79" s="312">
        <f>SUM(AnnualDivReqs!$AT79:$AV79)</f>
        <v>362223.33076543163</v>
      </c>
      <c r="AB79" s="312">
        <f>SUM(AnnualDivReqs!$AS79,AnnualDivReqs!$AW79)</f>
        <v>37763.476493275448</v>
      </c>
      <c r="AC79" s="312">
        <f>SUM(AnnualDivReqs!$AA79:$AD79)</f>
        <v>5000.0000000019463</v>
      </c>
      <c r="AD79" s="312">
        <f>SUM(AnnualDivReqs!$BE79,AnnualDivReqs!$BA79,AnnualDivReqs!$AX79,AnnualDivReqs!$AH79,AnnualDivReqs!$AE79)</f>
        <v>62731.077729849974</v>
      </c>
      <c r="AE79" s="312">
        <f>SUM(AnnualDivReqs!$AR79,AnnualDivReqs!$AF79,AnnualDivReqs!$AZ79)</f>
        <v>25097.863462788249</v>
      </c>
      <c r="AF79" s="312">
        <f>SUM(AnnualDivReqs!$BD79,AnnualDivReqs!$K79,AnnualDivReqs!$H79)</f>
        <v>23004.853073953469</v>
      </c>
      <c r="AG79" s="380">
        <f>SUM(AnnualDivReqs!$I79,AnnualDivReqs!$W79,AnnualDivReqs!$X79,AnnualDivReqs!$Y79,AnnualDivReqs!$Z79,AnnualDivReqs!$AI79,AnnualDivReqs!$BB79,AnnualDivReqs!$BF79)</f>
        <v>19374.983333335967</v>
      </c>
    </row>
    <row r="80" spans="1:33" x14ac:dyDescent="0.25">
      <c r="A80" s="4">
        <v>37256.999305555553</v>
      </c>
      <c r="B80" s="311">
        <f>SUM(AnnualDepletions!$B80:$G80,AnnualDepletions!$M80:$V80,AnnualDepletions!$BJ80)</f>
        <v>57157.976672619683</v>
      </c>
      <c r="C80" s="312">
        <f>SUM(AnnualDepletions!$AT80:$AV80)</f>
        <v>271594.97844870068</v>
      </c>
      <c r="D80" s="312">
        <f>SUM(AnnualDepletions!$AS80,AnnualDepletions!$AW80)</f>
        <v>35893.000000000065</v>
      </c>
      <c r="E80" s="312">
        <f>SUM(AnnualDepletions!$AA80:$AD80)</f>
        <v>5000.0000000019172</v>
      </c>
      <c r="F80" s="312">
        <f>SUM(AnnualDepletions!$BE80,AnnualDepletions!$BA80,AnnualDepletions!$AX80,AnnualDepletions!$AH80,AnnualDepletions!$AE80)</f>
        <v>36714.614447607848</v>
      </c>
      <c r="G80" s="312">
        <f>SUM(AnnualDepletions!$AR80,AnnualDepletions!$AF80,AnnualDepletions!$AZ80)</f>
        <v>3266.2904850864134</v>
      </c>
      <c r="H80" s="312">
        <f>SUM(AnnualDepletions!$BD80,AnnualDepletions!$K80,AnnualDepletions!$H80)</f>
        <v>14129.999999998379</v>
      </c>
      <c r="I80" s="380">
        <f>SUM(AnnualDepletions!$I80,AnnualDepletions!$W80,AnnualDepletions!$X80,AnnualDepletions!$Y80,AnnualDepletions!$Z80,AnnualDepletions!$AI80,AnnualDepletions!$BB80,AnnualDepletions!$BF80)</f>
        <v>11624.990000001573</v>
      </c>
      <c r="J80" s="472">
        <f>SUM(AnnualDeplReqs!$B80:$G80,AnnualDeplReqs!$M80:$V80,AnnualDeplReqs!$BJ80)+AnnualDepletions!BJ80</f>
        <v>57270.684339286432</v>
      </c>
      <c r="K80" s="312">
        <f>SUM(AnnualDeplReqs!$AT80:$AV80)</f>
        <v>271594.97844870068</v>
      </c>
      <c r="L80" s="312">
        <f>SUM(AnnualDeplReqs!$AS80,AnnualDeplReqs!$AW80)</f>
        <v>35893.000000000073</v>
      </c>
      <c r="M80" s="312">
        <f>SUM(AnnualDeplReqs!$AA80:$AD80)</f>
        <v>5000.0000000019172</v>
      </c>
      <c r="N80" s="312">
        <f>SUM(AnnualDeplReqs!$BE80,AnnualDeplReqs!$BA80,AnnualDeplReqs!$AX80,AnnualDeplReqs!$AH80,AnnualDeplReqs!$AE80)</f>
        <v>36714.614447607848</v>
      </c>
      <c r="O80" s="312">
        <f>SUM(AnnualDeplReqs!$AR80,AnnualDeplReqs!$AF80,AnnualDeplReqs!$AZ80)</f>
        <v>13463.999999998437</v>
      </c>
      <c r="P80" s="312">
        <f>SUM(AnnualDeplReqs!$BD80,AnnualDeplReqs!$K80,AnnualDeplReqs!$H80)</f>
        <v>14129.999999998379</v>
      </c>
      <c r="Q80" s="380">
        <f>SUM(AnnualDeplReqs!$I80,AnnualDeplReqs!$W80,AnnualDeplReqs!$X80,AnnualDeplReqs!$Y80,AnnualDeplReqs!$Z80,AnnualDeplReqs!$AI80,AnnualDeplReqs!$BB80,AnnualDeplReqs!$BF80)</f>
        <v>11624.990000001573</v>
      </c>
      <c r="R80" s="311">
        <f>SUM(AnnualDiversions!$B80:$G80,AnnualDiversions!$M80:$V80,AnnualDiversions!$BJ80)</f>
        <v>109067.13000005134</v>
      </c>
      <c r="S80" s="312">
        <f>SUM(AnnualDiversions!$AT80:$AV80)</f>
        <v>339493.72306087543</v>
      </c>
      <c r="T80" s="312">
        <f>SUM(AnnualDiversions!$AS80,AnnualDiversions!$AW80)</f>
        <v>37764.238566617627</v>
      </c>
      <c r="U80" s="312">
        <f>SUM(AnnualDiversions!$AA80:$AD80)</f>
        <v>5000.0000000019172</v>
      </c>
      <c r="V80" s="312">
        <f>SUM(AnnualDiversions!$BE80,AnnualDiversions!$BA80,AnnualDiversions!$AX80,AnnualDiversions!$AH80,AnnualDiversions!$AE80)</f>
        <v>61625.486253345764</v>
      </c>
      <c r="W80" s="312">
        <f>SUM(AnnualDiversions!$AR80,AnnualDiversions!$AF80,AnnualDiversions!$AZ80)</f>
        <v>5642.0633432935683</v>
      </c>
      <c r="X80" s="312">
        <f>SUM(AnnualDiversions!$BD80,AnnualDiversions!$K80,AnnualDiversions!$H80)</f>
        <v>21659.448214886204</v>
      </c>
      <c r="Y80" s="380">
        <f>SUM(AnnualDiversions!$I80,AnnualDiversions!$W80,AnnualDiversions!$X80,AnnualDiversions!$Y80,AnnualDiversions!$Z80,AnnualDiversions!$AI80,AnnualDiversions!$BB80,AnnualDiversions!$BF80)</f>
        <v>19374.983333335964</v>
      </c>
      <c r="Z80" s="311">
        <f>SUM(AnnualDivReqs!$B80:$G80,AnnualDivReqs!$M80:$V80,AnnualDivReqs!$BJ80)</f>
        <v>109292.54533338484</v>
      </c>
      <c r="AA80" s="312">
        <f>SUM(AnnualDivReqs!$AT80:$AV80)</f>
        <v>339493.72306087543</v>
      </c>
      <c r="AB80" s="312">
        <f>SUM(AnnualDivReqs!$AS80,AnnualDivReqs!$AW80)</f>
        <v>37764.238566617634</v>
      </c>
      <c r="AC80" s="312">
        <f>SUM(AnnualDivReqs!$AA80:$AD80)</f>
        <v>5000.0000000019172</v>
      </c>
      <c r="AD80" s="312">
        <f>SUM(AnnualDivReqs!$BE80,AnnualDivReqs!$BA80,AnnualDivReqs!$AX80,AnnualDivReqs!$AH80,AnnualDivReqs!$AE80)</f>
        <v>61625.486253345764</v>
      </c>
      <c r="AE80" s="312">
        <f>SUM(AnnualDivReqs!$AR80,AnnualDivReqs!$AF80,AnnualDivReqs!$AZ80)</f>
        <v>24115.066085258579</v>
      </c>
      <c r="AF80" s="312">
        <f>SUM(AnnualDivReqs!$BD80,AnnualDivReqs!$K80,AnnualDivReqs!$H80)</f>
        <v>21659.448214886204</v>
      </c>
      <c r="AG80" s="380">
        <f>SUM(AnnualDivReqs!$I80,AnnualDivReqs!$W80,AnnualDivReqs!$X80,AnnualDivReqs!$Y80,AnnualDivReqs!$Z80,AnnualDivReqs!$AI80,AnnualDivReqs!$BB80,AnnualDivReqs!$BF80)</f>
        <v>19374.983333335964</v>
      </c>
    </row>
    <row r="81" spans="1:33" x14ac:dyDescent="0.25">
      <c r="A81" s="4">
        <v>37621.999305555553</v>
      </c>
      <c r="B81" s="311">
        <f>SUM(AnnualDepletions!$B81:$G81,AnnualDepletions!$M81:$V81,AnnualDepletions!$BJ81)</f>
        <v>56779.741140745704</v>
      </c>
      <c r="C81" s="312">
        <f>SUM(AnnualDepletions!$AT81:$AV81)</f>
        <v>250684.80985579669</v>
      </c>
      <c r="D81" s="312">
        <f>SUM(AnnualDepletions!$AS81,AnnualDepletions!$AW81)</f>
        <v>35893.000000000058</v>
      </c>
      <c r="E81" s="312">
        <f>SUM(AnnualDepletions!$AA81:$AD81)</f>
        <v>4908.395374850008</v>
      </c>
      <c r="F81" s="312">
        <f>SUM(AnnualDepletions!$BE81,AnnualDepletions!$BA81,AnnualDepletions!$AX81,AnnualDepletions!$AH81,AnnualDepletions!$AE81)</f>
        <v>36015.052790397014</v>
      </c>
      <c r="G81" s="312">
        <f>SUM(AnnualDepletions!$AR81,AnnualDepletions!$AF81,AnnualDepletions!$AZ81)</f>
        <v>609.41459971539052</v>
      </c>
      <c r="H81" s="312">
        <f>SUM(AnnualDepletions!$BD81,AnnualDepletions!$K81,AnnualDepletions!$H81)</f>
        <v>14246.999999998363</v>
      </c>
      <c r="I81" s="380">
        <f>SUM(AnnualDepletions!$I81,AnnualDepletions!$W81,AnnualDepletions!$X81,AnnualDepletions!$Y81,AnnualDepletions!$Z81,AnnualDepletions!$AI81,AnnualDepletions!$BB81,AnnualDepletions!$BF81)</f>
        <v>11624.990000001573</v>
      </c>
      <c r="J81" s="472">
        <f>SUM(AnnualDeplReqs!$B81:$G81,AnnualDeplReqs!$M81:$V81,AnnualDeplReqs!$BJ81)+AnnualDepletions!BJ81</f>
        <v>57516.439309786183</v>
      </c>
      <c r="K81" s="312">
        <f>SUM(AnnualDeplReqs!$AT81:$AV81)</f>
        <v>250684.80985579669</v>
      </c>
      <c r="L81" s="312">
        <f>SUM(AnnualDeplReqs!$AS81,AnnualDeplReqs!$AW81)</f>
        <v>35893.000000000073</v>
      </c>
      <c r="M81" s="312">
        <f>SUM(AnnualDeplReqs!$AA81:$AD81)</f>
        <v>5000.0000000019172</v>
      </c>
      <c r="N81" s="312">
        <f>SUM(AnnualDeplReqs!$BE81,AnnualDeplReqs!$BA81,AnnualDeplReqs!$AX81,AnnualDeplReqs!$AH81,AnnualDeplReqs!$AE81)</f>
        <v>36173.250895748817</v>
      </c>
      <c r="O81" s="312">
        <f>SUM(AnnualDeplReqs!$AR81,AnnualDeplReqs!$AF81,AnnualDeplReqs!$AZ81)</f>
        <v>13454.99999999845</v>
      </c>
      <c r="P81" s="312">
        <f>SUM(AnnualDeplReqs!$BD81,AnnualDeplReqs!$K81,AnnualDeplReqs!$H81)</f>
        <v>14246.999999998363</v>
      </c>
      <c r="Q81" s="380">
        <f>SUM(AnnualDeplReqs!$I81,AnnualDeplReqs!$W81,AnnualDeplReqs!$X81,AnnualDeplReqs!$Y81,AnnualDeplReqs!$Z81,AnnualDeplReqs!$AI81,AnnualDeplReqs!$BB81,AnnualDeplReqs!$BF81)</f>
        <v>11624.990000001573</v>
      </c>
      <c r="R81" s="311">
        <f>SUM(AnnualDiversions!$B81:$G81,AnnualDiversions!$M81:$V81,AnnualDiversions!$BJ81)</f>
        <v>109006.69832863759</v>
      </c>
      <c r="S81" s="312">
        <f>SUM(AnnualDiversions!$AT81:$AV81)</f>
        <v>313356.01231974614</v>
      </c>
      <c r="T81" s="312">
        <f>SUM(AnnualDiversions!$AS81,AnnualDiversions!$AW81)</f>
        <v>37764.23856661762</v>
      </c>
      <c r="U81" s="312">
        <f>SUM(AnnualDiversions!$AA81:$AD81)</f>
        <v>4908.395374850008</v>
      </c>
      <c r="V81" s="312">
        <f>SUM(AnnualDiversions!$BE81,AnnualDiversions!$BA81,AnnualDiversions!$AX81,AnnualDiversions!$AH81,AnnualDiversions!$AE81)</f>
        <v>60406.694096244792</v>
      </c>
      <c r="W81" s="312">
        <f>SUM(AnnualDiversions!$AR81,AnnualDiversions!$AF81,AnnualDiversions!$AZ81)</f>
        <v>1058.7748767801397</v>
      </c>
      <c r="X81" s="312">
        <f>SUM(AnnualDiversions!$BD81,AnnualDiversions!$K81,AnnualDiversions!$H81)</f>
        <v>21838.838846136034</v>
      </c>
      <c r="Y81" s="380">
        <f>SUM(AnnualDiversions!$I81,AnnualDiversions!$W81,AnnualDiversions!$X81,AnnualDiversions!$Y81,AnnualDiversions!$Z81,AnnualDiversions!$AI81,AnnualDiversions!$BB81,AnnualDiversions!$BF81)</f>
        <v>19374.983333335964</v>
      </c>
      <c r="Z81" s="311">
        <f>SUM(AnnualDivReqs!$B81:$G81,AnnualDivReqs!$M81:$V81,AnnualDivReqs!$BJ81)</f>
        <v>110480.09466671855</v>
      </c>
      <c r="AA81" s="312">
        <f>SUM(AnnualDivReqs!$AT81:$AV81)</f>
        <v>313356.01231974614</v>
      </c>
      <c r="AB81" s="312">
        <f>SUM(AnnualDivReqs!$AS81,AnnualDivReqs!$AW81)</f>
        <v>37764.238566617634</v>
      </c>
      <c r="AC81" s="312">
        <f>SUM(AnnualDivReqs!$AA81:$AD81)</f>
        <v>5000.0000000019172</v>
      </c>
      <c r="AD81" s="312">
        <f>SUM(AnnualDivReqs!$BE81,AnnualDivReqs!$BA81,AnnualDivReqs!$AX81,AnnualDivReqs!$AH81,AnnualDivReqs!$AE81)</f>
        <v>60669.303982742756</v>
      </c>
      <c r="AE81" s="312">
        <f>SUM(AnnualDivReqs!$AR81,AnnualDivReqs!$AF81,AnnualDivReqs!$AZ81)</f>
        <v>24097.679325564015</v>
      </c>
      <c r="AF81" s="312">
        <f>SUM(AnnualDivReqs!$BD81,AnnualDivReqs!$K81,AnnualDivReqs!$H81)</f>
        <v>21838.838846136034</v>
      </c>
      <c r="AG81" s="380">
        <f>SUM(AnnualDivReqs!$I81,AnnualDivReqs!$W81,AnnualDivReqs!$X81,AnnualDivReqs!$Y81,AnnualDivReqs!$Z81,AnnualDivReqs!$AI81,AnnualDivReqs!$BB81,AnnualDivReqs!$BF81)</f>
        <v>19374.983333335964</v>
      </c>
    </row>
    <row r="82" spans="1:33" x14ac:dyDescent="0.25">
      <c r="A82" s="4">
        <v>37986.999305555553</v>
      </c>
      <c r="B82" s="311">
        <f>SUM(AnnualDepletions!$B82:$G82,AnnualDepletions!$M82:$V82,AnnualDepletions!$BJ82)</f>
        <v>56587.390162499345</v>
      </c>
      <c r="C82" s="312">
        <f>SUM(AnnualDepletions!$AT82:$AV82)</f>
        <v>173409.68026580906</v>
      </c>
      <c r="D82" s="312">
        <f>SUM(AnnualDepletions!$AS82,AnnualDepletions!$AW82)</f>
        <v>21450.009879037338</v>
      </c>
      <c r="E82" s="312">
        <f>SUM(AnnualDepletions!$AA82:$AD82)</f>
        <v>5000.0000000019172</v>
      </c>
      <c r="F82" s="312">
        <f>SUM(AnnualDepletions!$BE82,AnnualDepletions!$BA82,AnnualDepletions!$AX82,AnnualDepletions!$AH82,AnnualDepletions!$AE82)</f>
        <v>35416.944128743024</v>
      </c>
      <c r="G82" s="312">
        <f>SUM(AnnualDepletions!$AR82,AnnualDepletions!$AF82,AnnualDepletions!$AZ82)</f>
        <v>2011.6769203250121</v>
      </c>
      <c r="H82" s="312">
        <f>SUM(AnnualDepletions!$BD82,AnnualDepletions!$K82,AnnualDepletions!$H82)</f>
        <v>10721.878412109862</v>
      </c>
      <c r="I82" s="380">
        <f>SUM(AnnualDepletions!$I82,AnnualDepletions!$W82,AnnualDepletions!$X82,AnnualDepletions!$Y82,AnnualDepletions!$Z82,AnnualDepletions!$AI82,AnnualDepletions!$BB82,AnnualDepletions!$BF82)</f>
        <v>9613.0351610433954</v>
      </c>
      <c r="J82" s="472">
        <f>SUM(AnnualDeplReqs!$B82:$G82,AnnualDeplReqs!$M82:$V82,AnnualDeplReqs!$BJ82)+AnnualDepletions!BJ82</f>
        <v>56863.245001209027</v>
      </c>
      <c r="K82" s="312">
        <f>SUM(AnnualDeplReqs!$AT82:$AV82)</f>
        <v>290172.06466946361</v>
      </c>
      <c r="L82" s="312">
        <f>SUM(AnnualDeplReqs!$AS82,AnnualDeplReqs!$AW82)</f>
        <v>35893.000000000073</v>
      </c>
      <c r="M82" s="312">
        <f>SUM(AnnualDeplReqs!$AA82:$AD82)</f>
        <v>5000.0000000019172</v>
      </c>
      <c r="N82" s="312">
        <f>SUM(AnnualDeplReqs!$BE82,AnnualDeplReqs!$BA82,AnnualDeplReqs!$AX82,AnnualDeplReqs!$AH82,AnnualDeplReqs!$AE82)</f>
        <v>35416.944128743024</v>
      </c>
      <c r="O82" s="312">
        <f>SUM(AnnualDeplReqs!$AR82,AnnualDeplReqs!$AF82,AnnualDeplReqs!$AZ82)</f>
        <v>12905.999999998528</v>
      </c>
      <c r="P82" s="312">
        <f>SUM(AnnualDeplReqs!$BD82,AnnualDeplReqs!$K82,AnnualDeplReqs!$H82)</f>
        <v>14405.999999998332</v>
      </c>
      <c r="Q82" s="380">
        <f>SUM(AnnualDeplReqs!$I82,AnnualDeplReqs!$W82,AnnualDeplReqs!$X82,AnnualDeplReqs!$Y82,AnnualDeplReqs!$Z82,AnnualDeplReqs!$AI82,AnnualDeplReqs!$BB82,AnnualDeplReqs!$BF82)</f>
        <v>11624.990000001573</v>
      </c>
      <c r="R82" s="311">
        <f>SUM(AnnualDiversions!$B82:$G82,AnnualDiversions!$M82:$V82,AnnualDiversions!$BJ82)</f>
        <v>109067.13000005134</v>
      </c>
      <c r="S82" s="312">
        <f>SUM(AnnualDiversions!$AT82:$AV82)</f>
        <v>216762.10033226138</v>
      </c>
      <c r="T82" s="312">
        <f>SUM(AnnualDiversions!$AS82,AnnualDiversions!$AW82)</f>
        <v>22568.280453800864</v>
      </c>
      <c r="U82" s="312">
        <f>SUM(AnnualDiversions!$AA82:$AD82)</f>
        <v>5000.0000000019172</v>
      </c>
      <c r="V82" s="312">
        <f>SUM(AnnualDiversions!$BE82,AnnualDiversions!$BA82,AnnualDiversions!$AX82,AnnualDiversions!$AH82,AnnualDiversions!$AE82)</f>
        <v>59381.910704703259</v>
      </c>
      <c r="W82" s="312">
        <f>SUM(AnnualDiversions!$AR82,AnnualDiversions!$AF82,AnnualDiversions!$AZ82)</f>
        <v>3579.615492085175</v>
      </c>
      <c r="X82" s="312">
        <f>SUM(AnnualDiversions!$BD82,AnnualDiversions!$K82,AnnualDiversions!$H82)</f>
        <v>16547.563892252016</v>
      </c>
      <c r="Y82" s="380">
        <f>SUM(AnnualDiversions!$I82,AnnualDiversions!$W82,AnnualDiversions!$X82,AnnualDiversions!$Y82,AnnualDiversions!$Z82,AnnualDiversions!$AI82,AnnualDiversions!$BB82,AnnualDiversions!$BF82)</f>
        <v>16021.725268405691</v>
      </c>
      <c r="Z82" s="311">
        <f>SUM(AnnualDivReqs!$B82:$G82,AnnualDivReqs!$M82:$V82,AnnualDivReqs!$BJ82)</f>
        <v>109618.83967747071</v>
      </c>
      <c r="AA82" s="312">
        <f>SUM(AnnualDivReqs!$AT82:$AV82)</f>
        <v>362715.08083682926</v>
      </c>
      <c r="AB82" s="312">
        <f>SUM(AnnualDivReqs!$AS82,AnnualDivReqs!$AW82)</f>
        <v>37764.238566617634</v>
      </c>
      <c r="AC82" s="312">
        <f>SUM(AnnualDivReqs!$AA82:$AD82)</f>
        <v>5000.0000000019172</v>
      </c>
      <c r="AD82" s="312">
        <f>SUM(AnnualDivReqs!$BE82,AnnualDivReqs!$BA82,AnnualDivReqs!$AX82,AnnualDivReqs!$AH82,AnnualDivReqs!$AE82)</f>
        <v>59381.910704703259</v>
      </c>
      <c r="AE82" s="312">
        <f>SUM(AnnualDivReqs!$AR82,AnnualDivReqs!$AF82,AnnualDivReqs!$AZ82)</f>
        <v>23115.686929289357</v>
      </c>
      <c r="AF82" s="312">
        <f>SUM(AnnualDivReqs!$BD82,AnnualDivReqs!$K82,AnnualDivReqs!$H82)</f>
        <v>22083.018159983185</v>
      </c>
      <c r="AG82" s="380">
        <f>SUM(AnnualDivReqs!$I82,AnnualDivReqs!$W82,AnnualDivReqs!$X82,AnnualDivReqs!$Y82,AnnualDivReqs!$Z82,AnnualDivReqs!$AI82,AnnualDivReqs!$BB82,AnnualDivReqs!$BF82)</f>
        <v>19374.983333335964</v>
      </c>
    </row>
    <row r="83" spans="1:33" x14ac:dyDescent="0.25">
      <c r="A83" s="4">
        <v>38352.999305555553</v>
      </c>
      <c r="B83" s="311">
        <f>SUM(AnnualDepletions!$B83:$G83,AnnualDepletions!$M83:$V83,AnnualDepletions!$BJ83)</f>
        <v>56863.560402384297</v>
      </c>
      <c r="C83" s="312">
        <f>SUM(AnnualDepletions!$AT83:$AV83)</f>
        <v>268047.8686433718</v>
      </c>
      <c r="D83" s="312">
        <f>SUM(AnnualDepletions!$AS83,AnnualDepletions!$AW83)</f>
        <v>35893.000000000058</v>
      </c>
      <c r="E83" s="312">
        <f>SUM(AnnualDepletions!$AA83:$AD83)</f>
        <v>5000.0000000019463</v>
      </c>
      <c r="F83" s="312">
        <f>SUM(AnnualDepletions!$BE83,AnnualDepletions!$BA83,AnnualDepletions!$AX83,AnnualDepletions!$AH83,AnnualDepletions!$AE83)</f>
        <v>34191.035267160943</v>
      </c>
      <c r="G83" s="312">
        <f>SUM(AnnualDepletions!$AR83,AnnualDepletions!$AF83,AnnualDepletions!$AZ83)</f>
        <v>4662.2954064466967</v>
      </c>
      <c r="H83" s="312">
        <f>SUM(AnnualDepletions!$BD83,AnnualDepletions!$K83,AnnualDepletions!$H83)</f>
        <v>13408.999999998459</v>
      </c>
      <c r="I83" s="380">
        <f>SUM(AnnualDepletions!$I83,AnnualDepletions!$W83,AnnualDepletions!$X83,AnnualDepletions!$Y83,AnnualDepletions!$Z83,AnnualDepletions!$AI83,AnnualDepletions!$BB83,AnnualDepletions!$BF83)</f>
        <v>11624.990000001573</v>
      </c>
      <c r="J83" s="472">
        <f>SUM(AnnualDeplReqs!$B83:$G83,AnnualDeplReqs!$M83:$V83,AnnualDeplReqs!$BJ83)+AnnualDepletions!BJ83</f>
        <v>56984.713316362926</v>
      </c>
      <c r="K83" s="312">
        <f>SUM(AnnualDeplReqs!$AT83:$AV83)</f>
        <v>268047.8686433718</v>
      </c>
      <c r="L83" s="312">
        <f>SUM(AnnualDeplReqs!$AS83,AnnualDeplReqs!$AW83)</f>
        <v>35893.000000000073</v>
      </c>
      <c r="M83" s="312">
        <f>SUM(AnnualDeplReqs!$AA83:$AD83)</f>
        <v>5000.0000000019463</v>
      </c>
      <c r="N83" s="312">
        <f>SUM(AnnualDeplReqs!$BE83,AnnualDeplReqs!$BA83,AnnualDeplReqs!$AX83,AnnualDeplReqs!$AH83,AnnualDeplReqs!$AE83)</f>
        <v>34191.035267160943</v>
      </c>
      <c r="O83" s="312">
        <f>SUM(AnnualDeplReqs!$AR83,AnnualDeplReqs!$AF83,AnnualDeplReqs!$AZ83)</f>
        <v>12489.999999998563</v>
      </c>
      <c r="P83" s="312">
        <f>SUM(AnnualDeplReqs!$BD83,AnnualDeplReqs!$K83,AnnualDeplReqs!$H83)</f>
        <v>13408.999999998459</v>
      </c>
      <c r="Q83" s="380">
        <f>SUM(AnnualDeplReqs!$I83,AnnualDeplReqs!$W83,AnnualDeplReqs!$X83,AnnualDeplReqs!$Y83,AnnualDeplReqs!$Z83,AnnualDeplReqs!$AI83,AnnualDeplReqs!$BB83,AnnualDeplReqs!$BF83)</f>
        <v>11624.990000001573</v>
      </c>
      <c r="R83" s="311">
        <f>SUM(AnnualDiversions!$B83:$G83,AnnualDiversions!$M83:$V83,AnnualDiversions!$BJ83)</f>
        <v>109067.13000005131</v>
      </c>
      <c r="S83" s="312">
        <f>SUM(AnnualDiversions!$AT83:$AV83)</f>
        <v>335059.83580421394</v>
      </c>
      <c r="T83" s="312">
        <f>SUM(AnnualDiversions!$AS83,AnnualDiversions!$AW83)</f>
        <v>37763.476493275433</v>
      </c>
      <c r="U83" s="312">
        <f>SUM(AnnualDiversions!$AA83:$AD83)</f>
        <v>5000.0000000019463</v>
      </c>
      <c r="V83" s="312">
        <f>SUM(AnnualDiversions!$BE83,AnnualDiversions!$BA83,AnnualDiversions!$AX83,AnnualDiversions!$AH83,AnnualDiversions!$AE83)</f>
        <v>57373.107989471711</v>
      </c>
      <c r="W83" s="312">
        <f>SUM(AnnualDiversions!$AR83,AnnualDiversions!$AF83,AnnualDiversions!$AZ83)</f>
        <v>8197.6694526436422</v>
      </c>
      <c r="X83" s="312">
        <f>SUM(AnnualDiversions!$BD83,AnnualDiversions!$K83,AnnualDiversions!$H83)</f>
        <v>20555.284307521037</v>
      </c>
      <c r="Y83" s="380">
        <f>SUM(AnnualDiversions!$I83,AnnualDiversions!$W83,AnnualDiversions!$X83,AnnualDiversions!$Y83,AnnualDiversions!$Z83,AnnualDiversions!$AI83,AnnualDiversions!$BB83,AnnualDiversions!$BF83)</f>
        <v>19374.983333335967</v>
      </c>
      <c r="Z83" s="311">
        <f>SUM(AnnualDivReqs!$B83:$G83,AnnualDivReqs!$M83:$V83,AnnualDivReqs!$BJ83)</f>
        <v>109309.43582800857</v>
      </c>
      <c r="AA83" s="312">
        <f>SUM(AnnualDivReqs!$AT83:$AV83)</f>
        <v>335059.83580421394</v>
      </c>
      <c r="AB83" s="312">
        <f>SUM(AnnualDivReqs!$AS83,AnnualDivReqs!$AW83)</f>
        <v>37763.476493275448</v>
      </c>
      <c r="AC83" s="312">
        <f>SUM(AnnualDivReqs!$AA83:$AD83)</f>
        <v>5000.0000000019463</v>
      </c>
      <c r="AD83" s="312">
        <f>SUM(AnnualDivReqs!$BE83,AnnualDivReqs!$BA83,AnnualDivReqs!$AX83,AnnualDivReqs!$AH83,AnnualDivReqs!$AE83)</f>
        <v>57373.107989471711</v>
      </c>
      <c r="AE83" s="312">
        <f>SUM(AnnualDivReqs!$AR83,AnnualDivReqs!$AF83,AnnualDivReqs!$AZ83)</f>
        <v>22371.080819864794</v>
      </c>
      <c r="AF83" s="312">
        <f>SUM(AnnualDivReqs!$BD83,AnnualDivReqs!$K83,AnnualDivReqs!$H83)</f>
        <v>20555.284307521037</v>
      </c>
      <c r="AG83" s="380">
        <f>SUM(AnnualDivReqs!$I83,AnnualDivReqs!$W83,AnnualDivReqs!$X83,AnnualDivReqs!$Y83,AnnualDivReqs!$Z83,AnnualDivReqs!$AI83,AnnualDivReqs!$BB83,AnnualDivReqs!$BF83)</f>
        <v>19374.983333335967</v>
      </c>
    </row>
    <row r="84" spans="1:33" x14ac:dyDescent="0.25">
      <c r="A84" s="4">
        <v>38717.999305555553</v>
      </c>
      <c r="B84" s="311">
        <f>SUM(AnnualDepletions!$B84:$G84,AnnualDepletions!$M84:$V84,AnnualDepletions!$BJ84)</f>
        <v>57171.723625444029</v>
      </c>
      <c r="C84" s="312">
        <f>SUM(AnnualDepletions!$AT84:$AV84)</f>
        <v>273206.44201006158</v>
      </c>
      <c r="D84" s="312">
        <f>SUM(AnnualDepletions!$AS84,AnnualDepletions!$AW84)</f>
        <v>35893.000000000044</v>
      </c>
      <c r="E84" s="312">
        <f>SUM(AnnualDepletions!$AA84:$AD84)</f>
        <v>5000.0000000019172</v>
      </c>
      <c r="F84" s="312">
        <f>SUM(AnnualDepletions!$BE84,AnnualDepletions!$BA84,AnnualDepletions!$AX84,AnnualDepletions!$AH84,AnnualDepletions!$AE84)</f>
        <v>33754.137626638018</v>
      </c>
      <c r="G84" s="312">
        <f>SUM(AnnualDepletions!$AR84,AnnualDepletions!$AF84,AnnualDepletions!$AZ84)</f>
        <v>5438.1354418515057</v>
      </c>
      <c r="H84" s="312">
        <f>SUM(AnnualDepletions!$BD84,AnnualDepletions!$K84,AnnualDepletions!$H84)</f>
        <v>13407.999999998463</v>
      </c>
      <c r="I84" s="380">
        <f>SUM(AnnualDepletions!$I84,AnnualDepletions!$W84,AnnualDepletions!$X84,AnnualDepletions!$Y84,AnnualDepletions!$Z84,AnnualDepletions!$AI84,AnnualDepletions!$BB84,AnnualDepletions!$BF84)</f>
        <v>11624.990000001573</v>
      </c>
      <c r="J84" s="472">
        <f>SUM(AnnualDeplReqs!$B84:$G84,AnnualDeplReqs!$M84:$V84,AnnualDeplReqs!$BJ84)+AnnualDepletions!BJ84</f>
        <v>57171.723625444029</v>
      </c>
      <c r="K84" s="312">
        <f>SUM(AnnualDeplReqs!$AT84:$AV84)</f>
        <v>273206.44201006158</v>
      </c>
      <c r="L84" s="312">
        <f>SUM(AnnualDeplReqs!$AS84,AnnualDeplReqs!$AW84)</f>
        <v>35893.000000000073</v>
      </c>
      <c r="M84" s="312">
        <f>SUM(AnnualDeplReqs!$AA84:$AD84)</f>
        <v>5000.0000000019172</v>
      </c>
      <c r="N84" s="312">
        <f>SUM(AnnualDeplReqs!$BE84,AnnualDeplReqs!$BA84,AnnualDeplReqs!$AX84,AnnualDeplReqs!$AH84,AnnualDeplReqs!$AE84)</f>
        <v>33754.137626638018</v>
      </c>
      <c r="O84" s="312">
        <f>SUM(AnnualDeplReqs!$AR84,AnnualDeplReqs!$AF84,AnnualDeplReqs!$AZ84)</f>
        <v>12360.999999998574</v>
      </c>
      <c r="P84" s="312">
        <f>SUM(AnnualDeplReqs!$BD84,AnnualDeplReqs!$K84,AnnualDeplReqs!$H84)</f>
        <v>13407.999999998463</v>
      </c>
      <c r="Q84" s="380">
        <f>SUM(AnnualDeplReqs!$I84,AnnualDeplReqs!$W84,AnnualDeplReqs!$X84,AnnualDeplReqs!$Y84,AnnualDeplReqs!$Z84,AnnualDeplReqs!$AI84,AnnualDeplReqs!$BB84,AnnualDeplReqs!$BF84)</f>
        <v>11624.990000001573</v>
      </c>
      <c r="R84" s="311">
        <f>SUM(AnnualDiversions!$B84:$G84,AnnualDiversions!$M84:$V84,AnnualDiversions!$BJ84)</f>
        <v>109067.13000005133</v>
      </c>
      <c r="S84" s="312">
        <f>SUM(AnnualDiversions!$AT84:$AV84)</f>
        <v>341508.05251257704</v>
      </c>
      <c r="T84" s="312">
        <f>SUM(AnnualDiversions!$AS84,AnnualDiversions!$AW84)</f>
        <v>37764.238566617605</v>
      </c>
      <c r="U84" s="312">
        <f>SUM(AnnualDiversions!$AA84:$AD84)</f>
        <v>5000.0000000019172</v>
      </c>
      <c r="V84" s="312">
        <f>SUM(AnnualDiversions!$BE84,AnnualDiversions!$BA84,AnnualDiversions!$AX84,AnnualDiversions!$AH84,AnnualDiversions!$AE84)</f>
        <v>56608.599894381994</v>
      </c>
      <c r="W84" s="312">
        <f>SUM(AnnualDiversions!$AR84,AnnualDiversions!$AF84,AnnualDiversions!$AZ84)</f>
        <v>9567.151003960038</v>
      </c>
      <c r="X84" s="312">
        <f>SUM(AnnualDiversions!$BD84,AnnualDiversions!$K84,AnnualDiversions!$H84)</f>
        <v>20553.781790805529</v>
      </c>
      <c r="Y84" s="380">
        <f>SUM(AnnualDiversions!$I84,AnnualDiversions!$W84,AnnualDiversions!$X84,AnnualDiversions!$Y84,AnnualDiversions!$Z84,AnnualDiversions!$AI84,AnnualDiversions!$BB84,AnnualDiversions!$BF84)</f>
        <v>19374.983333335964</v>
      </c>
      <c r="Z84" s="311">
        <f>SUM(AnnualDivReqs!$B84:$G84,AnnualDivReqs!$M84:$V84,AnnualDivReqs!$BJ84)</f>
        <v>109067.13000005133</v>
      </c>
      <c r="AA84" s="312">
        <f>SUM(AnnualDivReqs!$AT84:$AV84)</f>
        <v>341508.05251257704</v>
      </c>
      <c r="AB84" s="312">
        <f>SUM(AnnualDivReqs!$AS84,AnnualDivReqs!$AW84)</f>
        <v>37764.238566617634</v>
      </c>
      <c r="AC84" s="312">
        <f>SUM(AnnualDivReqs!$AA84:$AD84)</f>
        <v>5000.0000000019172</v>
      </c>
      <c r="AD84" s="312">
        <f>SUM(AnnualDivReqs!$BE84,AnnualDivReqs!$BA84,AnnualDivReqs!$AX84,AnnualDivReqs!$AH84,AnnualDivReqs!$AE84)</f>
        <v>56608.599894381994</v>
      </c>
      <c r="AE84" s="312">
        <f>SUM(AnnualDivReqs!$AR84,AnnualDivReqs!$AF84,AnnualDivReqs!$AZ84)</f>
        <v>22138.435747294723</v>
      </c>
      <c r="AF84" s="312">
        <f>SUM(AnnualDivReqs!$BD84,AnnualDivReqs!$K84,AnnualDivReqs!$H84)</f>
        <v>20553.781790805529</v>
      </c>
      <c r="AG84" s="380">
        <f>SUM(AnnualDivReqs!$I84,AnnualDivReqs!$W84,AnnualDivReqs!$X84,AnnualDivReqs!$Y84,AnnualDivReqs!$Z84,AnnualDivReqs!$AI84,AnnualDivReqs!$BB84,AnnualDivReqs!$BF84)</f>
        <v>19374.983333335964</v>
      </c>
    </row>
    <row r="85" spans="1:33" x14ac:dyDescent="0.25">
      <c r="A85" s="4">
        <v>39082.999305555553</v>
      </c>
      <c r="B85" s="311">
        <f>SUM(AnnualDepletions!$B85:$G85,AnnualDepletions!$M85:$V85,AnnualDepletions!$BJ85)</f>
        <v>57173.828123633604</v>
      </c>
      <c r="C85" s="312">
        <f>SUM(AnnualDepletions!$AT85:$AV85)</f>
        <v>260282.23893224815</v>
      </c>
      <c r="D85" s="312">
        <f>SUM(AnnualDepletions!$AS85,AnnualDepletions!$AW85)</f>
        <v>35893.000000000073</v>
      </c>
      <c r="E85" s="312">
        <f>SUM(AnnualDepletions!$AA85:$AD85)</f>
        <v>5000.0000000019172</v>
      </c>
      <c r="F85" s="312">
        <f>SUM(AnnualDepletions!$BE85,AnnualDepletions!$BA85,AnnualDepletions!$AX85,AnnualDepletions!$AH85,AnnualDepletions!$AE85)</f>
        <v>34552.342675525273</v>
      </c>
      <c r="G85" s="312">
        <f>SUM(AnnualDepletions!$AR85,AnnualDepletions!$AF85,AnnualDepletions!$AZ85)</f>
        <v>2172.4544947025297</v>
      </c>
      <c r="H85" s="312">
        <f>SUM(AnnualDepletions!$BD85,AnnualDepletions!$K85,AnnualDepletions!$H85)</f>
        <v>12922.99999999851</v>
      </c>
      <c r="I85" s="380">
        <f>SUM(AnnualDepletions!$I85,AnnualDepletions!$W85,AnnualDepletions!$X85,AnnualDepletions!$Y85,AnnualDepletions!$Z85,AnnualDepletions!$AI85,AnnualDepletions!$BB85,AnnualDepletions!$BF85)</f>
        <v>11624.990000001573</v>
      </c>
      <c r="J85" s="472">
        <f>SUM(AnnualDeplReqs!$B85:$G85,AnnualDeplReqs!$M85:$V85,AnnualDeplReqs!$BJ85)+AnnualDepletions!BJ85</f>
        <v>57173.828123633604</v>
      </c>
      <c r="K85" s="312">
        <f>SUM(AnnualDeplReqs!$AT85:$AV85)</f>
        <v>260282.23893224815</v>
      </c>
      <c r="L85" s="312">
        <f>SUM(AnnualDeplReqs!$AS85,AnnualDeplReqs!$AW85)</f>
        <v>35893.000000000073</v>
      </c>
      <c r="M85" s="312">
        <f>SUM(AnnualDeplReqs!$AA85:$AD85)</f>
        <v>5000.0000000019172</v>
      </c>
      <c r="N85" s="312">
        <f>SUM(AnnualDeplReqs!$BE85,AnnualDeplReqs!$BA85,AnnualDeplReqs!$AX85,AnnualDeplReqs!$AH85,AnnualDeplReqs!$AE85)</f>
        <v>34552.342675525273</v>
      </c>
      <c r="O85" s="312">
        <f>SUM(AnnualDeplReqs!$AR85,AnnualDeplReqs!$AF85,AnnualDeplReqs!$AZ85)</f>
        <v>12702.999999998538</v>
      </c>
      <c r="P85" s="312">
        <f>SUM(AnnualDeplReqs!$BD85,AnnualDeplReqs!$K85,AnnualDeplReqs!$H85)</f>
        <v>12922.99999999851</v>
      </c>
      <c r="Q85" s="380">
        <f>SUM(AnnualDeplReqs!$I85,AnnualDeplReqs!$W85,AnnualDeplReqs!$X85,AnnualDeplReqs!$Y85,AnnualDeplReqs!$Z85,AnnualDeplReqs!$AI85,AnnualDeplReqs!$BB85,AnnualDeplReqs!$BF85)</f>
        <v>11624.990000001573</v>
      </c>
      <c r="R85" s="311">
        <f>SUM(AnnualDiversions!$B85:$G85,AnnualDiversions!$M85:$V85,AnnualDiversions!$BJ85)</f>
        <v>109067.13000005133</v>
      </c>
      <c r="S85" s="312">
        <f>SUM(AnnualDiversions!$AT85:$AV85)</f>
        <v>325352.79866531043</v>
      </c>
      <c r="T85" s="312">
        <f>SUM(AnnualDiversions!$AS85,AnnualDiversions!$AW85)</f>
        <v>37764.238566617634</v>
      </c>
      <c r="U85" s="312">
        <f>SUM(AnnualDiversions!$AA85:$AD85)</f>
        <v>5000.0000000019172</v>
      </c>
      <c r="V85" s="312">
        <f>SUM(AnnualDiversions!$BE85,AnnualDiversions!$BA85,AnnualDiversions!$AX85,AnnualDiversions!$AH85,AnnualDiversions!$AE85)</f>
        <v>57992.057307998315</v>
      </c>
      <c r="W85" s="312">
        <f>SUM(AnnualDiversions!$AR85,AnnualDiversions!$AF85,AnnualDiversions!$AZ85)</f>
        <v>3709.3207529848987</v>
      </c>
      <c r="X85" s="312">
        <f>SUM(AnnualDiversions!$BD85,AnnualDiversions!$K85,AnnualDiversions!$H85)</f>
        <v>19810.065205813295</v>
      </c>
      <c r="Y85" s="380">
        <f>SUM(AnnualDiversions!$I85,AnnualDiversions!$W85,AnnualDiversions!$X85,AnnualDiversions!$Y85,AnnualDiversions!$Z85,AnnualDiversions!$AI85,AnnualDiversions!$BB85,AnnualDiversions!$BF85)</f>
        <v>19374.983333335964</v>
      </c>
      <c r="Z85" s="311">
        <f>SUM(AnnualDivReqs!$B85:$G85,AnnualDivReqs!$M85:$V85,AnnualDivReqs!$BJ85)</f>
        <v>109067.13000005133</v>
      </c>
      <c r="AA85" s="312">
        <f>SUM(AnnualDivReqs!$AT85:$AV85)</f>
        <v>325352.79866531043</v>
      </c>
      <c r="AB85" s="312">
        <f>SUM(AnnualDivReqs!$AS85,AnnualDivReqs!$AW85)</f>
        <v>37764.238566617634</v>
      </c>
      <c r="AC85" s="312">
        <f>SUM(AnnualDivReqs!$AA85:$AD85)</f>
        <v>5000.0000000019172</v>
      </c>
      <c r="AD85" s="312">
        <f>SUM(AnnualDivReqs!$BE85,AnnualDivReqs!$BA85,AnnualDivReqs!$AX85,AnnualDivReqs!$AH85,AnnualDivReqs!$AE85)</f>
        <v>57992.057307998315</v>
      </c>
      <c r="AE85" s="312">
        <f>SUM(AnnualDivReqs!$AR85,AnnualDivReqs!$AF85,AnnualDivReqs!$AZ85)</f>
        <v>22753.493937891806</v>
      </c>
      <c r="AF85" s="312">
        <f>SUM(AnnualDivReqs!$BD85,AnnualDivReqs!$K85,AnnualDivReqs!$H85)</f>
        <v>19810.065205813295</v>
      </c>
      <c r="AG85" s="380">
        <f>SUM(AnnualDivReqs!$I85,AnnualDivReqs!$W85,AnnualDivReqs!$X85,AnnualDivReqs!$Y85,AnnualDivReqs!$Z85,AnnualDivReqs!$AI85,AnnualDivReqs!$BB85,AnnualDivReqs!$BF85)</f>
        <v>19374.983333335964</v>
      </c>
    </row>
    <row r="86" spans="1:33" x14ac:dyDescent="0.25">
      <c r="A86" s="4">
        <v>39447.999305555553</v>
      </c>
      <c r="B86" s="311">
        <f>SUM(AnnualDepletions!$B86:$G86,AnnualDepletions!$M86:$V86,AnnualDepletions!$BJ86)</f>
        <v>57173.624020819196</v>
      </c>
      <c r="C86" s="312">
        <f>SUM(AnnualDepletions!$AT86:$AV86)</f>
        <v>265220.16767019412</v>
      </c>
      <c r="D86" s="312">
        <f>SUM(AnnualDepletions!$AS86,AnnualDepletions!$AW86)</f>
        <v>35893.000000000044</v>
      </c>
      <c r="E86" s="312">
        <f>SUM(AnnualDepletions!$AA86:$AD86)</f>
        <v>5000.0000000019172</v>
      </c>
      <c r="F86" s="312">
        <f>SUM(AnnualDepletions!$BE86,AnnualDepletions!$BA86,AnnualDepletions!$AX86,AnnualDepletions!$AH86,AnnualDepletions!$AE86)</f>
        <v>35020.86290169361</v>
      </c>
      <c r="G86" s="312">
        <f>SUM(AnnualDepletions!$AR86,AnnualDepletions!$AF86,AnnualDepletions!$AZ86)</f>
        <v>2546.9373877256494</v>
      </c>
      <c r="H86" s="312">
        <f>SUM(AnnualDepletions!$BD86,AnnualDepletions!$K86,AnnualDepletions!$H86)</f>
        <v>13691.999999998432</v>
      </c>
      <c r="I86" s="380">
        <f>SUM(AnnualDepletions!$I86,AnnualDepletions!$W86,AnnualDepletions!$X86,AnnualDepletions!$Y86,AnnualDepletions!$Z86,AnnualDepletions!$AI86,AnnualDepletions!$BB86,AnnualDepletions!$BF86)</f>
        <v>11624.990000001573</v>
      </c>
      <c r="J86" s="472">
        <f>SUM(AnnualDeplReqs!$B86:$G86,AnnualDeplReqs!$M86:$V86,AnnualDeplReqs!$BJ86)+AnnualDepletions!BJ86</f>
        <v>57173.624020819196</v>
      </c>
      <c r="K86" s="312">
        <f>SUM(AnnualDeplReqs!$AT86:$AV86)</f>
        <v>265220.16767019412</v>
      </c>
      <c r="L86" s="312">
        <f>SUM(AnnualDeplReqs!$AS86,AnnualDeplReqs!$AW86)</f>
        <v>35893.000000000073</v>
      </c>
      <c r="M86" s="312">
        <f>SUM(AnnualDeplReqs!$AA86:$AD86)</f>
        <v>5000.0000000019172</v>
      </c>
      <c r="N86" s="312">
        <f>SUM(AnnualDeplReqs!$BE86,AnnualDeplReqs!$BA86,AnnualDeplReqs!$AX86,AnnualDeplReqs!$AH86,AnnualDeplReqs!$AE86)</f>
        <v>35020.86290169361</v>
      </c>
      <c r="O86" s="312">
        <f>SUM(AnnualDeplReqs!$AR86,AnnualDeplReqs!$AF86,AnnualDeplReqs!$AZ86)</f>
        <v>12779.999999998534</v>
      </c>
      <c r="P86" s="312">
        <f>SUM(AnnualDeplReqs!$BD86,AnnualDeplReqs!$K86,AnnualDeplReqs!$H86)</f>
        <v>13691.999999998432</v>
      </c>
      <c r="Q86" s="380">
        <f>SUM(AnnualDeplReqs!$I86,AnnualDeplReqs!$W86,AnnualDeplReqs!$X86,AnnualDeplReqs!$Y86,AnnualDeplReqs!$Z86,AnnualDeplReqs!$AI86,AnnualDeplReqs!$BB86,AnnualDeplReqs!$BF86)</f>
        <v>11624.990000001573</v>
      </c>
      <c r="R86" s="311">
        <f>SUM(AnnualDiversions!$B86:$G86,AnnualDiversions!$M86:$V86,AnnualDiversions!$BJ86)</f>
        <v>109067.13000005133</v>
      </c>
      <c r="S86" s="312">
        <f>SUM(AnnualDiversions!$AT86:$AV86)</f>
        <v>331525.20958774234</v>
      </c>
      <c r="T86" s="312">
        <f>SUM(AnnualDiversions!$AS86,AnnualDiversions!$AW86)</f>
        <v>37764.238566617605</v>
      </c>
      <c r="U86" s="312">
        <f>SUM(AnnualDiversions!$AA86:$AD86)</f>
        <v>5000.0000000019172</v>
      </c>
      <c r="V86" s="312">
        <f>SUM(AnnualDiversions!$BE86,AnnualDiversions!$BA86,AnnualDiversions!$AX86,AnnualDiversions!$AH86,AnnualDiversions!$AE86)</f>
        <v>58774.410366527234</v>
      </c>
      <c r="W86" s="312">
        <f>SUM(AnnualDiversions!$AR86,AnnualDiversions!$AF86,AnnualDiversions!$AZ86)</f>
        <v>5114.5705341002295</v>
      </c>
      <c r="X86" s="312">
        <f>SUM(AnnualDiversions!$BD86,AnnualDiversions!$K86,AnnualDiversions!$H86)</f>
        <v>20986.69392251108</v>
      </c>
      <c r="Y86" s="380">
        <f>SUM(AnnualDiversions!$I86,AnnualDiversions!$W86,AnnualDiversions!$X86,AnnualDiversions!$Y86,AnnualDiversions!$Z86,AnnualDiversions!$AI86,AnnualDiversions!$BB86,AnnualDiversions!$BF86)</f>
        <v>19374.983333335964</v>
      </c>
      <c r="Z86" s="311">
        <f>SUM(AnnualDivReqs!$B86:$G86,AnnualDivReqs!$M86:$V86,AnnualDivReqs!$BJ86)</f>
        <v>109067.13000005133</v>
      </c>
      <c r="AA86" s="312">
        <f>SUM(AnnualDivReqs!$AT86:$AV86)</f>
        <v>331525.20958774234</v>
      </c>
      <c r="AB86" s="312">
        <f>SUM(AnnualDivReqs!$AS86,AnnualDivReqs!$AW86)</f>
        <v>37764.238566617634</v>
      </c>
      <c r="AC86" s="312">
        <f>SUM(AnnualDivReqs!$AA86:$AD86)</f>
        <v>5000.0000000019172</v>
      </c>
      <c r="AD86" s="312">
        <f>SUM(AnnualDivReqs!$BE86,AnnualDivReqs!$BA86,AnnualDivReqs!$AX86,AnnualDivReqs!$AH86,AnnualDivReqs!$AE86)</f>
        <v>58774.410366527234</v>
      </c>
      <c r="AE86" s="312">
        <f>SUM(AnnualDivReqs!$AR86,AnnualDivReqs!$AF86,AnnualDivReqs!$AZ86)</f>
        <v>22890.527764684022</v>
      </c>
      <c r="AF86" s="312">
        <f>SUM(AnnualDivReqs!$BD86,AnnualDivReqs!$K86,AnnualDivReqs!$H86)</f>
        <v>20986.69392251108</v>
      </c>
      <c r="AG86" s="380">
        <f>SUM(AnnualDivReqs!$I86,AnnualDivReqs!$W86,AnnualDivReqs!$X86,AnnualDivReqs!$Y86,AnnualDivReqs!$Z86,AnnualDivReqs!$AI86,AnnualDivReqs!$BB86,AnnualDivReqs!$BF86)</f>
        <v>19374.983333335964</v>
      </c>
    </row>
    <row r="87" spans="1:33" x14ac:dyDescent="0.25">
      <c r="A87" s="4">
        <v>39813.999305555553</v>
      </c>
      <c r="B87" s="311">
        <f>SUM(AnnualDepletions!$B87:$G87,AnnualDepletions!$M87:$V87,AnnualDepletions!$BJ87)</f>
        <v>57165.910744377928</v>
      </c>
      <c r="C87" s="312">
        <f>SUM(AnnualDepletions!$AT87:$AV87)</f>
        <v>236758.73859864601</v>
      </c>
      <c r="D87" s="312">
        <f>SUM(AnnualDepletions!$AS87,AnnualDepletions!$AW87)</f>
        <v>35893.000000000051</v>
      </c>
      <c r="E87" s="312">
        <f>SUM(AnnualDepletions!$AA87:$AD87)</f>
        <v>5000.0000000019463</v>
      </c>
      <c r="F87" s="312">
        <f>SUM(AnnualDepletions!$BE87,AnnualDepletions!$BA87,AnnualDepletions!$AX87,AnnualDepletions!$AH87,AnnualDepletions!$AE87)</f>
        <v>34207.846215238969</v>
      </c>
      <c r="G87" s="312">
        <f>SUM(AnnualDepletions!$AR87,AnnualDepletions!$AF87,AnnualDepletions!$AZ87)</f>
        <v>3188.6452603764137</v>
      </c>
      <c r="H87" s="312">
        <f>SUM(AnnualDepletions!$BD87,AnnualDepletions!$K87,AnnualDepletions!$H87)</f>
        <v>12135.999999998603</v>
      </c>
      <c r="I87" s="380">
        <f>SUM(AnnualDepletions!$I87,AnnualDepletions!$W87,AnnualDepletions!$X87,AnnualDepletions!$Y87,AnnualDepletions!$Z87,AnnualDepletions!$AI87,AnnualDepletions!$BB87,AnnualDepletions!$BF87)</f>
        <v>11624.990000001573</v>
      </c>
      <c r="J87" s="472">
        <f>SUM(AnnualDeplReqs!$B87:$G87,AnnualDeplReqs!$M87:$V87,AnnualDeplReqs!$BJ87)+AnnualDepletions!BJ87</f>
        <v>57165.910744377928</v>
      </c>
      <c r="K87" s="312">
        <f>SUM(AnnualDeplReqs!$AT87:$AV87)</f>
        <v>236758.73859864601</v>
      </c>
      <c r="L87" s="312">
        <f>SUM(AnnualDeplReqs!$AS87,AnnualDeplReqs!$AW87)</f>
        <v>35893.000000000073</v>
      </c>
      <c r="M87" s="312">
        <f>SUM(AnnualDeplReqs!$AA87:$AD87)</f>
        <v>5000.0000000019463</v>
      </c>
      <c r="N87" s="312">
        <f>SUM(AnnualDeplReqs!$BE87,AnnualDeplReqs!$BA87,AnnualDeplReqs!$AX87,AnnualDeplReqs!$AH87,AnnualDeplReqs!$AE87)</f>
        <v>34207.846215238969</v>
      </c>
      <c r="O87" s="312">
        <f>SUM(AnnualDeplReqs!$AR87,AnnualDeplReqs!$AF87,AnnualDeplReqs!$AZ87)</f>
        <v>12637.999999998543</v>
      </c>
      <c r="P87" s="312">
        <f>SUM(AnnualDeplReqs!$BD87,AnnualDeplReqs!$K87,AnnualDeplReqs!$H87)</f>
        <v>12135.999999998603</v>
      </c>
      <c r="Q87" s="380">
        <f>SUM(AnnualDeplReqs!$I87,AnnualDeplReqs!$W87,AnnualDeplReqs!$X87,AnnualDeplReqs!$Y87,AnnualDeplReqs!$Z87,AnnualDeplReqs!$AI87,AnnualDeplReqs!$BB87,AnnualDeplReqs!$BF87)</f>
        <v>11624.990000001573</v>
      </c>
      <c r="R87" s="311">
        <f>SUM(AnnualDiversions!$B87:$G87,AnnualDiversions!$M87:$V87,AnnualDiversions!$BJ87)</f>
        <v>109067.13000005131</v>
      </c>
      <c r="S87" s="312">
        <f>SUM(AnnualDiversions!$AT87:$AV87)</f>
        <v>295948.42324830737</v>
      </c>
      <c r="T87" s="312">
        <f>SUM(AnnualDiversions!$AS87,AnnualDiversions!$AW87)</f>
        <v>37763.476493275426</v>
      </c>
      <c r="U87" s="312">
        <f>SUM(AnnualDiversions!$AA87:$AD87)</f>
        <v>5000.0000000019463</v>
      </c>
      <c r="V87" s="312">
        <f>SUM(AnnualDiversions!$BE87,AnnualDiversions!$BA87,AnnualDiversions!$AX87,AnnualDiversions!$AH87,AnnualDiversions!$AE87)</f>
        <v>57442.115760271423</v>
      </c>
      <c r="W87" s="312">
        <f>SUM(AnnualDiversions!$AR87,AnnualDiversions!$AF87,AnnualDiversions!$AZ87)</f>
        <v>5466.1080898042192</v>
      </c>
      <c r="X87" s="312">
        <f>SUM(AnnualDiversions!$BD87,AnnualDiversions!$K87,AnnualDiversions!$H87)</f>
        <v>18601.646569835193</v>
      </c>
      <c r="Y87" s="380">
        <f>SUM(AnnualDiversions!$I87,AnnualDiversions!$W87,AnnualDiversions!$X87,AnnualDiversions!$Y87,AnnualDiversions!$Z87,AnnualDiversions!$AI87,AnnualDiversions!$BB87,AnnualDiversions!$BF87)</f>
        <v>19374.983333335967</v>
      </c>
      <c r="Z87" s="311">
        <f>SUM(AnnualDivReqs!$B87:$G87,AnnualDivReqs!$M87:$V87,AnnualDivReqs!$BJ87)</f>
        <v>109067.13000005131</v>
      </c>
      <c r="AA87" s="312">
        <f>SUM(AnnualDivReqs!$AT87:$AV87)</f>
        <v>295948.42324830737</v>
      </c>
      <c r="AB87" s="312">
        <f>SUM(AnnualDivReqs!$AS87,AnnualDivReqs!$AW87)</f>
        <v>37763.476493275448</v>
      </c>
      <c r="AC87" s="312">
        <f>SUM(AnnualDivReqs!$AA87:$AD87)</f>
        <v>5000.0000000019463</v>
      </c>
      <c r="AD87" s="312">
        <f>SUM(AnnualDivReqs!$BE87,AnnualDivReqs!$BA87,AnnualDivReqs!$AX87,AnnualDivReqs!$AH87,AnnualDivReqs!$AE87)</f>
        <v>57442.115760271423</v>
      </c>
      <c r="AE87" s="312">
        <f>SUM(AnnualDivReqs!$AR87,AnnualDivReqs!$AF87,AnnualDivReqs!$AZ87)</f>
        <v>22636.768910979274</v>
      </c>
      <c r="AF87" s="312">
        <f>SUM(AnnualDivReqs!$BD87,AnnualDivReqs!$K87,AnnualDivReqs!$H87)</f>
        <v>18601.646569835193</v>
      </c>
      <c r="AG87" s="380">
        <f>SUM(AnnualDivReqs!$I87,AnnualDivReqs!$W87,AnnualDivReqs!$X87,AnnualDivReqs!$Y87,AnnualDivReqs!$Z87,AnnualDivReqs!$AI87,AnnualDivReqs!$BB87,AnnualDivReqs!$BF87)</f>
        <v>19374.983333335967</v>
      </c>
    </row>
    <row r="88" spans="1:33" x14ac:dyDescent="0.25">
      <c r="A88" s="4">
        <v>40178.999305555553</v>
      </c>
      <c r="B88" s="311">
        <f>SUM(AnnualDepletions!$B88:$G88,AnnualDepletions!$M88:$V88,AnnualDepletions!$BJ88)</f>
        <v>57106.2353455181</v>
      </c>
      <c r="C88" s="312">
        <f>SUM(AnnualDepletions!$AT88:$AV88)</f>
        <v>260971.88082980562</v>
      </c>
      <c r="D88" s="312">
        <f>SUM(AnnualDepletions!$AS88,AnnualDepletions!$AW88)</f>
        <v>35893.000000000044</v>
      </c>
      <c r="E88" s="312">
        <f>SUM(AnnualDepletions!$AA88:$AD88)</f>
        <v>5000.0000000019172</v>
      </c>
      <c r="F88" s="312">
        <f>SUM(AnnualDepletions!$BE88,AnnualDepletions!$BA88,AnnualDepletions!$AX88,AnnualDepletions!$AH88,AnnualDepletions!$AE88)</f>
        <v>35051.929880039526</v>
      </c>
      <c r="G88" s="312">
        <f>SUM(AnnualDepletions!$AR88,AnnualDepletions!$AF88,AnnualDepletions!$AZ88)</f>
        <v>2335.6490462928373</v>
      </c>
      <c r="H88" s="312">
        <f>SUM(AnnualDepletions!$BD88,AnnualDepletions!$K88,AnnualDepletions!$H88)</f>
        <v>13413.999999998467</v>
      </c>
      <c r="I88" s="380">
        <f>SUM(AnnualDepletions!$I88,AnnualDepletions!$W88,AnnualDepletions!$X88,AnnualDepletions!$Y88,AnnualDepletions!$Z88,AnnualDepletions!$AI88,AnnualDepletions!$BB88,AnnualDepletions!$BF88)</f>
        <v>11624.990000001573</v>
      </c>
      <c r="J88" s="472">
        <f>SUM(AnnualDeplReqs!$B88:$G88,AnnualDeplReqs!$M88:$V88,AnnualDeplReqs!$BJ88)+AnnualDepletions!BJ88</f>
        <v>57377.281150711082</v>
      </c>
      <c r="K88" s="312">
        <f>SUM(AnnualDeplReqs!$AT88:$AV88)</f>
        <v>260971.88082980562</v>
      </c>
      <c r="L88" s="312">
        <f>SUM(AnnualDeplReqs!$AS88,AnnualDeplReqs!$AW88)</f>
        <v>35893.000000000073</v>
      </c>
      <c r="M88" s="312">
        <f>SUM(AnnualDeplReqs!$AA88:$AD88)</f>
        <v>5000.0000000019172</v>
      </c>
      <c r="N88" s="312">
        <f>SUM(AnnualDeplReqs!$BE88,AnnualDeplReqs!$BA88,AnnualDeplReqs!$AX88,AnnualDeplReqs!$AH88,AnnualDeplReqs!$AE88)</f>
        <v>35051.929880039526</v>
      </c>
      <c r="O88" s="312">
        <f>SUM(AnnualDeplReqs!$AR88,AnnualDeplReqs!$AF88,AnnualDeplReqs!$AZ88)</f>
        <v>12819.999999998525</v>
      </c>
      <c r="P88" s="312">
        <f>SUM(AnnualDeplReqs!$BD88,AnnualDeplReqs!$K88,AnnualDeplReqs!$H88)</f>
        <v>13413.999999998467</v>
      </c>
      <c r="Q88" s="380">
        <f>SUM(AnnualDeplReqs!$I88,AnnualDeplReqs!$W88,AnnualDeplReqs!$X88,AnnualDeplReqs!$Y88,AnnualDeplReqs!$Z88,AnnualDeplReqs!$AI88,AnnualDeplReqs!$BB88,AnnualDeplReqs!$BF88)</f>
        <v>11624.990000001573</v>
      </c>
      <c r="R88" s="311">
        <f>SUM(AnnualDiversions!$B88:$G88,AnnualDiversions!$M88:$V88,AnnualDiversions!$BJ88)</f>
        <v>109067.13000005133</v>
      </c>
      <c r="S88" s="312">
        <f>SUM(AnnualDiversions!$AT88:$AV88)</f>
        <v>326214.85103725677</v>
      </c>
      <c r="T88" s="312">
        <f>SUM(AnnualDiversions!$AS88,AnnualDiversions!$AW88)</f>
        <v>37764.238566617605</v>
      </c>
      <c r="U88" s="312">
        <f>SUM(AnnualDiversions!$AA88:$AD88)</f>
        <v>5000.0000000019172</v>
      </c>
      <c r="V88" s="312">
        <f>SUM(AnnualDiversions!$BE88,AnnualDiversions!$BA88,AnnualDiversions!$AX88,AnnualDiversions!$AH88,AnnualDiversions!$AE88)</f>
        <v>58832.971021343976</v>
      </c>
      <c r="W88" s="312">
        <f>SUM(AnnualDiversions!$AR88,AnnualDiversions!$AF88,AnnualDiversions!$AZ88)</f>
        <v>3945.9856309517108</v>
      </c>
      <c r="X88" s="312">
        <f>SUM(AnnualDiversions!$BD88,AnnualDiversions!$K88,AnnualDiversions!$H88)</f>
        <v>20562.299407814007</v>
      </c>
      <c r="Y88" s="380">
        <f>SUM(AnnualDiversions!$I88,AnnualDiversions!$W88,AnnualDiversions!$X88,AnnualDiversions!$Y88,AnnualDiversions!$Z88,AnnualDiversions!$AI88,AnnualDiversions!$BB88,AnnualDiversions!$BF88)</f>
        <v>19374.983333335964</v>
      </c>
      <c r="Z88" s="311">
        <f>SUM(AnnualDivReqs!$B88:$G88,AnnualDivReqs!$M88:$V88,AnnualDivReqs!$BJ88)</f>
        <v>109609.22161043729</v>
      </c>
      <c r="AA88" s="312">
        <f>SUM(AnnualDivReqs!$AT88:$AV88)</f>
        <v>326214.85103725677</v>
      </c>
      <c r="AB88" s="312">
        <f>SUM(AnnualDivReqs!$AS88,AnnualDivReqs!$AW88)</f>
        <v>37764.238566617634</v>
      </c>
      <c r="AC88" s="312">
        <f>SUM(AnnualDivReqs!$AA88:$AD88)</f>
        <v>5000.0000000019172</v>
      </c>
      <c r="AD88" s="312">
        <f>SUM(AnnualDivReqs!$BE88,AnnualDivReqs!$BA88,AnnualDivReqs!$AX88,AnnualDivReqs!$AH88,AnnualDivReqs!$AE88)</f>
        <v>58832.971021343976</v>
      </c>
      <c r="AE88" s="312">
        <f>SUM(AnnualDivReqs!$AR88,AnnualDivReqs!$AF88,AnnualDivReqs!$AZ88)</f>
        <v>22963.29472848244</v>
      </c>
      <c r="AF88" s="312">
        <f>SUM(AnnualDivReqs!$BD88,AnnualDivReqs!$K88,AnnualDivReqs!$H88)</f>
        <v>20562.299407814007</v>
      </c>
      <c r="AG88" s="380">
        <f>SUM(AnnualDivReqs!$I88,AnnualDivReqs!$W88,AnnualDivReqs!$X88,AnnualDivReqs!$Y88,AnnualDivReqs!$Z88,AnnualDivReqs!$AI88,AnnualDivReqs!$BB88,AnnualDivReqs!$BF88)</f>
        <v>19374.983333335964</v>
      </c>
    </row>
    <row r="89" spans="1:33" x14ac:dyDescent="0.25">
      <c r="A89" s="4">
        <v>40543.999305555553</v>
      </c>
      <c r="B89" s="311">
        <f>SUM(AnnualDepletions!$B89:$G89,AnnualDepletions!$M89:$V89,AnnualDepletions!$BJ89)</f>
        <v>56966.314961923905</v>
      </c>
      <c r="C89" s="312">
        <f>SUM(AnnualDepletions!$AT89:$AV89)</f>
        <v>247138.78918714239</v>
      </c>
      <c r="D89" s="312">
        <f>SUM(AnnualDepletions!$AS89,AnnualDepletions!$AW89)</f>
        <v>35893.000000000044</v>
      </c>
      <c r="E89" s="312">
        <f>SUM(AnnualDepletions!$AA89:$AD89)</f>
        <v>5000.0000000019172</v>
      </c>
      <c r="F89" s="312">
        <f>SUM(AnnualDepletions!$BE89,AnnualDepletions!$BA89,AnnualDepletions!$AX89,AnnualDepletions!$AH89,AnnualDepletions!$AE89)</f>
        <v>35245.270318161609</v>
      </c>
      <c r="G89" s="312">
        <f>SUM(AnnualDepletions!$AR89,AnnualDepletions!$AF89,AnnualDepletions!$AZ89)</f>
        <v>3642.8315249841316</v>
      </c>
      <c r="H89" s="312">
        <f>SUM(AnnualDepletions!$BD89,AnnualDepletions!$K89,AnnualDepletions!$H89)</f>
        <v>12578.99999999855</v>
      </c>
      <c r="I89" s="380">
        <f>SUM(AnnualDepletions!$I89,AnnualDepletions!$W89,AnnualDepletions!$X89,AnnualDepletions!$Y89,AnnualDepletions!$Z89,AnnualDepletions!$AI89,AnnualDepletions!$BB89,AnnualDepletions!$BF89)</f>
        <v>11624.990000001573</v>
      </c>
      <c r="J89" s="472">
        <f>SUM(AnnualDeplReqs!$B89:$G89,AnnualDeplReqs!$M89:$V89,AnnualDeplReqs!$BJ89)+AnnualDepletions!BJ89</f>
        <v>57033.352381278724</v>
      </c>
      <c r="K89" s="312">
        <f>SUM(AnnualDeplReqs!$AT89:$AV89)</f>
        <v>247138.78918714239</v>
      </c>
      <c r="L89" s="312">
        <f>SUM(AnnualDeplReqs!$AS89,AnnualDeplReqs!$AW89)</f>
        <v>35893.000000000073</v>
      </c>
      <c r="M89" s="312">
        <f>SUM(AnnualDeplReqs!$AA89:$AD89)</f>
        <v>5000.0000000019172</v>
      </c>
      <c r="N89" s="312">
        <f>SUM(AnnualDeplReqs!$BE89,AnnualDeplReqs!$BA89,AnnualDeplReqs!$AX89,AnnualDeplReqs!$AH89,AnnualDeplReqs!$AE89)</f>
        <v>35245.270318161609</v>
      </c>
      <c r="O89" s="312">
        <f>SUM(AnnualDeplReqs!$AR89,AnnualDeplReqs!$AF89,AnnualDeplReqs!$AZ89)</f>
        <v>13248.999999998478</v>
      </c>
      <c r="P89" s="312">
        <f>SUM(AnnualDeplReqs!$BD89,AnnualDeplReqs!$K89,AnnualDeplReqs!$H89)</f>
        <v>12578.99999999855</v>
      </c>
      <c r="Q89" s="380">
        <f>SUM(AnnualDeplReqs!$I89,AnnualDeplReqs!$W89,AnnualDeplReqs!$X89,AnnualDeplReqs!$Y89,AnnualDeplReqs!$Z89,AnnualDeplReqs!$AI89,AnnualDeplReqs!$BB89,AnnualDeplReqs!$BF89)</f>
        <v>11624.990000001573</v>
      </c>
      <c r="R89" s="311">
        <f>SUM(AnnualDiversions!$B89:$G89,AnnualDiversions!$M89:$V89,AnnualDiversions!$BJ89)</f>
        <v>109067.13000005133</v>
      </c>
      <c r="S89" s="312">
        <f>SUM(AnnualDiversions!$AT89:$AV89)</f>
        <v>308923.48648392723</v>
      </c>
      <c r="T89" s="312">
        <f>SUM(AnnualDiversions!$AS89,AnnualDiversions!$AW89)</f>
        <v>37764.238566617612</v>
      </c>
      <c r="U89" s="312">
        <f>SUM(AnnualDiversions!$AA89:$AD89)</f>
        <v>5000.0000000019172</v>
      </c>
      <c r="V89" s="312">
        <f>SUM(AnnualDiversions!$BE89,AnnualDiversions!$BA89,AnnualDiversions!$AX89,AnnualDiversions!$AH89,AnnualDiversions!$AE89)</f>
        <v>59167.406595051325</v>
      </c>
      <c r="W89" s="312">
        <f>SUM(AnnualDiversions!$AR89,AnnualDiversions!$AF89,AnnualDiversions!$AZ89)</f>
        <v>6515.7440626396738</v>
      </c>
      <c r="X89" s="312">
        <f>SUM(AnnualDiversions!$BD89,AnnualDiversions!$K89,AnnualDiversions!$H89)</f>
        <v>19282.410929072328</v>
      </c>
      <c r="Y89" s="380">
        <f>SUM(AnnualDiversions!$I89,AnnualDiversions!$W89,AnnualDiversions!$X89,AnnualDiversions!$Y89,AnnualDiversions!$Z89,AnnualDiversions!$AI89,AnnualDiversions!$BB89,AnnualDiversions!$BF89)</f>
        <v>19374.983333335964</v>
      </c>
      <c r="Z89" s="311">
        <f>SUM(AnnualDivReqs!$B89:$G89,AnnualDivReqs!$M89:$V89,AnnualDivReqs!$BJ89)</f>
        <v>109201.20483876097</v>
      </c>
      <c r="AA89" s="312">
        <f>SUM(AnnualDivReqs!$AT89:$AV89)</f>
        <v>308923.48648392723</v>
      </c>
      <c r="AB89" s="312">
        <f>SUM(AnnualDivReqs!$AS89,AnnualDivReqs!$AW89)</f>
        <v>37764.238566617634</v>
      </c>
      <c r="AC89" s="312">
        <f>SUM(AnnualDivReqs!$AA89:$AD89)</f>
        <v>5000.0000000019172</v>
      </c>
      <c r="AD89" s="312">
        <f>SUM(AnnualDivReqs!$BE89,AnnualDivReqs!$BA89,AnnualDivReqs!$AX89,AnnualDivReqs!$AH89,AnnualDivReqs!$AE89)</f>
        <v>59167.406595051325</v>
      </c>
      <c r="AE89" s="312">
        <f>SUM(AnnualDivReqs!$AR89,AnnualDivReqs!$AF89,AnnualDivReqs!$AZ89)</f>
        <v>23730.028811881581</v>
      </c>
      <c r="AF89" s="312">
        <f>SUM(AnnualDivReqs!$BD89,AnnualDivReqs!$K89,AnnualDivReqs!$H89)</f>
        <v>19282.410929072328</v>
      </c>
      <c r="AG89" s="380">
        <f>SUM(AnnualDivReqs!$I89,AnnualDivReqs!$W89,AnnualDivReqs!$X89,AnnualDivReqs!$Y89,AnnualDivReqs!$Z89,AnnualDivReqs!$AI89,AnnualDivReqs!$BB89,AnnualDivReqs!$BF89)</f>
        <v>19374.983333335964</v>
      </c>
    </row>
    <row r="90" spans="1:33" x14ac:dyDescent="0.25">
      <c r="A90" s="4">
        <v>40908.999305555553</v>
      </c>
      <c r="B90" s="311">
        <f>SUM(AnnualDepletions!$B90:$G90,AnnualDepletions!$M90:$V90,AnnualDepletions!$BJ90)</f>
        <v>57139.338340957198</v>
      </c>
      <c r="C90" s="312">
        <f>SUM(AnnualDepletions!$AT90:$AV90)</f>
        <v>260553.33040099189</v>
      </c>
      <c r="D90" s="312">
        <f>SUM(AnnualDepletions!$AS90,AnnualDepletions!$AW90)</f>
        <v>35893.000000000044</v>
      </c>
      <c r="E90" s="312">
        <f>SUM(AnnualDepletions!$AA90:$AD90)</f>
        <v>5000.0000000019172</v>
      </c>
      <c r="F90" s="312">
        <f>SUM(AnnualDepletions!$BE90,AnnualDepletions!$BA90,AnnualDepletions!$AX90,AnnualDepletions!$AH90,AnnualDepletions!$AE90)</f>
        <v>34992.524840754704</v>
      </c>
      <c r="G90" s="312">
        <f>SUM(AnnualDepletions!$AR90,AnnualDepletions!$AF90,AnnualDepletions!$AZ90)</f>
        <v>2480.0809640079083</v>
      </c>
      <c r="H90" s="312">
        <f>SUM(AnnualDepletions!$BD90,AnnualDepletions!$K90,AnnualDepletions!$H90)</f>
        <v>13343.999999998465</v>
      </c>
      <c r="I90" s="380">
        <f>SUM(AnnualDepletions!$I90,AnnualDepletions!$W90,AnnualDepletions!$X90,AnnualDepletions!$Y90,AnnualDepletions!$Z90,AnnualDepletions!$AI90,AnnualDepletions!$BB90,AnnualDepletions!$BF90)</f>
        <v>11624.990000001573</v>
      </c>
      <c r="J90" s="472">
        <f>SUM(AnnualDeplReqs!$B90:$G90,AnnualDeplReqs!$M90:$V90,AnnualDeplReqs!$BJ90)+AnnualDepletions!BJ90</f>
        <v>57221.398986118584</v>
      </c>
      <c r="K90" s="312">
        <f>SUM(AnnualDeplReqs!$AT90:$AV90)</f>
        <v>260553.33040099189</v>
      </c>
      <c r="L90" s="312">
        <f>SUM(AnnualDeplReqs!$AS90,AnnualDeplReqs!$AW90)</f>
        <v>35893.000000000073</v>
      </c>
      <c r="M90" s="312">
        <f>SUM(AnnualDeplReqs!$AA90:$AD90)</f>
        <v>5000.0000000019172</v>
      </c>
      <c r="N90" s="312">
        <f>SUM(AnnualDeplReqs!$BE90,AnnualDeplReqs!$BA90,AnnualDeplReqs!$AX90,AnnualDeplReqs!$AH90,AnnualDeplReqs!$AE90)</f>
        <v>34992.524840754704</v>
      </c>
      <c r="O90" s="312">
        <f>SUM(AnnualDeplReqs!$AR90,AnnualDeplReqs!$AF90,AnnualDeplReqs!$AZ90)</f>
        <v>13060.999999998494</v>
      </c>
      <c r="P90" s="312">
        <f>SUM(AnnualDeplReqs!$BD90,AnnualDeplReqs!$K90,AnnualDeplReqs!$H90)</f>
        <v>13343.999999998465</v>
      </c>
      <c r="Q90" s="380">
        <f>SUM(AnnualDeplReqs!$I90,AnnualDeplReqs!$W90,AnnualDeplReqs!$X90,AnnualDeplReqs!$Y90,AnnualDeplReqs!$Z90,AnnualDeplReqs!$AI90,AnnualDeplReqs!$BB90,AnnualDeplReqs!$BF90)</f>
        <v>11624.990000001573</v>
      </c>
      <c r="R90" s="311">
        <f>SUM(AnnualDiversions!$B90:$G90,AnnualDiversions!$M90:$V90,AnnualDiversions!$BJ90)</f>
        <v>109067.13000005133</v>
      </c>
      <c r="S90" s="312">
        <f>SUM(AnnualDiversions!$AT90:$AV90)</f>
        <v>325691.66300124023</v>
      </c>
      <c r="T90" s="312">
        <f>SUM(AnnualDiversions!$AS90,AnnualDiversions!$AW90)</f>
        <v>37764.238566617598</v>
      </c>
      <c r="U90" s="312">
        <f>SUM(AnnualDiversions!$AA90:$AD90)</f>
        <v>5000.0000000019172</v>
      </c>
      <c r="V90" s="312">
        <f>SUM(AnnualDiversions!$BE90,AnnualDiversions!$BA90,AnnualDiversions!$AX90,AnnualDiversions!$AH90,AnnualDiversions!$AE90)</f>
        <v>58741.336192742237</v>
      </c>
      <c r="W90" s="312">
        <f>SUM(AnnualDiversions!$AR90,AnnualDiversions!$AF90,AnnualDiversions!$AZ90)</f>
        <v>4214.493203603005</v>
      </c>
      <c r="X90" s="312">
        <f>SUM(AnnualDiversions!$BD90,AnnualDiversions!$K90,AnnualDiversions!$H90)</f>
        <v>20455.363519034836</v>
      </c>
      <c r="Y90" s="380">
        <f>SUM(AnnualDiversions!$I90,AnnualDiversions!$W90,AnnualDiversions!$X90,AnnualDiversions!$Y90,AnnualDiversions!$Z90,AnnualDiversions!$AI90,AnnualDiversions!$BB90,AnnualDiversions!$BF90)</f>
        <v>19374.983333335964</v>
      </c>
      <c r="Z90" s="311">
        <f>SUM(AnnualDivReqs!$B90:$G90,AnnualDivReqs!$M90:$V90,AnnualDivReqs!$BJ90)</f>
        <v>109231.2512903741</v>
      </c>
      <c r="AA90" s="312">
        <f>SUM(AnnualDivReqs!$AT90:$AV90)</f>
        <v>325691.66300124023</v>
      </c>
      <c r="AB90" s="312">
        <f>SUM(AnnualDivReqs!$AS90,AnnualDivReqs!$AW90)</f>
        <v>37764.238566617634</v>
      </c>
      <c r="AC90" s="312">
        <f>SUM(AnnualDivReqs!$AA90:$AD90)</f>
        <v>5000.0000000019172</v>
      </c>
      <c r="AD90" s="312">
        <f>SUM(AnnualDivReqs!$BE90,AnnualDivReqs!$BA90,AnnualDivReqs!$AX90,AnnualDivReqs!$AH90,AnnualDivReqs!$AE90)</f>
        <v>58741.336192742237</v>
      </c>
      <c r="AE90" s="312">
        <f>SUM(AnnualDivReqs!$AR90,AnnualDivReqs!$AF90,AnnualDivReqs!$AZ90)</f>
        <v>23391.573756968704</v>
      </c>
      <c r="AF90" s="312">
        <f>SUM(AnnualDivReqs!$BD90,AnnualDivReqs!$K90,AnnualDivReqs!$H90)</f>
        <v>20455.363519034836</v>
      </c>
      <c r="AG90" s="380">
        <f>SUM(AnnualDivReqs!$I90,AnnualDivReqs!$W90,AnnualDivReqs!$X90,AnnualDivReqs!$Y90,AnnualDivReqs!$Z90,AnnualDivReqs!$AI90,AnnualDivReqs!$BB90,AnnualDivReqs!$BF90)</f>
        <v>19374.983333335964</v>
      </c>
    </row>
    <row r="91" spans="1:33" x14ac:dyDescent="0.25">
      <c r="A91" s="4">
        <v>41274.999305555553</v>
      </c>
      <c r="B91" s="311">
        <f>SUM(AnnualDepletions!$B91:$G91,AnnualDepletions!$M91:$V91,AnnualDepletions!$BJ91)</f>
        <v>57032.536472434505</v>
      </c>
      <c r="C91" s="312">
        <f>SUM(AnnualDepletions!$AT91:$AV91)</f>
        <v>277923.17316383781</v>
      </c>
      <c r="D91" s="312">
        <f>SUM(AnnualDepletions!$AS91,AnnualDepletions!$AW91)</f>
        <v>35893.000000000044</v>
      </c>
      <c r="E91" s="312">
        <f>SUM(AnnualDepletions!$AA91:$AD91)</f>
        <v>4963.5656282524906</v>
      </c>
      <c r="F91" s="312">
        <f>SUM(AnnualDepletions!$BE91,AnnualDepletions!$BA91,AnnualDepletions!$AX91,AnnualDepletions!$AH91,AnnualDepletions!$AE91)</f>
        <v>38964.931142319867</v>
      </c>
      <c r="G91" s="312">
        <f>SUM(AnnualDepletions!$AR91,AnnualDepletions!$AF91,AnnualDepletions!$AZ91)</f>
        <v>1119.5068619200583</v>
      </c>
      <c r="H91" s="312">
        <f>SUM(AnnualDepletions!$BD91,AnnualDepletions!$K91,AnnualDepletions!$H91)</f>
        <v>14381.999999998354</v>
      </c>
      <c r="I91" s="380">
        <f>SUM(AnnualDepletions!$I91,AnnualDepletions!$W91,AnnualDepletions!$X91,AnnualDepletions!$Y91,AnnualDepletions!$Z91,AnnualDepletions!$AI91,AnnualDepletions!$BB91,AnnualDepletions!$BF91)</f>
        <v>11624.990000001573</v>
      </c>
      <c r="J91" s="472">
        <f>SUM(AnnualDeplReqs!$B91:$G91,AnnualDeplReqs!$M91:$V91,AnnualDeplReqs!$BJ91)+AnnualDepletions!BJ91</f>
        <v>57535.456821133506</v>
      </c>
      <c r="K91" s="312">
        <f>SUM(AnnualDeplReqs!$AT91:$AV91)</f>
        <v>277923.17316383781</v>
      </c>
      <c r="L91" s="312">
        <f>SUM(AnnualDeplReqs!$AS91,AnnualDeplReqs!$AW91)</f>
        <v>35893.000000000073</v>
      </c>
      <c r="M91" s="312">
        <f>SUM(AnnualDeplReqs!$AA91:$AD91)</f>
        <v>5000.0000000019463</v>
      </c>
      <c r="N91" s="312">
        <f>SUM(AnnualDeplReqs!$BE91,AnnualDeplReqs!$BA91,AnnualDeplReqs!$AX91,AnnualDeplReqs!$AH91,AnnualDeplReqs!$AE91)</f>
        <v>38964.931142319867</v>
      </c>
      <c r="O91" s="312">
        <f>SUM(AnnualDeplReqs!$AR91,AnnualDeplReqs!$AF91,AnnualDeplReqs!$AZ91)</f>
        <v>14287.999999998347</v>
      </c>
      <c r="P91" s="312">
        <f>SUM(AnnualDeplReqs!$BD91,AnnualDeplReqs!$K91,AnnualDeplReqs!$H91)</f>
        <v>14381.999999998354</v>
      </c>
      <c r="Q91" s="380">
        <f>SUM(AnnualDeplReqs!$I91,AnnualDeplReqs!$W91,AnnualDeplReqs!$X91,AnnualDeplReqs!$Y91,AnnualDeplReqs!$Z91,AnnualDeplReqs!$AI91,AnnualDeplReqs!$BB91,AnnualDeplReqs!$BF91)</f>
        <v>11624.990000001573</v>
      </c>
      <c r="R91" s="311">
        <f>SUM(AnnualDiversions!$B91:$G91,AnnualDiversions!$M91:$V91,AnnualDiversions!$BJ91)</f>
        <v>109067.13000005131</v>
      </c>
      <c r="S91" s="312">
        <f>SUM(AnnualDiversions!$AT91:$AV91)</f>
        <v>347403.96645479649</v>
      </c>
      <c r="T91" s="312">
        <f>SUM(AnnualDiversions!$AS91,AnnualDiversions!$AW91)</f>
        <v>37763.476493275419</v>
      </c>
      <c r="U91" s="312">
        <f>SUM(AnnualDiversions!$AA91:$AD91)</f>
        <v>4963.5656282524906</v>
      </c>
      <c r="V91" s="312">
        <f>SUM(AnnualDiversions!$BE91,AnnualDiversions!$BA91,AnnualDiversions!$AX91,AnnualDiversions!$AH91,AnnualDiversions!$AE91)</f>
        <v>65397.485404561805</v>
      </c>
      <c r="W91" s="312">
        <f>SUM(AnnualDiversions!$AR91,AnnualDiversions!$AF91,AnnualDiversions!$AZ91)</f>
        <v>1796.9580901133884</v>
      </c>
      <c r="X91" s="312">
        <f>SUM(AnnualDiversions!$BD91,AnnualDiversions!$K91,AnnualDiversions!$H91)</f>
        <v>22044.700556832417</v>
      </c>
      <c r="Y91" s="380">
        <f>SUM(AnnualDiversions!$I91,AnnualDiversions!$W91,AnnualDiversions!$X91,AnnualDiversions!$Y91,AnnualDiversions!$Z91,AnnualDiversions!$AI91,AnnualDiversions!$BB91,AnnualDiversions!$BF91)</f>
        <v>19374.983333335967</v>
      </c>
      <c r="Z91" s="311">
        <f>SUM(AnnualDivReqs!$B91:$G91,AnnualDivReqs!$M91:$V91,AnnualDivReqs!$BJ91)</f>
        <v>110072.97069744935</v>
      </c>
      <c r="AA91" s="312">
        <f>SUM(AnnualDivReqs!$AT91:$AV91)</f>
        <v>347403.96645479649</v>
      </c>
      <c r="AB91" s="312">
        <f>SUM(AnnualDivReqs!$AS91,AnnualDivReqs!$AW91)</f>
        <v>37763.476493275448</v>
      </c>
      <c r="AC91" s="312">
        <f>SUM(AnnualDivReqs!$AA91:$AD91)</f>
        <v>5000.0000000019463</v>
      </c>
      <c r="AD91" s="312">
        <f>SUM(AnnualDivReqs!$BE91,AnnualDivReqs!$BA91,AnnualDivReqs!$AX91,AnnualDivReqs!$AH91,AnnualDivReqs!$AE91)</f>
        <v>65397.485404561805</v>
      </c>
      <c r="AE91" s="312">
        <f>SUM(AnnualDivReqs!$AR91,AnnualDivReqs!$AF91,AnnualDivReqs!$AZ91)</f>
        <v>25592.260393447792</v>
      </c>
      <c r="AF91" s="312">
        <f>SUM(AnnualDivReqs!$BD91,AnnualDivReqs!$K91,AnnualDivReqs!$H91)</f>
        <v>22044.700556832417</v>
      </c>
      <c r="AG91" s="380">
        <f>SUM(AnnualDivReqs!$I91,AnnualDivReqs!$W91,AnnualDivReqs!$X91,AnnualDivReqs!$Y91,AnnualDivReqs!$Z91,AnnualDivReqs!$AI91,AnnualDivReqs!$BB91,AnnualDivReqs!$BF91)</f>
        <v>19374.983333335967</v>
      </c>
    </row>
    <row r="92" spans="1:33" x14ac:dyDescent="0.25">
      <c r="A92" s="4">
        <v>41639</v>
      </c>
      <c r="B92" s="377"/>
      <c r="C92" s="378"/>
      <c r="D92" s="378"/>
      <c r="E92" s="314"/>
      <c r="F92" s="314"/>
      <c r="G92" s="314"/>
      <c r="H92" s="378"/>
      <c r="I92" s="379"/>
      <c r="J92" s="377"/>
      <c r="K92" s="378"/>
      <c r="L92" s="378"/>
      <c r="M92" s="314"/>
      <c r="N92" s="314"/>
      <c r="O92" s="314"/>
      <c r="P92" s="378"/>
      <c r="Q92" s="379"/>
      <c r="R92" s="377"/>
      <c r="S92" s="378"/>
      <c r="T92" s="378"/>
      <c r="U92" s="314"/>
      <c r="V92" s="314"/>
      <c r="W92" s="314"/>
      <c r="X92" s="378"/>
      <c r="Y92" s="379"/>
      <c r="Z92" s="377"/>
      <c r="AA92" s="378"/>
      <c r="AB92" s="378"/>
      <c r="AC92" s="314"/>
      <c r="AD92" s="314"/>
      <c r="AE92" s="314"/>
      <c r="AF92" s="378"/>
      <c r="AG92" s="379"/>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9" tint="0.59996337778862885"/>
  </sheetPr>
  <dimension ref="A1:BY99"/>
  <sheetViews>
    <sheetView topLeftCell="A31" zoomScale="70" zoomScaleNormal="70" workbookViewId="0">
      <selection activeCell="B99" sqref="B99"/>
    </sheetView>
  </sheetViews>
  <sheetFormatPr defaultRowHeight="15" x14ac:dyDescent="0.25"/>
  <cols>
    <col min="1" max="1" width="18.140625" bestFit="1" customWidth="1"/>
    <col min="2" max="59" width="12.7109375" style="122" customWidth="1"/>
    <col min="60" max="64" width="12.7109375" customWidth="1"/>
  </cols>
  <sheetData>
    <row r="1" spans="1:77" x14ac:dyDescent="0.25">
      <c r="A1" s="124" t="s">
        <v>290</v>
      </c>
      <c r="B1" s="125">
        <f t="shared" ref="B1:AG1" ca="1" si="0">AVERAGE(OFFSET(B$8,0,0,NumRunYears-1))</f>
        <v>1166.8376809962745</v>
      </c>
      <c r="C1" s="125">
        <f t="shared" ca="1" si="0"/>
        <v>1746.8500000002646</v>
      </c>
      <c r="D1" s="125">
        <f t="shared" ca="1" si="0"/>
        <v>2260.7800672332855</v>
      </c>
      <c r="E1" s="125">
        <f t="shared" ca="1" si="0"/>
        <v>5370.3499999989153</v>
      </c>
      <c r="F1" s="125">
        <f t="shared" ca="1" si="0"/>
        <v>996.64930719333222</v>
      </c>
      <c r="G1" s="125">
        <f t="shared" ca="1" si="0"/>
        <v>2334.4100000015387</v>
      </c>
      <c r="H1" s="125">
        <f t="shared" ca="1" si="0"/>
        <v>268.51190476187378</v>
      </c>
      <c r="I1" s="125">
        <f t="shared" ca="1" si="0"/>
        <v>2499.9900000012794</v>
      </c>
      <c r="J1" s="125">
        <f t="shared" ca="1" si="0"/>
        <v>2499.9900000012694</v>
      </c>
      <c r="K1" s="125">
        <f t="shared" ca="1" si="0"/>
        <v>11811.605695380913</v>
      </c>
      <c r="L1" s="125">
        <f t="shared" ca="1" si="0"/>
        <v>897.05888299688479</v>
      </c>
      <c r="M1" s="125">
        <f t="shared" ca="1" si="0"/>
        <v>3659.1999999996005</v>
      </c>
      <c r="N1" s="125">
        <f t="shared" ca="1" si="0"/>
        <v>13916.560000015908</v>
      </c>
      <c r="O1" s="125">
        <f t="shared" ca="1" si="0"/>
        <v>11987.800000005514</v>
      </c>
      <c r="P1" s="125">
        <f t="shared" ca="1" si="0"/>
        <v>673.370000000343</v>
      </c>
      <c r="Q1" s="125">
        <f t="shared" ca="1" si="0"/>
        <v>80.172319004262704</v>
      </c>
      <c r="R1" s="125">
        <f t="shared" ca="1" si="0"/>
        <v>2294.4700000004382</v>
      </c>
      <c r="S1" s="125">
        <f t="shared" ca="1" si="0"/>
        <v>1591.6899999993436</v>
      </c>
      <c r="T1" s="125">
        <f t="shared" ca="1" si="0"/>
        <v>504.47000000016351</v>
      </c>
      <c r="U1" s="125">
        <f t="shared" ca="1" si="0"/>
        <v>419.22999999996347</v>
      </c>
      <c r="V1" s="125">
        <f t="shared" ca="1" si="0"/>
        <v>5739.9700000027206</v>
      </c>
      <c r="W1" s="125">
        <f t="shared" ca="1" si="0"/>
        <v>899.98999999967987</v>
      </c>
      <c r="X1" s="125">
        <f t="shared" ca="1" si="0"/>
        <v>849.98999999941782</v>
      </c>
      <c r="Y1" s="125">
        <f t="shared" ca="1" si="0"/>
        <v>324.9999999999639</v>
      </c>
      <c r="Z1" s="125">
        <f t="shared" ca="1" si="0"/>
        <v>200.00000000007773</v>
      </c>
      <c r="AA1" s="125">
        <f t="shared" ca="1" si="0"/>
        <v>998.01963990982131</v>
      </c>
      <c r="AB1" s="125">
        <f t="shared" ca="1" si="0"/>
        <v>1499.9999999989561</v>
      </c>
      <c r="AC1" s="125">
        <f t="shared" ca="1" si="0"/>
        <v>1000.0000000020068</v>
      </c>
      <c r="AD1" s="125">
        <f t="shared" ca="1" si="0"/>
        <v>1499.9999999989561</v>
      </c>
      <c r="AE1" s="125">
        <f t="shared" ca="1" si="0"/>
        <v>3794.8292074778201</v>
      </c>
      <c r="AF1" s="125">
        <f t="shared" ca="1" si="0"/>
        <v>239.88513019591093</v>
      </c>
      <c r="AG1" s="125">
        <f t="shared" ca="1" si="0"/>
        <v>9222.9508156565262</v>
      </c>
      <c r="AH1" s="125">
        <f t="shared" ref="AH1:BL1" ca="1" si="1">AVERAGE(OFFSET(AH$8,0,0,NumRunYears-1))</f>
        <v>2291.310144169383</v>
      </c>
      <c r="AI1" s="125">
        <f t="shared" ca="1" si="1"/>
        <v>4976.0581566798937</v>
      </c>
      <c r="AJ1" s="125">
        <f t="shared" ca="1" si="1"/>
        <v>38813.175994733545</v>
      </c>
      <c r="AK1" s="125">
        <f t="shared" ca="1" si="1"/>
        <v>7922.5263543329256</v>
      </c>
      <c r="AL1" s="125">
        <f t="shared" ca="1" si="1"/>
        <v>10753.632695306689</v>
      </c>
      <c r="AM1" s="125">
        <f t="shared" ca="1" si="1"/>
        <v>12060.458315847007</v>
      </c>
      <c r="AN1" s="125">
        <f t="shared" ca="1" si="1"/>
        <v>3112.3888909530197</v>
      </c>
      <c r="AO1" s="125">
        <f t="shared" ca="1" si="1"/>
        <v>1121.7380952379663</v>
      </c>
      <c r="AP1" s="125">
        <f t="shared" ca="1" si="1"/>
        <v>340.98999999997534</v>
      </c>
      <c r="AQ1" s="125">
        <f t="shared" ca="1" si="1"/>
        <v>1093.5465953079788</v>
      </c>
      <c r="AR1" s="125">
        <f t="shared" ca="1" si="1"/>
        <v>3654.8943582865586</v>
      </c>
      <c r="AS1" s="125">
        <f t="shared" ca="1" si="1"/>
        <v>31095.157336331944</v>
      </c>
      <c r="AT1" s="125">
        <f t="shared" ca="1" si="1"/>
        <v>80016.67706855615</v>
      </c>
      <c r="AU1" s="125">
        <f t="shared" ca="1" si="1"/>
        <v>80264.406718923114</v>
      </c>
      <c r="AV1" s="125">
        <f t="shared" ca="1" si="1"/>
        <v>87448.566579567472</v>
      </c>
      <c r="AW1" s="125">
        <f t="shared" ca="1" si="1"/>
        <v>4625.9023050852666</v>
      </c>
      <c r="AX1" s="125">
        <f t="shared" ca="1" si="1"/>
        <v>24730.306002420086</v>
      </c>
      <c r="AY1" s="125">
        <f t="shared" ca="1" si="1"/>
        <v>1610.8333333331479</v>
      </c>
      <c r="AZ1" s="125">
        <f t="shared" ca="1" si="1"/>
        <v>377.33749308480924</v>
      </c>
      <c r="BA1" s="125">
        <f t="shared" ca="1" si="1"/>
        <v>1054.8568077688028</v>
      </c>
      <c r="BB1" s="125">
        <f t="shared" ca="1" si="1"/>
        <v>1300.0000000005816</v>
      </c>
      <c r="BC1" s="125">
        <f t="shared" ca="1" si="1"/>
        <v>16122.396181823256</v>
      </c>
      <c r="BD1" s="125">
        <f t="shared" ca="1" si="1"/>
        <v>600.4047619046928</v>
      </c>
      <c r="BE1" s="125">
        <f t="shared" ca="1" si="1"/>
        <v>650.39848107562204</v>
      </c>
      <c r="BF1" s="125">
        <f t="shared" ca="1" si="1"/>
        <v>550.00999999974533</v>
      </c>
      <c r="BG1" s="125">
        <f t="shared" ca="1" si="1"/>
        <v>12296.800000006129</v>
      </c>
      <c r="BH1" s="125">
        <f t="shared" ca="1" si="1"/>
        <v>26807.243690189778</v>
      </c>
      <c r="BI1" s="125">
        <f t="shared" ca="1" si="1"/>
        <v>-2.2883063794822754E-3</v>
      </c>
      <c r="BJ1" s="125">
        <f t="shared" ca="1" si="1"/>
        <v>2381.6581987139371</v>
      </c>
      <c r="BK1" s="125">
        <f t="shared" ca="1" si="1"/>
        <v>105234.36637774424</v>
      </c>
      <c r="BL1" s="125">
        <f t="shared" ca="1" si="1"/>
        <v>2655.4436355968055</v>
      </c>
      <c r="BM1" s="280" t="s">
        <v>296</v>
      </c>
    </row>
    <row r="2" spans="1:77" x14ac:dyDescent="0.25">
      <c r="A2" s="124" t="s">
        <v>291</v>
      </c>
      <c r="B2" s="125">
        <f t="shared" ref="B2:AG2" ca="1" si="2">MIN(OFFSET(B$8,0,0,NumRunYears-1))</f>
        <v>540.52766666693037</v>
      </c>
      <c r="C2" s="125">
        <f t="shared" ca="1" si="2"/>
        <v>1746.8500000002621</v>
      </c>
      <c r="D2" s="125">
        <f t="shared" ca="1" si="2"/>
        <v>2233.4823600630862</v>
      </c>
      <c r="E2" s="125">
        <f t="shared" ca="1" si="2"/>
        <v>5370.3499999989081</v>
      </c>
      <c r="F2" s="125">
        <f t="shared" ca="1" si="2"/>
        <v>994.1018042304479</v>
      </c>
      <c r="G2" s="125">
        <f t="shared" ca="1" si="2"/>
        <v>2334.4100000015378</v>
      </c>
      <c r="H2" s="125">
        <f t="shared" ca="1" si="2"/>
        <v>201.99999999997667</v>
      </c>
      <c r="I2" s="125">
        <f t="shared" ca="1" si="2"/>
        <v>2499.9900000012822</v>
      </c>
      <c r="J2" s="125">
        <f t="shared" ca="1" si="2"/>
        <v>2499.9900000012672</v>
      </c>
      <c r="K2" s="125">
        <f t="shared" ca="1" si="2"/>
        <v>8758.9999999990032</v>
      </c>
      <c r="L2" s="125">
        <f t="shared" ca="1" si="2"/>
        <v>652.94617173831989</v>
      </c>
      <c r="M2" s="125">
        <f t="shared" ca="1" si="2"/>
        <v>3659.1999999995965</v>
      </c>
      <c r="N2" s="125">
        <f t="shared" ca="1" si="2"/>
        <v>13916.560000015921</v>
      </c>
      <c r="O2" s="125">
        <f t="shared" ca="1" si="2"/>
        <v>11987.800000005504</v>
      </c>
      <c r="P2" s="125">
        <f t="shared" ca="1" si="2"/>
        <v>673.3700000003422</v>
      </c>
      <c r="Q2" s="125">
        <f t="shared" ca="1" si="2"/>
        <v>0</v>
      </c>
      <c r="R2" s="125">
        <f t="shared" ca="1" si="2"/>
        <v>2294.4700000004386</v>
      </c>
      <c r="S2" s="125">
        <f t="shared" ca="1" si="2"/>
        <v>1591.6899999993404</v>
      </c>
      <c r="T2" s="125">
        <f t="shared" ca="1" si="2"/>
        <v>504.47000000016385</v>
      </c>
      <c r="U2" s="125">
        <f t="shared" ca="1" si="2"/>
        <v>419.22999999996358</v>
      </c>
      <c r="V2" s="125">
        <f t="shared" ca="1" si="2"/>
        <v>5739.970000002726</v>
      </c>
      <c r="W2" s="125">
        <f t="shared" ca="1" si="2"/>
        <v>899.98999999967964</v>
      </c>
      <c r="X2" s="125">
        <f t="shared" ca="1" si="2"/>
        <v>849.98999999941839</v>
      </c>
      <c r="Y2" s="125">
        <f t="shared" ca="1" si="2"/>
        <v>324.9999999999643</v>
      </c>
      <c r="Z2" s="125">
        <f t="shared" ca="1" si="2"/>
        <v>200.00000000007739</v>
      </c>
      <c r="AA2" s="125">
        <f t="shared" ca="1" si="2"/>
        <v>908.39537485009691</v>
      </c>
      <c r="AB2" s="125">
        <f t="shared" ca="1" si="2"/>
        <v>1499.999999998952</v>
      </c>
      <c r="AC2" s="125">
        <f t="shared" ca="1" si="2"/>
        <v>1000.0000000020035</v>
      </c>
      <c r="AD2" s="125">
        <f t="shared" ca="1" si="2"/>
        <v>1499.999999998952</v>
      </c>
      <c r="AE2" s="125">
        <f t="shared" ca="1" si="2"/>
        <v>2734.9999999996844</v>
      </c>
      <c r="AF2" s="125">
        <f t="shared" ca="1" si="2"/>
        <v>13.718699999999989</v>
      </c>
      <c r="AG2" s="125">
        <f t="shared" ca="1" si="2"/>
        <v>6718.9999999992287</v>
      </c>
      <c r="AH2" s="125">
        <f t="shared" ref="AH2:BL2" ca="1" si="3">MIN(OFFSET(AH$8,0,0,NumRunYears-1))</f>
        <v>1719.9999999998015</v>
      </c>
      <c r="AI2" s="125">
        <f t="shared" ca="1" si="3"/>
        <v>2988.0551610426478</v>
      </c>
      <c r="AJ2" s="125">
        <f t="shared" ca="1" si="3"/>
        <v>23306.78364195428</v>
      </c>
      <c r="AK2" s="125">
        <f t="shared" ca="1" si="3"/>
        <v>5782.2010986160012</v>
      </c>
      <c r="AL2" s="125">
        <f t="shared" ca="1" si="3"/>
        <v>8081.9999999990669</v>
      </c>
      <c r="AM2" s="125">
        <f t="shared" ca="1" si="3"/>
        <v>8778.4985311485234</v>
      </c>
      <c r="AN2" s="125">
        <f t="shared" ca="1" si="3"/>
        <v>2270.9999999997381</v>
      </c>
      <c r="AO2" s="125">
        <f t="shared" ca="1" si="3"/>
        <v>698.99999999991951</v>
      </c>
      <c r="AP2" s="125">
        <f t="shared" ca="1" si="3"/>
        <v>340.98999999997505</v>
      </c>
      <c r="AQ2" s="125">
        <f t="shared" ca="1" si="3"/>
        <v>582.86815176775224</v>
      </c>
      <c r="AR2" s="125">
        <f t="shared" ca="1" si="3"/>
        <v>511.09724989710134</v>
      </c>
      <c r="AS2" s="125">
        <f t="shared" ca="1" si="3"/>
        <v>18674.128978571229</v>
      </c>
      <c r="AT2" s="125">
        <f t="shared" ca="1" si="3"/>
        <v>56011.326725856226</v>
      </c>
      <c r="AU2" s="125">
        <f t="shared" ca="1" si="3"/>
        <v>56184.736406122174</v>
      </c>
      <c r="AV2" s="125">
        <f t="shared" ca="1" si="3"/>
        <v>61213.617133830667</v>
      </c>
      <c r="AW2" s="125">
        <f t="shared" ca="1" si="3"/>
        <v>2775.8809004661102</v>
      </c>
      <c r="AX2" s="125">
        <f t="shared" ca="1" si="3"/>
        <v>16739.801354579744</v>
      </c>
      <c r="AY2" s="125">
        <f t="shared" ca="1" si="3"/>
        <v>1230.9999999998588</v>
      </c>
      <c r="AZ2" s="125">
        <f t="shared" ca="1" si="3"/>
        <v>81.550049999999999</v>
      </c>
      <c r="BA2" s="125">
        <f t="shared" ca="1" si="3"/>
        <v>713.97772908358309</v>
      </c>
      <c r="BB2" s="125">
        <f t="shared" ca="1" si="3"/>
        <v>1300.0000000005807</v>
      </c>
      <c r="BC2" s="125">
        <f t="shared" ca="1" si="3"/>
        <v>9681.2793586026637</v>
      </c>
      <c r="BD2" s="125">
        <f t="shared" ca="1" si="3"/>
        <v>444.99999999994805</v>
      </c>
      <c r="BE2" s="125">
        <f t="shared" ca="1" si="3"/>
        <v>440.22091633461065</v>
      </c>
      <c r="BF2" s="125">
        <f t="shared" ca="1" si="3"/>
        <v>550.00999999974533</v>
      </c>
      <c r="BG2" s="125">
        <f t="shared" ca="1" si="3"/>
        <v>12296.800000006155</v>
      </c>
      <c r="BH2" s="125">
        <f t="shared" ca="1" si="3"/>
        <v>17908.818234993741</v>
      </c>
      <c r="BI2" s="125">
        <f t="shared" ca="1" si="3"/>
        <v>-14830.083966075032</v>
      </c>
      <c r="BJ2" s="125">
        <f t="shared" ca="1" si="3"/>
        <v>1844.2101624736865</v>
      </c>
      <c r="BK2" s="125">
        <f t="shared" ca="1" si="3"/>
        <v>7345.5348732380489</v>
      </c>
      <c r="BL2" s="125">
        <f t="shared" ca="1" si="3"/>
        <v>0</v>
      </c>
      <c r="BM2" s="280">
        <f ca="1">COUNTIFS(OFFSET(BL$8,0,0,NumRunYears-1),"&gt;0.001")</f>
        <v>1</v>
      </c>
    </row>
    <row r="3" spans="1:77" x14ac:dyDescent="0.25">
      <c r="A3" s="124" t="s">
        <v>292</v>
      </c>
      <c r="B3" s="125">
        <f t="shared" ref="B3:AG3" ca="1" si="4">MAX(OFFSET(B$8,0,0,NumRunYears-1))</f>
        <v>1247.010000000537</v>
      </c>
      <c r="C3" s="125">
        <f t="shared" ca="1" si="4"/>
        <v>1746.8500000002621</v>
      </c>
      <c r="D3" s="125">
        <f t="shared" ca="1" si="4"/>
        <v>2261.1200000002882</v>
      </c>
      <c r="E3" s="125">
        <f t="shared" ca="1" si="4"/>
        <v>5370.3499999989081</v>
      </c>
      <c r="F3" s="125">
        <f t="shared" ca="1" si="4"/>
        <v>996.68000000011409</v>
      </c>
      <c r="G3" s="125">
        <f t="shared" ca="1" si="4"/>
        <v>2334.4100000015383</v>
      </c>
      <c r="H3" s="125">
        <f t="shared" ca="1" si="4"/>
        <v>318.99999999996288</v>
      </c>
      <c r="I3" s="125">
        <f t="shared" ca="1" si="4"/>
        <v>2499.9900000012822</v>
      </c>
      <c r="J3" s="125">
        <f t="shared" ca="1" si="4"/>
        <v>2499.9900000012672</v>
      </c>
      <c r="K3" s="125">
        <f t="shared" ca="1" si="4"/>
        <v>13979.999999998399</v>
      </c>
      <c r="L3" s="125">
        <f t="shared" ca="1" si="4"/>
        <v>900.00000000000125</v>
      </c>
      <c r="M3" s="125">
        <f t="shared" ca="1" si="4"/>
        <v>3659.1999999995969</v>
      </c>
      <c r="N3" s="125">
        <f t="shared" ca="1" si="4"/>
        <v>13916.560000015921</v>
      </c>
      <c r="O3" s="125">
        <f t="shared" ca="1" si="4"/>
        <v>11987.800000005504</v>
      </c>
      <c r="P3" s="125">
        <f t="shared" ca="1" si="4"/>
        <v>673.3700000003422</v>
      </c>
      <c r="Q3" s="125">
        <f t="shared" ca="1" si="4"/>
        <v>706.48233333360861</v>
      </c>
      <c r="R3" s="125">
        <f t="shared" ca="1" si="4"/>
        <v>2294.4700000004391</v>
      </c>
      <c r="S3" s="125">
        <f t="shared" ca="1" si="4"/>
        <v>1591.6899999993404</v>
      </c>
      <c r="T3" s="125">
        <f t="shared" ca="1" si="4"/>
        <v>504.47000000016385</v>
      </c>
      <c r="U3" s="125">
        <f t="shared" ca="1" si="4"/>
        <v>419.22999999996358</v>
      </c>
      <c r="V3" s="125">
        <f t="shared" ca="1" si="4"/>
        <v>5739.9700000027269</v>
      </c>
      <c r="W3" s="125">
        <f t="shared" ca="1" si="4"/>
        <v>899.98999999967975</v>
      </c>
      <c r="X3" s="125">
        <f t="shared" ca="1" si="4"/>
        <v>849.98999999941861</v>
      </c>
      <c r="Y3" s="125">
        <f t="shared" ca="1" si="4"/>
        <v>324.9999999999643</v>
      </c>
      <c r="Z3" s="125">
        <f t="shared" ca="1" si="4"/>
        <v>200.00000000007739</v>
      </c>
      <c r="AA3" s="125">
        <f t="shared" ca="1" si="4"/>
        <v>1000.0000000020067</v>
      </c>
      <c r="AB3" s="125">
        <f t="shared" ca="1" si="4"/>
        <v>1499.9999999989695</v>
      </c>
      <c r="AC3" s="125">
        <f t="shared" ca="1" si="4"/>
        <v>1000.0000000020067</v>
      </c>
      <c r="AD3" s="125">
        <f t="shared" ca="1" si="4"/>
        <v>1499.9999999989695</v>
      </c>
      <c r="AE3" s="125">
        <f t="shared" ca="1" si="4"/>
        <v>4569.9999999994716</v>
      </c>
      <c r="AF3" s="125">
        <f t="shared" ca="1" si="4"/>
        <v>291.14129995457216</v>
      </c>
      <c r="AG3" s="125">
        <f t="shared" ca="1" si="4"/>
        <v>11255.999999998705</v>
      </c>
      <c r="AH3" s="125">
        <f t="shared" ref="AH3:BL3" ca="1" si="5">MAX(OFFSET(AH$8,0,0,NumRunYears-1))</f>
        <v>2740.9311423240415</v>
      </c>
      <c r="AI3" s="125">
        <f t="shared" ca="1" si="5"/>
        <v>5000.0100000008242</v>
      </c>
      <c r="AJ3" s="125">
        <f t="shared" ca="1" si="5"/>
        <v>38999.999998983862</v>
      </c>
      <c r="AK3" s="125">
        <f t="shared" ca="1" si="5"/>
        <v>7970.0000000000155</v>
      </c>
      <c r="AL3" s="125">
        <f t="shared" ca="1" si="5"/>
        <v>12812.99999999853</v>
      </c>
      <c r="AM3" s="125">
        <f t="shared" ca="1" si="5"/>
        <v>12100.000000000022</v>
      </c>
      <c r="AN3" s="125">
        <f t="shared" ca="1" si="5"/>
        <v>3601.9999999995866</v>
      </c>
      <c r="AO3" s="125">
        <f t="shared" ca="1" si="5"/>
        <v>1628.9999999998124</v>
      </c>
      <c r="AP3" s="125">
        <f t="shared" ca="1" si="5"/>
        <v>340.98999999997511</v>
      </c>
      <c r="AQ3" s="125">
        <f t="shared" ca="1" si="5"/>
        <v>1350.0100000000286</v>
      </c>
      <c r="AR3" s="125">
        <f t="shared" ca="1" si="5"/>
        <v>8423.6974168613888</v>
      </c>
      <c r="AS3" s="125">
        <f t="shared" ca="1" si="5"/>
        <v>31248.028099180548</v>
      </c>
      <c r="AT3" s="125">
        <f t="shared" ca="1" si="5"/>
        <v>93598.508669787931</v>
      </c>
      <c r="AU3" s="125">
        <f t="shared" ca="1" si="5"/>
        <v>93888.287334399618</v>
      </c>
      <c r="AV3" s="125">
        <f t="shared" ca="1" si="5"/>
        <v>102291.86860815766</v>
      </c>
      <c r="AW3" s="125">
        <f t="shared" ca="1" si="5"/>
        <v>4657.697851232725</v>
      </c>
      <c r="AX3" s="125">
        <f t="shared" ca="1" si="5"/>
        <v>29612.253944219698</v>
      </c>
      <c r="AY3" s="125">
        <f t="shared" ca="1" si="5"/>
        <v>2157.9999999997526</v>
      </c>
      <c r="AZ3" s="125">
        <f t="shared" ca="1" si="5"/>
        <v>467.9600963657856</v>
      </c>
      <c r="BA3" s="125">
        <f t="shared" ca="1" si="5"/>
        <v>1263.007211155234</v>
      </c>
      <c r="BB3" s="125">
        <f t="shared" ca="1" si="5"/>
        <v>1300.0000000005809</v>
      </c>
      <c r="BC3" s="125">
        <f t="shared" ca="1" si="5"/>
        <v>16199.999998970494</v>
      </c>
      <c r="BD3" s="125">
        <f t="shared" ca="1" si="5"/>
        <v>707.99999999991837</v>
      </c>
      <c r="BE3" s="125">
        <f t="shared" ca="1" si="5"/>
        <v>778.73884462142507</v>
      </c>
      <c r="BF3" s="125">
        <f t="shared" ca="1" si="5"/>
        <v>550.00999999974545</v>
      </c>
      <c r="BG3" s="125">
        <f t="shared" ca="1" si="5"/>
        <v>12296.800000006155</v>
      </c>
      <c r="BH3" s="125">
        <f t="shared" ca="1" si="5"/>
        <v>30080.49319905684</v>
      </c>
      <c r="BI3" s="125">
        <f t="shared" ca="1" si="5"/>
        <v>8308.0635333164664</v>
      </c>
      <c r="BJ3" s="125">
        <f t="shared" ca="1" si="5"/>
        <v>2430.8445436060993</v>
      </c>
      <c r="BK3" s="125">
        <f t="shared" ca="1" si="5"/>
        <v>233454.25910427465</v>
      </c>
      <c r="BL3" s="125">
        <f t="shared" ca="1" si="5"/>
        <v>223057.26539013168</v>
      </c>
    </row>
    <row r="5" spans="1:77" ht="60" x14ac:dyDescent="0.25">
      <c r="A5" s="2" t="s">
        <v>539</v>
      </c>
      <c r="B5" s="122" t="str">
        <f t="shared" ref="B5:BK5" si="6">RIGHT(B$6,LEN(B$6)-FIND(".",B$6))</f>
        <v>ALPDurango</v>
      </c>
      <c r="C5" s="122" t="str">
        <f t="shared" si="6"/>
        <v>ALPNMSupplyFromAnimas__ALPAztec</v>
      </c>
      <c r="D5" s="122" t="str">
        <f t="shared" si="6"/>
        <v>ALPNMSupplyFromAnimas__ALPBloomfield</v>
      </c>
      <c r="E5" s="122" t="str">
        <f t="shared" si="6"/>
        <v>ALPNMSupplyFromAnimas__ALPFarmington</v>
      </c>
      <c r="F5" s="122" t="str">
        <f t="shared" si="6"/>
        <v>ALPNMSupplyFromAnimas__ALPKirkland</v>
      </c>
      <c r="G5" s="122" t="str">
        <f t="shared" si="6"/>
        <v>ALPNMSupplyFromAnimas__ALPShiprock</v>
      </c>
      <c r="H5" s="122" t="str">
        <f t="shared" si="6"/>
        <v>ArchuletaDitch</v>
      </c>
      <c r="I5" s="122" t="str">
        <f t="shared" si="6"/>
        <v>AztecMI</v>
      </c>
      <c r="J5" s="122" t="str">
        <f t="shared" si="6"/>
        <v>BloomfieldMI</v>
      </c>
      <c r="K5" s="122" t="str">
        <f t="shared" si="6"/>
        <v>CitizenDitch</v>
      </c>
      <c r="L5" s="122" t="str">
        <f t="shared" si="6"/>
        <v>CudeiCanal</v>
      </c>
      <c r="M5" s="122" t="str">
        <f t="shared" si="6"/>
        <v>DemandsOnRBR__AnimasFloridaMI</v>
      </c>
      <c r="N5" s="122" t="str">
        <f t="shared" si="6"/>
        <v>DemandsOnRBR__Coal</v>
      </c>
      <c r="O5" s="122" t="str">
        <f t="shared" si="6"/>
        <v>DemandsOnRBR__ColoradoBalance</v>
      </c>
      <c r="P5" s="122" t="str">
        <f t="shared" si="6"/>
        <v>DemandsOnRBR__DgoRuralMI</v>
      </c>
      <c r="Q5" s="122" t="str">
        <f t="shared" si="6"/>
        <v>DemandsOnRBR__DurangoMI</v>
      </c>
      <c r="R5" s="122" t="str">
        <f t="shared" si="6"/>
        <v>DemandsOnRBR__GasPowerPlant</v>
      </c>
      <c r="S5" s="122" t="str">
        <f t="shared" si="6"/>
        <v>DemandsOnRBR__LaPlataRuralMI</v>
      </c>
      <c r="T5" s="122" t="str">
        <f t="shared" si="6"/>
        <v>DemandsOnRBR__MancosResort</v>
      </c>
      <c r="U5" s="122" t="str">
        <f t="shared" si="6"/>
        <v>DemandsOnRBR__RidgesBasinResort</v>
      </c>
      <c r="V5" s="122" t="str">
        <f t="shared" si="6"/>
        <v>DemandsOnRBR__UteDurango</v>
      </c>
      <c r="W5" s="122" t="str">
        <f t="shared" si="6"/>
        <v>DEP_NMU2NonIr</v>
      </c>
      <c r="X5" s="122" t="str">
        <f t="shared" si="6"/>
        <v>DEP_NMU3NonIr</v>
      </c>
      <c r="Y5" s="122" t="str">
        <f t="shared" si="6"/>
        <v>DEP_NMU6NonIr</v>
      </c>
      <c r="Z5" s="122" t="str">
        <f t="shared" si="6"/>
        <v>DEP_NMU7NonIr</v>
      </c>
      <c r="AA5" s="122" t="str">
        <f t="shared" si="6"/>
        <v>DEP_Unspecified1</v>
      </c>
      <c r="AB5" s="122" t="str">
        <f t="shared" si="6"/>
        <v>DEP_Unspecified2</v>
      </c>
      <c r="AC5" s="122" t="str">
        <f t="shared" si="6"/>
        <v>DEP_Unspecified3</v>
      </c>
      <c r="AD5" s="122" t="str">
        <f t="shared" si="6"/>
        <v>DEP_Unspecified4</v>
      </c>
      <c r="AE5" s="122" t="str">
        <f t="shared" si="6"/>
        <v>EchoDitch</v>
      </c>
      <c r="AF5" s="122" t="str">
        <f t="shared" si="6"/>
        <v>Enterprise</v>
      </c>
      <c r="AG5" s="122" t="str">
        <f t="shared" si="6"/>
        <v>FarmersMutual</v>
      </c>
      <c r="AH5" s="122" t="str">
        <f t="shared" si="6"/>
        <v>FarmingtonGlade</v>
      </c>
      <c r="AI5" s="122" t="str">
        <f t="shared" si="6"/>
        <v>FarmingtonMI</v>
      </c>
      <c r="AJ5" s="122" t="str">
        <f t="shared" si="6"/>
        <v>FourCornersPP</v>
      </c>
      <c r="AK5" s="122" t="str">
        <f t="shared" si="6"/>
        <v>FruitlandAndCambridge</v>
      </c>
      <c r="AL5" s="122" t="str">
        <f t="shared" si="6"/>
        <v>Hammond</v>
      </c>
      <c r="AM5" s="122" t="str">
        <f t="shared" si="6"/>
        <v>Hogback</v>
      </c>
      <c r="AN5" s="122" t="str">
        <f t="shared" si="6"/>
        <v>JewettValley</v>
      </c>
      <c r="AO5" s="122" t="str">
        <f t="shared" si="6"/>
        <v>JicarillaIrr</v>
      </c>
      <c r="AP5" s="122" t="str">
        <f t="shared" si="6"/>
        <v>JicarillaNonIr</v>
      </c>
      <c r="AQ5" s="122" t="str">
        <f t="shared" si="6"/>
        <v>LaPlataNonIr</v>
      </c>
      <c r="AR5" s="122" t="str">
        <f t="shared" si="6"/>
        <v>LowerLaPlataIrr</v>
      </c>
      <c r="AS5" s="122" t="str">
        <f t="shared" si="6"/>
        <v>NavajoGallupBalance</v>
      </c>
      <c r="AT5" s="122" t="str">
        <f t="shared" si="6"/>
        <v>NIIP__DEP_NIIPUnit3</v>
      </c>
      <c r="AU5" s="122" t="str">
        <f t="shared" si="6"/>
        <v>NIIP__DEP_NIIPUnit5</v>
      </c>
      <c r="AV5" s="122" t="str">
        <f t="shared" si="6"/>
        <v>NIIP__DEP_NIIPUnit6</v>
      </c>
      <c r="AW5" s="122" t="str">
        <f t="shared" si="6"/>
        <v>NIIP__NavajoGallupNIIP</v>
      </c>
      <c r="AX5" s="122" t="str">
        <f t="shared" si="6"/>
        <v>NMAnimasIrr</v>
      </c>
      <c r="AY5" s="122" t="str">
        <f t="shared" si="6"/>
        <v>NMPineRiverAreaIrr</v>
      </c>
      <c r="AZ5" s="122" t="str">
        <f t="shared" si="6"/>
        <v>Pioneer</v>
      </c>
      <c r="BA5" s="122" t="str">
        <f t="shared" si="6"/>
        <v>Ralston</v>
      </c>
      <c r="BB5" s="122" t="str">
        <f t="shared" si="6"/>
        <v>ShiprockMI</v>
      </c>
      <c r="BC5" s="122" t="str">
        <f t="shared" si="6"/>
        <v>SJGeneratingStation</v>
      </c>
      <c r="BD5" s="122" t="str">
        <f t="shared" si="6"/>
        <v>TurleyDitch</v>
      </c>
      <c r="BE5" s="122" t="str">
        <f t="shared" si="6"/>
        <v>TwinRocks</v>
      </c>
      <c r="BF5" s="122" t="str">
        <f t="shared" si="6"/>
        <v>USNavajoNonIr</v>
      </c>
      <c r="BG5" s="122" t="str">
        <f t="shared" si="6"/>
        <v>UtahIrr</v>
      </c>
      <c r="BH5" s="122" t="str">
        <f t="shared" si="6"/>
        <v>Annual Navajo Evaporation</v>
      </c>
      <c r="BI5" s="122" t="str">
        <f t="shared" si="6"/>
        <v>Annual Net NIIP GW Depletion</v>
      </c>
      <c r="BJ5" s="122" t="str">
        <f t="shared" si="6"/>
        <v>Annual Ridges Basin Evaporation</v>
      </c>
      <c r="BK5" s="122" t="str">
        <f t="shared" si="6"/>
        <v>Annual San Juan Chama Diversion Volume</v>
      </c>
      <c r="BL5" s="122" t="str">
        <f>RIGHT(BL$6,LEN(BL$6)-FIND(".",BL$6))</f>
        <v>Annual Shortage Volume</v>
      </c>
    </row>
    <row r="6" spans="1:77" s="2" customFormat="1" ht="105" x14ac:dyDescent="0.25">
      <c r="A6" s="2" t="s">
        <v>538</v>
      </c>
      <c r="B6" s="2" t="s">
        <v>0</v>
      </c>
      <c r="C6" s="2" t="s">
        <v>1</v>
      </c>
      <c r="D6" s="2" t="s">
        <v>2</v>
      </c>
      <c r="E6" s="2" t="s">
        <v>3</v>
      </c>
      <c r="F6" s="2" t="s">
        <v>4</v>
      </c>
      <c r="G6" s="2" t="s">
        <v>5</v>
      </c>
      <c r="H6" s="2" t="s">
        <v>6</v>
      </c>
      <c r="I6" s="2" t="s">
        <v>7</v>
      </c>
      <c r="J6" s="2" t="s">
        <v>8</v>
      </c>
      <c r="K6" s="2" t="s">
        <v>9</v>
      </c>
      <c r="L6" s="2" t="s">
        <v>10</v>
      </c>
      <c r="M6" s="2" t="s">
        <v>11</v>
      </c>
      <c r="N6" s="2" t="s">
        <v>12</v>
      </c>
      <c r="O6" s="2" t="s">
        <v>13</v>
      </c>
      <c r="P6" s="2" t="s">
        <v>14</v>
      </c>
      <c r="Q6" s="2" t="s">
        <v>15</v>
      </c>
      <c r="R6" s="2" t="s">
        <v>16</v>
      </c>
      <c r="S6" s="2" t="s">
        <v>17</v>
      </c>
      <c r="T6" s="2" t="s">
        <v>18</v>
      </c>
      <c r="U6" s="2" t="s">
        <v>19</v>
      </c>
      <c r="V6" s="2" t="s">
        <v>20</v>
      </c>
      <c r="W6" s="2" t="s">
        <v>21</v>
      </c>
      <c r="X6" s="2" t="s">
        <v>22</v>
      </c>
      <c r="Y6" s="2" t="s">
        <v>23</v>
      </c>
      <c r="Z6" s="2" t="s">
        <v>24</v>
      </c>
      <c r="AA6" s="2" t="s">
        <v>25</v>
      </c>
      <c r="AB6" s="2" t="s">
        <v>26</v>
      </c>
      <c r="AC6" s="2" t="s">
        <v>27</v>
      </c>
      <c r="AD6" s="2" t="s">
        <v>28</v>
      </c>
      <c r="AE6" s="2" t="s">
        <v>29</v>
      </c>
      <c r="AF6" s="2" t="s">
        <v>30</v>
      </c>
      <c r="AG6" s="2" t="s">
        <v>31</v>
      </c>
      <c r="AH6" s="2" t="s">
        <v>32</v>
      </c>
      <c r="AI6" s="2" t="s">
        <v>33</v>
      </c>
      <c r="AJ6" s="2" t="s">
        <v>34</v>
      </c>
      <c r="AK6" s="2" t="s">
        <v>35</v>
      </c>
      <c r="AL6" s="2" t="s">
        <v>36</v>
      </c>
      <c r="AM6" s="2" t="s">
        <v>37</v>
      </c>
      <c r="AN6" s="2" t="s">
        <v>38</v>
      </c>
      <c r="AO6" s="2" t="s">
        <v>39</v>
      </c>
      <c r="AP6" s="2" t="s">
        <v>40</v>
      </c>
      <c r="AQ6" s="2" t="s">
        <v>41</v>
      </c>
      <c r="AR6" s="2" t="s">
        <v>42</v>
      </c>
      <c r="AS6" s="2" t="s">
        <v>43</v>
      </c>
      <c r="AT6" s="2" t="s">
        <v>44</v>
      </c>
      <c r="AU6" s="2" t="s">
        <v>45</v>
      </c>
      <c r="AV6" s="2" t="s">
        <v>46</v>
      </c>
      <c r="AW6" s="2" t="s">
        <v>47</v>
      </c>
      <c r="AX6" s="2" t="s">
        <v>48</v>
      </c>
      <c r="AY6" s="2" t="s">
        <v>49</v>
      </c>
      <c r="AZ6" s="2" t="s">
        <v>50</v>
      </c>
      <c r="BA6" s="2" t="s">
        <v>51</v>
      </c>
      <c r="BB6" s="2" t="s">
        <v>52</v>
      </c>
      <c r="BC6" s="2" t="s">
        <v>53</v>
      </c>
      <c r="BD6" s="2" t="s">
        <v>54</v>
      </c>
      <c r="BE6" s="2" t="s">
        <v>55</v>
      </c>
      <c r="BF6" s="2" t="s">
        <v>56</v>
      </c>
      <c r="BG6" s="2" t="s">
        <v>57</v>
      </c>
      <c r="BH6" s="2" t="s">
        <v>286</v>
      </c>
      <c r="BI6" s="2" t="s">
        <v>287</v>
      </c>
      <c r="BJ6" s="2" t="s">
        <v>288</v>
      </c>
      <c r="BK6" s="2" t="s">
        <v>293</v>
      </c>
      <c r="BL6" s="2" t="s">
        <v>295</v>
      </c>
    </row>
    <row r="7" spans="1:77" x14ac:dyDescent="0.25">
      <c r="A7" s="1">
        <v>10593.999305555555</v>
      </c>
      <c r="B7" s="493" t="s">
        <v>678</v>
      </c>
      <c r="C7" s="493" t="s">
        <v>678</v>
      </c>
      <c r="D7" s="493" t="s">
        <v>678</v>
      </c>
      <c r="E7" s="493" t="s">
        <v>678</v>
      </c>
      <c r="F7" s="493" t="s">
        <v>678</v>
      </c>
      <c r="G7" s="493" t="s">
        <v>678</v>
      </c>
      <c r="H7" s="493" t="s">
        <v>678</v>
      </c>
      <c r="I7" s="493" t="s">
        <v>678</v>
      </c>
      <c r="J7" s="493" t="s">
        <v>678</v>
      </c>
      <c r="K7" s="493" t="s">
        <v>678</v>
      </c>
      <c r="L7" s="493" t="s">
        <v>678</v>
      </c>
      <c r="M7" s="493" t="s">
        <v>678</v>
      </c>
      <c r="N7" s="493" t="s">
        <v>678</v>
      </c>
      <c r="O7" s="493" t="s">
        <v>678</v>
      </c>
      <c r="P7" s="493" t="s">
        <v>678</v>
      </c>
      <c r="Q7" s="493" t="s">
        <v>678</v>
      </c>
      <c r="R7" s="493" t="s">
        <v>678</v>
      </c>
      <c r="S7" s="493" t="s">
        <v>678</v>
      </c>
      <c r="T7" s="493" t="s">
        <v>678</v>
      </c>
      <c r="U7" s="493" t="s">
        <v>678</v>
      </c>
      <c r="V7" s="493" t="s">
        <v>678</v>
      </c>
      <c r="W7" s="493" t="s">
        <v>678</v>
      </c>
      <c r="X7" s="493" t="s">
        <v>678</v>
      </c>
      <c r="Y7" s="493" t="s">
        <v>678</v>
      </c>
      <c r="Z7" s="493" t="s">
        <v>678</v>
      </c>
      <c r="AA7" s="493" t="s">
        <v>678</v>
      </c>
      <c r="AB7" s="493" t="s">
        <v>678</v>
      </c>
      <c r="AC7" s="493" t="s">
        <v>678</v>
      </c>
      <c r="AD7" s="493" t="s">
        <v>678</v>
      </c>
      <c r="AE7" s="493" t="s">
        <v>678</v>
      </c>
      <c r="AF7" s="493" t="s">
        <v>678</v>
      </c>
      <c r="AG7" s="493" t="s">
        <v>678</v>
      </c>
      <c r="AH7" s="493" t="s">
        <v>678</v>
      </c>
      <c r="AI7" s="493" t="s">
        <v>678</v>
      </c>
      <c r="AJ7" s="493" t="s">
        <v>678</v>
      </c>
      <c r="AK7" s="493" t="s">
        <v>678</v>
      </c>
      <c r="AL7" s="493" t="s">
        <v>678</v>
      </c>
      <c r="AM7" s="493" t="s">
        <v>678</v>
      </c>
      <c r="AN7" s="493" t="s">
        <v>678</v>
      </c>
      <c r="AO7" s="493" t="s">
        <v>678</v>
      </c>
      <c r="AP7" s="493" t="s">
        <v>678</v>
      </c>
      <c r="AQ7" s="493" t="s">
        <v>678</v>
      </c>
      <c r="AR7" s="493" t="s">
        <v>678</v>
      </c>
      <c r="AS7" s="493" t="s">
        <v>678</v>
      </c>
      <c r="AT7" s="493" t="s">
        <v>678</v>
      </c>
      <c r="AU7" s="493" t="s">
        <v>678</v>
      </c>
      <c r="AV7" s="493" t="s">
        <v>678</v>
      </c>
      <c r="AW7" s="493" t="s">
        <v>678</v>
      </c>
      <c r="AX7" s="493" t="s">
        <v>678</v>
      </c>
      <c r="AY7" s="493" t="s">
        <v>678</v>
      </c>
      <c r="AZ7" s="493" t="s">
        <v>678</v>
      </c>
      <c r="BA7" s="493" t="s">
        <v>678</v>
      </c>
      <c r="BB7" s="493" t="s">
        <v>678</v>
      </c>
      <c r="BC7" s="493" t="s">
        <v>678</v>
      </c>
      <c r="BD7" s="493" t="s">
        <v>678</v>
      </c>
      <c r="BE7" s="493" t="s">
        <v>678</v>
      </c>
      <c r="BF7" s="493" t="s">
        <v>678</v>
      </c>
      <c r="BG7" s="493" t="s">
        <v>678</v>
      </c>
      <c r="BH7" s="493" t="s">
        <v>678</v>
      </c>
      <c r="BI7" s="493" t="s">
        <v>678</v>
      </c>
      <c r="BJ7" s="493" t="s">
        <v>678</v>
      </c>
      <c r="BK7" s="493" t="s">
        <v>678</v>
      </c>
      <c r="BL7" s="493" t="s">
        <v>678</v>
      </c>
      <c r="BM7" s="3"/>
      <c r="BN7" s="3"/>
      <c r="BO7" s="3"/>
      <c r="BP7" s="3"/>
      <c r="BQ7" s="3"/>
      <c r="BR7" s="3"/>
      <c r="BS7" s="3"/>
      <c r="BT7" s="3"/>
      <c r="BU7" s="3"/>
      <c r="BV7" s="3"/>
      <c r="BW7" s="3"/>
      <c r="BX7" s="3"/>
      <c r="BY7" s="3"/>
    </row>
    <row r="8" spans="1:77" x14ac:dyDescent="0.25">
      <c r="A8" s="1">
        <v>10958.999305555555</v>
      </c>
      <c r="B8" s="123">
        <v>1247.010000000537</v>
      </c>
      <c r="C8" s="123">
        <v>1746.8500000002621</v>
      </c>
      <c r="D8" s="123">
        <v>2261.1200000002882</v>
      </c>
      <c r="E8" s="123">
        <v>5370.3499999989081</v>
      </c>
      <c r="F8" s="123">
        <v>996.68000000011409</v>
      </c>
      <c r="G8" s="123">
        <v>2334.4100000015378</v>
      </c>
      <c r="H8" s="123">
        <v>234.99999999997297</v>
      </c>
      <c r="I8" s="123">
        <v>2499.9900000012822</v>
      </c>
      <c r="J8" s="123">
        <v>2499.9900000012672</v>
      </c>
      <c r="K8" s="123">
        <v>10411.999999998803</v>
      </c>
      <c r="L8" s="123">
        <v>899.99999999999977</v>
      </c>
      <c r="M8" s="123">
        <v>3659.1999999995969</v>
      </c>
      <c r="N8" s="123">
        <v>13916.560000015921</v>
      </c>
      <c r="O8" s="123">
        <v>11987.800000005504</v>
      </c>
      <c r="P8" s="123">
        <v>673.3700000003422</v>
      </c>
      <c r="Q8" s="123">
        <v>0</v>
      </c>
      <c r="R8" s="123">
        <v>2294.4700000004386</v>
      </c>
      <c r="S8" s="123">
        <v>1591.6899999993404</v>
      </c>
      <c r="T8" s="123">
        <v>504.47000000016385</v>
      </c>
      <c r="U8" s="123">
        <v>419.22999999996358</v>
      </c>
      <c r="V8" s="123">
        <v>5739.9700000027269</v>
      </c>
      <c r="W8" s="123">
        <v>899.98999999967975</v>
      </c>
      <c r="X8" s="123">
        <v>849.98999999941839</v>
      </c>
      <c r="Y8" s="123">
        <v>324.9999999999643</v>
      </c>
      <c r="Z8" s="123">
        <v>200.00000000007739</v>
      </c>
      <c r="AA8" s="123">
        <v>1000.0000000020067</v>
      </c>
      <c r="AB8" s="123">
        <v>1499.999999998952</v>
      </c>
      <c r="AC8" s="123">
        <v>1000.0000000020067</v>
      </c>
      <c r="AD8" s="123">
        <v>1499.999999998952</v>
      </c>
      <c r="AE8" s="123">
        <v>3350.9999999996153</v>
      </c>
      <c r="AF8" s="123">
        <v>216.39978995457193</v>
      </c>
      <c r="AG8" s="123">
        <v>8381.9999999990359</v>
      </c>
      <c r="AH8" s="123">
        <v>2054.1080248165572</v>
      </c>
      <c r="AI8" s="123">
        <v>5000.0100000008242</v>
      </c>
      <c r="AJ8" s="123">
        <v>38999.999998983854</v>
      </c>
      <c r="AK8" s="123">
        <v>7970.0000000000064</v>
      </c>
      <c r="AL8" s="123">
        <v>9463.9999999989122</v>
      </c>
      <c r="AM8" s="123">
        <v>12100.000000000005</v>
      </c>
      <c r="AN8" s="123">
        <v>2780.9999999996817</v>
      </c>
      <c r="AO8" s="123">
        <v>920.99999999989495</v>
      </c>
      <c r="AP8" s="123">
        <v>340.98999999997505</v>
      </c>
      <c r="AQ8" s="123">
        <v>1334.2993415534497</v>
      </c>
      <c r="AR8" s="123">
        <v>6950.9428502384371</v>
      </c>
      <c r="AS8" s="123">
        <v>31248.028099180548</v>
      </c>
      <c r="AT8" s="123">
        <v>66229.486245605673</v>
      </c>
      <c r="AU8" s="123">
        <v>66434.531094662816</v>
      </c>
      <c r="AV8" s="123">
        <v>72380.831717333451</v>
      </c>
      <c r="AW8" s="123">
        <v>4644.9719008195007</v>
      </c>
      <c r="AX8" s="123">
        <v>20661.409003981695</v>
      </c>
      <c r="AY8" s="123">
        <v>1281.9999999998511</v>
      </c>
      <c r="AZ8" s="123">
        <v>350.25874391593987</v>
      </c>
      <c r="BA8" s="123">
        <v>881.24019920308592</v>
      </c>
      <c r="BB8" s="123">
        <v>1300.0000000005809</v>
      </c>
      <c r="BC8" s="123">
        <v>16199.99999897049</v>
      </c>
      <c r="BD8" s="123">
        <v>526.99999999993918</v>
      </c>
      <c r="BE8" s="123">
        <v>543.35079681268633</v>
      </c>
      <c r="BF8" s="123">
        <v>550.00999999974545</v>
      </c>
      <c r="BG8" s="123">
        <v>12296.800000006155</v>
      </c>
      <c r="BH8" s="3">
        <v>25837.308023141672</v>
      </c>
      <c r="BI8" s="3">
        <v>-8503.0502077164256</v>
      </c>
      <c r="BJ8" s="3">
        <v>2430.8445436060993</v>
      </c>
      <c r="BK8" s="3">
        <v>165380.56707128111</v>
      </c>
      <c r="BL8" s="3">
        <v>0</v>
      </c>
      <c r="BM8" s="3"/>
      <c r="BN8" s="3"/>
      <c r="BO8" s="3"/>
      <c r="BP8" s="3"/>
      <c r="BQ8" s="3"/>
      <c r="BR8" s="3"/>
      <c r="BS8" s="3"/>
      <c r="BT8" s="3"/>
      <c r="BU8" s="3"/>
      <c r="BV8" s="3"/>
      <c r="BW8" s="3"/>
      <c r="BX8" s="3"/>
      <c r="BY8" s="3"/>
    </row>
    <row r="9" spans="1:77" x14ac:dyDescent="0.25">
      <c r="A9" s="1">
        <v>11323.999305555555</v>
      </c>
      <c r="B9" s="123">
        <v>1247.010000000537</v>
      </c>
      <c r="C9" s="123">
        <v>1746.8500000002621</v>
      </c>
      <c r="D9" s="123">
        <v>2261.1200000002882</v>
      </c>
      <c r="E9" s="123">
        <v>5370.3499999989081</v>
      </c>
      <c r="F9" s="123">
        <v>996.68000000011409</v>
      </c>
      <c r="G9" s="123">
        <v>2334.4100000015378</v>
      </c>
      <c r="H9" s="123">
        <v>266.99999999996948</v>
      </c>
      <c r="I9" s="123">
        <v>2499.9900000012822</v>
      </c>
      <c r="J9" s="123">
        <v>2499.9900000012672</v>
      </c>
      <c r="K9" s="123">
        <v>11781.999999998641</v>
      </c>
      <c r="L9" s="123">
        <v>899.99999999999977</v>
      </c>
      <c r="M9" s="123">
        <v>3659.1999999995969</v>
      </c>
      <c r="N9" s="123">
        <v>13916.560000015921</v>
      </c>
      <c r="O9" s="123">
        <v>11987.800000005504</v>
      </c>
      <c r="P9" s="123">
        <v>673.3700000003422</v>
      </c>
      <c r="Q9" s="123">
        <v>0</v>
      </c>
      <c r="R9" s="123">
        <v>2294.4700000004386</v>
      </c>
      <c r="S9" s="123">
        <v>1591.6899999993404</v>
      </c>
      <c r="T9" s="123">
        <v>504.47000000016385</v>
      </c>
      <c r="U9" s="123">
        <v>419.22999999996358</v>
      </c>
      <c r="V9" s="123">
        <v>5739.9700000027269</v>
      </c>
      <c r="W9" s="123">
        <v>899.98999999967975</v>
      </c>
      <c r="X9" s="123">
        <v>849.98999999941839</v>
      </c>
      <c r="Y9" s="123">
        <v>324.9999999999643</v>
      </c>
      <c r="Z9" s="123">
        <v>200.00000000007739</v>
      </c>
      <c r="AA9" s="123">
        <v>1000.0000000020067</v>
      </c>
      <c r="AB9" s="123">
        <v>1499.999999998952</v>
      </c>
      <c r="AC9" s="123">
        <v>1000.0000000020067</v>
      </c>
      <c r="AD9" s="123">
        <v>1499.999999998952</v>
      </c>
      <c r="AE9" s="123">
        <v>3831.9999999995598</v>
      </c>
      <c r="AF9" s="123">
        <v>249.17387804896811</v>
      </c>
      <c r="AG9" s="123">
        <v>9244.9999999989286</v>
      </c>
      <c r="AH9" s="123">
        <v>2358.9999999997262</v>
      </c>
      <c r="AI9" s="123">
        <v>5000.0100000008242</v>
      </c>
      <c r="AJ9" s="123">
        <v>38999.999998983854</v>
      </c>
      <c r="AK9" s="123">
        <v>7970</v>
      </c>
      <c r="AL9" s="123">
        <v>10714.999999998774</v>
      </c>
      <c r="AM9" s="123">
        <v>12099.999999999991</v>
      </c>
      <c r="AN9" s="123">
        <v>2945.9999999996617</v>
      </c>
      <c r="AO9" s="123">
        <v>1010.9999999998838</v>
      </c>
      <c r="AP9" s="123">
        <v>340.98999999997505</v>
      </c>
      <c r="AQ9" s="123">
        <v>1289.8705007996866</v>
      </c>
      <c r="AR9" s="123">
        <v>5050.9258631020039</v>
      </c>
      <c r="AS9" s="123">
        <v>31248.028099180548</v>
      </c>
      <c r="AT9" s="123">
        <v>73032.401884640887</v>
      </c>
      <c r="AU9" s="123">
        <v>73258.508392023708</v>
      </c>
      <c r="AV9" s="123">
        <v>79815.597106124755</v>
      </c>
      <c r="AW9" s="123">
        <v>4644.9719008195034</v>
      </c>
      <c r="AX9" s="123">
        <v>24365.981115535051</v>
      </c>
      <c r="AY9" s="123">
        <v>1475.9999999998304</v>
      </c>
      <c r="AZ9" s="123">
        <v>403.93950654158584</v>
      </c>
      <c r="BA9" s="123">
        <v>1039.2457768923107</v>
      </c>
      <c r="BB9" s="123">
        <v>1300.0000000005809</v>
      </c>
      <c r="BC9" s="123">
        <v>16199.99999897049</v>
      </c>
      <c r="BD9" s="123">
        <v>596.99999999993088</v>
      </c>
      <c r="BE9" s="123">
        <v>640.77310756964687</v>
      </c>
      <c r="BF9" s="123">
        <v>550.00999999974545</v>
      </c>
      <c r="BG9" s="123">
        <v>12296.800000006155</v>
      </c>
      <c r="BH9" s="3">
        <v>27734.880466605395</v>
      </c>
      <c r="BI9" s="3">
        <v>-4290.7185426789129</v>
      </c>
      <c r="BJ9" s="3">
        <v>2424.3025352749451</v>
      </c>
      <c r="BK9" s="3">
        <v>86982.176530438315</v>
      </c>
      <c r="BL9" s="3">
        <v>0</v>
      </c>
      <c r="BM9" s="3"/>
      <c r="BN9" s="3"/>
      <c r="BO9" s="3"/>
      <c r="BP9" s="3"/>
      <c r="BQ9" s="3"/>
      <c r="BR9" s="3"/>
      <c r="BS9" s="3"/>
      <c r="BT9" s="3"/>
      <c r="BU9" s="3"/>
      <c r="BV9" s="3"/>
      <c r="BW9" s="3"/>
      <c r="BX9" s="3"/>
      <c r="BY9" s="3"/>
    </row>
    <row r="10" spans="1:77" x14ac:dyDescent="0.25">
      <c r="A10" s="1">
        <v>11688.999305555555</v>
      </c>
      <c r="B10" s="123">
        <v>1135.6797998252202</v>
      </c>
      <c r="C10" s="123">
        <v>1746.8500000002621</v>
      </c>
      <c r="D10" s="123">
        <v>2261.1200000002882</v>
      </c>
      <c r="E10" s="123">
        <v>5370.3499999989081</v>
      </c>
      <c r="F10" s="123">
        <v>996.68000000011409</v>
      </c>
      <c r="G10" s="123">
        <v>2334.4100000015378</v>
      </c>
      <c r="H10" s="123">
        <v>264.99999999996959</v>
      </c>
      <c r="I10" s="123">
        <v>2499.9900000012822</v>
      </c>
      <c r="J10" s="123">
        <v>2499.9900000012672</v>
      </c>
      <c r="K10" s="123">
        <v>11675.999999998658</v>
      </c>
      <c r="L10" s="123">
        <v>900.00000000000125</v>
      </c>
      <c r="M10" s="123">
        <v>3659.1999999995969</v>
      </c>
      <c r="N10" s="123">
        <v>13916.560000015921</v>
      </c>
      <c r="O10" s="123">
        <v>11987.800000005504</v>
      </c>
      <c r="P10" s="123">
        <v>673.3700000003422</v>
      </c>
      <c r="Q10" s="123">
        <v>111.33020017531801</v>
      </c>
      <c r="R10" s="123">
        <v>2294.4700000004386</v>
      </c>
      <c r="S10" s="123">
        <v>1591.6899999993404</v>
      </c>
      <c r="T10" s="123">
        <v>504.47000000016385</v>
      </c>
      <c r="U10" s="123">
        <v>419.22999999996358</v>
      </c>
      <c r="V10" s="123">
        <v>5739.9700000027269</v>
      </c>
      <c r="W10" s="123">
        <v>899.98999999967975</v>
      </c>
      <c r="X10" s="123">
        <v>849.98999999941839</v>
      </c>
      <c r="Y10" s="123">
        <v>324.9999999999643</v>
      </c>
      <c r="Z10" s="123">
        <v>200.00000000007739</v>
      </c>
      <c r="AA10" s="123">
        <v>1000.0000000020067</v>
      </c>
      <c r="AB10" s="123">
        <v>1499.999999998952</v>
      </c>
      <c r="AC10" s="123">
        <v>1000.0000000020067</v>
      </c>
      <c r="AD10" s="123">
        <v>1499.999999998952</v>
      </c>
      <c r="AE10" s="123">
        <v>3749.9999999995671</v>
      </c>
      <c r="AF10" s="123">
        <v>239.8337493819329</v>
      </c>
      <c r="AG10" s="123">
        <v>9201.9999999989486</v>
      </c>
      <c r="AH10" s="123">
        <v>2292.3505707510376</v>
      </c>
      <c r="AI10" s="123">
        <v>5000.0100000008242</v>
      </c>
      <c r="AJ10" s="123">
        <v>38999.999998983854</v>
      </c>
      <c r="AK10" s="123">
        <v>7970.0000000000155</v>
      </c>
      <c r="AL10" s="123">
        <v>10663.999999998772</v>
      </c>
      <c r="AM10" s="123">
        <v>12099.999999999993</v>
      </c>
      <c r="AN10" s="123">
        <v>3042.9999999996512</v>
      </c>
      <c r="AO10" s="123">
        <v>1097.9999999998745</v>
      </c>
      <c r="AP10" s="123">
        <v>340.98999999997505</v>
      </c>
      <c r="AQ10" s="123">
        <v>1209.7668605009737</v>
      </c>
      <c r="AR10" s="123">
        <v>2344.721703229447</v>
      </c>
      <c r="AS10" s="123">
        <v>31248.028099180548</v>
      </c>
      <c r="AT10" s="123">
        <v>72606.415938926133</v>
      </c>
      <c r="AU10" s="123">
        <v>72831.203604371447</v>
      </c>
      <c r="AV10" s="123">
        <v>79350.045902293728</v>
      </c>
      <c r="AW10" s="123">
        <v>4644.9719008195216</v>
      </c>
      <c r="AX10" s="123">
        <v>23219.060557766257</v>
      </c>
      <c r="AY10" s="123">
        <v>1449.9999999998336</v>
      </c>
      <c r="AZ10" s="123">
        <v>391.07724977465466</v>
      </c>
      <c r="BA10" s="123">
        <v>990.32788844610172</v>
      </c>
      <c r="BB10" s="123">
        <v>1300.0000000005809</v>
      </c>
      <c r="BC10" s="123">
        <v>16199.99999897049</v>
      </c>
      <c r="BD10" s="123">
        <v>590.99999999993156</v>
      </c>
      <c r="BE10" s="123">
        <v>610.61155378479077</v>
      </c>
      <c r="BF10" s="123">
        <v>550.00999999974545</v>
      </c>
      <c r="BG10" s="123">
        <v>12296.800000006155</v>
      </c>
      <c r="BH10" s="3">
        <v>23709.449797076391</v>
      </c>
      <c r="BI10" s="3">
        <v>-4554.4869301185154</v>
      </c>
      <c r="BJ10" s="3">
        <v>2388.3375029818762</v>
      </c>
      <c r="BK10" s="3">
        <v>63414.968847048061</v>
      </c>
      <c r="BL10" s="3">
        <v>0</v>
      </c>
      <c r="BM10" s="3"/>
      <c r="BN10" s="3"/>
      <c r="BO10" s="3"/>
      <c r="BP10" s="3"/>
      <c r="BQ10" s="3"/>
      <c r="BR10" s="3"/>
      <c r="BS10" s="3"/>
      <c r="BT10" s="3"/>
      <c r="BU10" s="3"/>
      <c r="BV10" s="3"/>
      <c r="BW10" s="3"/>
      <c r="BX10" s="3"/>
      <c r="BY10" s="3"/>
    </row>
    <row r="11" spans="1:77" x14ac:dyDescent="0.25">
      <c r="A11" s="1">
        <v>12054.999305555555</v>
      </c>
      <c r="B11" s="123">
        <v>1247.010000000537</v>
      </c>
      <c r="C11" s="123">
        <v>1746.8500000002621</v>
      </c>
      <c r="D11" s="123">
        <v>2261.1200000002882</v>
      </c>
      <c r="E11" s="123">
        <v>5370.3499999989081</v>
      </c>
      <c r="F11" s="123">
        <v>996.68000000011409</v>
      </c>
      <c r="G11" s="123">
        <v>2334.4100000015383</v>
      </c>
      <c r="H11" s="123">
        <v>232.99999999997314</v>
      </c>
      <c r="I11" s="123">
        <v>2499.9900000012822</v>
      </c>
      <c r="J11" s="123">
        <v>2499.9900000012672</v>
      </c>
      <c r="K11" s="123">
        <v>10349.999999998814</v>
      </c>
      <c r="L11" s="123">
        <v>899.99999999999943</v>
      </c>
      <c r="M11" s="123">
        <v>3659.1999999995965</v>
      </c>
      <c r="N11" s="123">
        <v>13916.560000015921</v>
      </c>
      <c r="O11" s="123">
        <v>11987.800000005504</v>
      </c>
      <c r="P11" s="123">
        <v>673.3700000003422</v>
      </c>
      <c r="Q11" s="123">
        <v>0</v>
      </c>
      <c r="R11" s="123">
        <v>2294.4700000004386</v>
      </c>
      <c r="S11" s="123">
        <v>1591.6899999993404</v>
      </c>
      <c r="T11" s="123">
        <v>504.47000000016385</v>
      </c>
      <c r="U11" s="123">
        <v>419.22999999996358</v>
      </c>
      <c r="V11" s="123">
        <v>5739.970000002726</v>
      </c>
      <c r="W11" s="123">
        <v>899.98999999967964</v>
      </c>
      <c r="X11" s="123">
        <v>849.98999999941861</v>
      </c>
      <c r="Y11" s="123">
        <v>324.9999999999643</v>
      </c>
      <c r="Z11" s="123">
        <v>200.00000000007739</v>
      </c>
      <c r="AA11" s="123">
        <v>1000.0000000020035</v>
      </c>
      <c r="AB11" s="123">
        <v>1499.9999999989695</v>
      </c>
      <c r="AC11" s="123">
        <v>1000.0000000020035</v>
      </c>
      <c r="AD11" s="123">
        <v>1499.9999999989695</v>
      </c>
      <c r="AE11" s="123">
        <v>3814.9999999995607</v>
      </c>
      <c r="AF11" s="123">
        <v>240.89020995457201</v>
      </c>
      <c r="AG11" s="123">
        <v>9472.9999999989213</v>
      </c>
      <c r="AH11" s="123">
        <v>2322.6529538075652</v>
      </c>
      <c r="AI11" s="123">
        <v>5000.0100000008242</v>
      </c>
      <c r="AJ11" s="123">
        <v>38999.999998983862</v>
      </c>
      <c r="AK11" s="123">
        <v>7970.0000000000036</v>
      </c>
      <c r="AL11" s="123">
        <v>9367.9999999989159</v>
      </c>
      <c r="AM11" s="123">
        <v>12100</v>
      </c>
      <c r="AN11" s="123">
        <v>2981.9999999996558</v>
      </c>
      <c r="AO11" s="123">
        <v>1058.9999999998784</v>
      </c>
      <c r="AP11" s="123">
        <v>340.98999999997511</v>
      </c>
      <c r="AQ11" s="123">
        <v>1268.278110647952</v>
      </c>
      <c r="AR11" s="123">
        <v>6842.0714176868987</v>
      </c>
      <c r="AS11" s="123">
        <v>31235.302148767347</v>
      </c>
      <c r="AT11" s="123">
        <v>69705.664744417722</v>
      </c>
      <c r="AU11" s="123">
        <v>69921.471756010316</v>
      </c>
      <c r="AV11" s="123">
        <v>76179.875092196351</v>
      </c>
      <c r="AW11" s="123">
        <v>4657.697851232705</v>
      </c>
      <c r="AX11" s="123">
        <v>23472.580517925584</v>
      </c>
      <c r="AY11" s="123">
        <v>1390.9999999998392</v>
      </c>
      <c r="AZ11" s="123">
        <v>393.9332196940021</v>
      </c>
      <c r="BA11" s="123">
        <v>1001.1408964142272</v>
      </c>
      <c r="BB11" s="123">
        <v>1300.0000000005807</v>
      </c>
      <c r="BC11" s="123">
        <v>16199.999998970494</v>
      </c>
      <c r="BD11" s="123">
        <v>523.99999999993963</v>
      </c>
      <c r="BE11" s="123">
        <v>617.27858565729935</v>
      </c>
      <c r="BF11" s="123">
        <v>550.00999999974533</v>
      </c>
      <c r="BG11" s="123">
        <v>12296.800000006155</v>
      </c>
      <c r="BH11" s="3">
        <v>27325.72944346668</v>
      </c>
      <c r="BI11" s="3">
        <v>-6486.2670706275676</v>
      </c>
      <c r="BJ11" s="3">
        <v>2428.8808897961098</v>
      </c>
      <c r="BK11" s="3">
        <v>160516.03989504164</v>
      </c>
      <c r="BL11" s="3">
        <v>0</v>
      </c>
      <c r="BM11" s="3"/>
      <c r="BN11" s="3"/>
      <c r="BO11" s="3"/>
      <c r="BP11" s="3"/>
      <c r="BQ11" s="3"/>
      <c r="BR11" s="3"/>
      <c r="BS11" s="3"/>
      <c r="BT11" s="3"/>
      <c r="BU11" s="3"/>
      <c r="BV11" s="3"/>
      <c r="BW11" s="3"/>
      <c r="BX11" s="3"/>
      <c r="BY11" s="3"/>
    </row>
    <row r="12" spans="1:77" x14ac:dyDescent="0.25">
      <c r="A12" s="1">
        <v>12419.999305555555</v>
      </c>
      <c r="B12" s="123">
        <v>1228.3353601957642</v>
      </c>
      <c r="C12" s="123">
        <v>1746.8500000002621</v>
      </c>
      <c r="D12" s="123">
        <v>2261.1200000002882</v>
      </c>
      <c r="E12" s="123">
        <v>5370.3499999989081</v>
      </c>
      <c r="F12" s="123">
        <v>996.68000000011409</v>
      </c>
      <c r="G12" s="123">
        <v>2334.4100000015378</v>
      </c>
      <c r="H12" s="123">
        <v>226.99999999997397</v>
      </c>
      <c r="I12" s="123">
        <v>2499.9900000012822</v>
      </c>
      <c r="J12" s="123">
        <v>2499.9900000012672</v>
      </c>
      <c r="K12" s="123">
        <v>10007.999999998856</v>
      </c>
      <c r="L12" s="123">
        <v>900.00000000000011</v>
      </c>
      <c r="M12" s="123">
        <v>3659.1999999995969</v>
      </c>
      <c r="N12" s="123">
        <v>13916.560000015921</v>
      </c>
      <c r="O12" s="123">
        <v>11987.800000005504</v>
      </c>
      <c r="P12" s="123">
        <v>673.3700000003422</v>
      </c>
      <c r="Q12" s="123">
        <v>18.67463980477314</v>
      </c>
      <c r="R12" s="123">
        <v>2294.4700000004386</v>
      </c>
      <c r="S12" s="123">
        <v>1591.6899999993404</v>
      </c>
      <c r="T12" s="123">
        <v>504.47000000016385</v>
      </c>
      <c r="U12" s="123">
        <v>419.22999999996358</v>
      </c>
      <c r="V12" s="123">
        <v>5739.9700000027269</v>
      </c>
      <c r="W12" s="123">
        <v>899.98999999967975</v>
      </c>
      <c r="X12" s="123">
        <v>849.98999999941839</v>
      </c>
      <c r="Y12" s="123">
        <v>324.9999999999643</v>
      </c>
      <c r="Z12" s="123">
        <v>200.00000000007739</v>
      </c>
      <c r="AA12" s="123">
        <v>978.08219178278523</v>
      </c>
      <c r="AB12" s="123">
        <v>1499.999999998952</v>
      </c>
      <c r="AC12" s="123">
        <v>1000.0000000020067</v>
      </c>
      <c r="AD12" s="123">
        <v>1499.999999998952</v>
      </c>
      <c r="AE12" s="123">
        <v>3812.9999999995603</v>
      </c>
      <c r="AF12" s="123">
        <v>240.12805999999961</v>
      </c>
      <c r="AG12" s="123">
        <v>9616.9999999988904</v>
      </c>
      <c r="AH12" s="123">
        <v>2295.2306319885201</v>
      </c>
      <c r="AI12" s="123">
        <v>5000.0100000008242</v>
      </c>
      <c r="AJ12" s="123">
        <v>38999.999998983854</v>
      </c>
      <c r="AK12" s="123">
        <v>7969.9999999999991</v>
      </c>
      <c r="AL12" s="123">
        <v>9116.9999999989468</v>
      </c>
      <c r="AM12" s="123">
        <v>12099.999999999991</v>
      </c>
      <c r="AN12" s="123">
        <v>3260.9999999996253</v>
      </c>
      <c r="AO12" s="123">
        <v>1241.999999999857</v>
      </c>
      <c r="AP12" s="123">
        <v>340.98999999997505</v>
      </c>
      <c r="AQ12" s="123">
        <v>1101.9983570039474</v>
      </c>
      <c r="AR12" s="123">
        <v>4474.4160133395744</v>
      </c>
      <c r="AS12" s="123">
        <v>31248.028099180548</v>
      </c>
      <c r="AT12" s="123">
        <v>68857.38419549368</v>
      </c>
      <c r="AU12" s="123">
        <v>69070.564951517139</v>
      </c>
      <c r="AV12" s="123">
        <v>75252.806876189949</v>
      </c>
      <c r="AW12" s="123">
        <v>4644.9719008195007</v>
      </c>
      <c r="AX12" s="123">
        <v>23422.999123503283</v>
      </c>
      <c r="AY12" s="123">
        <v>1428.9999999998358</v>
      </c>
      <c r="AZ12" s="123">
        <v>391.40090976739259</v>
      </c>
      <c r="BA12" s="123">
        <v>999.02617529868974</v>
      </c>
      <c r="BB12" s="123">
        <v>1300.0000000005809</v>
      </c>
      <c r="BC12" s="123">
        <v>16199.99999897049</v>
      </c>
      <c r="BD12" s="123">
        <v>506.99999999994156</v>
      </c>
      <c r="BE12" s="123">
        <v>615.9747011951481</v>
      </c>
      <c r="BF12" s="123">
        <v>550.00999999974545</v>
      </c>
      <c r="BG12" s="123">
        <v>12296.800000006155</v>
      </c>
      <c r="BH12" s="3">
        <v>28859.488389224294</v>
      </c>
      <c r="BI12" s="3">
        <v>-6875.8688145965789</v>
      </c>
      <c r="BJ12" s="3">
        <v>2403.7665208925087</v>
      </c>
      <c r="BK12" s="3">
        <v>82877.66489253896</v>
      </c>
      <c r="BL12" s="3">
        <v>0</v>
      </c>
      <c r="BM12" s="3"/>
      <c r="BN12" s="3"/>
      <c r="BO12" s="3"/>
      <c r="BP12" s="3"/>
      <c r="BQ12" s="3"/>
      <c r="BR12" s="3"/>
      <c r="BS12" s="3"/>
      <c r="BT12" s="3"/>
      <c r="BU12" s="3"/>
      <c r="BV12" s="3"/>
      <c r="BW12" s="3"/>
      <c r="BX12" s="3"/>
      <c r="BY12" s="3"/>
    </row>
    <row r="13" spans="1:77" x14ac:dyDescent="0.25">
      <c r="A13" s="1">
        <v>12784.999305555555</v>
      </c>
      <c r="B13" s="123">
        <v>593.37268338087063</v>
      </c>
      <c r="C13" s="123">
        <v>1746.8500000002621</v>
      </c>
      <c r="D13" s="123">
        <v>2261.1200000002882</v>
      </c>
      <c r="E13" s="123">
        <v>5370.3499999989081</v>
      </c>
      <c r="F13" s="123">
        <v>996.68000000011409</v>
      </c>
      <c r="G13" s="123">
        <v>2334.4100000015378</v>
      </c>
      <c r="H13" s="123">
        <v>250.99999999997129</v>
      </c>
      <c r="I13" s="123">
        <v>2499.9900000012822</v>
      </c>
      <c r="J13" s="123">
        <v>2499.9900000012672</v>
      </c>
      <c r="K13" s="123">
        <v>11220.999999998698</v>
      </c>
      <c r="L13" s="123">
        <v>899.99999999999977</v>
      </c>
      <c r="M13" s="123">
        <v>3659.1999999995969</v>
      </c>
      <c r="N13" s="123">
        <v>13916.560000015921</v>
      </c>
      <c r="O13" s="123">
        <v>11987.800000005504</v>
      </c>
      <c r="P13" s="123">
        <v>673.3700000003422</v>
      </c>
      <c r="Q13" s="123">
        <v>653.6373166196687</v>
      </c>
      <c r="R13" s="123">
        <v>2294.4700000004386</v>
      </c>
      <c r="S13" s="123">
        <v>1591.6899999993404</v>
      </c>
      <c r="T13" s="123">
        <v>504.47000000016385</v>
      </c>
      <c r="U13" s="123">
        <v>419.22999999996358</v>
      </c>
      <c r="V13" s="123">
        <v>5739.9700000027269</v>
      </c>
      <c r="W13" s="123">
        <v>899.98999999967975</v>
      </c>
      <c r="X13" s="123">
        <v>849.98999999941839</v>
      </c>
      <c r="Y13" s="123">
        <v>324.9999999999643</v>
      </c>
      <c r="Z13" s="123">
        <v>200.00000000007739</v>
      </c>
      <c r="AA13" s="123">
        <v>1000.0000000020067</v>
      </c>
      <c r="AB13" s="123">
        <v>1499.999999998952</v>
      </c>
      <c r="AC13" s="123">
        <v>1000.0000000020067</v>
      </c>
      <c r="AD13" s="123">
        <v>1499.999999998952</v>
      </c>
      <c r="AE13" s="123">
        <v>3977.9999999995389</v>
      </c>
      <c r="AF13" s="123">
        <v>176.05664922772934</v>
      </c>
      <c r="AG13" s="123">
        <v>9461.9099942411503</v>
      </c>
      <c r="AH13" s="123">
        <v>2412.0696176563615</v>
      </c>
      <c r="AI13" s="123">
        <v>5000.0100000008242</v>
      </c>
      <c r="AJ13" s="123">
        <v>38999.999998983854</v>
      </c>
      <c r="AK13" s="123">
        <v>7970.0000000000127</v>
      </c>
      <c r="AL13" s="123">
        <v>10133.999999998829</v>
      </c>
      <c r="AM13" s="123">
        <v>12099.999999999991</v>
      </c>
      <c r="AN13" s="123">
        <v>3252.9999999996257</v>
      </c>
      <c r="AO13" s="123">
        <v>1407.9999999998367</v>
      </c>
      <c r="AP13" s="123">
        <v>340.98999999997505</v>
      </c>
      <c r="AQ13" s="123">
        <v>662.91018238719562</v>
      </c>
      <c r="AR13" s="123">
        <v>2554.1102558551261</v>
      </c>
      <c r="AS13" s="123">
        <v>31248.028099180548</v>
      </c>
      <c r="AT13" s="123">
        <v>66913.039507008827</v>
      </c>
      <c r="AU13" s="123">
        <v>67120.200620033444</v>
      </c>
      <c r="AV13" s="123">
        <v>73127.872897752663</v>
      </c>
      <c r="AW13" s="123">
        <v>4644.9719008195152</v>
      </c>
      <c r="AX13" s="123">
        <v>25986.263665335653</v>
      </c>
      <c r="AY13" s="123">
        <v>1624.9999999998129</v>
      </c>
      <c r="AZ13" s="123">
        <v>243.12585140825908</v>
      </c>
      <c r="BA13" s="123">
        <v>1108.3532669321453</v>
      </c>
      <c r="BB13" s="123">
        <v>1300.0000000005809</v>
      </c>
      <c r="BC13" s="123">
        <v>16199.99999897049</v>
      </c>
      <c r="BD13" s="123">
        <v>566.99999999993497</v>
      </c>
      <c r="BE13" s="123">
        <v>683.38306772900546</v>
      </c>
      <c r="BF13" s="123">
        <v>550.00999999974545</v>
      </c>
      <c r="BG13" s="123">
        <v>12296.800000006155</v>
      </c>
      <c r="BH13" s="3">
        <v>26567.091362228679</v>
      </c>
      <c r="BI13" s="3">
        <v>-8079.7974142777221</v>
      </c>
      <c r="BJ13" s="3">
        <v>2263.2706835648119</v>
      </c>
      <c r="BK13" s="3">
        <v>42254.101411964548</v>
      </c>
      <c r="BL13" s="3">
        <v>0</v>
      </c>
      <c r="BM13" s="3"/>
      <c r="BN13" s="3"/>
      <c r="BO13" s="3"/>
      <c r="BP13" s="3"/>
      <c r="BQ13" s="3"/>
      <c r="BR13" s="3"/>
      <c r="BS13" s="3"/>
      <c r="BT13" s="3"/>
      <c r="BU13" s="3"/>
      <c r="BV13" s="3"/>
      <c r="BW13" s="3"/>
      <c r="BX13" s="3"/>
      <c r="BY13" s="3"/>
    </row>
    <row r="14" spans="1:77" x14ac:dyDescent="0.25">
      <c r="A14" s="1">
        <v>13149.999305555555</v>
      </c>
      <c r="B14" s="123">
        <v>1247.010000000537</v>
      </c>
      <c r="C14" s="123">
        <v>1746.8500000002621</v>
      </c>
      <c r="D14" s="123">
        <v>2261.1200000002882</v>
      </c>
      <c r="E14" s="123">
        <v>5370.3499999989081</v>
      </c>
      <c r="F14" s="123">
        <v>996.68000000011409</v>
      </c>
      <c r="G14" s="123">
        <v>2334.4100000015378</v>
      </c>
      <c r="H14" s="123">
        <v>215.99999999997516</v>
      </c>
      <c r="I14" s="123">
        <v>2499.9900000012822</v>
      </c>
      <c r="J14" s="123">
        <v>2499.9900000012672</v>
      </c>
      <c r="K14" s="123">
        <v>9509.999999998905</v>
      </c>
      <c r="L14" s="123">
        <v>899.99999999999977</v>
      </c>
      <c r="M14" s="123">
        <v>3659.1999999995969</v>
      </c>
      <c r="N14" s="123">
        <v>13916.560000015921</v>
      </c>
      <c r="O14" s="123">
        <v>11987.800000005504</v>
      </c>
      <c r="P14" s="123">
        <v>673.3700000003422</v>
      </c>
      <c r="Q14" s="123">
        <v>0</v>
      </c>
      <c r="R14" s="123">
        <v>2294.4700000004386</v>
      </c>
      <c r="S14" s="123">
        <v>1591.6899999993404</v>
      </c>
      <c r="T14" s="123">
        <v>504.47000000016385</v>
      </c>
      <c r="U14" s="123">
        <v>419.22999999996358</v>
      </c>
      <c r="V14" s="123">
        <v>5739.9700000027269</v>
      </c>
      <c r="W14" s="123">
        <v>899.98999999967975</v>
      </c>
      <c r="X14" s="123">
        <v>849.98999999941839</v>
      </c>
      <c r="Y14" s="123">
        <v>324.9999999999643</v>
      </c>
      <c r="Z14" s="123">
        <v>200.00000000007739</v>
      </c>
      <c r="AA14" s="123">
        <v>1000.0000000020067</v>
      </c>
      <c r="AB14" s="123">
        <v>1499.999999998952</v>
      </c>
      <c r="AC14" s="123">
        <v>1000.0000000020067</v>
      </c>
      <c r="AD14" s="123">
        <v>1499.999999998952</v>
      </c>
      <c r="AE14" s="123">
        <v>3800.9999999995616</v>
      </c>
      <c r="AF14" s="123">
        <v>221.0743099545723</v>
      </c>
      <c r="AG14" s="123">
        <v>9342.9999999989268</v>
      </c>
      <c r="AH14" s="123">
        <v>2316.7596858690208</v>
      </c>
      <c r="AI14" s="123">
        <v>5000.0100000008242</v>
      </c>
      <c r="AJ14" s="123">
        <v>38999.999998983854</v>
      </c>
      <c r="AK14" s="123">
        <v>7969.9999999999909</v>
      </c>
      <c r="AL14" s="123">
        <v>8625.9999999990068</v>
      </c>
      <c r="AM14" s="123">
        <v>12099.999999999996</v>
      </c>
      <c r="AN14" s="123">
        <v>3122.9999999996398</v>
      </c>
      <c r="AO14" s="123">
        <v>1006.9999999998837</v>
      </c>
      <c r="AP14" s="123">
        <v>340.98999999997505</v>
      </c>
      <c r="AQ14" s="123">
        <v>1137.7888822204002</v>
      </c>
      <c r="AR14" s="123">
        <v>5591.2602648387892</v>
      </c>
      <c r="AS14" s="123">
        <v>31248.028099180548</v>
      </c>
      <c r="AT14" s="123">
        <v>65251.554633783759</v>
      </c>
      <c r="AU14" s="123">
        <v>65453.571830792018</v>
      </c>
      <c r="AV14" s="123">
        <v>71312.070544042348</v>
      </c>
      <c r="AW14" s="123">
        <v>4644.9719008195034</v>
      </c>
      <c r="AX14" s="123">
        <v>21614.681474101086</v>
      </c>
      <c r="AY14" s="123">
        <v>1230.9999999998588</v>
      </c>
      <c r="AZ14" s="123">
        <v>360.24290000000076</v>
      </c>
      <c r="BA14" s="123">
        <v>921.89870517917723</v>
      </c>
      <c r="BB14" s="123">
        <v>1300.0000000005809</v>
      </c>
      <c r="BC14" s="123">
        <v>16199.99999897049</v>
      </c>
      <c r="BD14" s="123">
        <v>479.99999999994475</v>
      </c>
      <c r="BE14" s="123">
        <v>568.41982071706616</v>
      </c>
      <c r="BF14" s="123">
        <v>550.00999999974545</v>
      </c>
      <c r="BG14" s="123">
        <v>12296.800000006155</v>
      </c>
      <c r="BH14" s="3">
        <v>25280.278531871547</v>
      </c>
      <c r="BI14" s="3">
        <v>-9108.5806175131984</v>
      </c>
      <c r="BJ14" s="3">
        <v>2177.8117303712274</v>
      </c>
      <c r="BK14" s="3">
        <v>151929.32934493475</v>
      </c>
      <c r="BL14" s="3">
        <v>0</v>
      </c>
      <c r="BM14" s="3"/>
      <c r="BN14" s="3"/>
      <c r="BO14" s="3"/>
      <c r="BP14" s="3"/>
      <c r="BQ14" s="3"/>
      <c r="BR14" s="3"/>
      <c r="BS14" s="3"/>
      <c r="BT14" s="3"/>
      <c r="BU14" s="3"/>
      <c r="BV14" s="3"/>
      <c r="BW14" s="3"/>
      <c r="BX14" s="3"/>
      <c r="BY14" s="3"/>
    </row>
    <row r="15" spans="1:77" x14ac:dyDescent="0.25">
      <c r="A15" s="1">
        <v>13515.999305555555</v>
      </c>
      <c r="B15" s="123">
        <v>1247.010000000537</v>
      </c>
      <c r="C15" s="123">
        <v>1746.8500000002621</v>
      </c>
      <c r="D15" s="123">
        <v>2261.1200000002882</v>
      </c>
      <c r="E15" s="123">
        <v>5370.3499999989081</v>
      </c>
      <c r="F15" s="123">
        <v>996.68000000011409</v>
      </c>
      <c r="G15" s="123">
        <v>2334.4100000015383</v>
      </c>
      <c r="H15" s="123">
        <v>256.99999999997056</v>
      </c>
      <c r="I15" s="123">
        <v>2499.9900000012822</v>
      </c>
      <c r="J15" s="123">
        <v>2499.9900000012672</v>
      </c>
      <c r="K15" s="123">
        <v>11308.999999998703</v>
      </c>
      <c r="L15" s="123">
        <v>899.99999999999955</v>
      </c>
      <c r="M15" s="123">
        <v>3659.1999999995965</v>
      </c>
      <c r="N15" s="123">
        <v>13916.560000015921</v>
      </c>
      <c r="O15" s="123">
        <v>11987.800000005504</v>
      </c>
      <c r="P15" s="123">
        <v>673.3700000003422</v>
      </c>
      <c r="Q15" s="123">
        <v>0</v>
      </c>
      <c r="R15" s="123">
        <v>2294.4700000004386</v>
      </c>
      <c r="S15" s="123">
        <v>1591.6899999993404</v>
      </c>
      <c r="T15" s="123">
        <v>504.47000000016385</v>
      </c>
      <c r="U15" s="123">
        <v>419.22999999996358</v>
      </c>
      <c r="V15" s="123">
        <v>5739.970000002726</v>
      </c>
      <c r="W15" s="123">
        <v>899.98999999967964</v>
      </c>
      <c r="X15" s="123">
        <v>849.98999999941861</v>
      </c>
      <c r="Y15" s="123">
        <v>324.9999999999643</v>
      </c>
      <c r="Z15" s="123">
        <v>200.00000000007739</v>
      </c>
      <c r="AA15" s="123">
        <v>983.60655737901993</v>
      </c>
      <c r="AB15" s="123">
        <v>1499.9999999989695</v>
      </c>
      <c r="AC15" s="123">
        <v>1000.0000000020035</v>
      </c>
      <c r="AD15" s="123">
        <v>1499.9999999989695</v>
      </c>
      <c r="AE15" s="123">
        <v>3787.9999999995675</v>
      </c>
      <c r="AF15" s="123">
        <v>246.42029785310493</v>
      </c>
      <c r="AG15" s="123">
        <v>9385.9999999989104</v>
      </c>
      <c r="AH15" s="123">
        <v>2274.5060885456451</v>
      </c>
      <c r="AI15" s="123">
        <v>5000.0100000008242</v>
      </c>
      <c r="AJ15" s="123">
        <v>38999.999998983862</v>
      </c>
      <c r="AK15" s="123">
        <v>7969.9999999999955</v>
      </c>
      <c r="AL15" s="123">
        <v>10304.999999998818</v>
      </c>
      <c r="AM15" s="123">
        <v>12099.999999999989</v>
      </c>
      <c r="AN15" s="123">
        <v>3124.9999999996403</v>
      </c>
      <c r="AO15" s="123">
        <v>1072.999999999877</v>
      </c>
      <c r="AP15" s="123">
        <v>340.98999999997511</v>
      </c>
      <c r="AQ15" s="123">
        <v>1156.2106876301934</v>
      </c>
      <c r="AR15" s="123">
        <v>4472.6790128925431</v>
      </c>
      <c r="AS15" s="123">
        <v>31235.302148767347</v>
      </c>
      <c r="AT15" s="123">
        <v>80364.422990971681</v>
      </c>
      <c r="AU15" s="123">
        <v>80613.229254101883</v>
      </c>
      <c r="AV15" s="123">
        <v>87828.610884870024</v>
      </c>
      <c r="AW15" s="123">
        <v>4657.6978512326941</v>
      </c>
      <c r="AX15" s="123">
        <v>24101.235179280102</v>
      </c>
      <c r="AY15" s="123">
        <v>1447.9999999998331</v>
      </c>
      <c r="AZ15" s="123">
        <v>398.1471549120991</v>
      </c>
      <c r="BA15" s="123">
        <v>1027.9539641433087</v>
      </c>
      <c r="BB15" s="123">
        <v>1300.0000000005807</v>
      </c>
      <c r="BC15" s="123">
        <v>16199.999998970494</v>
      </c>
      <c r="BD15" s="123">
        <v>572.99999999993418</v>
      </c>
      <c r="BE15" s="123">
        <v>633.8108565736319</v>
      </c>
      <c r="BF15" s="123">
        <v>550.00999999974533</v>
      </c>
      <c r="BG15" s="123">
        <v>12296.800000006155</v>
      </c>
      <c r="BH15" s="3">
        <v>26882.833326027747</v>
      </c>
      <c r="BI15" s="3">
        <v>113.58323683622595</v>
      </c>
      <c r="BJ15" s="3">
        <v>2429.2676556839569</v>
      </c>
      <c r="BK15" s="3">
        <v>110776.66286807066</v>
      </c>
      <c r="BL15" s="3">
        <v>0</v>
      </c>
      <c r="BM15" s="3"/>
      <c r="BN15" s="3"/>
      <c r="BO15" s="3"/>
      <c r="BP15" s="3"/>
      <c r="BQ15" s="3"/>
      <c r="BR15" s="3"/>
      <c r="BS15" s="3"/>
      <c r="BT15" s="3"/>
      <c r="BU15" s="3"/>
      <c r="BV15" s="3"/>
      <c r="BW15" s="3"/>
      <c r="BX15" s="3"/>
      <c r="BY15" s="3"/>
    </row>
    <row r="16" spans="1:77" x14ac:dyDescent="0.25">
      <c r="A16" s="1">
        <v>13880.999305555555</v>
      </c>
      <c r="B16" s="123">
        <v>1213.5174602276697</v>
      </c>
      <c r="C16" s="123">
        <v>1746.8500000002621</v>
      </c>
      <c r="D16" s="123">
        <v>2261.1200000002882</v>
      </c>
      <c r="E16" s="123">
        <v>5370.3499999989081</v>
      </c>
      <c r="F16" s="123">
        <v>996.68000000011409</v>
      </c>
      <c r="G16" s="123">
        <v>2334.4100000015378</v>
      </c>
      <c r="H16" s="123">
        <v>272.99999999996874</v>
      </c>
      <c r="I16" s="123">
        <v>2499.9900000012822</v>
      </c>
      <c r="J16" s="123">
        <v>2499.9900000012672</v>
      </c>
      <c r="K16" s="123">
        <v>12076.999999998614</v>
      </c>
      <c r="L16" s="123">
        <v>900.00000000000114</v>
      </c>
      <c r="M16" s="123">
        <v>3659.1999999995969</v>
      </c>
      <c r="N16" s="123">
        <v>13916.560000015921</v>
      </c>
      <c r="O16" s="123">
        <v>11987.800000005504</v>
      </c>
      <c r="P16" s="123">
        <v>673.3700000003422</v>
      </c>
      <c r="Q16" s="123">
        <v>33.49253977286812</v>
      </c>
      <c r="R16" s="123">
        <v>2294.4700000004386</v>
      </c>
      <c r="S16" s="123">
        <v>1591.6899999993404</v>
      </c>
      <c r="T16" s="123">
        <v>504.47000000016385</v>
      </c>
      <c r="U16" s="123">
        <v>419.22999999996358</v>
      </c>
      <c r="V16" s="123">
        <v>5739.9700000027269</v>
      </c>
      <c r="W16" s="123">
        <v>899.98999999967975</v>
      </c>
      <c r="X16" s="123">
        <v>849.98999999941839</v>
      </c>
      <c r="Y16" s="123">
        <v>324.9999999999643</v>
      </c>
      <c r="Z16" s="123">
        <v>200.00000000007739</v>
      </c>
      <c r="AA16" s="123">
        <v>1000.0000000020067</v>
      </c>
      <c r="AB16" s="123">
        <v>1499.999999998952</v>
      </c>
      <c r="AC16" s="123">
        <v>1000.0000000020067</v>
      </c>
      <c r="AD16" s="123">
        <v>1499.999999998952</v>
      </c>
      <c r="AE16" s="123">
        <v>3800.9999999995575</v>
      </c>
      <c r="AF16" s="123">
        <v>228.543379954572</v>
      </c>
      <c r="AG16" s="123">
        <v>9376.9999999989068</v>
      </c>
      <c r="AH16" s="123">
        <v>2335.9821031654542</v>
      </c>
      <c r="AI16" s="123">
        <v>5000.0100000008242</v>
      </c>
      <c r="AJ16" s="123">
        <v>38999.999998983854</v>
      </c>
      <c r="AK16" s="123">
        <v>7970</v>
      </c>
      <c r="AL16" s="123">
        <v>10960.999999998738</v>
      </c>
      <c r="AM16" s="123">
        <v>12100.000000000009</v>
      </c>
      <c r="AN16" s="123">
        <v>3231.9999999996253</v>
      </c>
      <c r="AO16" s="123">
        <v>1186.9999999998631</v>
      </c>
      <c r="AP16" s="123">
        <v>340.98999999997505</v>
      </c>
      <c r="AQ16" s="123">
        <v>1065.3648614510626</v>
      </c>
      <c r="AR16" s="123">
        <v>6130.5150312268452</v>
      </c>
      <c r="AS16" s="123">
        <v>31248.028099180548</v>
      </c>
      <c r="AT16" s="123">
        <v>72784.270981880982</v>
      </c>
      <c r="AU16" s="123">
        <v>73009.609282134188</v>
      </c>
      <c r="AV16" s="123">
        <v>79544.419989485774</v>
      </c>
      <c r="AW16" s="123">
        <v>4644.9719008195125</v>
      </c>
      <c r="AX16" s="123">
        <v>22751.31155378223</v>
      </c>
      <c r="AY16" s="123">
        <v>1577.9999999998174</v>
      </c>
      <c r="AZ16" s="123">
        <v>374.01897775851842</v>
      </c>
      <c r="BA16" s="123">
        <v>970.37768924291606</v>
      </c>
      <c r="BB16" s="123">
        <v>1300.0000000005809</v>
      </c>
      <c r="BC16" s="123">
        <v>16199.99999897049</v>
      </c>
      <c r="BD16" s="123">
        <v>610.99999999993031</v>
      </c>
      <c r="BE16" s="123">
        <v>598.31075697204335</v>
      </c>
      <c r="BF16" s="123">
        <v>550.00999999974545</v>
      </c>
      <c r="BG16" s="123">
        <v>12296.800000006155</v>
      </c>
      <c r="BH16" s="3">
        <v>27204.440601008951</v>
      </c>
      <c r="BI16" s="3">
        <v>-4444.3599685365725</v>
      </c>
      <c r="BJ16" s="3">
        <v>2407.2866794861975</v>
      </c>
      <c r="BK16" s="3">
        <v>147736.7476791798</v>
      </c>
      <c r="BL16" s="3">
        <v>0</v>
      </c>
      <c r="BM16" s="3"/>
      <c r="BN16" s="3"/>
      <c r="BO16" s="3"/>
      <c r="BP16" s="3"/>
      <c r="BQ16" s="3"/>
      <c r="BR16" s="3"/>
      <c r="BS16" s="3"/>
      <c r="BT16" s="3"/>
      <c r="BU16" s="3"/>
      <c r="BV16" s="3"/>
      <c r="BW16" s="3"/>
      <c r="BX16" s="3"/>
      <c r="BY16" s="3"/>
    </row>
    <row r="17" spans="1:77" x14ac:dyDescent="0.25">
      <c r="A17" s="1">
        <v>14245.999305555555</v>
      </c>
      <c r="B17" s="123">
        <v>1247.010000000537</v>
      </c>
      <c r="C17" s="123">
        <v>1746.8500000002621</v>
      </c>
      <c r="D17" s="123">
        <v>2261.1200000002882</v>
      </c>
      <c r="E17" s="123">
        <v>5370.3499999989081</v>
      </c>
      <c r="F17" s="123">
        <v>996.68000000011409</v>
      </c>
      <c r="G17" s="123">
        <v>2334.4100000015378</v>
      </c>
      <c r="H17" s="123">
        <v>248.99999999997132</v>
      </c>
      <c r="I17" s="123">
        <v>2499.9900000012822</v>
      </c>
      <c r="J17" s="123">
        <v>2499.9900000012672</v>
      </c>
      <c r="K17" s="123">
        <v>11094.999999998727</v>
      </c>
      <c r="L17" s="123">
        <v>900.00000000000057</v>
      </c>
      <c r="M17" s="123">
        <v>3659.1999999995969</v>
      </c>
      <c r="N17" s="123">
        <v>13916.560000015921</v>
      </c>
      <c r="O17" s="123">
        <v>11987.800000005504</v>
      </c>
      <c r="P17" s="123">
        <v>673.3700000003422</v>
      </c>
      <c r="Q17" s="123">
        <v>0</v>
      </c>
      <c r="R17" s="123">
        <v>2294.4700000004386</v>
      </c>
      <c r="S17" s="123">
        <v>1591.6899999993404</v>
      </c>
      <c r="T17" s="123">
        <v>504.47000000016385</v>
      </c>
      <c r="U17" s="123">
        <v>419.22999999996358</v>
      </c>
      <c r="V17" s="123">
        <v>5739.9700000027269</v>
      </c>
      <c r="W17" s="123">
        <v>899.98999999967975</v>
      </c>
      <c r="X17" s="123">
        <v>849.98999999941839</v>
      </c>
      <c r="Y17" s="123">
        <v>324.9999999999643</v>
      </c>
      <c r="Z17" s="123">
        <v>200.00000000007739</v>
      </c>
      <c r="AA17" s="123">
        <v>1000.0000000020067</v>
      </c>
      <c r="AB17" s="123">
        <v>1499.999999998952</v>
      </c>
      <c r="AC17" s="123">
        <v>1000.0000000020067</v>
      </c>
      <c r="AD17" s="123">
        <v>1499.999999998952</v>
      </c>
      <c r="AE17" s="123">
        <v>3929.999999999548</v>
      </c>
      <c r="AF17" s="123">
        <v>223.41156999999973</v>
      </c>
      <c r="AG17" s="123">
        <v>9787.9999999988613</v>
      </c>
      <c r="AH17" s="123">
        <v>2353.0209375757054</v>
      </c>
      <c r="AI17" s="123">
        <v>5000.0100000008242</v>
      </c>
      <c r="AJ17" s="123">
        <v>38999.999998983854</v>
      </c>
      <c r="AK17" s="123">
        <v>7970.0000000000018</v>
      </c>
      <c r="AL17" s="123">
        <v>10053.999999998843</v>
      </c>
      <c r="AM17" s="123">
        <v>12100.000000000002</v>
      </c>
      <c r="AN17" s="123">
        <v>3225.9999999996276</v>
      </c>
      <c r="AO17" s="123">
        <v>1141.9999999998679</v>
      </c>
      <c r="AP17" s="123">
        <v>340.98999999997505</v>
      </c>
      <c r="AQ17" s="123">
        <v>1087.8302249284268</v>
      </c>
      <c r="AR17" s="123">
        <v>4271.3328913470214</v>
      </c>
      <c r="AS17" s="123">
        <v>31248.028099180548</v>
      </c>
      <c r="AT17" s="123">
        <v>78842.732549306078</v>
      </c>
      <c r="AU17" s="123">
        <v>79086.827696517605</v>
      </c>
      <c r="AV17" s="123">
        <v>86165.586965650451</v>
      </c>
      <c r="AW17" s="123">
        <v>4644.9719008194988</v>
      </c>
      <c r="AX17" s="123">
        <v>21618.423466132965</v>
      </c>
      <c r="AY17" s="123">
        <v>1483.9999999998281</v>
      </c>
      <c r="AZ17" s="123">
        <v>361.70165106600655</v>
      </c>
      <c r="BA17" s="123">
        <v>922.05830677280233</v>
      </c>
      <c r="BB17" s="123">
        <v>1300.0000000005809</v>
      </c>
      <c r="BC17" s="123">
        <v>16199.99999897049</v>
      </c>
      <c r="BD17" s="123">
        <v>561.99999999993565</v>
      </c>
      <c r="BE17" s="123">
        <v>568.51822709156761</v>
      </c>
      <c r="BF17" s="123">
        <v>550.00999999974545</v>
      </c>
      <c r="BG17" s="123">
        <v>12296.800000006155</v>
      </c>
      <c r="BH17" s="3">
        <v>26909.726485210151</v>
      </c>
      <c r="BI17" s="3">
        <v>-692.9905769417486</v>
      </c>
      <c r="BJ17" s="3">
        <v>2429.7804841524776</v>
      </c>
      <c r="BK17" s="3">
        <v>154598.1292912857</v>
      </c>
      <c r="BL17" s="3">
        <v>0</v>
      </c>
      <c r="BM17" s="3"/>
      <c r="BN17" s="3"/>
      <c r="BO17" s="3"/>
      <c r="BP17" s="3"/>
      <c r="BQ17" s="3"/>
      <c r="BR17" s="3"/>
      <c r="BS17" s="3"/>
      <c r="BT17" s="3"/>
      <c r="BU17" s="3"/>
      <c r="BV17" s="3"/>
      <c r="BW17" s="3"/>
      <c r="BX17" s="3"/>
      <c r="BY17" s="3"/>
    </row>
    <row r="18" spans="1:77" x14ac:dyDescent="0.25">
      <c r="A18" s="1">
        <v>14610.999305555555</v>
      </c>
      <c r="B18" s="123">
        <v>1034.9896774197894</v>
      </c>
      <c r="C18" s="123">
        <v>1746.8500000002621</v>
      </c>
      <c r="D18" s="123">
        <v>2261.1200000002882</v>
      </c>
      <c r="E18" s="123">
        <v>5370.3499999989081</v>
      </c>
      <c r="F18" s="123">
        <v>996.68000000011409</v>
      </c>
      <c r="G18" s="123">
        <v>2334.4100000015378</v>
      </c>
      <c r="H18" s="123">
        <v>288.99999999996675</v>
      </c>
      <c r="I18" s="123">
        <v>2499.9900000012822</v>
      </c>
      <c r="J18" s="123">
        <v>2499.9900000012672</v>
      </c>
      <c r="K18" s="123">
        <v>12844.999999998525</v>
      </c>
      <c r="L18" s="123">
        <v>899.99999999999955</v>
      </c>
      <c r="M18" s="123">
        <v>3659.1999999995969</v>
      </c>
      <c r="N18" s="123">
        <v>13916.560000015921</v>
      </c>
      <c r="O18" s="123">
        <v>11987.800000005504</v>
      </c>
      <c r="P18" s="123">
        <v>673.3700000003422</v>
      </c>
      <c r="Q18" s="123">
        <v>212.02032258075013</v>
      </c>
      <c r="R18" s="123">
        <v>2294.4700000004386</v>
      </c>
      <c r="S18" s="123">
        <v>1591.6899999993404</v>
      </c>
      <c r="T18" s="123">
        <v>504.47000000016385</v>
      </c>
      <c r="U18" s="123">
        <v>419.22999999996358</v>
      </c>
      <c r="V18" s="123">
        <v>5739.9700000027269</v>
      </c>
      <c r="W18" s="123">
        <v>899.98999999967975</v>
      </c>
      <c r="X18" s="123">
        <v>849.98999999941839</v>
      </c>
      <c r="Y18" s="123">
        <v>324.9999999999643</v>
      </c>
      <c r="Z18" s="123">
        <v>200.00000000007739</v>
      </c>
      <c r="AA18" s="123">
        <v>1000.0000000020067</v>
      </c>
      <c r="AB18" s="123">
        <v>1499.999999998952</v>
      </c>
      <c r="AC18" s="123">
        <v>1000.0000000020067</v>
      </c>
      <c r="AD18" s="123">
        <v>1499.999999998952</v>
      </c>
      <c r="AE18" s="123">
        <v>3830.9999999995557</v>
      </c>
      <c r="AF18" s="123">
        <v>253.79594345841434</v>
      </c>
      <c r="AG18" s="123">
        <v>10232.997293637613</v>
      </c>
      <c r="AH18" s="123">
        <v>2290.8954375515373</v>
      </c>
      <c r="AI18" s="123">
        <v>5000.0100000008242</v>
      </c>
      <c r="AJ18" s="123">
        <v>38999.999998983854</v>
      </c>
      <c r="AK18" s="123">
        <v>7970</v>
      </c>
      <c r="AL18" s="123">
        <v>11643.999999998656</v>
      </c>
      <c r="AM18" s="123">
        <v>12100.000000000011</v>
      </c>
      <c r="AN18" s="123">
        <v>3331.9999999996153</v>
      </c>
      <c r="AO18" s="123">
        <v>1224.9999999998595</v>
      </c>
      <c r="AP18" s="123">
        <v>340.98999999997505</v>
      </c>
      <c r="AQ18" s="123">
        <v>709.84102469997481</v>
      </c>
      <c r="AR18" s="123">
        <v>2502.8817763928701</v>
      </c>
      <c r="AS18" s="123">
        <v>31248.028099180548</v>
      </c>
      <c r="AT18" s="123">
        <v>88200.764449082912</v>
      </c>
      <c r="AU18" s="123">
        <v>88473.831831278076</v>
      </c>
      <c r="AV18" s="123">
        <v>96392.785914942142</v>
      </c>
      <c r="AW18" s="123">
        <v>4644.9719008195216</v>
      </c>
      <c r="AX18" s="123">
        <v>26483.948605574627</v>
      </c>
      <c r="AY18" s="123">
        <v>1676.9999999998061</v>
      </c>
      <c r="AZ18" s="123">
        <v>339.91890068141555</v>
      </c>
      <c r="BA18" s="123">
        <v>1129.5802788843325</v>
      </c>
      <c r="BB18" s="123">
        <v>1300.0000000005809</v>
      </c>
      <c r="BC18" s="123">
        <v>16199.99999897049</v>
      </c>
      <c r="BD18" s="123">
        <v>649.99999999992519</v>
      </c>
      <c r="BE18" s="123">
        <v>696.47111553776836</v>
      </c>
      <c r="BF18" s="123">
        <v>550.00999999974545</v>
      </c>
      <c r="BG18" s="123">
        <v>12296.800000006155</v>
      </c>
      <c r="BH18" s="3">
        <v>28673.540868840359</v>
      </c>
      <c r="BI18" s="3">
        <v>5101.4564198238068</v>
      </c>
      <c r="BJ18" s="3">
        <v>2373.6670323916487</v>
      </c>
      <c r="BK18" s="3">
        <v>81030.742665702506</v>
      </c>
      <c r="BL18" s="3">
        <v>0</v>
      </c>
      <c r="BM18" s="3"/>
      <c r="BN18" s="3"/>
      <c r="BO18" s="3"/>
      <c r="BP18" s="3"/>
      <c r="BQ18" s="3"/>
      <c r="BR18" s="3"/>
      <c r="BS18" s="3"/>
      <c r="BT18" s="3"/>
      <c r="BU18" s="3"/>
      <c r="BV18" s="3"/>
      <c r="BW18" s="3"/>
      <c r="BX18" s="3"/>
      <c r="BY18" s="3"/>
    </row>
    <row r="19" spans="1:77" x14ac:dyDescent="0.25">
      <c r="A19" s="1">
        <v>14976.999305555555</v>
      </c>
      <c r="B19" s="123">
        <v>967.22856574708362</v>
      </c>
      <c r="C19" s="123">
        <v>1746.8500000002621</v>
      </c>
      <c r="D19" s="123">
        <v>2261.1200000002882</v>
      </c>
      <c r="E19" s="123">
        <v>5370.3499999989081</v>
      </c>
      <c r="F19" s="123">
        <v>996.68000000011409</v>
      </c>
      <c r="G19" s="123">
        <v>2334.4100000015383</v>
      </c>
      <c r="H19" s="123">
        <v>253.99999999997078</v>
      </c>
      <c r="I19" s="123">
        <v>2499.9900000012822</v>
      </c>
      <c r="J19" s="123">
        <v>2499.9900000012672</v>
      </c>
      <c r="K19" s="123">
        <v>11232.999999998705</v>
      </c>
      <c r="L19" s="123">
        <v>899.99999999999943</v>
      </c>
      <c r="M19" s="123">
        <v>3659.1999999995965</v>
      </c>
      <c r="N19" s="123">
        <v>13916.560000015921</v>
      </c>
      <c r="O19" s="123">
        <v>11987.800000005504</v>
      </c>
      <c r="P19" s="123">
        <v>673.3700000003422</v>
      </c>
      <c r="Q19" s="123">
        <v>279.78143425345667</v>
      </c>
      <c r="R19" s="123">
        <v>2294.4700000004386</v>
      </c>
      <c r="S19" s="123">
        <v>1591.6899999993404</v>
      </c>
      <c r="T19" s="123">
        <v>504.47000000016385</v>
      </c>
      <c r="U19" s="123">
        <v>419.22999999996358</v>
      </c>
      <c r="V19" s="123">
        <v>5739.970000002726</v>
      </c>
      <c r="W19" s="123">
        <v>899.98999999967964</v>
      </c>
      <c r="X19" s="123">
        <v>849.98999999941861</v>
      </c>
      <c r="Y19" s="123">
        <v>324.9999999999643</v>
      </c>
      <c r="Z19" s="123">
        <v>200.00000000007739</v>
      </c>
      <c r="AA19" s="123">
        <v>1000.0000000020035</v>
      </c>
      <c r="AB19" s="123">
        <v>1499.9999999989695</v>
      </c>
      <c r="AC19" s="123">
        <v>1000.0000000020035</v>
      </c>
      <c r="AD19" s="123">
        <v>1499.9999999989695</v>
      </c>
      <c r="AE19" s="123">
        <v>3846.9999999995548</v>
      </c>
      <c r="AF19" s="123">
        <v>240.07724418525703</v>
      </c>
      <c r="AG19" s="123">
        <v>10121.999999998827</v>
      </c>
      <c r="AH19" s="123">
        <v>2349.7003508907983</v>
      </c>
      <c r="AI19" s="123">
        <v>5000.0100000008242</v>
      </c>
      <c r="AJ19" s="123">
        <v>38999.999998983862</v>
      </c>
      <c r="AK19" s="123">
        <v>7970</v>
      </c>
      <c r="AL19" s="123">
        <v>10215.999999998825</v>
      </c>
      <c r="AM19" s="123">
        <v>12100.000000000004</v>
      </c>
      <c r="AN19" s="123">
        <v>3357.9999999996135</v>
      </c>
      <c r="AO19" s="123">
        <v>1216.9999999998599</v>
      </c>
      <c r="AP19" s="123">
        <v>340.98999999997511</v>
      </c>
      <c r="AQ19" s="123">
        <v>930.87640675760463</v>
      </c>
      <c r="AR19" s="123">
        <v>3313.8875545692549</v>
      </c>
      <c r="AS19" s="123">
        <v>31235.302148767347</v>
      </c>
      <c r="AT19" s="123">
        <v>75379.168653002838</v>
      </c>
      <c r="AU19" s="123">
        <v>75612.540692176422</v>
      </c>
      <c r="AV19" s="123">
        <v>82380.329828204383</v>
      </c>
      <c r="AW19" s="123">
        <v>4657.6978512327078</v>
      </c>
      <c r="AX19" s="123">
        <v>23744.810438244283</v>
      </c>
      <c r="AY19" s="123">
        <v>1528.9999999998233</v>
      </c>
      <c r="AZ19" s="123">
        <v>390.93214218052742</v>
      </c>
      <c r="BA19" s="123">
        <v>1012.7519123504823</v>
      </c>
      <c r="BB19" s="123">
        <v>1300.0000000005807</v>
      </c>
      <c r="BC19" s="123">
        <v>16199.999998970494</v>
      </c>
      <c r="BD19" s="123">
        <v>568.9999999999344</v>
      </c>
      <c r="BE19" s="123">
        <v>624.43764940231893</v>
      </c>
      <c r="BF19" s="123">
        <v>550.00999999974533</v>
      </c>
      <c r="BG19" s="123">
        <v>12296.800000006155</v>
      </c>
      <c r="BH19" s="3">
        <v>26229.957715277298</v>
      </c>
      <c r="BI19" s="3">
        <v>-2973.2615544759115</v>
      </c>
      <c r="BJ19" s="3">
        <v>2354.5692199223404</v>
      </c>
      <c r="BK19" s="3">
        <v>72957.422010516268</v>
      </c>
      <c r="BL19" s="3">
        <v>0</v>
      </c>
      <c r="BM19" s="3"/>
      <c r="BN19" s="3"/>
      <c r="BO19" s="3"/>
      <c r="BP19" s="3"/>
      <c r="BQ19" s="3"/>
      <c r="BR19" s="3"/>
      <c r="BS19" s="3"/>
      <c r="BT19" s="3"/>
      <c r="BU19" s="3"/>
      <c r="BV19" s="3"/>
      <c r="BW19" s="3"/>
      <c r="BX19" s="3"/>
      <c r="BY19" s="3"/>
    </row>
    <row r="20" spans="1:77" x14ac:dyDescent="0.25">
      <c r="A20" s="1">
        <v>15341.999305555555</v>
      </c>
      <c r="B20" s="123">
        <v>1247.010000000537</v>
      </c>
      <c r="C20" s="123">
        <v>1746.8500000002621</v>
      </c>
      <c r="D20" s="123">
        <v>2261.1200000002882</v>
      </c>
      <c r="E20" s="123">
        <v>5370.3499999989081</v>
      </c>
      <c r="F20" s="123">
        <v>996.68000000011409</v>
      </c>
      <c r="G20" s="123">
        <v>2334.4100000015378</v>
      </c>
      <c r="H20" s="123">
        <v>201.99999999997667</v>
      </c>
      <c r="I20" s="123">
        <v>2499.9900000012822</v>
      </c>
      <c r="J20" s="123">
        <v>2499.9900000012672</v>
      </c>
      <c r="K20" s="123">
        <v>8758.9999999990032</v>
      </c>
      <c r="L20" s="123">
        <v>899.99999999999898</v>
      </c>
      <c r="M20" s="123">
        <v>3659.1999999995969</v>
      </c>
      <c r="N20" s="123">
        <v>13916.560000015921</v>
      </c>
      <c r="O20" s="123">
        <v>11987.800000005504</v>
      </c>
      <c r="P20" s="123">
        <v>673.3700000003422</v>
      </c>
      <c r="Q20" s="123">
        <v>0</v>
      </c>
      <c r="R20" s="123">
        <v>2294.4700000004386</v>
      </c>
      <c r="S20" s="123">
        <v>1591.6899999993404</v>
      </c>
      <c r="T20" s="123">
        <v>504.47000000016385</v>
      </c>
      <c r="U20" s="123">
        <v>419.22999999996358</v>
      </c>
      <c r="V20" s="123">
        <v>5739.9700000027269</v>
      </c>
      <c r="W20" s="123">
        <v>899.98999999967975</v>
      </c>
      <c r="X20" s="123">
        <v>849.98999999941839</v>
      </c>
      <c r="Y20" s="123">
        <v>324.9999999999643</v>
      </c>
      <c r="Z20" s="123">
        <v>200.00000000007739</v>
      </c>
      <c r="AA20" s="123">
        <v>1000.0000000020067</v>
      </c>
      <c r="AB20" s="123">
        <v>1499.999999998952</v>
      </c>
      <c r="AC20" s="123">
        <v>1000.0000000020067</v>
      </c>
      <c r="AD20" s="123">
        <v>1499.999999998952</v>
      </c>
      <c r="AE20" s="123">
        <v>3175.9999999996344</v>
      </c>
      <c r="AF20" s="123">
        <v>177.45392495457227</v>
      </c>
      <c r="AG20" s="123">
        <v>7750.9999999991105</v>
      </c>
      <c r="AH20" s="123">
        <v>1882.6209193161653</v>
      </c>
      <c r="AI20" s="123">
        <v>5000.0100000008242</v>
      </c>
      <c r="AJ20" s="123">
        <v>38999.999998983854</v>
      </c>
      <c r="AK20" s="123">
        <v>7969.9999999999945</v>
      </c>
      <c r="AL20" s="123">
        <v>8081.9999999990669</v>
      </c>
      <c r="AM20" s="123">
        <v>12100.000000000011</v>
      </c>
      <c r="AN20" s="123">
        <v>2600.999999999699</v>
      </c>
      <c r="AO20" s="123">
        <v>1188.999999999864</v>
      </c>
      <c r="AP20" s="123">
        <v>340.98999999997505</v>
      </c>
      <c r="AQ20" s="123">
        <v>1250.7019090428389</v>
      </c>
      <c r="AR20" s="123">
        <v>6171.5222203139938</v>
      </c>
      <c r="AS20" s="123">
        <v>31248.028099180548</v>
      </c>
      <c r="AT20" s="123">
        <v>59530.921547760881</v>
      </c>
      <c r="AU20" s="123">
        <v>59715.227806422583</v>
      </c>
      <c r="AV20" s="123">
        <v>65060.109307614875</v>
      </c>
      <c r="AW20" s="123">
        <v>4644.9719008194988</v>
      </c>
      <c r="AX20" s="123">
        <v>16739.801354579744</v>
      </c>
      <c r="AY20" s="123">
        <v>1268.9999999998533</v>
      </c>
      <c r="AZ20" s="123">
        <v>287.58459418525712</v>
      </c>
      <c r="BA20" s="123">
        <v>713.97772908358309</v>
      </c>
      <c r="BB20" s="123">
        <v>1300.0000000005809</v>
      </c>
      <c r="BC20" s="123">
        <v>16199.99999897049</v>
      </c>
      <c r="BD20" s="123">
        <v>444.99999999994805</v>
      </c>
      <c r="BE20" s="123">
        <v>440.22091633461065</v>
      </c>
      <c r="BF20" s="123">
        <v>550.00999999974545</v>
      </c>
      <c r="BG20" s="123">
        <v>12296.800000006155</v>
      </c>
      <c r="BH20" s="3">
        <v>27659.271159515582</v>
      </c>
      <c r="BI20" s="3">
        <v>-12650.768286877113</v>
      </c>
      <c r="BJ20" s="3">
        <v>2430.8370149117691</v>
      </c>
      <c r="BK20" s="3">
        <v>233454.25910427465</v>
      </c>
      <c r="BL20" s="3">
        <v>0</v>
      </c>
      <c r="BM20" s="3"/>
      <c r="BN20" s="3"/>
      <c r="BO20" s="3"/>
      <c r="BP20" s="3"/>
      <c r="BQ20" s="3"/>
      <c r="BR20" s="3"/>
      <c r="BS20" s="3"/>
      <c r="BT20" s="3"/>
      <c r="BU20" s="3"/>
      <c r="BV20" s="3"/>
      <c r="BW20" s="3"/>
      <c r="BX20" s="3"/>
      <c r="BY20" s="3"/>
    </row>
    <row r="21" spans="1:77" x14ac:dyDescent="0.25">
      <c r="A21" s="1">
        <v>15706.999305555555</v>
      </c>
      <c r="B21" s="123">
        <v>1247.010000000537</v>
      </c>
      <c r="C21" s="123">
        <v>1746.8500000002621</v>
      </c>
      <c r="D21" s="123">
        <v>2261.1200000002882</v>
      </c>
      <c r="E21" s="123">
        <v>5370.3499999989081</v>
      </c>
      <c r="F21" s="123">
        <v>996.68000000011409</v>
      </c>
      <c r="G21" s="123">
        <v>2334.4100000015378</v>
      </c>
      <c r="H21" s="123">
        <v>270.99999999996874</v>
      </c>
      <c r="I21" s="123">
        <v>2499.9900000012822</v>
      </c>
      <c r="J21" s="123">
        <v>2499.9900000012672</v>
      </c>
      <c r="K21" s="123">
        <v>11932.999999998627</v>
      </c>
      <c r="L21" s="123">
        <v>899.99999999999977</v>
      </c>
      <c r="M21" s="123">
        <v>3659.1999999995969</v>
      </c>
      <c r="N21" s="123">
        <v>13916.560000015921</v>
      </c>
      <c r="O21" s="123">
        <v>11987.800000005504</v>
      </c>
      <c r="P21" s="123">
        <v>673.3700000003422</v>
      </c>
      <c r="Q21" s="123">
        <v>0</v>
      </c>
      <c r="R21" s="123">
        <v>2294.4700000004386</v>
      </c>
      <c r="S21" s="123">
        <v>1591.6899999993404</v>
      </c>
      <c r="T21" s="123">
        <v>504.47000000016385</v>
      </c>
      <c r="U21" s="123">
        <v>419.22999999996358</v>
      </c>
      <c r="V21" s="123">
        <v>5739.9700000027269</v>
      </c>
      <c r="W21" s="123">
        <v>899.98999999967975</v>
      </c>
      <c r="X21" s="123">
        <v>849.98999999941839</v>
      </c>
      <c r="Y21" s="123">
        <v>324.9999999999643</v>
      </c>
      <c r="Z21" s="123">
        <v>200.00000000007739</v>
      </c>
      <c r="AA21" s="123">
        <v>1000.0000000020067</v>
      </c>
      <c r="AB21" s="123">
        <v>1499.999999998952</v>
      </c>
      <c r="AC21" s="123">
        <v>1000.0000000020067</v>
      </c>
      <c r="AD21" s="123">
        <v>1499.999999998952</v>
      </c>
      <c r="AE21" s="123">
        <v>3858.9999999995575</v>
      </c>
      <c r="AF21" s="123">
        <v>264.14643810153228</v>
      </c>
      <c r="AG21" s="123">
        <v>10090.999999998841</v>
      </c>
      <c r="AH21" s="123">
        <v>2316.1925776139365</v>
      </c>
      <c r="AI21" s="123">
        <v>5000.0100000008242</v>
      </c>
      <c r="AJ21" s="123">
        <v>38999.999998983854</v>
      </c>
      <c r="AK21" s="123">
        <v>7970.0000000000036</v>
      </c>
      <c r="AL21" s="123">
        <v>10891.999999998739</v>
      </c>
      <c r="AM21" s="123">
        <v>12100.000000000007</v>
      </c>
      <c r="AN21" s="123">
        <v>3247.9999999996244</v>
      </c>
      <c r="AO21" s="123">
        <v>1316.9999999998477</v>
      </c>
      <c r="AP21" s="123">
        <v>340.98999999997505</v>
      </c>
      <c r="AQ21" s="123">
        <v>976.4526129936562</v>
      </c>
      <c r="AR21" s="123">
        <v>3532.3406045567513</v>
      </c>
      <c r="AS21" s="123">
        <v>31248.028099180548</v>
      </c>
      <c r="AT21" s="123">
        <v>83346.208145737633</v>
      </c>
      <c r="AU21" s="123">
        <v>83604.245941854446</v>
      </c>
      <c r="AV21" s="123">
        <v>91087.342029242936</v>
      </c>
      <c r="AW21" s="123">
        <v>4644.9719008194916</v>
      </c>
      <c r="AX21" s="123">
        <v>25671.000836650426</v>
      </c>
      <c r="AY21" s="123">
        <v>1641.9999999998108</v>
      </c>
      <c r="AZ21" s="123">
        <v>429.45924388755066</v>
      </c>
      <c r="BA21" s="123">
        <v>1094.9068326691968</v>
      </c>
      <c r="BB21" s="123">
        <v>1300.0000000005809</v>
      </c>
      <c r="BC21" s="123">
        <v>16199.99999897049</v>
      </c>
      <c r="BD21" s="123">
        <v>603.99999999993042</v>
      </c>
      <c r="BE21" s="123">
        <v>675.09233067721277</v>
      </c>
      <c r="BF21" s="123">
        <v>550.00999999974545</v>
      </c>
      <c r="BG21" s="123">
        <v>12296.800000006155</v>
      </c>
      <c r="BH21" s="3">
        <v>29035.785803000545</v>
      </c>
      <c r="BI21" s="3">
        <v>2095.5392041301875</v>
      </c>
      <c r="BJ21" s="3">
        <v>2424.787414139586</v>
      </c>
      <c r="BK21" s="3">
        <v>162001.0741148254</v>
      </c>
      <c r="BL21" s="3">
        <v>0</v>
      </c>
      <c r="BM21" s="3"/>
      <c r="BN21" s="3"/>
      <c r="BO21" s="3"/>
      <c r="BP21" s="3"/>
      <c r="BQ21" s="3"/>
      <c r="BR21" s="3"/>
      <c r="BS21" s="3"/>
      <c r="BT21" s="3"/>
      <c r="BU21" s="3"/>
      <c r="BV21" s="3"/>
      <c r="BW21" s="3"/>
      <c r="BX21" s="3"/>
      <c r="BY21" s="3"/>
    </row>
    <row r="22" spans="1:77" x14ac:dyDescent="0.25">
      <c r="A22" s="1">
        <v>16071.999305555555</v>
      </c>
      <c r="B22" s="123">
        <v>1247.010000000537</v>
      </c>
      <c r="C22" s="123">
        <v>1746.8500000002621</v>
      </c>
      <c r="D22" s="123">
        <v>2261.1200000002882</v>
      </c>
      <c r="E22" s="123">
        <v>5370.3499999989081</v>
      </c>
      <c r="F22" s="123">
        <v>996.68000000011409</v>
      </c>
      <c r="G22" s="123">
        <v>2334.4100000015378</v>
      </c>
      <c r="H22" s="123">
        <v>269.99999999996891</v>
      </c>
      <c r="I22" s="123">
        <v>2499.9900000012822</v>
      </c>
      <c r="J22" s="123">
        <v>2499.9900000012672</v>
      </c>
      <c r="K22" s="123">
        <v>11871.999999998632</v>
      </c>
      <c r="L22" s="123">
        <v>899.99999999999977</v>
      </c>
      <c r="M22" s="123">
        <v>3659.1999999995969</v>
      </c>
      <c r="N22" s="123">
        <v>13916.560000015921</v>
      </c>
      <c r="O22" s="123">
        <v>11987.800000005504</v>
      </c>
      <c r="P22" s="123">
        <v>673.3700000003422</v>
      </c>
      <c r="Q22" s="123">
        <v>0</v>
      </c>
      <c r="R22" s="123">
        <v>2294.4700000004386</v>
      </c>
      <c r="S22" s="123">
        <v>1591.6899999993404</v>
      </c>
      <c r="T22" s="123">
        <v>504.47000000016385</v>
      </c>
      <c r="U22" s="123">
        <v>419.22999999996358</v>
      </c>
      <c r="V22" s="123">
        <v>5739.9700000027269</v>
      </c>
      <c r="W22" s="123">
        <v>899.98999999967975</v>
      </c>
      <c r="X22" s="123">
        <v>849.98999999941839</v>
      </c>
      <c r="Y22" s="123">
        <v>324.9999999999643</v>
      </c>
      <c r="Z22" s="123">
        <v>200.00000000007739</v>
      </c>
      <c r="AA22" s="123">
        <v>1000.0000000020067</v>
      </c>
      <c r="AB22" s="123">
        <v>1499.999999998952</v>
      </c>
      <c r="AC22" s="123">
        <v>1000.0000000020067</v>
      </c>
      <c r="AD22" s="123">
        <v>1499.999999998952</v>
      </c>
      <c r="AE22" s="123">
        <v>3968.9999999995453</v>
      </c>
      <c r="AF22" s="123">
        <v>263.70389995457185</v>
      </c>
      <c r="AG22" s="123">
        <v>10230.999999998823</v>
      </c>
      <c r="AH22" s="123">
        <v>2401.1530033796798</v>
      </c>
      <c r="AI22" s="123">
        <v>5000.0100000008242</v>
      </c>
      <c r="AJ22" s="123">
        <v>38999.999998983854</v>
      </c>
      <c r="AK22" s="123">
        <v>7970.0000000000082</v>
      </c>
      <c r="AL22" s="123">
        <v>10873.999999998743</v>
      </c>
      <c r="AM22" s="123">
        <v>12099.999999999998</v>
      </c>
      <c r="AN22" s="123">
        <v>3271.9999999996244</v>
      </c>
      <c r="AO22" s="123">
        <v>1257.9999999998552</v>
      </c>
      <c r="AP22" s="123">
        <v>340.98999999997505</v>
      </c>
      <c r="AQ22" s="123">
        <v>1150.5577963579599</v>
      </c>
      <c r="AR22" s="123">
        <v>3393.0928955356021</v>
      </c>
      <c r="AS22" s="123">
        <v>31248.028099180548</v>
      </c>
      <c r="AT22" s="123">
        <v>79467.121008324582</v>
      </c>
      <c r="AU22" s="123">
        <v>79713.149246740344</v>
      </c>
      <c r="AV22" s="123">
        <v>86847.968160800461</v>
      </c>
      <c r="AW22" s="123">
        <v>4644.9719008195007</v>
      </c>
      <c r="AX22" s="123">
        <v>25641.06490039545</v>
      </c>
      <c r="AY22" s="123">
        <v>1608.9999999998147</v>
      </c>
      <c r="AZ22" s="123">
        <v>429.10540978324889</v>
      </c>
      <c r="BA22" s="123">
        <v>1093.6300199201937</v>
      </c>
      <c r="BB22" s="123">
        <v>1300.0000000005809</v>
      </c>
      <c r="BC22" s="123">
        <v>16199.99999897049</v>
      </c>
      <c r="BD22" s="123">
        <v>602.99999999993088</v>
      </c>
      <c r="BE22" s="123">
        <v>674.30507968119775</v>
      </c>
      <c r="BF22" s="123">
        <v>550.00999999974545</v>
      </c>
      <c r="BG22" s="123">
        <v>12296.800000006155</v>
      </c>
      <c r="BH22" s="3">
        <v>27680.475459928257</v>
      </c>
      <c r="BI22" s="3">
        <v>-306.37233606374912</v>
      </c>
      <c r="BJ22" s="3">
        <v>2429.1059580680021</v>
      </c>
      <c r="BK22" s="3">
        <v>98806.882770554264</v>
      </c>
      <c r="BL22" s="3">
        <v>0</v>
      </c>
      <c r="BM22" s="3"/>
      <c r="BN22" s="3"/>
      <c r="BO22" s="3"/>
      <c r="BP22" s="3"/>
      <c r="BQ22" s="3"/>
      <c r="BR22" s="3"/>
      <c r="BS22" s="3"/>
      <c r="BT22" s="3"/>
      <c r="BU22" s="3"/>
      <c r="BV22" s="3"/>
      <c r="BW22" s="3"/>
      <c r="BX22" s="3"/>
      <c r="BY22" s="3"/>
    </row>
    <row r="23" spans="1:77" x14ac:dyDescent="0.25">
      <c r="A23" s="1">
        <v>16437.999305555557</v>
      </c>
      <c r="B23" s="123">
        <v>1247.010000000537</v>
      </c>
      <c r="C23" s="123">
        <v>1746.8500000002621</v>
      </c>
      <c r="D23" s="123">
        <v>2261.1200000002882</v>
      </c>
      <c r="E23" s="123">
        <v>5370.3499999989081</v>
      </c>
      <c r="F23" s="123">
        <v>996.68000000011409</v>
      </c>
      <c r="G23" s="123">
        <v>2334.4100000015383</v>
      </c>
      <c r="H23" s="123">
        <v>262.99999999996953</v>
      </c>
      <c r="I23" s="123">
        <v>2499.9900000012822</v>
      </c>
      <c r="J23" s="123">
        <v>2499.9900000012672</v>
      </c>
      <c r="K23" s="123">
        <v>11669.99999999865</v>
      </c>
      <c r="L23" s="123">
        <v>899.99999999999955</v>
      </c>
      <c r="M23" s="123">
        <v>3659.1999999995965</v>
      </c>
      <c r="N23" s="123">
        <v>13916.560000015921</v>
      </c>
      <c r="O23" s="123">
        <v>11987.800000005504</v>
      </c>
      <c r="P23" s="123">
        <v>673.3700000003422</v>
      </c>
      <c r="Q23" s="123">
        <v>0</v>
      </c>
      <c r="R23" s="123">
        <v>2294.4700000004386</v>
      </c>
      <c r="S23" s="123">
        <v>1591.6899999993404</v>
      </c>
      <c r="T23" s="123">
        <v>504.47000000016385</v>
      </c>
      <c r="U23" s="123">
        <v>419.22999999996358</v>
      </c>
      <c r="V23" s="123">
        <v>5739.970000002726</v>
      </c>
      <c r="W23" s="123">
        <v>899.98999999967964</v>
      </c>
      <c r="X23" s="123">
        <v>849.98999999941861</v>
      </c>
      <c r="Y23" s="123">
        <v>324.9999999999643</v>
      </c>
      <c r="Z23" s="123">
        <v>200.00000000007739</v>
      </c>
      <c r="AA23" s="123">
        <v>1000.0000000020035</v>
      </c>
      <c r="AB23" s="123">
        <v>1499.9999999989695</v>
      </c>
      <c r="AC23" s="123">
        <v>1000.0000000020035</v>
      </c>
      <c r="AD23" s="123">
        <v>1499.9999999989695</v>
      </c>
      <c r="AE23" s="123">
        <v>3815.9999999995644</v>
      </c>
      <c r="AF23" s="123">
        <v>240.8393999545724</v>
      </c>
      <c r="AG23" s="123">
        <v>9339.9999999989268</v>
      </c>
      <c r="AH23" s="123">
        <v>2316.779286044205</v>
      </c>
      <c r="AI23" s="123">
        <v>5000.0100000008242</v>
      </c>
      <c r="AJ23" s="123">
        <v>38999.999998983862</v>
      </c>
      <c r="AK23" s="123">
        <v>7969.9999999999973</v>
      </c>
      <c r="AL23" s="123">
        <v>10668.999999998772</v>
      </c>
      <c r="AM23" s="123">
        <v>12099.999999999998</v>
      </c>
      <c r="AN23" s="123">
        <v>3181.9999999996339</v>
      </c>
      <c r="AO23" s="123">
        <v>1092.999999999874</v>
      </c>
      <c r="AP23" s="123">
        <v>340.98999999997511</v>
      </c>
      <c r="AQ23" s="123">
        <v>1162.1768815905368</v>
      </c>
      <c r="AR23" s="123">
        <v>5191.1365902427378</v>
      </c>
      <c r="AS23" s="123">
        <v>31235.302148767347</v>
      </c>
      <c r="AT23" s="123">
        <v>79082.621662721562</v>
      </c>
      <c r="AU23" s="123">
        <v>79327.459500686746</v>
      </c>
      <c r="AV23" s="123">
        <v>86427.756801673939</v>
      </c>
      <c r="AW23" s="123">
        <v>4657.697851232685</v>
      </c>
      <c r="AX23" s="123">
        <v>23326.642828682569</v>
      </c>
      <c r="AY23" s="123">
        <v>1477.9999999998295</v>
      </c>
      <c r="AZ23" s="123">
        <v>389.87660322580672</v>
      </c>
      <c r="BA23" s="123">
        <v>994.91643426283326</v>
      </c>
      <c r="BB23" s="123">
        <v>1300.0000000005807</v>
      </c>
      <c r="BC23" s="123">
        <v>16199.999998970494</v>
      </c>
      <c r="BD23" s="123">
        <v>591.99999999993179</v>
      </c>
      <c r="BE23" s="123">
        <v>613.44073705172207</v>
      </c>
      <c r="BF23" s="123">
        <v>550.00999999974533</v>
      </c>
      <c r="BG23" s="123">
        <v>12296.800000006155</v>
      </c>
      <c r="BH23" s="3">
        <v>26962.120831400611</v>
      </c>
      <c r="BI23" s="3">
        <v>-680.10179613622643</v>
      </c>
      <c r="BJ23" s="3">
        <v>2424.3513849209157</v>
      </c>
      <c r="BK23" s="3">
        <v>135631.37731254657</v>
      </c>
      <c r="BL23" s="3">
        <v>0</v>
      </c>
      <c r="BM23" s="3"/>
      <c r="BN23" s="3"/>
      <c r="BO23" s="3"/>
      <c r="BP23" s="3"/>
      <c r="BQ23" s="3"/>
      <c r="BR23" s="3"/>
      <c r="BS23" s="3"/>
      <c r="BT23" s="3"/>
      <c r="BU23" s="3"/>
      <c r="BV23" s="3"/>
      <c r="BW23" s="3"/>
      <c r="BX23" s="3"/>
      <c r="BY23" s="3"/>
    </row>
    <row r="24" spans="1:77" x14ac:dyDescent="0.25">
      <c r="A24" s="1">
        <v>16802.999305555557</v>
      </c>
      <c r="B24" s="123">
        <v>1184.9064725131213</v>
      </c>
      <c r="C24" s="123">
        <v>1746.8500000002621</v>
      </c>
      <c r="D24" s="123">
        <v>2261.1200000002882</v>
      </c>
      <c r="E24" s="123">
        <v>5370.3499999989081</v>
      </c>
      <c r="F24" s="123">
        <v>996.68000000011409</v>
      </c>
      <c r="G24" s="123">
        <v>2334.4100000015378</v>
      </c>
      <c r="H24" s="123">
        <v>267.99999999996925</v>
      </c>
      <c r="I24" s="123">
        <v>2499.9900000012822</v>
      </c>
      <c r="J24" s="123">
        <v>2499.9900000012672</v>
      </c>
      <c r="K24" s="123">
        <v>11797.999999998643</v>
      </c>
      <c r="L24" s="123">
        <v>899.99999999999943</v>
      </c>
      <c r="M24" s="123">
        <v>3659.1999999995969</v>
      </c>
      <c r="N24" s="123">
        <v>13916.560000015921</v>
      </c>
      <c r="O24" s="123">
        <v>11987.800000005504</v>
      </c>
      <c r="P24" s="123">
        <v>673.3700000003422</v>
      </c>
      <c r="Q24" s="123">
        <v>62.103527487416656</v>
      </c>
      <c r="R24" s="123">
        <v>2294.4700000004386</v>
      </c>
      <c r="S24" s="123">
        <v>1591.6899999993404</v>
      </c>
      <c r="T24" s="123">
        <v>504.47000000016385</v>
      </c>
      <c r="U24" s="123">
        <v>419.22999999996358</v>
      </c>
      <c r="V24" s="123">
        <v>5739.9700000027269</v>
      </c>
      <c r="W24" s="123">
        <v>899.98999999967975</v>
      </c>
      <c r="X24" s="123">
        <v>849.98999999941839</v>
      </c>
      <c r="Y24" s="123">
        <v>324.9999999999643</v>
      </c>
      <c r="Z24" s="123">
        <v>200.00000000007739</v>
      </c>
      <c r="AA24" s="123">
        <v>1000.0000000020067</v>
      </c>
      <c r="AB24" s="123">
        <v>1499.999999998952</v>
      </c>
      <c r="AC24" s="123">
        <v>1000.0000000020067</v>
      </c>
      <c r="AD24" s="123">
        <v>1499.999999998952</v>
      </c>
      <c r="AE24" s="123">
        <v>3856.999999999553</v>
      </c>
      <c r="AF24" s="123">
        <v>247.59712995457195</v>
      </c>
      <c r="AG24" s="123">
        <v>9575.999999998905</v>
      </c>
      <c r="AH24" s="123">
        <v>2331.8178881898789</v>
      </c>
      <c r="AI24" s="123">
        <v>5000.0100000008242</v>
      </c>
      <c r="AJ24" s="123">
        <v>38999.999998983854</v>
      </c>
      <c r="AK24" s="123">
        <v>7969.9999999999927</v>
      </c>
      <c r="AL24" s="123">
        <v>10750.999999998761</v>
      </c>
      <c r="AM24" s="123">
        <v>12100.000000000009</v>
      </c>
      <c r="AN24" s="123">
        <v>3222.9999999996298</v>
      </c>
      <c r="AO24" s="123">
        <v>1093.9999999998738</v>
      </c>
      <c r="AP24" s="123">
        <v>340.98999999997505</v>
      </c>
      <c r="AQ24" s="123">
        <v>1064.2161940518997</v>
      </c>
      <c r="AR24" s="123">
        <v>2391.4228116469658</v>
      </c>
      <c r="AS24" s="123">
        <v>31248.028099180548</v>
      </c>
      <c r="AT24" s="123">
        <v>84270.571232721661</v>
      </c>
      <c r="AU24" s="123">
        <v>84531.470834061096</v>
      </c>
      <c r="AV24" s="123">
        <v>92097.559272912287</v>
      </c>
      <c r="AW24" s="123">
        <v>4644.9719008194988</v>
      </c>
      <c r="AX24" s="123">
        <v>24038.556812746232</v>
      </c>
      <c r="AY24" s="123">
        <v>1509.9999999998265</v>
      </c>
      <c r="AZ24" s="123">
        <v>402.19393645990448</v>
      </c>
      <c r="BA24" s="123">
        <v>1025.2806374500815</v>
      </c>
      <c r="BB24" s="123">
        <v>1300.0000000005809</v>
      </c>
      <c r="BC24" s="123">
        <v>16199.99999897049</v>
      </c>
      <c r="BD24" s="123">
        <v>597.99999999993099</v>
      </c>
      <c r="BE24" s="123">
        <v>632.16254980072415</v>
      </c>
      <c r="BF24" s="123">
        <v>550.00999999974545</v>
      </c>
      <c r="BG24" s="123">
        <v>12296.800000006155</v>
      </c>
      <c r="BH24" s="3">
        <v>28699.269946216806</v>
      </c>
      <c r="BI24" s="3">
        <v>2667.9002487022517</v>
      </c>
      <c r="BJ24" s="3">
        <v>2418.864361882961</v>
      </c>
      <c r="BK24" s="3">
        <v>118535.1288555035</v>
      </c>
      <c r="BL24" s="3">
        <v>0</v>
      </c>
      <c r="BM24" s="3"/>
      <c r="BN24" s="3"/>
      <c r="BO24" s="3"/>
      <c r="BP24" s="3"/>
      <c r="BQ24" s="3"/>
      <c r="BR24" s="3"/>
      <c r="BS24" s="3"/>
      <c r="BT24" s="3"/>
      <c r="BU24" s="3"/>
      <c r="BV24" s="3"/>
      <c r="BW24" s="3"/>
      <c r="BX24" s="3"/>
      <c r="BY24" s="3"/>
    </row>
    <row r="25" spans="1:77" x14ac:dyDescent="0.25">
      <c r="A25" s="1">
        <v>17167.999305555557</v>
      </c>
      <c r="B25" s="123">
        <v>1247.010000000537</v>
      </c>
      <c r="C25" s="123">
        <v>1746.8500000002621</v>
      </c>
      <c r="D25" s="123">
        <v>2261.1200000002882</v>
      </c>
      <c r="E25" s="123">
        <v>5370.3499999989081</v>
      </c>
      <c r="F25" s="123">
        <v>996.68000000011409</v>
      </c>
      <c r="G25" s="123">
        <v>2334.4100000015378</v>
      </c>
      <c r="H25" s="123">
        <v>282.9999999999672</v>
      </c>
      <c r="I25" s="123">
        <v>2499.9900000012822</v>
      </c>
      <c r="J25" s="123">
        <v>2499.9900000012672</v>
      </c>
      <c r="K25" s="123">
        <v>12515.99999999855</v>
      </c>
      <c r="L25" s="123">
        <v>900.00000000000011</v>
      </c>
      <c r="M25" s="123">
        <v>3659.1999999995969</v>
      </c>
      <c r="N25" s="123">
        <v>13916.560000015921</v>
      </c>
      <c r="O25" s="123">
        <v>11987.800000005504</v>
      </c>
      <c r="P25" s="123">
        <v>673.3700000003422</v>
      </c>
      <c r="Q25" s="123">
        <v>0</v>
      </c>
      <c r="R25" s="123">
        <v>2294.4700000004386</v>
      </c>
      <c r="S25" s="123">
        <v>1591.6899999993404</v>
      </c>
      <c r="T25" s="123">
        <v>504.47000000016385</v>
      </c>
      <c r="U25" s="123">
        <v>419.22999999996358</v>
      </c>
      <c r="V25" s="123">
        <v>5739.9700000027269</v>
      </c>
      <c r="W25" s="123">
        <v>899.98999999967975</v>
      </c>
      <c r="X25" s="123">
        <v>849.98999999941839</v>
      </c>
      <c r="Y25" s="123">
        <v>324.9999999999643</v>
      </c>
      <c r="Z25" s="123">
        <v>200.00000000007739</v>
      </c>
      <c r="AA25" s="123">
        <v>1000.0000000020067</v>
      </c>
      <c r="AB25" s="123">
        <v>1499.999999998952</v>
      </c>
      <c r="AC25" s="123">
        <v>1000.0000000020067</v>
      </c>
      <c r="AD25" s="123">
        <v>1499.999999998952</v>
      </c>
      <c r="AE25" s="123">
        <v>3730.9999999995739</v>
      </c>
      <c r="AF25" s="123">
        <v>258.51636285779745</v>
      </c>
      <c r="AG25" s="123">
        <v>9637.9999999988977</v>
      </c>
      <c r="AH25" s="123">
        <v>2275.9687893569358</v>
      </c>
      <c r="AI25" s="123">
        <v>5000.0100000008242</v>
      </c>
      <c r="AJ25" s="123">
        <v>38999.999998983854</v>
      </c>
      <c r="AK25" s="123">
        <v>7970</v>
      </c>
      <c r="AL25" s="123">
        <v>11326.99999999869</v>
      </c>
      <c r="AM25" s="123">
        <v>12100.000000000002</v>
      </c>
      <c r="AN25" s="123">
        <v>3262.9999999996244</v>
      </c>
      <c r="AO25" s="123">
        <v>1214.9999999998604</v>
      </c>
      <c r="AP25" s="123">
        <v>340.98999999997505</v>
      </c>
      <c r="AQ25" s="123">
        <v>1029.3910523705863</v>
      </c>
      <c r="AR25" s="123">
        <v>2485.1197068426582</v>
      </c>
      <c r="AS25" s="123">
        <v>31248.028099180548</v>
      </c>
      <c r="AT25" s="123">
        <v>86483.756609304852</v>
      </c>
      <c r="AU25" s="123">
        <v>86751.508177754571</v>
      </c>
      <c r="AV25" s="123">
        <v>94516.303662800696</v>
      </c>
      <c r="AW25" s="123">
        <v>4644.9719008194888</v>
      </c>
      <c r="AX25" s="123">
        <v>25093.798565734171</v>
      </c>
      <c r="AY25" s="123">
        <v>1640.9999999998111</v>
      </c>
      <c r="AZ25" s="123">
        <v>419.58899526370089</v>
      </c>
      <c r="BA25" s="123">
        <v>1070.2882868524671</v>
      </c>
      <c r="BB25" s="123">
        <v>1300.0000000005809</v>
      </c>
      <c r="BC25" s="123">
        <v>16199.99999897049</v>
      </c>
      <c r="BD25" s="123">
        <v>632.99999999992747</v>
      </c>
      <c r="BE25" s="123">
        <v>659.91314741028282</v>
      </c>
      <c r="BF25" s="123">
        <v>550.00999999974545</v>
      </c>
      <c r="BG25" s="123">
        <v>12296.800000006155</v>
      </c>
      <c r="BH25" s="3">
        <v>26333.56996362561</v>
      </c>
      <c r="BI25" s="3">
        <v>4038.2936707353629</v>
      </c>
      <c r="BJ25" s="3">
        <v>2425.3529159858767</v>
      </c>
      <c r="BK25" s="3">
        <v>48798.916406874319</v>
      </c>
      <c r="BL25" s="3">
        <v>0</v>
      </c>
      <c r="BM25" s="3"/>
      <c r="BN25" s="3"/>
      <c r="BO25" s="3"/>
      <c r="BP25" s="3"/>
      <c r="BQ25" s="3"/>
      <c r="BR25" s="3"/>
      <c r="BS25" s="3"/>
      <c r="BT25" s="3"/>
      <c r="BU25" s="3"/>
      <c r="BV25" s="3"/>
      <c r="BW25" s="3"/>
      <c r="BX25" s="3"/>
      <c r="BY25" s="3"/>
    </row>
    <row r="26" spans="1:77" x14ac:dyDescent="0.25">
      <c r="A26" s="1">
        <v>17532.999305555557</v>
      </c>
      <c r="B26" s="123">
        <v>1247.010000000537</v>
      </c>
      <c r="C26" s="123">
        <v>1746.8500000002621</v>
      </c>
      <c r="D26" s="123">
        <v>2261.1200000002882</v>
      </c>
      <c r="E26" s="123">
        <v>5370.3499999989081</v>
      </c>
      <c r="F26" s="123">
        <v>996.68000000011409</v>
      </c>
      <c r="G26" s="123">
        <v>2334.4100000015378</v>
      </c>
      <c r="H26" s="123">
        <v>257.99999999997044</v>
      </c>
      <c r="I26" s="123">
        <v>2499.9900000012822</v>
      </c>
      <c r="J26" s="123">
        <v>2499.9900000012672</v>
      </c>
      <c r="K26" s="123">
        <v>11332.999999998692</v>
      </c>
      <c r="L26" s="123">
        <v>899.99999999999955</v>
      </c>
      <c r="M26" s="123">
        <v>3659.1999999995969</v>
      </c>
      <c r="N26" s="123">
        <v>13916.560000015921</v>
      </c>
      <c r="O26" s="123">
        <v>11987.800000005504</v>
      </c>
      <c r="P26" s="123">
        <v>673.3700000003422</v>
      </c>
      <c r="Q26" s="123">
        <v>0</v>
      </c>
      <c r="R26" s="123">
        <v>2294.4700000004386</v>
      </c>
      <c r="S26" s="123">
        <v>1591.6899999993404</v>
      </c>
      <c r="T26" s="123">
        <v>504.47000000016385</v>
      </c>
      <c r="U26" s="123">
        <v>419.22999999996358</v>
      </c>
      <c r="V26" s="123">
        <v>5739.9700000027269</v>
      </c>
      <c r="W26" s="123">
        <v>899.98999999967975</v>
      </c>
      <c r="X26" s="123">
        <v>849.98999999941839</v>
      </c>
      <c r="Y26" s="123">
        <v>324.9999999999643</v>
      </c>
      <c r="Z26" s="123">
        <v>200.00000000007739</v>
      </c>
      <c r="AA26" s="123">
        <v>1000.0000000020067</v>
      </c>
      <c r="AB26" s="123">
        <v>1499.999999998952</v>
      </c>
      <c r="AC26" s="123">
        <v>1000.0000000020067</v>
      </c>
      <c r="AD26" s="123">
        <v>1499.999999998952</v>
      </c>
      <c r="AE26" s="123">
        <v>3472.999999999603</v>
      </c>
      <c r="AF26" s="123">
        <v>229.00066995457195</v>
      </c>
      <c r="AG26" s="123">
        <v>9195.999999998945</v>
      </c>
      <c r="AH26" s="123">
        <v>2089.7753000604775</v>
      </c>
      <c r="AI26" s="123">
        <v>5000.0100000008242</v>
      </c>
      <c r="AJ26" s="123">
        <v>38999.999998983854</v>
      </c>
      <c r="AK26" s="123">
        <v>7969.9999999999991</v>
      </c>
      <c r="AL26" s="123">
        <v>10343.999999998809</v>
      </c>
      <c r="AM26" s="123">
        <v>12100.000000000005</v>
      </c>
      <c r="AN26" s="123">
        <v>3108.9999999996421</v>
      </c>
      <c r="AO26" s="123">
        <v>1202.9999999998615</v>
      </c>
      <c r="AP26" s="123">
        <v>340.98999999997505</v>
      </c>
      <c r="AQ26" s="123">
        <v>1138.5137829398452</v>
      </c>
      <c r="AR26" s="123">
        <v>2584.2895049326244</v>
      </c>
      <c r="AS26" s="123">
        <v>31248.028099180548</v>
      </c>
      <c r="AT26" s="123">
        <v>81549.792436729535</v>
      </c>
      <c r="AU26" s="123">
        <v>81802.268574304631</v>
      </c>
      <c r="AV26" s="123">
        <v>89124.076563980154</v>
      </c>
      <c r="AW26" s="123">
        <v>4644.9719008195216</v>
      </c>
      <c r="AX26" s="123">
        <v>22075.881992029317</v>
      </c>
      <c r="AY26" s="123">
        <v>1504.9999999998265</v>
      </c>
      <c r="AZ26" s="123">
        <v>376.85777426414541</v>
      </c>
      <c r="BA26" s="123">
        <v>941.56960159351661</v>
      </c>
      <c r="BB26" s="123">
        <v>1300.0000000005809</v>
      </c>
      <c r="BC26" s="123">
        <v>16199.99999897049</v>
      </c>
      <c r="BD26" s="123">
        <v>572.99999999993429</v>
      </c>
      <c r="BE26" s="123">
        <v>580.54840637443499</v>
      </c>
      <c r="BF26" s="123">
        <v>550.00999999974545</v>
      </c>
      <c r="BG26" s="123">
        <v>12296.800000006155</v>
      </c>
      <c r="BH26" s="3">
        <v>25785.557707154083</v>
      </c>
      <c r="BI26" s="3">
        <v>983.20749576599121</v>
      </c>
      <c r="BJ26" s="3">
        <v>2430.8445436060993</v>
      </c>
      <c r="BK26" s="3">
        <v>85248.065304780001</v>
      </c>
      <c r="BL26" s="3">
        <v>0</v>
      </c>
      <c r="BM26" s="3"/>
      <c r="BN26" s="3"/>
      <c r="BO26" s="3"/>
      <c r="BP26" s="3"/>
      <c r="BQ26" s="3"/>
      <c r="BR26" s="3"/>
      <c r="BS26" s="3"/>
      <c r="BT26" s="3"/>
      <c r="BU26" s="3"/>
      <c r="BV26" s="3"/>
      <c r="BW26" s="3"/>
      <c r="BX26" s="3"/>
      <c r="BY26" s="3"/>
    </row>
    <row r="27" spans="1:77" x14ac:dyDescent="0.25">
      <c r="A27" s="1">
        <v>17898.999305555557</v>
      </c>
      <c r="B27" s="123">
        <v>1244.6961444471576</v>
      </c>
      <c r="C27" s="123">
        <v>1746.8500000002621</v>
      </c>
      <c r="D27" s="123">
        <v>2261.1200000002882</v>
      </c>
      <c r="E27" s="123">
        <v>5370.3499999989081</v>
      </c>
      <c r="F27" s="123">
        <v>996.68000000011409</v>
      </c>
      <c r="G27" s="123">
        <v>2334.4100000015383</v>
      </c>
      <c r="H27" s="123">
        <v>268.99999999996936</v>
      </c>
      <c r="I27" s="123">
        <v>2499.9900000012822</v>
      </c>
      <c r="J27" s="123">
        <v>2499.9900000012672</v>
      </c>
      <c r="K27" s="123">
        <v>11836.999999998641</v>
      </c>
      <c r="L27" s="123">
        <v>900</v>
      </c>
      <c r="M27" s="123">
        <v>3659.1999999995965</v>
      </c>
      <c r="N27" s="123">
        <v>13916.560000015921</v>
      </c>
      <c r="O27" s="123">
        <v>11987.800000005504</v>
      </c>
      <c r="P27" s="123">
        <v>673.3700000003422</v>
      </c>
      <c r="Q27" s="123">
        <v>2.3138555533793244</v>
      </c>
      <c r="R27" s="123">
        <v>2294.4700000004386</v>
      </c>
      <c r="S27" s="123">
        <v>1591.6899999993404</v>
      </c>
      <c r="T27" s="123">
        <v>504.47000000016385</v>
      </c>
      <c r="U27" s="123">
        <v>419.22999999996358</v>
      </c>
      <c r="V27" s="123">
        <v>5739.970000002726</v>
      </c>
      <c r="W27" s="123">
        <v>899.98999999967964</v>
      </c>
      <c r="X27" s="123">
        <v>849.98999999941861</v>
      </c>
      <c r="Y27" s="123">
        <v>324.9999999999643</v>
      </c>
      <c r="Z27" s="123">
        <v>200.00000000007739</v>
      </c>
      <c r="AA27" s="123">
        <v>1000.0000000020035</v>
      </c>
      <c r="AB27" s="123">
        <v>1499.9999999989695</v>
      </c>
      <c r="AC27" s="123">
        <v>1000.0000000020035</v>
      </c>
      <c r="AD27" s="123">
        <v>1499.9999999989695</v>
      </c>
      <c r="AE27" s="123">
        <v>3488.9999999995985</v>
      </c>
      <c r="AF27" s="123">
        <v>232.15088995457199</v>
      </c>
      <c r="AG27" s="123">
        <v>9093.9999999989632</v>
      </c>
      <c r="AH27" s="123">
        <v>2095.7553422469687</v>
      </c>
      <c r="AI27" s="123">
        <v>5000.0100000008242</v>
      </c>
      <c r="AJ27" s="123">
        <v>38999.999998983862</v>
      </c>
      <c r="AK27" s="123">
        <v>7970.0000000000045</v>
      </c>
      <c r="AL27" s="123">
        <v>10826.999999998756</v>
      </c>
      <c r="AM27" s="123">
        <v>12099.999999999991</v>
      </c>
      <c r="AN27" s="123">
        <v>2973.9999999996567</v>
      </c>
      <c r="AO27" s="123">
        <v>1212.9999999998604</v>
      </c>
      <c r="AP27" s="123">
        <v>340.98999999997511</v>
      </c>
      <c r="AQ27" s="123">
        <v>893.70695032166998</v>
      </c>
      <c r="AR27" s="123">
        <v>3048.1527990558502</v>
      </c>
      <c r="AS27" s="123">
        <v>31235.302148767347</v>
      </c>
      <c r="AT27" s="123">
        <v>80416.381955355027</v>
      </c>
      <c r="AU27" s="123">
        <v>80665.349082151617</v>
      </c>
      <c r="AV27" s="123">
        <v>87885.395759258157</v>
      </c>
      <c r="AW27" s="123">
        <v>4657.6978512327078</v>
      </c>
      <c r="AX27" s="123">
        <v>22533.340517925688</v>
      </c>
      <c r="AY27" s="123">
        <v>1744.9999999997992</v>
      </c>
      <c r="AZ27" s="123">
        <v>378.9852455004538</v>
      </c>
      <c r="BA27" s="123">
        <v>961.08089641423157</v>
      </c>
      <c r="BB27" s="123">
        <v>1300.0000000005807</v>
      </c>
      <c r="BC27" s="123">
        <v>16199.999998970494</v>
      </c>
      <c r="BD27" s="123">
        <v>597.99999999993088</v>
      </c>
      <c r="BE27" s="123">
        <v>592.57858565730203</v>
      </c>
      <c r="BF27" s="123">
        <v>550.00999999974533</v>
      </c>
      <c r="BG27" s="123">
        <v>12296.800000006155</v>
      </c>
      <c r="BH27" s="3">
        <v>27680.279065084022</v>
      </c>
      <c r="BI27" s="3">
        <v>145.75597020046555</v>
      </c>
      <c r="BJ27" s="3">
        <v>2422.703187487255</v>
      </c>
      <c r="BK27" s="3">
        <v>120791.19119202343</v>
      </c>
      <c r="BL27" s="3">
        <v>0</v>
      </c>
      <c r="BM27" s="3"/>
      <c r="BN27" s="3"/>
      <c r="BO27" s="3"/>
      <c r="BP27" s="3"/>
      <c r="BQ27" s="3"/>
      <c r="BR27" s="3"/>
      <c r="BS27" s="3"/>
      <c r="BT27" s="3"/>
      <c r="BU27" s="3"/>
      <c r="BV27" s="3"/>
      <c r="BW27" s="3"/>
      <c r="BX27" s="3"/>
      <c r="BY27" s="3"/>
    </row>
    <row r="28" spans="1:77" x14ac:dyDescent="0.25">
      <c r="A28" s="1">
        <v>18263.999305555557</v>
      </c>
      <c r="B28" s="123">
        <v>1245.8553773486544</v>
      </c>
      <c r="C28" s="123">
        <v>1746.8500000002621</v>
      </c>
      <c r="D28" s="123">
        <v>2261.1200000002882</v>
      </c>
      <c r="E28" s="123">
        <v>5370.3499999989081</v>
      </c>
      <c r="F28" s="123">
        <v>996.68000000011409</v>
      </c>
      <c r="G28" s="123">
        <v>2334.4100000015378</v>
      </c>
      <c r="H28" s="123">
        <v>254.99999999997047</v>
      </c>
      <c r="I28" s="123">
        <v>2499.9900000012822</v>
      </c>
      <c r="J28" s="123">
        <v>2499.9900000012672</v>
      </c>
      <c r="K28" s="123">
        <v>11364.99999999869</v>
      </c>
      <c r="L28" s="123">
        <v>899.99999999999841</v>
      </c>
      <c r="M28" s="123">
        <v>3659.1999999995969</v>
      </c>
      <c r="N28" s="123">
        <v>13916.560000015921</v>
      </c>
      <c r="O28" s="123">
        <v>11987.800000005504</v>
      </c>
      <c r="P28" s="123">
        <v>673.3700000003422</v>
      </c>
      <c r="Q28" s="123">
        <v>1.1546226518826064</v>
      </c>
      <c r="R28" s="123">
        <v>2294.4700000004386</v>
      </c>
      <c r="S28" s="123">
        <v>1591.6899999993404</v>
      </c>
      <c r="T28" s="123">
        <v>504.47000000016385</v>
      </c>
      <c r="U28" s="123">
        <v>419.22999999996358</v>
      </c>
      <c r="V28" s="123">
        <v>5739.9700000027269</v>
      </c>
      <c r="W28" s="123">
        <v>899.98999999967975</v>
      </c>
      <c r="X28" s="123">
        <v>849.98999999941839</v>
      </c>
      <c r="Y28" s="123">
        <v>324.9999999999643</v>
      </c>
      <c r="Z28" s="123">
        <v>200.00000000007739</v>
      </c>
      <c r="AA28" s="123">
        <v>1000.0000000020067</v>
      </c>
      <c r="AB28" s="123">
        <v>1499.999999998952</v>
      </c>
      <c r="AC28" s="123">
        <v>1000.0000000020067</v>
      </c>
      <c r="AD28" s="123">
        <v>1499.999999998952</v>
      </c>
      <c r="AE28" s="123">
        <v>3561.9999999995866</v>
      </c>
      <c r="AF28" s="123">
        <v>217.46679999999998</v>
      </c>
      <c r="AG28" s="123">
        <v>9244.9999999989323</v>
      </c>
      <c r="AH28" s="123">
        <v>2172.3183050423681</v>
      </c>
      <c r="AI28" s="123">
        <v>5000.0100000008242</v>
      </c>
      <c r="AJ28" s="123">
        <v>38999.999998983854</v>
      </c>
      <c r="AK28" s="123">
        <v>7969.9999999999991</v>
      </c>
      <c r="AL28" s="123">
        <v>10224.999999998825</v>
      </c>
      <c r="AM28" s="123">
        <v>12099.999999999998</v>
      </c>
      <c r="AN28" s="123">
        <v>2972.9999999996558</v>
      </c>
      <c r="AO28" s="123">
        <v>797.99999999990837</v>
      </c>
      <c r="AP28" s="123">
        <v>340.98999999997505</v>
      </c>
      <c r="AQ28" s="123">
        <v>1063.6053431269886</v>
      </c>
      <c r="AR28" s="123">
        <v>4346.3416286822412</v>
      </c>
      <c r="AS28" s="123">
        <v>31248.028099180548</v>
      </c>
      <c r="AT28" s="123">
        <v>76003.885866670535</v>
      </c>
      <c r="AU28" s="123">
        <v>76239.192014864981</v>
      </c>
      <c r="AV28" s="123">
        <v>83063.070312491662</v>
      </c>
      <c r="AW28" s="123">
        <v>4644.9719008194852</v>
      </c>
      <c r="AX28" s="123">
        <v>21054.318167328252</v>
      </c>
      <c r="AY28" s="123">
        <v>1694.9999999998063</v>
      </c>
      <c r="AZ28" s="123">
        <v>352.87545000000068</v>
      </c>
      <c r="BA28" s="123">
        <v>897.99836653376121</v>
      </c>
      <c r="BB28" s="123">
        <v>1300.0000000005809</v>
      </c>
      <c r="BC28" s="123">
        <v>16199.99999897049</v>
      </c>
      <c r="BD28" s="123">
        <v>573.99999999993429</v>
      </c>
      <c r="BE28" s="123">
        <v>553.68346613539461</v>
      </c>
      <c r="BF28" s="123">
        <v>550.00999999974545</v>
      </c>
      <c r="BG28" s="123">
        <v>12296.800000006155</v>
      </c>
      <c r="BH28" s="3">
        <v>27407.341737396175</v>
      </c>
      <c r="BI28" s="3">
        <v>-2450.79038043132</v>
      </c>
      <c r="BJ28" s="3">
        <v>2419.4754205894851</v>
      </c>
      <c r="BK28" s="3">
        <v>140437.22564684742</v>
      </c>
      <c r="BL28" s="3">
        <v>0</v>
      </c>
      <c r="BM28" s="3"/>
      <c r="BN28" s="3"/>
      <c r="BO28" s="3"/>
      <c r="BP28" s="3"/>
      <c r="BQ28" s="3"/>
      <c r="BR28" s="3"/>
      <c r="BS28" s="3"/>
      <c r="BT28" s="3"/>
      <c r="BU28" s="3"/>
      <c r="BV28" s="3"/>
      <c r="BW28" s="3"/>
      <c r="BX28" s="3"/>
      <c r="BY28" s="3"/>
    </row>
    <row r="29" spans="1:77" x14ac:dyDescent="0.25">
      <c r="A29" s="1">
        <v>18628.999305555557</v>
      </c>
      <c r="B29" s="123">
        <v>1015.7411983604251</v>
      </c>
      <c r="C29" s="123">
        <v>1746.8500000002621</v>
      </c>
      <c r="D29" s="123">
        <v>2261.1200000002882</v>
      </c>
      <c r="E29" s="123">
        <v>5370.3499999989081</v>
      </c>
      <c r="F29" s="123">
        <v>996.68000000011409</v>
      </c>
      <c r="G29" s="123">
        <v>2334.4100000015378</v>
      </c>
      <c r="H29" s="123">
        <v>311.9999999999639</v>
      </c>
      <c r="I29" s="123">
        <v>2499.9900000012822</v>
      </c>
      <c r="J29" s="123">
        <v>2499.9900000012672</v>
      </c>
      <c r="K29" s="123">
        <v>13760.999999998412</v>
      </c>
      <c r="L29" s="123">
        <v>900.00000000000091</v>
      </c>
      <c r="M29" s="123">
        <v>3659.1999999995969</v>
      </c>
      <c r="N29" s="123">
        <v>13916.560000015921</v>
      </c>
      <c r="O29" s="123">
        <v>11987.800000005504</v>
      </c>
      <c r="P29" s="123">
        <v>673.3700000003422</v>
      </c>
      <c r="Q29" s="123">
        <v>231.26880164011388</v>
      </c>
      <c r="R29" s="123">
        <v>2294.4700000004386</v>
      </c>
      <c r="S29" s="123">
        <v>1591.6899999993404</v>
      </c>
      <c r="T29" s="123">
        <v>504.47000000016385</v>
      </c>
      <c r="U29" s="123">
        <v>419.22999999996358</v>
      </c>
      <c r="V29" s="123">
        <v>5739.9700000027269</v>
      </c>
      <c r="W29" s="123">
        <v>899.98999999967975</v>
      </c>
      <c r="X29" s="123">
        <v>849.98999999941839</v>
      </c>
      <c r="Y29" s="123">
        <v>324.9999999999643</v>
      </c>
      <c r="Z29" s="123">
        <v>200.00000000007739</v>
      </c>
      <c r="AA29" s="123">
        <v>1000.0000000020067</v>
      </c>
      <c r="AB29" s="123">
        <v>1499.999999998952</v>
      </c>
      <c r="AC29" s="123">
        <v>1000.0000000020067</v>
      </c>
      <c r="AD29" s="123">
        <v>1499.999999998952</v>
      </c>
      <c r="AE29" s="123">
        <v>3937.9999999995462</v>
      </c>
      <c r="AF29" s="123">
        <v>250.74734913687402</v>
      </c>
      <c r="AG29" s="123">
        <v>9975.1793992273069</v>
      </c>
      <c r="AH29" s="123">
        <v>2401.9999999997249</v>
      </c>
      <c r="AI29" s="123">
        <v>5000.0100000008242</v>
      </c>
      <c r="AJ29" s="123">
        <v>38999.999998983854</v>
      </c>
      <c r="AK29" s="123">
        <v>7970</v>
      </c>
      <c r="AL29" s="123">
        <v>12506.999999998563</v>
      </c>
      <c r="AM29" s="123">
        <v>12099.999999999998</v>
      </c>
      <c r="AN29" s="123">
        <v>3417.9999999996039</v>
      </c>
      <c r="AO29" s="123">
        <v>1237.9999999998563</v>
      </c>
      <c r="AP29" s="123">
        <v>340.98999999997505</v>
      </c>
      <c r="AQ29" s="123">
        <v>1038.3599712826954</v>
      </c>
      <c r="AR29" s="123">
        <v>2113.2835751024577</v>
      </c>
      <c r="AS29" s="123">
        <v>31248.028099180548</v>
      </c>
      <c r="AT29" s="123">
        <v>88324.560095998168</v>
      </c>
      <c r="AU29" s="123">
        <v>88598.010746450062</v>
      </c>
      <c r="AV29" s="123">
        <v>96528.079609558801</v>
      </c>
      <c r="AW29" s="123">
        <v>4644.9719008195034</v>
      </c>
      <c r="AX29" s="123">
        <v>25954.456733064737</v>
      </c>
      <c r="AY29" s="123">
        <v>1911.9999999997813</v>
      </c>
      <c r="AZ29" s="123">
        <v>328.48666212919153</v>
      </c>
      <c r="BA29" s="123">
        <v>1106.9966533863274</v>
      </c>
      <c r="BB29" s="123">
        <v>1300.0000000005809</v>
      </c>
      <c r="BC29" s="123">
        <v>16199.99999897049</v>
      </c>
      <c r="BD29" s="123">
        <v>696.99999999991951</v>
      </c>
      <c r="BE29" s="123">
        <v>682.54661354573807</v>
      </c>
      <c r="BF29" s="123">
        <v>550.00999999974545</v>
      </c>
      <c r="BG29" s="123">
        <v>12296.800000006155</v>
      </c>
      <c r="BH29" s="3">
        <v>26113.139278555373</v>
      </c>
      <c r="BI29" s="3">
        <v>5178.1100711646368</v>
      </c>
      <c r="BJ29" s="3">
        <v>2376.3454634389614</v>
      </c>
      <c r="BK29" s="3">
        <v>62273.390990525411</v>
      </c>
      <c r="BL29" s="3">
        <v>0</v>
      </c>
      <c r="BM29" s="3"/>
      <c r="BN29" s="3"/>
      <c r="BO29" s="3"/>
      <c r="BP29" s="3"/>
      <c r="BQ29" s="3"/>
      <c r="BR29" s="3"/>
      <c r="BS29" s="3"/>
      <c r="BT29" s="3"/>
      <c r="BU29" s="3"/>
      <c r="BV29" s="3"/>
      <c r="BW29" s="3"/>
      <c r="BX29" s="3"/>
      <c r="BY29" s="3"/>
    </row>
    <row r="30" spans="1:77" x14ac:dyDescent="0.25">
      <c r="A30" s="1">
        <v>18993.999305555557</v>
      </c>
      <c r="B30" s="123">
        <v>1116.8893333337953</v>
      </c>
      <c r="C30" s="123">
        <v>1746.8500000002621</v>
      </c>
      <c r="D30" s="123">
        <v>2261.1200000002882</v>
      </c>
      <c r="E30" s="123">
        <v>5370.3499999989081</v>
      </c>
      <c r="F30" s="123">
        <v>996.68000000011409</v>
      </c>
      <c r="G30" s="123">
        <v>2334.4100000015378</v>
      </c>
      <c r="H30" s="123">
        <v>280.99999999996771</v>
      </c>
      <c r="I30" s="123">
        <v>2499.9900000012822</v>
      </c>
      <c r="J30" s="123">
        <v>2499.9900000012672</v>
      </c>
      <c r="K30" s="123">
        <v>12434.999999998567</v>
      </c>
      <c r="L30" s="123">
        <v>899.99999999999898</v>
      </c>
      <c r="M30" s="123">
        <v>3659.1999999995969</v>
      </c>
      <c r="N30" s="123">
        <v>13916.560000015921</v>
      </c>
      <c r="O30" s="123">
        <v>11987.800000005504</v>
      </c>
      <c r="P30" s="123">
        <v>673.3700000003422</v>
      </c>
      <c r="Q30" s="123">
        <v>130.12066666674343</v>
      </c>
      <c r="R30" s="123">
        <v>2294.4700000004386</v>
      </c>
      <c r="S30" s="123">
        <v>1591.6899999993404</v>
      </c>
      <c r="T30" s="123">
        <v>504.47000000016385</v>
      </c>
      <c r="U30" s="123">
        <v>419.22999999996358</v>
      </c>
      <c r="V30" s="123">
        <v>5739.9700000027269</v>
      </c>
      <c r="W30" s="123">
        <v>899.98999999967975</v>
      </c>
      <c r="X30" s="123">
        <v>849.98999999941839</v>
      </c>
      <c r="Y30" s="123">
        <v>324.9999999999643</v>
      </c>
      <c r="Z30" s="123">
        <v>200.00000000007739</v>
      </c>
      <c r="AA30" s="123">
        <v>1000.0000000020067</v>
      </c>
      <c r="AB30" s="123">
        <v>1499.999999998952</v>
      </c>
      <c r="AC30" s="123">
        <v>1000.0000000020067</v>
      </c>
      <c r="AD30" s="123">
        <v>1499.999999998952</v>
      </c>
      <c r="AE30" s="123">
        <v>3928.9999999995466</v>
      </c>
      <c r="AF30" s="123">
        <v>263.75470999999953</v>
      </c>
      <c r="AG30" s="123">
        <v>9531.9999999989013</v>
      </c>
      <c r="AH30" s="123">
        <v>2305.528011188339</v>
      </c>
      <c r="AI30" s="123">
        <v>5000.0100000008242</v>
      </c>
      <c r="AJ30" s="123">
        <v>38999.999998983854</v>
      </c>
      <c r="AK30" s="123">
        <v>7970.0000000000045</v>
      </c>
      <c r="AL30" s="123">
        <v>11304.999999998692</v>
      </c>
      <c r="AM30" s="123">
        <v>12100.000000000004</v>
      </c>
      <c r="AN30" s="123">
        <v>3178.9999999996326</v>
      </c>
      <c r="AO30" s="123">
        <v>1215.9999999998604</v>
      </c>
      <c r="AP30" s="123">
        <v>340.98999999997505</v>
      </c>
      <c r="AQ30" s="123">
        <v>795.4325707612071</v>
      </c>
      <c r="AR30" s="123">
        <v>1718.2047965100542</v>
      </c>
      <c r="AS30" s="123">
        <v>31248.028099180548</v>
      </c>
      <c r="AT30" s="123">
        <v>86938.457790346612</v>
      </c>
      <c r="AU30" s="123">
        <v>87207.617102390941</v>
      </c>
      <c r="AV30" s="123">
        <v>95013.237151679146</v>
      </c>
      <c r="AW30" s="123">
        <v>4644.9719008194916</v>
      </c>
      <c r="AX30" s="123">
        <v>25811.325537845634</v>
      </c>
      <c r="AY30" s="123">
        <v>1779.9999999997949</v>
      </c>
      <c r="AZ30" s="123">
        <v>430.89421115393679</v>
      </c>
      <c r="BA30" s="123">
        <v>1100.8918924301533</v>
      </c>
      <c r="BB30" s="123">
        <v>1300.0000000005809</v>
      </c>
      <c r="BC30" s="123">
        <v>16199.99999897049</v>
      </c>
      <c r="BD30" s="123">
        <v>629.99999999992735</v>
      </c>
      <c r="BE30" s="123">
        <v>678.78256972103759</v>
      </c>
      <c r="BF30" s="123">
        <v>550.00999999974545</v>
      </c>
      <c r="BG30" s="123">
        <v>12296.800000006155</v>
      </c>
      <c r="BH30" s="3">
        <v>21451.80671122891</v>
      </c>
      <c r="BI30" s="3">
        <v>4319.8423896464956</v>
      </c>
      <c r="BJ30" s="3">
        <v>2207.0651100742757</v>
      </c>
      <c r="BK30" s="3">
        <v>46342.347398035512</v>
      </c>
      <c r="BL30" s="3">
        <v>0</v>
      </c>
      <c r="BM30" s="3"/>
      <c r="BN30" s="3"/>
      <c r="BO30" s="3"/>
      <c r="BP30" s="3"/>
      <c r="BQ30" s="3"/>
      <c r="BR30" s="3"/>
      <c r="BS30" s="3"/>
      <c r="BT30" s="3"/>
      <c r="BU30" s="3"/>
      <c r="BV30" s="3"/>
      <c r="BW30" s="3"/>
      <c r="BX30" s="3"/>
      <c r="BY30" s="3"/>
    </row>
    <row r="31" spans="1:77" x14ac:dyDescent="0.25">
      <c r="A31" s="1">
        <v>19359.999305555557</v>
      </c>
      <c r="B31" s="123">
        <v>1247.010000000537</v>
      </c>
      <c r="C31" s="123">
        <v>1746.8500000002621</v>
      </c>
      <c r="D31" s="123">
        <v>2261.1200000002882</v>
      </c>
      <c r="E31" s="123">
        <v>5370.3499999989081</v>
      </c>
      <c r="F31" s="123">
        <v>996.68000000011409</v>
      </c>
      <c r="G31" s="123">
        <v>2334.4100000015383</v>
      </c>
      <c r="H31" s="123">
        <v>283.99999999996754</v>
      </c>
      <c r="I31" s="123">
        <v>2499.9900000012822</v>
      </c>
      <c r="J31" s="123">
        <v>2499.9900000012672</v>
      </c>
      <c r="K31" s="123">
        <v>12478.999999998563</v>
      </c>
      <c r="L31" s="123">
        <v>899.99999999999943</v>
      </c>
      <c r="M31" s="123">
        <v>3659.1999999995965</v>
      </c>
      <c r="N31" s="123">
        <v>13916.560000015921</v>
      </c>
      <c r="O31" s="123">
        <v>11987.800000005504</v>
      </c>
      <c r="P31" s="123">
        <v>673.3700000003422</v>
      </c>
      <c r="Q31" s="123">
        <v>0</v>
      </c>
      <c r="R31" s="123">
        <v>2294.4700000004386</v>
      </c>
      <c r="S31" s="123">
        <v>1591.6899999993404</v>
      </c>
      <c r="T31" s="123">
        <v>504.47000000016385</v>
      </c>
      <c r="U31" s="123">
        <v>419.22999999996358</v>
      </c>
      <c r="V31" s="123">
        <v>5739.970000002726</v>
      </c>
      <c r="W31" s="123">
        <v>899.98999999967964</v>
      </c>
      <c r="X31" s="123">
        <v>849.98999999941861</v>
      </c>
      <c r="Y31" s="123">
        <v>324.9999999999643</v>
      </c>
      <c r="Z31" s="123">
        <v>200.00000000007739</v>
      </c>
      <c r="AA31" s="123">
        <v>1000.0000000020035</v>
      </c>
      <c r="AB31" s="123">
        <v>1499.9999999989695</v>
      </c>
      <c r="AC31" s="123">
        <v>1000.0000000020035</v>
      </c>
      <c r="AD31" s="123">
        <v>1499.9999999989695</v>
      </c>
      <c r="AE31" s="123">
        <v>4080.9999999995307</v>
      </c>
      <c r="AF31" s="123">
        <v>268.6455822126369</v>
      </c>
      <c r="AG31" s="123">
        <v>10208.999999998819</v>
      </c>
      <c r="AH31" s="123">
        <v>2500.677366821843</v>
      </c>
      <c r="AI31" s="123">
        <v>5000.0100000008242</v>
      </c>
      <c r="AJ31" s="123">
        <v>38999.999998983862</v>
      </c>
      <c r="AK31" s="123">
        <v>7970</v>
      </c>
      <c r="AL31" s="123">
        <v>11440.99999999869</v>
      </c>
      <c r="AM31" s="123">
        <v>12100</v>
      </c>
      <c r="AN31" s="123">
        <v>3304.9999999996203</v>
      </c>
      <c r="AO31" s="123">
        <v>1225.9999999998588</v>
      </c>
      <c r="AP31" s="123">
        <v>340.98999999997511</v>
      </c>
      <c r="AQ31" s="123">
        <v>1011.8262425760938</v>
      </c>
      <c r="AR31" s="123">
        <v>4636.2968359746674</v>
      </c>
      <c r="AS31" s="123">
        <v>31235.302148767347</v>
      </c>
      <c r="AT31" s="123">
        <v>84780.331078511241</v>
      </c>
      <c r="AU31" s="123">
        <v>85042.808883708029</v>
      </c>
      <c r="AV31" s="123">
        <v>92654.665234410641</v>
      </c>
      <c r="AW31" s="123">
        <v>4657.6978512327187</v>
      </c>
      <c r="AX31" s="123">
        <v>25742.098685255994</v>
      </c>
      <c r="AY31" s="123">
        <v>1853.9999999997867</v>
      </c>
      <c r="AZ31" s="123">
        <v>433.88461935483878</v>
      </c>
      <c r="BA31" s="123">
        <v>1097.939262948081</v>
      </c>
      <c r="BB31" s="123">
        <v>1300.0000000005807</v>
      </c>
      <c r="BC31" s="123">
        <v>16199.999998970494</v>
      </c>
      <c r="BD31" s="123">
        <v>632.99999999992735</v>
      </c>
      <c r="BE31" s="123">
        <v>676.96205179275057</v>
      </c>
      <c r="BF31" s="123">
        <v>550.00999999974533</v>
      </c>
      <c r="BG31" s="123">
        <v>12296.800000006155</v>
      </c>
      <c r="BH31" s="3">
        <v>26539.814364575377</v>
      </c>
      <c r="BI31" s="3">
        <v>2847.8916501734998</v>
      </c>
      <c r="BJ31" s="3">
        <v>2352.7378492086377</v>
      </c>
      <c r="BK31" s="3">
        <v>169662.34134209837</v>
      </c>
      <c r="BL31" s="3">
        <v>0</v>
      </c>
      <c r="BM31" s="3"/>
      <c r="BN31" s="3"/>
      <c r="BO31" s="3"/>
      <c r="BP31" s="3"/>
      <c r="BQ31" s="3"/>
      <c r="BR31" s="3"/>
      <c r="BS31" s="3"/>
      <c r="BT31" s="3"/>
      <c r="BU31" s="3"/>
      <c r="BV31" s="3"/>
      <c r="BW31" s="3"/>
      <c r="BX31" s="3"/>
      <c r="BY31" s="3"/>
    </row>
    <row r="32" spans="1:77" x14ac:dyDescent="0.25">
      <c r="A32" s="1">
        <v>19724.999305555557</v>
      </c>
      <c r="B32" s="123">
        <v>1119.6013333337744</v>
      </c>
      <c r="C32" s="123">
        <v>1746.8500000002621</v>
      </c>
      <c r="D32" s="123">
        <v>2261.1200000002882</v>
      </c>
      <c r="E32" s="123">
        <v>5370.3499999989081</v>
      </c>
      <c r="F32" s="123">
        <v>996.68000000011409</v>
      </c>
      <c r="G32" s="123">
        <v>2334.4100000015378</v>
      </c>
      <c r="H32" s="123">
        <v>280.99999999996754</v>
      </c>
      <c r="I32" s="123">
        <v>2499.9900000012822</v>
      </c>
      <c r="J32" s="123">
        <v>2499.9900000012672</v>
      </c>
      <c r="K32" s="123">
        <v>12405.999999998568</v>
      </c>
      <c r="L32" s="123">
        <v>900.00000000000068</v>
      </c>
      <c r="M32" s="123">
        <v>3659.1999999995969</v>
      </c>
      <c r="N32" s="123">
        <v>13916.560000015921</v>
      </c>
      <c r="O32" s="123">
        <v>11987.800000005504</v>
      </c>
      <c r="P32" s="123">
        <v>673.3700000003422</v>
      </c>
      <c r="Q32" s="123">
        <v>127.40866666676429</v>
      </c>
      <c r="R32" s="123">
        <v>2294.4700000004386</v>
      </c>
      <c r="S32" s="123">
        <v>1591.6899999993404</v>
      </c>
      <c r="T32" s="123">
        <v>504.47000000016385</v>
      </c>
      <c r="U32" s="123">
        <v>419.22999999996358</v>
      </c>
      <c r="V32" s="123">
        <v>5739.9700000027269</v>
      </c>
      <c r="W32" s="123">
        <v>899.98999999967975</v>
      </c>
      <c r="X32" s="123">
        <v>849.98999999941839</v>
      </c>
      <c r="Y32" s="123">
        <v>324.9999999999643</v>
      </c>
      <c r="Z32" s="123">
        <v>200.00000000007739</v>
      </c>
      <c r="AA32" s="123">
        <v>1000.0000000020067</v>
      </c>
      <c r="AB32" s="123">
        <v>1499.999999998952</v>
      </c>
      <c r="AC32" s="123">
        <v>1000.0000000020067</v>
      </c>
      <c r="AD32" s="123">
        <v>1499.999999998952</v>
      </c>
      <c r="AE32" s="123">
        <v>3911.9999999995539</v>
      </c>
      <c r="AF32" s="123">
        <v>263.70389995457106</v>
      </c>
      <c r="AG32" s="123">
        <v>9693.124849017715</v>
      </c>
      <c r="AH32" s="123">
        <v>2337.943603462872</v>
      </c>
      <c r="AI32" s="123">
        <v>5000.0100000008242</v>
      </c>
      <c r="AJ32" s="123">
        <v>38999.999998983854</v>
      </c>
      <c r="AK32" s="123">
        <v>7970.0000000000064</v>
      </c>
      <c r="AL32" s="123">
        <v>11256.999999998699</v>
      </c>
      <c r="AM32" s="123">
        <v>12100</v>
      </c>
      <c r="AN32" s="123">
        <v>3166.9999999996376</v>
      </c>
      <c r="AO32" s="123">
        <v>1311.9999999998493</v>
      </c>
      <c r="AP32" s="123">
        <v>340.98999999997505</v>
      </c>
      <c r="AQ32" s="123">
        <v>803.35160280789296</v>
      </c>
      <c r="AR32" s="123">
        <v>2396.7848388823404</v>
      </c>
      <c r="AS32" s="123">
        <v>31248.028099180548</v>
      </c>
      <c r="AT32" s="123">
        <v>87100.236991027705</v>
      </c>
      <c r="AU32" s="123">
        <v>87369.897167470263</v>
      </c>
      <c r="AV32" s="123">
        <v>95190.04228431209</v>
      </c>
      <c r="AW32" s="123">
        <v>4644.9719008195216</v>
      </c>
      <c r="AX32" s="123">
        <v>26452.141673303726</v>
      </c>
      <c r="AY32" s="123">
        <v>1711.9999999998035</v>
      </c>
      <c r="AZ32" s="123">
        <v>370.04224901333004</v>
      </c>
      <c r="BA32" s="123">
        <v>1128.223665338516</v>
      </c>
      <c r="BB32" s="123">
        <v>1300.0000000005809</v>
      </c>
      <c r="BC32" s="123">
        <v>16199.99999897049</v>
      </c>
      <c r="BD32" s="123">
        <v>628.99999999992781</v>
      </c>
      <c r="BE32" s="123">
        <v>695.63466135450165</v>
      </c>
      <c r="BF32" s="123">
        <v>550.00999999974545</v>
      </c>
      <c r="BG32" s="123">
        <v>12296.800000006155</v>
      </c>
      <c r="BH32" s="3">
        <v>27464.163491923202</v>
      </c>
      <c r="BI32" s="3">
        <v>4420.0152693252421</v>
      </c>
      <c r="BJ32" s="3">
        <v>2401.4684276812513</v>
      </c>
      <c r="BK32" s="3">
        <v>67126.30509108839</v>
      </c>
      <c r="BL32" s="3">
        <v>0</v>
      </c>
      <c r="BM32" s="3"/>
      <c r="BN32" s="3"/>
      <c r="BO32" s="3"/>
      <c r="BP32" s="3"/>
      <c r="BQ32" s="3"/>
      <c r="BR32" s="3"/>
      <c r="BS32" s="3"/>
      <c r="BT32" s="3"/>
      <c r="BU32" s="3"/>
      <c r="BV32" s="3"/>
      <c r="BW32" s="3"/>
      <c r="BX32" s="3"/>
      <c r="BY32" s="3"/>
    </row>
    <row r="33" spans="1:77" x14ac:dyDescent="0.25">
      <c r="A33" s="1">
        <v>20089.999305555557</v>
      </c>
      <c r="B33" s="123">
        <v>1245.4270000005381</v>
      </c>
      <c r="C33" s="123">
        <v>1746.8500000002621</v>
      </c>
      <c r="D33" s="123">
        <v>2261.1200000002882</v>
      </c>
      <c r="E33" s="123">
        <v>5370.3499999989081</v>
      </c>
      <c r="F33" s="123">
        <v>996.68000000011409</v>
      </c>
      <c r="G33" s="123">
        <v>2334.4100000015378</v>
      </c>
      <c r="H33" s="123">
        <v>287.9999999999668</v>
      </c>
      <c r="I33" s="123">
        <v>2499.9900000012822</v>
      </c>
      <c r="J33" s="123">
        <v>2499.9900000012672</v>
      </c>
      <c r="K33" s="123">
        <v>12708.999999998541</v>
      </c>
      <c r="L33" s="123">
        <v>899.99999999999977</v>
      </c>
      <c r="M33" s="123">
        <v>3659.1999999995969</v>
      </c>
      <c r="N33" s="123">
        <v>13916.560000015921</v>
      </c>
      <c r="O33" s="123">
        <v>11987.800000005504</v>
      </c>
      <c r="P33" s="123">
        <v>673.3700000003422</v>
      </c>
      <c r="Q33" s="123">
        <v>1.5829999999991271</v>
      </c>
      <c r="R33" s="123">
        <v>2294.4700000004386</v>
      </c>
      <c r="S33" s="123">
        <v>1591.6899999993404</v>
      </c>
      <c r="T33" s="123">
        <v>504.47000000016385</v>
      </c>
      <c r="U33" s="123">
        <v>419.22999999996358</v>
      </c>
      <c r="V33" s="123">
        <v>5739.9700000027269</v>
      </c>
      <c r="W33" s="123">
        <v>899.98999999967975</v>
      </c>
      <c r="X33" s="123">
        <v>849.98999999941839</v>
      </c>
      <c r="Y33" s="123">
        <v>324.9999999999643</v>
      </c>
      <c r="Z33" s="123">
        <v>200.00000000007739</v>
      </c>
      <c r="AA33" s="123">
        <v>1000.0000000020067</v>
      </c>
      <c r="AB33" s="123">
        <v>1499.999999998952</v>
      </c>
      <c r="AC33" s="123">
        <v>1000.0000000020067</v>
      </c>
      <c r="AD33" s="123">
        <v>1499.999999998952</v>
      </c>
      <c r="AE33" s="123">
        <v>3823.9999999995575</v>
      </c>
      <c r="AF33" s="123">
        <v>276.36541289377999</v>
      </c>
      <c r="AG33" s="123">
        <v>9207.9999999989413</v>
      </c>
      <c r="AH33" s="123">
        <v>2353.9999999997322</v>
      </c>
      <c r="AI33" s="123">
        <v>5000.0100000008242</v>
      </c>
      <c r="AJ33" s="123">
        <v>38999.999998983854</v>
      </c>
      <c r="AK33" s="123">
        <v>7970.0000000000064</v>
      </c>
      <c r="AL33" s="123">
        <v>11567.999999998678</v>
      </c>
      <c r="AM33" s="123">
        <v>12100</v>
      </c>
      <c r="AN33" s="123">
        <v>3159.999999999638</v>
      </c>
      <c r="AO33" s="123">
        <v>1426.9999999998361</v>
      </c>
      <c r="AP33" s="123">
        <v>340.98999999997505</v>
      </c>
      <c r="AQ33" s="123">
        <v>1077.6909468967076</v>
      </c>
      <c r="AR33" s="123">
        <v>1961.5370685324424</v>
      </c>
      <c r="AS33" s="123">
        <v>31248.028099180548</v>
      </c>
      <c r="AT33" s="123">
        <v>80833.233861201923</v>
      </c>
      <c r="AU33" s="123">
        <v>81083.491551174535</v>
      </c>
      <c r="AV33" s="123">
        <v>88340.964560384498</v>
      </c>
      <c r="AW33" s="123">
        <v>4644.971900819477</v>
      </c>
      <c r="AX33" s="123">
        <v>26825.405378482956</v>
      </c>
      <c r="AY33" s="123">
        <v>1881.9999999997817</v>
      </c>
      <c r="AZ33" s="123">
        <v>449.05386435690878</v>
      </c>
      <c r="BA33" s="123">
        <v>1144.1439243026573</v>
      </c>
      <c r="BB33" s="123">
        <v>1300.0000000005809</v>
      </c>
      <c r="BC33" s="123">
        <v>16199.99999897049</v>
      </c>
      <c r="BD33" s="123">
        <v>643.99999999992588</v>
      </c>
      <c r="BE33" s="123">
        <v>705.45069721107473</v>
      </c>
      <c r="BF33" s="123">
        <v>550.00999999974545</v>
      </c>
      <c r="BG33" s="123">
        <v>12296.800000006155</v>
      </c>
      <c r="BH33" s="3">
        <v>24710.189469004843</v>
      </c>
      <c r="BI33" s="3">
        <v>539.51797531547811</v>
      </c>
      <c r="BJ33" s="3">
        <v>2397.5001032564164</v>
      </c>
      <c r="BK33" s="3">
        <v>57504.081149979109</v>
      </c>
      <c r="BL33" s="3">
        <v>0</v>
      </c>
      <c r="BM33" s="3"/>
      <c r="BN33" s="3"/>
      <c r="BO33" s="3"/>
      <c r="BP33" s="3"/>
      <c r="BQ33" s="3"/>
      <c r="BR33" s="3"/>
      <c r="BS33" s="3"/>
      <c r="BT33" s="3"/>
      <c r="BU33" s="3"/>
      <c r="BV33" s="3"/>
      <c r="BW33" s="3"/>
      <c r="BX33" s="3"/>
      <c r="BY33" s="3"/>
    </row>
    <row r="34" spans="1:77" x14ac:dyDescent="0.25">
      <c r="A34" s="1">
        <v>20454.999305555557</v>
      </c>
      <c r="B34" s="123">
        <v>1181.6541283505248</v>
      </c>
      <c r="C34" s="123">
        <v>1746.8500000002621</v>
      </c>
      <c r="D34" s="123">
        <v>2261.1200000002882</v>
      </c>
      <c r="E34" s="123">
        <v>5370.3499999989081</v>
      </c>
      <c r="F34" s="123">
        <v>996.68000000011409</v>
      </c>
      <c r="G34" s="123">
        <v>2334.4100000015378</v>
      </c>
      <c r="H34" s="123">
        <v>277.99999999996788</v>
      </c>
      <c r="I34" s="123">
        <v>2499.9900000012822</v>
      </c>
      <c r="J34" s="123">
        <v>2499.9900000012672</v>
      </c>
      <c r="K34" s="123">
        <v>12289.999999998583</v>
      </c>
      <c r="L34" s="123">
        <v>900.00000000000068</v>
      </c>
      <c r="M34" s="123">
        <v>3659.1999999995969</v>
      </c>
      <c r="N34" s="123">
        <v>13916.560000015921</v>
      </c>
      <c r="O34" s="123">
        <v>11987.800000005504</v>
      </c>
      <c r="P34" s="123">
        <v>673.3700000003422</v>
      </c>
      <c r="Q34" s="123">
        <v>65.355871650013171</v>
      </c>
      <c r="R34" s="123">
        <v>2294.4700000004386</v>
      </c>
      <c r="S34" s="123">
        <v>1591.6899999993404</v>
      </c>
      <c r="T34" s="123">
        <v>504.47000000016385</v>
      </c>
      <c r="U34" s="123">
        <v>419.22999999996358</v>
      </c>
      <c r="V34" s="123">
        <v>5739.9700000027269</v>
      </c>
      <c r="W34" s="123">
        <v>899.98999999967975</v>
      </c>
      <c r="X34" s="123">
        <v>849.98999999941839</v>
      </c>
      <c r="Y34" s="123">
        <v>324.9999999999643</v>
      </c>
      <c r="Z34" s="123">
        <v>200.00000000007739</v>
      </c>
      <c r="AA34" s="123">
        <v>1000.0000000020067</v>
      </c>
      <c r="AB34" s="123">
        <v>1499.999999998952</v>
      </c>
      <c r="AC34" s="123">
        <v>1000.0000000020067</v>
      </c>
      <c r="AD34" s="123">
        <v>1499.999999998952</v>
      </c>
      <c r="AE34" s="123">
        <v>3532.9999999995935</v>
      </c>
      <c r="AF34" s="123">
        <v>264.78565284956653</v>
      </c>
      <c r="AG34" s="123">
        <v>9413.9999999989141</v>
      </c>
      <c r="AH34" s="123">
        <v>2203.9999999997458</v>
      </c>
      <c r="AI34" s="123">
        <v>5000.0100000008242</v>
      </c>
      <c r="AJ34" s="123">
        <v>38999.999998983854</v>
      </c>
      <c r="AK34" s="123">
        <v>7969.9999999999973</v>
      </c>
      <c r="AL34" s="123">
        <v>11128.999999998714</v>
      </c>
      <c r="AM34" s="123">
        <v>12100.000000000011</v>
      </c>
      <c r="AN34" s="123">
        <v>3050.9999999996489</v>
      </c>
      <c r="AO34" s="123">
        <v>1064.9999999998781</v>
      </c>
      <c r="AP34" s="123">
        <v>340.98999999997505</v>
      </c>
      <c r="AQ34" s="123">
        <v>855.27922266997746</v>
      </c>
      <c r="AR34" s="123">
        <v>2783.8310114835213</v>
      </c>
      <c r="AS34" s="123">
        <v>31248.028099180548</v>
      </c>
      <c r="AT34" s="123">
        <v>78769.990168550707</v>
      </c>
      <c r="AU34" s="123">
        <v>79013.860107152927</v>
      </c>
      <c r="AV34" s="123">
        <v>86086.088326619996</v>
      </c>
      <c r="AW34" s="123">
        <v>4644.9719008195098</v>
      </c>
      <c r="AX34" s="123">
        <v>25460.513784857623</v>
      </c>
      <c r="AY34" s="123">
        <v>1684.9999999998061</v>
      </c>
      <c r="AZ34" s="123">
        <v>425.62763973366776</v>
      </c>
      <c r="BA34" s="123">
        <v>1085.9292430277626</v>
      </c>
      <c r="BB34" s="123">
        <v>1300.0000000005809</v>
      </c>
      <c r="BC34" s="123">
        <v>16199.99999897049</v>
      </c>
      <c r="BD34" s="123">
        <v>623.99999999992838</v>
      </c>
      <c r="BE34" s="123">
        <v>669.55697211147651</v>
      </c>
      <c r="BF34" s="123">
        <v>550.00999999974545</v>
      </c>
      <c r="BG34" s="123">
        <v>12296.800000006155</v>
      </c>
      <c r="BH34" s="3">
        <v>23225.904663781974</v>
      </c>
      <c r="BI34" s="3">
        <v>-738.03229877211174</v>
      </c>
      <c r="BJ34" s="3">
        <v>2414.3733378950128</v>
      </c>
      <c r="BK34" s="3">
        <v>53181.604917705044</v>
      </c>
      <c r="BL34" s="3">
        <v>0</v>
      </c>
      <c r="BM34" s="3"/>
      <c r="BN34" s="3"/>
      <c r="BO34" s="3"/>
      <c r="BP34" s="3"/>
      <c r="BQ34" s="3"/>
      <c r="BR34" s="3"/>
      <c r="BS34" s="3"/>
      <c r="BT34" s="3"/>
      <c r="BU34" s="3"/>
      <c r="BV34" s="3"/>
      <c r="BW34" s="3"/>
      <c r="BX34" s="3"/>
      <c r="BY34" s="3"/>
    </row>
    <row r="35" spans="1:77" x14ac:dyDescent="0.25">
      <c r="A35" s="1">
        <v>20820.999305555557</v>
      </c>
      <c r="B35" s="123">
        <v>965.8716129035472</v>
      </c>
      <c r="C35" s="123">
        <v>1746.8500000002621</v>
      </c>
      <c r="D35" s="123">
        <v>2261.1200000002877</v>
      </c>
      <c r="E35" s="123">
        <v>5370.3499999989081</v>
      </c>
      <c r="F35" s="123">
        <v>996.68000000011409</v>
      </c>
      <c r="G35" s="123">
        <v>2334.4100000015383</v>
      </c>
      <c r="H35" s="123">
        <v>305.99999999996487</v>
      </c>
      <c r="I35" s="123">
        <v>2499.9900000012822</v>
      </c>
      <c r="J35" s="123">
        <v>2499.9900000012672</v>
      </c>
      <c r="K35" s="123">
        <v>13524.999999998441</v>
      </c>
      <c r="L35" s="123">
        <v>899.99999999999955</v>
      </c>
      <c r="M35" s="123">
        <v>3659.1999999995965</v>
      </c>
      <c r="N35" s="123">
        <v>13916.560000015921</v>
      </c>
      <c r="O35" s="123">
        <v>11987.800000005504</v>
      </c>
      <c r="P35" s="123">
        <v>673.3700000003422</v>
      </c>
      <c r="Q35" s="123">
        <v>281.13838709699246</v>
      </c>
      <c r="R35" s="123">
        <v>2294.4700000004386</v>
      </c>
      <c r="S35" s="123">
        <v>1591.6899999993404</v>
      </c>
      <c r="T35" s="123">
        <v>504.47000000016385</v>
      </c>
      <c r="U35" s="123">
        <v>419.22999999996358</v>
      </c>
      <c r="V35" s="123">
        <v>5739.970000002726</v>
      </c>
      <c r="W35" s="123">
        <v>899.98999999967964</v>
      </c>
      <c r="X35" s="123">
        <v>849.98999999941861</v>
      </c>
      <c r="Y35" s="123">
        <v>324.9999999999643</v>
      </c>
      <c r="Z35" s="123">
        <v>200.00000000007739</v>
      </c>
      <c r="AA35" s="123">
        <v>1000.0000000020035</v>
      </c>
      <c r="AB35" s="123">
        <v>1499.9999999989695</v>
      </c>
      <c r="AC35" s="123">
        <v>1000.0000000020035</v>
      </c>
      <c r="AD35" s="123">
        <v>1499.9999999989695</v>
      </c>
      <c r="AE35" s="123">
        <v>3893.9999999995543</v>
      </c>
      <c r="AF35" s="123">
        <v>243.12584341298685</v>
      </c>
      <c r="AG35" s="123">
        <v>9661.9674553653458</v>
      </c>
      <c r="AH35" s="123">
        <v>2389.7839222325961</v>
      </c>
      <c r="AI35" s="123">
        <v>5000.0100000008242</v>
      </c>
      <c r="AJ35" s="123">
        <v>38999.999998983862</v>
      </c>
      <c r="AK35" s="123">
        <v>7970.0000000000045</v>
      </c>
      <c r="AL35" s="123">
        <v>12267.999999998588</v>
      </c>
      <c r="AM35" s="123">
        <v>12099.999999999993</v>
      </c>
      <c r="AN35" s="123">
        <v>3384.9999999996103</v>
      </c>
      <c r="AO35" s="123">
        <v>1226.9999999998583</v>
      </c>
      <c r="AP35" s="123">
        <v>340.98999999997511</v>
      </c>
      <c r="AQ35" s="123">
        <v>582.86815176775224</v>
      </c>
      <c r="AR35" s="123">
        <v>1164.0023033516829</v>
      </c>
      <c r="AS35" s="123">
        <v>31235.302148767347</v>
      </c>
      <c r="AT35" s="123">
        <v>88359.591608343821</v>
      </c>
      <c r="AU35" s="123">
        <v>88633.150715490148</v>
      </c>
      <c r="AV35" s="123">
        <v>96566.364822741016</v>
      </c>
      <c r="AW35" s="123">
        <v>4657.697851232725</v>
      </c>
      <c r="AX35" s="123">
        <v>28359.62211155051</v>
      </c>
      <c r="AY35" s="123">
        <v>1929.999999999779</v>
      </c>
      <c r="AZ35" s="123">
        <v>336.8703006814157</v>
      </c>
      <c r="BA35" s="123">
        <v>1209.5805776891045</v>
      </c>
      <c r="BB35" s="123">
        <v>1300.0000000005807</v>
      </c>
      <c r="BC35" s="123">
        <v>16199.999998970494</v>
      </c>
      <c r="BD35" s="123">
        <v>684.99999999992122</v>
      </c>
      <c r="BE35" s="123">
        <v>745.79731075688619</v>
      </c>
      <c r="BF35" s="123">
        <v>550.00999999974533</v>
      </c>
      <c r="BG35" s="123">
        <v>12296.800000006155</v>
      </c>
      <c r="BH35" s="3">
        <v>21545.042699389094</v>
      </c>
      <c r="BI35" s="3">
        <v>5064.1520401625239</v>
      </c>
      <c r="BJ35" s="3">
        <v>2353.4621704545834</v>
      </c>
      <c r="BK35" s="3">
        <v>66043.672748111872</v>
      </c>
      <c r="BL35" s="3">
        <v>0</v>
      </c>
      <c r="BM35" s="3"/>
      <c r="BN35" s="3"/>
      <c r="BO35" s="3"/>
      <c r="BP35" s="3"/>
      <c r="BQ35" s="3"/>
      <c r="BR35" s="3"/>
      <c r="BS35" s="3"/>
      <c r="BT35" s="3"/>
      <c r="BU35" s="3"/>
      <c r="BV35" s="3"/>
      <c r="BW35" s="3"/>
      <c r="BX35" s="3"/>
      <c r="BY35" s="3"/>
    </row>
    <row r="36" spans="1:77" x14ac:dyDescent="0.25">
      <c r="A36" s="1">
        <v>21185.999305555557</v>
      </c>
      <c r="B36" s="123">
        <v>1247.010000000537</v>
      </c>
      <c r="C36" s="123">
        <v>1746.8500000002621</v>
      </c>
      <c r="D36" s="123">
        <v>2261.1200000002882</v>
      </c>
      <c r="E36" s="123">
        <v>5370.3499999989081</v>
      </c>
      <c r="F36" s="123">
        <v>996.68000000011409</v>
      </c>
      <c r="G36" s="123">
        <v>2334.4100000015378</v>
      </c>
      <c r="H36" s="123">
        <v>217.99999999997496</v>
      </c>
      <c r="I36" s="123">
        <v>2499.9900000012822</v>
      </c>
      <c r="J36" s="123">
        <v>2499.9900000012672</v>
      </c>
      <c r="K36" s="123">
        <v>9632.9999999988922</v>
      </c>
      <c r="L36" s="123">
        <v>900</v>
      </c>
      <c r="M36" s="123">
        <v>3659.1999999995969</v>
      </c>
      <c r="N36" s="123">
        <v>13916.560000015921</v>
      </c>
      <c r="O36" s="123">
        <v>11987.800000005504</v>
      </c>
      <c r="P36" s="123">
        <v>673.3700000003422</v>
      </c>
      <c r="Q36" s="123">
        <v>0</v>
      </c>
      <c r="R36" s="123">
        <v>2294.4700000004386</v>
      </c>
      <c r="S36" s="123">
        <v>1591.6899999993404</v>
      </c>
      <c r="T36" s="123">
        <v>504.47000000016385</v>
      </c>
      <c r="U36" s="123">
        <v>419.22999999996358</v>
      </c>
      <c r="V36" s="123">
        <v>5739.9700000027269</v>
      </c>
      <c r="W36" s="123">
        <v>899.98999999967975</v>
      </c>
      <c r="X36" s="123">
        <v>849.98999999941839</v>
      </c>
      <c r="Y36" s="123">
        <v>324.9999999999643</v>
      </c>
      <c r="Z36" s="123">
        <v>200.00000000007739</v>
      </c>
      <c r="AA36" s="123">
        <v>1000.0000000020067</v>
      </c>
      <c r="AB36" s="123">
        <v>1499.999999998952</v>
      </c>
      <c r="AC36" s="123">
        <v>1000.0000000020067</v>
      </c>
      <c r="AD36" s="123">
        <v>1499.999999998952</v>
      </c>
      <c r="AE36" s="123">
        <v>3277.9999999996235</v>
      </c>
      <c r="AF36" s="123">
        <v>213.37659499999995</v>
      </c>
      <c r="AG36" s="123">
        <v>7776.9999999991123</v>
      </c>
      <c r="AH36" s="123">
        <v>1994.9999999997722</v>
      </c>
      <c r="AI36" s="123">
        <v>5000.0100000008242</v>
      </c>
      <c r="AJ36" s="123">
        <v>38999.999998983854</v>
      </c>
      <c r="AK36" s="123">
        <v>7912.001213045849</v>
      </c>
      <c r="AL36" s="123">
        <v>8802.9999999989868</v>
      </c>
      <c r="AM36" s="123">
        <v>12100.000000000007</v>
      </c>
      <c r="AN36" s="123">
        <v>2615.999999999698</v>
      </c>
      <c r="AO36" s="123">
        <v>698.99999999991951</v>
      </c>
      <c r="AP36" s="123">
        <v>340.98999999997505</v>
      </c>
      <c r="AQ36" s="123">
        <v>1156.0777276959261</v>
      </c>
      <c r="AR36" s="123">
        <v>7018.4062918060908</v>
      </c>
      <c r="AS36" s="123">
        <v>31248.028099180548</v>
      </c>
      <c r="AT36" s="123">
        <v>72147.756296909429</v>
      </c>
      <c r="AU36" s="123">
        <v>72371.12396346312</v>
      </c>
      <c r="AV36" s="123">
        <v>78848.786293526209</v>
      </c>
      <c r="AW36" s="123">
        <v>4644.9719008195043</v>
      </c>
      <c r="AX36" s="123">
        <v>20705.377410356163</v>
      </c>
      <c r="AY36" s="123">
        <v>1394.9999999998392</v>
      </c>
      <c r="AZ36" s="123">
        <v>351.09710072684351</v>
      </c>
      <c r="BA36" s="123">
        <v>883.11551792818477</v>
      </c>
      <c r="BB36" s="123">
        <v>1300.0000000005809</v>
      </c>
      <c r="BC36" s="123">
        <v>16199.99999897049</v>
      </c>
      <c r="BD36" s="123">
        <v>488.99999999994401</v>
      </c>
      <c r="BE36" s="123">
        <v>544.50707171308488</v>
      </c>
      <c r="BF36" s="123">
        <v>550.00999999974545</v>
      </c>
      <c r="BG36" s="123">
        <v>12296.800000006155</v>
      </c>
      <c r="BH36" s="3">
        <v>22583.833842841501</v>
      </c>
      <c r="BI36" s="3">
        <v>-4838.4867084569105</v>
      </c>
      <c r="BJ36" s="3">
        <v>2297.5095513389942</v>
      </c>
      <c r="BK36" s="3">
        <v>179582.02269961478</v>
      </c>
      <c r="BL36" s="3">
        <v>0</v>
      </c>
      <c r="BM36" s="3"/>
      <c r="BN36" s="3"/>
      <c r="BO36" s="3"/>
      <c r="BP36" s="3"/>
      <c r="BQ36" s="3"/>
      <c r="BR36" s="3"/>
      <c r="BS36" s="3"/>
      <c r="BT36" s="3"/>
      <c r="BU36" s="3"/>
      <c r="BV36" s="3"/>
      <c r="BW36" s="3"/>
      <c r="BX36" s="3"/>
      <c r="BY36" s="3"/>
    </row>
    <row r="37" spans="1:77" x14ac:dyDescent="0.25">
      <c r="A37" s="1">
        <v>21550.999305555557</v>
      </c>
      <c r="B37" s="123">
        <v>1247.010000000537</v>
      </c>
      <c r="C37" s="123">
        <v>1746.8500000002621</v>
      </c>
      <c r="D37" s="123">
        <v>2261.1200000002882</v>
      </c>
      <c r="E37" s="123">
        <v>5370.3499999989081</v>
      </c>
      <c r="F37" s="123">
        <v>996.68000000011409</v>
      </c>
      <c r="G37" s="123">
        <v>2334.4100000015378</v>
      </c>
      <c r="H37" s="123">
        <v>283.99999999996714</v>
      </c>
      <c r="I37" s="123">
        <v>2499.9900000012822</v>
      </c>
      <c r="J37" s="123">
        <v>2499.9900000012672</v>
      </c>
      <c r="K37" s="123">
        <v>12570.999999998554</v>
      </c>
      <c r="L37" s="123">
        <v>899.99999999999955</v>
      </c>
      <c r="M37" s="123">
        <v>3659.1999999995969</v>
      </c>
      <c r="N37" s="123">
        <v>13916.560000015921</v>
      </c>
      <c r="O37" s="123">
        <v>11987.800000005504</v>
      </c>
      <c r="P37" s="123">
        <v>673.3700000003422</v>
      </c>
      <c r="Q37" s="123">
        <v>0</v>
      </c>
      <c r="R37" s="123">
        <v>2294.4700000004386</v>
      </c>
      <c r="S37" s="123">
        <v>1591.6899999993404</v>
      </c>
      <c r="T37" s="123">
        <v>504.47000000016385</v>
      </c>
      <c r="U37" s="123">
        <v>419.22999999996358</v>
      </c>
      <c r="V37" s="123">
        <v>5739.9700000027269</v>
      </c>
      <c r="W37" s="123">
        <v>899.98999999967975</v>
      </c>
      <c r="X37" s="123">
        <v>849.98999999941839</v>
      </c>
      <c r="Y37" s="123">
        <v>324.9999999999643</v>
      </c>
      <c r="Z37" s="123">
        <v>200.00000000007739</v>
      </c>
      <c r="AA37" s="123">
        <v>1000.0000000020067</v>
      </c>
      <c r="AB37" s="123">
        <v>1499.999999998952</v>
      </c>
      <c r="AC37" s="123">
        <v>1000.0000000020067</v>
      </c>
      <c r="AD37" s="123">
        <v>1499.999999998952</v>
      </c>
      <c r="AE37" s="123">
        <v>4002.9999999995375</v>
      </c>
      <c r="AF37" s="123">
        <v>275.55410318037832</v>
      </c>
      <c r="AG37" s="123">
        <v>9647.9999999988868</v>
      </c>
      <c r="AH37" s="123">
        <v>2404.9662928580715</v>
      </c>
      <c r="AI37" s="123">
        <v>5000.0100000008242</v>
      </c>
      <c r="AJ37" s="123">
        <v>38999.999998983854</v>
      </c>
      <c r="AK37" s="123">
        <v>7969.9999999999945</v>
      </c>
      <c r="AL37" s="123">
        <v>11424.99999999869</v>
      </c>
      <c r="AM37" s="123">
        <v>12100.000000000022</v>
      </c>
      <c r="AN37" s="123">
        <v>3202.9999999996312</v>
      </c>
      <c r="AO37" s="123">
        <v>1132.9999999998695</v>
      </c>
      <c r="AP37" s="123">
        <v>340.98999999997505</v>
      </c>
      <c r="AQ37" s="123">
        <v>1124.7618189410457</v>
      </c>
      <c r="AR37" s="123">
        <v>4580.8675078738152</v>
      </c>
      <c r="AS37" s="123">
        <v>31248.028099180548</v>
      </c>
      <c r="AT37" s="123">
        <v>87933.140272959965</v>
      </c>
      <c r="AU37" s="123">
        <v>88205.379097334415</v>
      </c>
      <c r="AV37" s="123">
        <v>96100.305004194684</v>
      </c>
      <c r="AW37" s="123">
        <v>4644.9719008195007</v>
      </c>
      <c r="AX37" s="123">
        <v>26790.791952188145</v>
      </c>
      <c r="AY37" s="123">
        <v>1592.9999999998163</v>
      </c>
      <c r="AZ37" s="123">
        <v>381.83716308317145</v>
      </c>
      <c r="BA37" s="123">
        <v>1142.6676095616212</v>
      </c>
      <c r="BB37" s="123">
        <v>1300.0000000005809</v>
      </c>
      <c r="BC37" s="123">
        <v>16199.99999897049</v>
      </c>
      <c r="BD37" s="123">
        <v>636.99999999992679</v>
      </c>
      <c r="BE37" s="123">
        <v>704.54043824693133</v>
      </c>
      <c r="BF37" s="123">
        <v>550.00999999974545</v>
      </c>
      <c r="BG37" s="123">
        <v>12296.800000006155</v>
      </c>
      <c r="BH37" s="3">
        <v>29051.123781599053</v>
      </c>
      <c r="BI37" s="3">
        <v>4935.7448556607997</v>
      </c>
      <c r="BJ37" s="3">
        <v>2425.3034150943108</v>
      </c>
      <c r="BK37" s="3">
        <v>131643.58888506735</v>
      </c>
      <c r="BL37" s="3">
        <v>0</v>
      </c>
      <c r="BM37" s="3"/>
      <c r="BN37" s="3"/>
      <c r="BO37" s="3"/>
      <c r="BP37" s="3"/>
      <c r="BQ37" s="3"/>
      <c r="BR37" s="3"/>
      <c r="BS37" s="3"/>
      <c r="BT37" s="3"/>
      <c r="BU37" s="3"/>
      <c r="BV37" s="3"/>
      <c r="BW37" s="3"/>
      <c r="BX37" s="3"/>
      <c r="BY37" s="3"/>
    </row>
    <row r="38" spans="1:77" x14ac:dyDescent="0.25">
      <c r="A38" s="1">
        <v>21915.999305555557</v>
      </c>
      <c r="B38" s="123">
        <v>1003.5576832687124</v>
      </c>
      <c r="C38" s="123">
        <v>1746.8500000002621</v>
      </c>
      <c r="D38" s="123">
        <v>2261.1200000002882</v>
      </c>
      <c r="E38" s="123">
        <v>5370.3499999989081</v>
      </c>
      <c r="F38" s="123">
        <v>996.68000000011409</v>
      </c>
      <c r="G38" s="123">
        <v>2334.4100000015378</v>
      </c>
      <c r="H38" s="123">
        <v>270.99999999996902</v>
      </c>
      <c r="I38" s="123">
        <v>2499.9900000012822</v>
      </c>
      <c r="J38" s="123">
        <v>2499.9900000012672</v>
      </c>
      <c r="K38" s="123">
        <v>11919.99999999863</v>
      </c>
      <c r="L38" s="123">
        <v>900</v>
      </c>
      <c r="M38" s="123">
        <v>3659.1999999995969</v>
      </c>
      <c r="N38" s="123">
        <v>13916.560000015921</v>
      </c>
      <c r="O38" s="123">
        <v>11987.800000005504</v>
      </c>
      <c r="P38" s="123">
        <v>673.3700000003422</v>
      </c>
      <c r="Q38" s="123">
        <v>243.45231673182775</v>
      </c>
      <c r="R38" s="123">
        <v>2294.4700000004386</v>
      </c>
      <c r="S38" s="123">
        <v>1591.6899999993404</v>
      </c>
      <c r="T38" s="123">
        <v>504.47000000016385</v>
      </c>
      <c r="U38" s="123">
        <v>419.22999999996358</v>
      </c>
      <c r="V38" s="123">
        <v>5739.9700000027269</v>
      </c>
      <c r="W38" s="123">
        <v>899.98999999967975</v>
      </c>
      <c r="X38" s="123">
        <v>849.98999999941839</v>
      </c>
      <c r="Y38" s="123">
        <v>324.9999999999643</v>
      </c>
      <c r="Z38" s="123">
        <v>200.00000000007739</v>
      </c>
      <c r="AA38" s="123">
        <v>1000.0000000020067</v>
      </c>
      <c r="AB38" s="123">
        <v>1499.999999998952</v>
      </c>
      <c r="AC38" s="123">
        <v>1000.0000000020067</v>
      </c>
      <c r="AD38" s="123">
        <v>1499.999999998952</v>
      </c>
      <c r="AE38" s="123">
        <v>3736.9999999995703</v>
      </c>
      <c r="AF38" s="123">
        <v>272.89886515299861</v>
      </c>
      <c r="AG38" s="123">
        <v>9171.1422640032506</v>
      </c>
      <c r="AH38" s="123">
        <v>2232.665166949721</v>
      </c>
      <c r="AI38" s="123">
        <v>5000.0100000008242</v>
      </c>
      <c r="AJ38" s="123">
        <v>38999.999998983854</v>
      </c>
      <c r="AK38" s="123">
        <v>7969.9999999999909</v>
      </c>
      <c r="AL38" s="123">
        <v>10926.999999998758</v>
      </c>
      <c r="AM38" s="123">
        <v>12099.999999999996</v>
      </c>
      <c r="AN38" s="123">
        <v>3270.9999999996239</v>
      </c>
      <c r="AO38" s="123">
        <v>1041.9999999998809</v>
      </c>
      <c r="AP38" s="123">
        <v>340.98999999997505</v>
      </c>
      <c r="AQ38" s="123">
        <v>907.10677542602571</v>
      </c>
      <c r="AR38" s="123">
        <v>1913.399426219228</v>
      </c>
      <c r="AS38" s="123">
        <v>31248.028099180548</v>
      </c>
      <c r="AT38" s="123">
        <v>82220.491156040473</v>
      </c>
      <c r="AU38" s="123">
        <v>82475.043760238244</v>
      </c>
      <c r="AV38" s="123">
        <v>89857.069281987919</v>
      </c>
      <c r="AW38" s="123">
        <v>4644.9719008195007</v>
      </c>
      <c r="AX38" s="123">
        <v>26350.172390435215</v>
      </c>
      <c r="AY38" s="123">
        <v>1519.9999999998254</v>
      </c>
      <c r="AZ38" s="123">
        <v>414.60959854631352</v>
      </c>
      <c r="BA38" s="123">
        <v>1123.874521912222</v>
      </c>
      <c r="BB38" s="123">
        <v>1300.0000000005809</v>
      </c>
      <c r="BC38" s="123">
        <v>16199.99999897049</v>
      </c>
      <c r="BD38" s="123">
        <v>603.9999999999302</v>
      </c>
      <c r="BE38" s="123">
        <v>692.95308764932247</v>
      </c>
      <c r="BF38" s="123">
        <v>550.00999999974545</v>
      </c>
      <c r="BG38" s="123">
        <v>12296.800000006155</v>
      </c>
      <c r="BH38" s="3">
        <v>24063.476651417506</v>
      </c>
      <c r="BI38" s="3">
        <v>1398.5008204166634</v>
      </c>
      <c r="BJ38" s="3">
        <v>2384.7047060258537</v>
      </c>
      <c r="BK38" s="3">
        <v>47330.085691521832</v>
      </c>
      <c r="BL38" s="3">
        <v>0</v>
      </c>
      <c r="BM38" s="3"/>
      <c r="BN38" s="3"/>
      <c r="BO38" s="3"/>
      <c r="BP38" s="3"/>
      <c r="BQ38" s="3"/>
      <c r="BR38" s="3"/>
      <c r="BS38" s="3"/>
      <c r="BT38" s="3"/>
      <c r="BU38" s="3"/>
      <c r="BV38" s="3"/>
      <c r="BW38" s="3"/>
      <c r="BX38" s="3"/>
      <c r="BY38" s="3"/>
    </row>
    <row r="39" spans="1:77" x14ac:dyDescent="0.25">
      <c r="A39" s="1">
        <v>22281.999305555557</v>
      </c>
      <c r="B39" s="123">
        <v>1098.3931397853291</v>
      </c>
      <c r="C39" s="123">
        <v>1746.8500000002621</v>
      </c>
      <c r="D39" s="123">
        <v>2261.1200000002882</v>
      </c>
      <c r="E39" s="123">
        <v>5370.3499999989081</v>
      </c>
      <c r="F39" s="123">
        <v>996.68000000011409</v>
      </c>
      <c r="G39" s="123">
        <v>2334.4100000015383</v>
      </c>
      <c r="H39" s="123">
        <v>307.9999999999647</v>
      </c>
      <c r="I39" s="123">
        <v>2499.9900000012822</v>
      </c>
      <c r="J39" s="123">
        <v>2499.9900000012672</v>
      </c>
      <c r="K39" s="123">
        <v>13597.999999998434</v>
      </c>
      <c r="L39" s="123">
        <v>899.99999999999977</v>
      </c>
      <c r="M39" s="123">
        <v>3659.1999999995965</v>
      </c>
      <c r="N39" s="123">
        <v>13916.560000015921</v>
      </c>
      <c r="O39" s="123">
        <v>11987.800000005504</v>
      </c>
      <c r="P39" s="123">
        <v>673.3700000003422</v>
      </c>
      <c r="Q39" s="123">
        <v>148.61686021520958</v>
      </c>
      <c r="R39" s="123">
        <v>2294.4700000004386</v>
      </c>
      <c r="S39" s="123">
        <v>1591.6899999993404</v>
      </c>
      <c r="T39" s="123">
        <v>504.47000000016385</v>
      </c>
      <c r="U39" s="123">
        <v>419.22999999996358</v>
      </c>
      <c r="V39" s="123">
        <v>5739.970000002726</v>
      </c>
      <c r="W39" s="123">
        <v>899.98999999967964</v>
      </c>
      <c r="X39" s="123">
        <v>849.98999999941861</v>
      </c>
      <c r="Y39" s="123">
        <v>324.9999999999643</v>
      </c>
      <c r="Z39" s="123">
        <v>200.00000000007739</v>
      </c>
      <c r="AA39" s="123">
        <v>1000.0000000020035</v>
      </c>
      <c r="AB39" s="123">
        <v>1499.9999999989695</v>
      </c>
      <c r="AC39" s="123">
        <v>1000.0000000020035</v>
      </c>
      <c r="AD39" s="123">
        <v>1499.9999999989695</v>
      </c>
      <c r="AE39" s="123">
        <v>3781.9999999995698</v>
      </c>
      <c r="AF39" s="123">
        <v>291.14129995457216</v>
      </c>
      <c r="AG39" s="123">
        <v>10217.999999998823</v>
      </c>
      <c r="AH39" s="123">
        <v>2316.4219158415435</v>
      </c>
      <c r="AI39" s="123">
        <v>5000.0100000008242</v>
      </c>
      <c r="AJ39" s="123">
        <v>38999.999998983862</v>
      </c>
      <c r="AK39" s="123">
        <v>7970.0000000000036</v>
      </c>
      <c r="AL39" s="123">
        <v>12363.999999998578</v>
      </c>
      <c r="AM39" s="123">
        <v>12099.999999999993</v>
      </c>
      <c r="AN39" s="123">
        <v>3440.9999999996053</v>
      </c>
      <c r="AO39" s="123">
        <v>1135.9999999998695</v>
      </c>
      <c r="AP39" s="123">
        <v>340.98999999997511</v>
      </c>
      <c r="AQ39" s="123">
        <v>858.25691091308818</v>
      </c>
      <c r="AR39" s="123">
        <v>2991.6371984387929</v>
      </c>
      <c r="AS39" s="123">
        <v>31235.302148767347</v>
      </c>
      <c r="AT39" s="123">
        <v>90474.149707685719</v>
      </c>
      <c r="AU39" s="123">
        <v>90754.255434334933</v>
      </c>
      <c r="AV39" s="123">
        <v>98877.321507161469</v>
      </c>
      <c r="AW39" s="123">
        <v>4657.6978512326987</v>
      </c>
      <c r="AX39" s="123">
        <v>29061.245617526543</v>
      </c>
      <c r="AY39" s="123">
        <v>1631.9999999998129</v>
      </c>
      <c r="AZ39" s="123">
        <v>400.12876308317135</v>
      </c>
      <c r="BA39" s="123">
        <v>1239.5058764938806</v>
      </c>
      <c r="BB39" s="123">
        <v>1300.0000000005807</v>
      </c>
      <c r="BC39" s="123">
        <v>16199.999998970494</v>
      </c>
      <c r="BD39" s="123">
        <v>687.99999999992053</v>
      </c>
      <c r="BE39" s="123">
        <v>764.248505976008</v>
      </c>
      <c r="BF39" s="123">
        <v>550.00999999974533</v>
      </c>
      <c r="BG39" s="123">
        <v>12296.800000006155</v>
      </c>
      <c r="BH39" s="3">
        <v>27436.704051997942</v>
      </c>
      <c r="BI39" s="3">
        <v>6373.4759406839685</v>
      </c>
      <c r="BJ39" s="3">
        <v>2397.2786586706879</v>
      </c>
      <c r="BK39" s="3">
        <v>113053.68618153682</v>
      </c>
      <c r="BL39" s="3">
        <v>0</v>
      </c>
      <c r="BM39" s="3"/>
      <c r="BN39" s="3"/>
      <c r="BO39" s="3"/>
      <c r="BP39" s="3"/>
      <c r="BQ39" s="3"/>
      <c r="BR39" s="3"/>
      <c r="BS39" s="3"/>
      <c r="BT39" s="3"/>
      <c r="BU39" s="3"/>
      <c r="BV39" s="3"/>
      <c r="BW39" s="3"/>
      <c r="BX39" s="3"/>
      <c r="BY39" s="3"/>
    </row>
    <row r="40" spans="1:77" x14ac:dyDescent="0.25">
      <c r="A40" s="1">
        <v>22646.999305555557</v>
      </c>
      <c r="B40" s="123">
        <v>1247.010000000537</v>
      </c>
      <c r="C40" s="123">
        <v>1746.8500000002621</v>
      </c>
      <c r="D40" s="123">
        <v>2261.1200000002882</v>
      </c>
      <c r="E40" s="123">
        <v>5370.3499999989081</v>
      </c>
      <c r="F40" s="123">
        <v>996.68000000011409</v>
      </c>
      <c r="G40" s="123">
        <v>2334.4100000015378</v>
      </c>
      <c r="H40" s="123">
        <v>261.99999999996982</v>
      </c>
      <c r="I40" s="123">
        <v>2499.9900000012822</v>
      </c>
      <c r="J40" s="123">
        <v>2499.9900000012672</v>
      </c>
      <c r="K40" s="123">
        <v>11495.999999998678</v>
      </c>
      <c r="L40" s="123">
        <v>899.99999999999955</v>
      </c>
      <c r="M40" s="123">
        <v>3659.1999999995969</v>
      </c>
      <c r="N40" s="123">
        <v>13916.560000015921</v>
      </c>
      <c r="O40" s="123">
        <v>11987.800000005504</v>
      </c>
      <c r="P40" s="123">
        <v>673.3700000003422</v>
      </c>
      <c r="Q40" s="123">
        <v>0</v>
      </c>
      <c r="R40" s="123">
        <v>2294.4700000004386</v>
      </c>
      <c r="S40" s="123">
        <v>1591.6899999993404</v>
      </c>
      <c r="T40" s="123">
        <v>504.47000000016385</v>
      </c>
      <c r="U40" s="123">
        <v>419.22999999996358</v>
      </c>
      <c r="V40" s="123">
        <v>5739.9700000027269</v>
      </c>
      <c r="W40" s="123">
        <v>899.98999999967975</v>
      </c>
      <c r="X40" s="123">
        <v>849.98999999941839</v>
      </c>
      <c r="Y40" s="123">
        <v>324.9999999999643</v>
      </c>
      <c r="Z40" s="123">
        <v>200.00000000007739</v>
      </c>
      <c r="AA40" s="123">
        <v>1000.0000000020067</v>
      </c>
      <c r="AB40" s="123">
        <v>1499.999999998952</v>
      </c>
      <c r="AC40" s="123">
        <v>1000.0000000020067</v>
      </c>
      <c r="AD40" s="123">
        <v>1499.999999998952</v>
      </c>
      <c r="AE40" s="123">
        <v>3236.9999999996312</v>
      </c>
      <c r="AF40" s="123">
        <v>256.8445499545719</v>
      </c>
      <c r="AG40" s="123">
        <v>11255.999999998705</v>
      </c>
      <c r="AH40" s="123">
        <v>1980.5883402725794</v>
      </c>
      <c r="AI40" s="123">
        <v>5000.0100000008242</v>
      </c>
      <c r="AJ40" s="123">
        <v>38999.999998983854</v>
      </c>
      <c r="AK40" s="123">
        <v>7969.9999999999945</v>
      </c>
      <c r="AL40" s="123">
        <v>10520.999999998789</v>
      </c>
      <c r="AM40" s="123">
        <v>12099.999999999993</v>
      </c>
      <c r="AN40" s="123">
        <v>3451.999999999603</v>
      </c>
      <c r="AO40" s="123">
        <v>1051.9999999998793</v>
      </c>
      <c r="AP40" s="123">
        <v>340.98999999997505</v>
      </c>
      <c r="AQ40" s="123">
        <v>1203.2709905508264</v>
      </c>
      <c r="AR40" s="123">
        <v>2471.6754711652575</v>
      </c>
      <c r="AS40" s="123">
        <v>31248.028099180548</v>
      </c>
      <c r="AT40" s="123">
        <v>73281.673350872064</v>
      </c>
      <c r="AU40" s="123">
        <v>73508.551596540929</v>
      </c>
      <c r="AV40" s="123">
        <v>80088.020720922272</v>
      </c>
      <c r="AW40" s="123">
        <v>4644.9719008195152</v>
      </c>
      <c r="AX40" s="123">
        <v>24789.761713144559</v>
      </c>
      <c r="AY40" s="123">
        <v>1496.9999999998277</v>
      </c>
      <c r="AZ40" s="123">
        <v>415.75283953685886</v>
      </c>
      <c r="BA40" s="123">
        <v>1057.3206573703967</v>
      </c>
      <c r="BB40" s="123">
        <v>1300.0000000005809</v>
      </c>
      <c r="BC40" s="123">
        <v>16199.99999897049</v>
      </c>
      <c r="BD40" s="123">
        <v>583.99999999993292</v>
      </c>
      <c r="BE40" s="123">
        <v>651.91762948199653</v>
      </c>
      <c r="BF40" s="123">
        <v>550.00999999974545</v>
      </c>
      <c r="BG40" s="123">
        <v>12296.800000006155</v>
      </c>
      <c r="BH40" s="3">
        <v>27181.116639783209</v>
      </c>
      <c r="BI40" s="3">
        <v>-4136.3708855697423</v>
      </c>
      <c r="BJ40" s="3">
        <v>2424.8525701854719</v>
      </c>
      <c r="BK40" s="3">
        <v>86692.908202789302</v>
      </c>
      <c r="BL40" s="3">
        <v>0</v>
      </c>
      <c r="BM40" s="3"/>
      <c r="BN40" s="3"/>
      <c r="BO40" s="3"/>
      <c r="BP40" s="3"/>
      <c r="BQ40" s="3"/>
      <c r="BR40" s="3"/>
      <c r="BS40" s="3"/>
      <c r="BT40" s="3"/>
      <c r="BU40" s="3"/>
      <c r="BV40" s="3"/>
      <c r="BW40" s="3"/>
      <c r="BX40" s="3"/>
      <c r="BY40" s="3"/>
    </row>
    <row r="41" spans="1:77" x14ac:dyDescent="0.25">
      <c r="A41" s="1">
        <v>23011.999305555557</v>
      </c>
      <c r="B41" s="123">
        <v>1233.3332258069731</v>
      </c>
      <c r="C41" s="123">
        <v>1746.8500000002621</v>
      </c>
      <c r="D41" s="123">
        <v>2261.1200000002882</v>
      </c>
      <c r="E41" s="123">
        <v>5370.3499999989081</v>
      </c>
      <c r="F41" s="123">
        <v>996.68000000011409</v>
      </c>
      <c r="G41" s="123">
        <v>2334.4100000015378</v>
      </c>
      <c r="H41" s="123">
        <v>293.99999999996618</v>
      </c>
      <c r="I41" s="123">
        <v>2499.9900000012822</v>
      </c>
      <c r="J41" s="123">
        <v>2499.9900000012672</v>
      </c>
      <c r="K41" s="123">
        <v>12899.999999998516</v>
      </c>
      <c r="L41" s="123">
        <v>900.00000000000114</v>
      </c>
      <c r="M41" s="123">
        <v>3659.1999999995969</v>
      </c>
      <c r="N41" s="123">
        <v>13916.560000015921</v>
      </c>
      <c r="O41" s="123">
        <v>11987.800000005504</v>
      </c>
      <c r="P41" s="123">
        <v>673.3700000003422</v>
      </c>
      <c r="Q41" s="123">
        <v>13.676774193564105</v>
      </c>
      <c r="R41" s="123">
        <v>2294.4700000004386</v>
      </c>
      <c r="S41" s="123">
        <v>1591.6899999993404</v>
      </c>
      <c r="T41" s="123">
        <v>504.47000000016385</v>
      </c>
      <c r="U41" s="123">
        <v>419.22999999996358</v>
      </c>
      <c r="V41" s="123">
        <v>5739.9700000027269</v>
      </c>
      <c r="W41" s="123">
        <v>899.98999999967975</v>
      </c>
      <c r="X41" s="123">
        <v>849.98999999941839</v>
      </c>
      <c r="Y41" s="123">
        <v>324.9999999999643</v>
      </c>
      <c r="Z41" s="123">
        <v>200.00000000007739</v>
      </c>
      <c r="AA41" s="123">
        <v>1000.0000000020067</v>
      </c>
      <c r="AB41" s="123">
        <v>1499.999999998952</v>
      </c>
      <c r="AC41" s="123">
        <v>1000.0000000020067</v>
      </c>
      <c r="AD41" s="123">
        <v>1499.999999998952</v>
      </c>
      <c r="AE41" s="123">
        <v>3807.9999999995616</v>
      </c>
      <c r="AF41" s="123">
        <v>271.44832737392727</v>
      </c>
      <c r="AG41" s="123">
        <v>10243.999999998818</v>
      </c>
      <c r="AH41" s="123">
        <v>2285.1469120937099</v>
      </c>
      <c r="AI41" s="123">
        <v>5000.0100000008242</v>
      </c>
      <c r="AJ41" s="123">
        <v>38999.999998983854</v>
      </c>
      <c r="AK41" s="123">
        <v>7970</v>
      </c>
      <c r="AL41" s="123">
        <v>11786.999999998641</v>
      </c>
      <c r="AM41" s="123">
        <v>12100.000000000007</v>
      </c>
      <c r="AN41" s="123">
        <v>3395.999999999608</v>
      </c>
      <c r="AO41" s="123">
        <v>902.99999999989632</v>
      </c>
      <c r="AP41" s="123">
        <v>340.98999999997505</v>
      </c>
      <c r="AQ41" s="123">
        <v>942.65108296676942</v>
      </c>
      <c r="AR41" s="123">
        <v>1767.4203680658657</v>
      </c>
      <c r="AS41" s="123">
        <v>31248.028099180548</v>
      </c>
      <c r="AT41" s="123">
        <v>87966.664710859783</v>
      </c>
      <c r="AU41" s="123">
        <v>88239.007326063831</v>
      </c>
      <c r="AV41" s="123">
        <v>96136.943166977188</v>
      </c>
      <c r="AW41" s="123">
        <v>4644.9719008195098</v>
      </c>
      <c r="AX41" s="123">
        <v>26352.043386451161</v>
      </c>
      <c r="AY41" s="123">
        <v>1608.9999999998154</v>
      </c>
      <c r="AZ41" s="123">
        <v>397.84231308317226</v>
      </c>
      <c r="BA41" s="123">
        <v>1123.9543227090348</v>
      </c>
      <c r="BB41" s="123">
        <v>1300.0000000005809</v>
      </c>
      <c r="BC41" s="123">
        <v>16199.99999897049</v>
      </c>
      <c r="BD41" s="123">
        <v>653.99999999992451</v>
      </c>
      <c r="BE41" s="123">
        <v>693.00229083657359</v>
      </c>
      <c r="BF41" s="123">
        <v>550.00999999974545</v>
      </c>
      <c r="BG41" s="123">
        <v>12296.800000006155</v>
      </c>
      <c r="BH41" s="3">
        <v>27836.269463991423</v>
      </c>
      <c r="BI41" s="3">
        <v>4956.5030215433453</v>
      </c>
      <c r="BJ41" s="3">
        <v>2409.18743452846</v>
      </c>
      <c r="BK41" s="3">
        <v>106600.03427299004</v>
      </c>
      <c r="BL41" s="3">
        <v>0</v>
      </c>
      <c r="BM41" s="3"/>
      <c r="BN41" s="3"/>
      <c r="BO41" s="3"/>
      <c r="BP41" s="3"/>
      <c r="BQ41" s="3"/>
      <c r="BR41" s="3"/>
      <c r="BS41" s="3"/>
      <c r="BT41" s="3"/>
      <c r="BU41" s="3"/>
      <c r="BV41" s="3"/>
      <c r="BW41" s="3"/>
      <c r="BX41" s="3"/>
      <c r="BY41" s="3"/>
    </row>
    <row r="42" spans="1:77" x14ac:dyDescent="0.25">
      <c r="A42" s="1">
        <v>23376.999305555557</v>
      </c>
      <c r="B42" s="123">
        <v>1178.610967742464</v>
      </c>
      <c r="C42" s="123">
        <v>1746.8500000002621</v>
      </c>
      <c r="D42" s="123">
        <v>2261.1200000002882</v>
      </c>
      <c r="E42" s="123">
        <v>5370.3499999989081</v>
      </c>
      <c r="F42" s="123">
        <v>996.68000000011409</v>
      </c>
      <c r="G42" s="123">
        <v>2334.4100000015378</v>
      </c>
      <c r="H42" s="123">
        <v>297.99999999996601</v>
      </c>
      <c r="I42" s="123">
        <v>2499.9900000012822</v>
      </c>
      <c r="J42" s="123">
        <v>2499.9900000012672</v>
      </c>
      <c r="K42" s="123">
        <v>13091.999999998492</v>
      </c>
      <c r="L42" s="123">
        <v>899.99999999999977</v>
      </c>
      <c r="M42" s="123">
        <v>3659.1999999995969</v>
      </c>
      <c r="N42" s="123">
        <v>13916.560000015921</v>
      </c>
      <c r="O42" s="123">
        <v>11987.800000005504</v>
      </c>
      <c r="P42" s="123">
        <v>673.3700000003422</v>
      </c>
      <c r="Q42" s="123">
        <v>68.399032258073802</v>
      </c>
      <c r="R42" s="123">
        <v>2294.4700000004386</v>
      </c>
      <c r="S42" s="123">
        <v>1591.6899999993404</v>
      </c>
      <c r="T42" s="123">
        <v>504.47000000016385</v>
      </c>
      <c r="U42" s="123">
        <v>419.22999999996358</v>
      </c>
      <c r="V42" s="123">
        <v>5739.9700000027269</v>
      </c>
      <c r="W42" s="123">
        <v>899.98999999967975</v>
      </c>
      <c r="X42" s="123">
        <v>849.98999999941839</v>
      </c>
      <c r="Y42" s="123">
        <v>324.9999999999643</v>
      </c>
      <c r="Z42" s="123">
        <v>200.00000000007739</v>
      </c>
      <c r="AA42" s="123">
        <v>1000.0000000020067</v>
      </c>
      <c r="AB42" s="123">
        <v>1499.999999998952</v>
      </c>
      <c r="AC42" s="123">
        <v>1000.0000000020067</v>
      </c>
      <c r="AD42" s="123">
        <v>1499.999999998952</v>
      </c>
      <c r="AE42" s="123">
        <v>4025.999999999538</v>
      </c>
      <c r="AF42" s="123">
        <v>289.54410313768813</v>
      </c>
      <c r="AG42" s="123">
        <v>10598.860862618689</v>
      </c>
      <c r="AH42" s="123">
        <v>2373.3906459539917</v>
      </c>
      <c r="AI42" s="123">
        <v>5000.0100000008242</v>
      </c>
      <c r="AJ42" s="123">
        <v>38999.999998983854</v>
      </c>
      <c r="AK42" s="123">
        <v>7969.9999999999955</v>
      </c>
      <c r="AL42" s="123">
        <v>11962.999999998627</v>
      </c>
      <c r="AM42" s="123">
        <v>12100.000000000005</v>
      </c>
      <c r="AN42" s="123">
        <v>3535.9999999995971</v>
      </c>
      <c r="AO42" s="123">
        <v>1105.9999999998727</v>
      </c>
      <c r="AP42" s="123">
        <v>340.98999999997505</v>
      </c>
      <c r="AQ42" s="123">
        <v>1047.5148446327801</v>
      </c>
      <c r="AR42" s="123">
        <v>1797.0206474950876</v>
      </c>
      <c r="AS42" s="123">
        <v>31248.028099180548</v>
      </c>
      <c r="AT42" s="123">
        <v>87176.112363623819</v>
      </c>
      <c r="AU42" s="123">
        <v>87446.00744834097</v>
      </c>
      <c r="AV42" s="123">
        <v>95272.964905136949</v>
      </c>
      <c r="AW42" s="123">
        <v>4644.9719008195098</v>
      </c>
      <c r="AX42" s="123">
        <v>28078.972709160105</v>
      </c>
      <c r="AY42" s="123">
        <v>1624.9999999998136</v>
      </c>
      <c r="AZ42" s="123">
        <v>467.9600963657856</v>
      </c>
      <c r="BA42" s="123">
        <v>1197.610458167193</v>
      </c>
      <c r="BB42" s="123">
        <v>1300.0000000005809</v>
      </c>
      <c r="BC42" s="123">
        <v>16199.99999897049</v>
      </c>
      <c r="BD42" s="123">
        <v>663.99999999992372</v>
      </c>
      <c r="BE42" s="123">
        <v>738.41683266923769</v>
      </c>
      <c r="BF42" s="123">
        <v>550.00999999974545</v>
      </c>
      <c r="BG42" s="123">
        <v>12296.800000006155</v>
      </c>
      <c r="BH42" s="3">
        <v>25388.869080597535</v>
      </c>
      <c r="BI42" s="3">
        <v>4466.996924183547</v>
      </c>
      <c r="BJ42" s="3">
        <v>2415.5107269639889</v>
      </c>
      <c r="BK42" s="3">
        <v>51458.165626660499</v>
      </c>
      <c r="BL42" s="3">
        <v>0</v>
      </c>
      <c r="BM42" s="3"/>
      <c r="BN42" s="3"/>
      <c r="BO42" s="3"/>
      <c r="BP42" s="3"/>
      <c r="BQ42" s="3"/>
      <c r="BR42" s="3"/>
      <c r="BS42" s="3"/>
      <c r="BT42" s="3"/>
      <c r="BU42" s="3"/>
      <c r="BV42" s="3"/>
      <c r="BW42" s="3"/>
      <c r="BX42" s="3"/>
      <c r="BY42" s="3"/>
    </row>
    <row r="43" spans="1:77" x14ac:dyDescent="0.25">
      <c r="A43" s="1">
        <v>23742.999305555557</v>
      </c>
      <c r="B43" s="123">
        <v>1143.9040379566809</v>
      </c>
      <c r="C43" s="123">
        <v>1746.8500000002621</v>
      </c>
      <c r="D43" s="123">
        <v>2261.1200000002882</v>
      </c>
      <c r="E43" s="123">
        <v>5370.3499999989081</v>
      </c>
      <c r="F43" s="123">
        <v>996.68000000011409</v>
      </c>
      <c r="G43" s="123">
        <v>2334.4100000015383</v>
      </c>
      <c r="H43" s="123">
        <v>263.99999999996976</v>
      </c>
      <c r="I43" s="123">
        <v>2499.9900000012822</v>
      </c>
      <c r="J43" s="123">
        <v>2499.9900000012672</v>
      </c>
      <c r="K43" s="123">
        <v>11678.999999998667</v>
      </c>
      <c r="L43" s="123">
        <v>900.00000000000011</v>
      </c>
      <c r="M43" s="123">
        <v>3659.1999999995965</v>
      </c>
      <c r="N43" s="123">
        <v>13916.560000015921</v>
      </c>
      <c r="O43" s="123">
        <v>11987.800000005504</v>
      </c>
      <c r="P43" s="123">
        <v>673.3700000003422</v>
      </c>
      <c r="Q43" s="123">
        <v>103.10596204385659</v>
      </c>
      <c r="R43" s="123">
        <v>2294.4700000004386</v>
      </c>
      <c r="S43" s="123">
        <v>1591.6899999993404</v>
      </c>
      <c r="T43" s="123">
        <v>504.47000000016385</v>
      </c>
      <c r="U43" s="123">
        <v>419.22999999996358</v>
      </c>
      <c r="V43" s="123">
        <v>5739.970000002726</v>
      </c>
      <c r="W43" s="123">
        <v>899.98999999967964</v>
      </c>
      <c r="X43" s="123">
        <v>849.98999999941861</v>
      </c>
      <c r="Y43" s="123">
        <v>324.9999999999643</v>
      </c>
      <c r="Z43" s="123">
        <v>200.00000000007739</v>
      </c>
      <c r="AA43" s="123">
        <v>1000.0000000020035</v>
      </c>
      <c r="AB43" s="123">
        <v>1499.9999999989695</v>
      </c>
      <c r="AC43" s="123">
        <v>1000.0000000020035</v>
      </c>
      <c r="AD43" s="123">
        <v>1499.9999999989695</v>
      </c>
      <c r="AE43" s="123">
        <v>3610.9999999995848</v>
      </c>
      <c r="AF43" s="123">
        <v>265.76907351741175</v>
      </c>
      <c r="AG43" s="123">
        <v>9415.8075730283072</v>
      </c>
      <c r="AH43" s="123">
        <v>2143.4347984998899</v>
      </c>
      <c r="AI43" s="123">
        <v>5000.0100000008242</v>
      </c>
      <c r="AJ43" s="123">
        <v>38999.999998983862</v>
      </c>
      <c r="AK43" s="123">
        <v>7970.0000000000091</v>
      </c>
      <c r="AL43" s="123">
        <v>10688.99999999877</v>
      </c>
      <c r="AM43" s="123">
        <v>12100.000000000004</v>
      </c>
      <c r="AN43" s="123">
        <v>3174.9999999996326</v>
      </c>
      <c r="AO43" s="123">
        <v>980.99999999988756</v>
      </c>
      <c r="AP43" s="123">
        <v>340.98999999997511</v>
      </c>
      <c r="AQ43" s="123">
        <v>1026.2689672742122</v>
      </c>
      <c r="AR43" s="123">
        <v>2463.7791299638657</v>
      </c>
      <c r="AS43" s="123">
        <v>31235.302148767347</v>
      </c>
      <c r="AT43" s="123">
        <v>79316.125977855118</v>
      </c>
      <c r="AU43" s="123">
        <v>79561.68673939626</v>
      </c>
      <c r="AV43" s="123">
        <v>86682.948824095161</v>
      </c>
      <c r="AW43" s="123">
        <v>4657.6978512326941</v>
      </c>
      <c r="AX43" s="123">
        <v>25753.324661351617</v>
      </c>
      <c r="AY43" s="123">
        <v>1513.9999999998258</v>
      </c>
      <c r="AZ43" s="123">
        <v>432.06528470903953</v>
      </c>
      <c r="BA43" s="123">
        <v>1098.4180677289573</v>
      </c>
      <c r="BB43" s="123">
        <v>1300.0000000005807</v>
      </c>
      <c r="BC43" s="123">
        <v>16199.999998970494</v>
      </c>
      <c r="BD43" s="123">
        <v>590.9999999999319</v>
      </c>
      <c r="BE43" s="123">
        <v>677.25727091625652</v>
      </c>
      <c r="BF43" s="123">
        <v>550.00999999974533</v>
      </c>
      <c r="BG43" s="123">
        <v>12296.800000006155</v>
      </c>
      <c r="BH43" s="3">
        <v>21130.521830784928</v>
      </c>
      <c r="BI43" s="3">
        <v>-535.5170808831574</v>
      </c>
      <c r="BJ43" s="3">
        <v>2403.9415289498529</v>
      </c>
      <c r="BK43" s="3">
        <v>60937.412703892667</v>
      </c>
      <c r="BL43" s="3">
        <v>0</v>
      </c>
      <c r="BM43" s="3"/>
      <c r="BN43" s="3"/>
      <c r="BO43" s="3"/>
      <c r="BP43" s="3"/>
      <c r="BQ43" s="3"/>
      <c r="BR43" s="3"/>
      <c r="BS43" s="3"/>
      <c r="BT43" s="3"/>
      <c r="BU43" s="3"/>
      <c r="BV43" s="3"/>
      <c r="BW43" s="3"/>
      <c r="BX43" s="3"/>
      <c r="BY43" s="3"/>
    </row>
    <row r="44" spans="1:77" x14ac:dyDescent="0.25">
      <c r="A44" s="1">
        <v>24107.999305555557</v>
      </c>
      <c r="B44" s="123">
        <v>1247.010000000537</v>
      </c>
      <c r="C44" s="123">
        <v>1746.8500000002621</v>
      </c>
      <c r="D44" s="123">
        <v>2261.1200000002882</v>
      </c>
      <c r="E44" s="123">
        <v>5370.3499999989081</v>
      </c>
      <c r="F44" s="123">
        <v>996.68000000011409</v>
      </c>
      <c r="G44" s="123">
        <v>2334.4100000015378</v>
      </c>
      <c r="H44" s="123">
        <v>220.99999999997456</v>
      </c>
      <c r="I44" s="123">
        <v>2499.9900000012822</v>
      </c>
      <c r="J44" s="123">
        <v>2499.9900000012672</v>
      </c>
      <c r="K44" s="123">
        <v>9744.9999999988868</v>
      </c>
      <c r="L44" s="123">
        <v>900</v>
      </c>
      <c r="M44" s="123">
        <v>3659.1999999995969</v>
      </c>
      <c r="N44" s="123">
        <v>13916.560000015921</v>
      </c>
      <c r="O44" s="123">
        <v>11987.800000005504</v>
      </c>
      <c r="P44" s="123">
        <v>673.3700000003422</v>
      </c>
      <c r="Q44" s="123">
        <v>0</v>
      </c>
      <c r="R44" s="123">
        <v>2294.4700000004386</v>
      </c>
      <c r="S44" s="123">
        <v>1591.6899999993404</v>
      </c>
      <c r="T44" s="123">
        <v>504.47000000016385</v>
      </c>
      <c r="U44" s="123">
        <v>419.22999999996358</v>
      </c>
      <c r="V44" s="123">
        <v>5739.9700000027269</v>
      </c>
      <c r="W44" s="123">
        <v>899.98999999967975</v>
      </c>
      <c r="X44" s="123">
        <v>849.98999999941839</v>
      </c>
      <c r="Y44" s="123">
        <v>324.9999999999643</v>
      </c>
      <c r="Z44" s="123">
        <v>200.00000000007739</v>
      </c>
      <c r="AA44" s="123">
        <v>1000.0000000020067</v>
      </c>
      <c r="AB44" s="123">
        <v>1499.999999998952</v>
      </c>
      <c r="AC44" s="123">
        <v>1000.0000000020067</v>
      </c>
      <c r="AD44" s="123">
        <v>1499.999999998952</v>
      </c>
      <c r="AE44" s="123">
        <v>2734.9999999996844</v>
      </c>
      <c r="AF44" s="123">
        <v>206.99993995457231</v>
      </c>
      <c r="AG44" s="123">
        <v>8950.9999999989632</v>
      </c>
      <c r="AH44" s="123">
        <v>1719.9999999998015</v>
      </c>
      <c r="AI44" s="123">
        <v>5000.0100000008242</v>
      </c>
      <c r="AJ44" s="123">
        <v>38999.999998983854</v>
      </c>
      <c r="AK44" s="123">
        <v>7969.9999999999882</v>
      </c>
      <c r="AL44" s="123">
        <v>8954.9999999989705</v>
      </c>
      <c r="AM44" s="123">
        <v>12100.000000000002</v>
      </c>
      <c r="AN44" s="123">
        <v>2921.9999999996639</v>
      </c>
      <c r="AO44" s="123">
        <v>767.99999999991132</v>
      </c>
      <c r="AP44" s="123">
        <v>340.98999999997505</v>
      </c>
      <c r="AQ44" s="123">
        <v>1343.9155118828421</v>
      </c>
      <c r="AR44" s="123">
        <v>6625.4582252146529</v>
      </c>
      <c r="AS44" s="123">
        <v>31248.028099180548</v>
      </c>
      <c r="AT44" s="123">
        <v>62555.895636283763</v>
      </c>
      <c r="AU44" s="123">
        <v>62749.567139801482</v>
      </c>
      <c r="AV44" s="123">
        <v>68366.040741820936</v>
      </c>
      <c r="AW44" s="123">
        <v>4644.9719008195007</v>
      </c>
      <c r="AX44" s="123">
        <v>20178.692031870167</v>
      </c>
      <c r="AY44" s="123">
        <v>1373.9999999998422</v>
      </c>
      <c r="AZ44" s="123">
        <v>338.39460072684346</v>
      </c>
      <c r="BA44" s="123">
        <v>860.65159362539907</v>
      </c>
      <c r="BB44" s="123">
        <v>1300.0000000005809</v>
      </c>
      <c r="BC44" s="123">
        <v>16199.99999897049</v>
      </c>
      <c r="BD44" s="123">
        <v>492.99999999994264</v>
      </c>
      <c r="BE44" s="123">
        <v>530.65637450193128</v>
      </c>
      <c r="BF44" s="123">
        <v>550.00999999974545</v>
      </c>
      <c r="BG44" s="123">
        <v>12296.800000006155</v>
      </c>
      <c r="BH44" s="3">
        <v>24347.6075171841</v>
      </c>
      <c r="BI44" s="3">
        <v>-10777.719315655622</v>
      </c>
      <c r="BJ44" s="3">
        <v>2423.6839656157258</v>
      </c>
      <c r="BK44" s="3">
        <v>161739.50843939895</v>
      </c>
      <c r="BL44" s="3">
        <v>0</v>
      </c>
      <c r="BM44" s="3"/>
      <c r="BN44" s="3"/>
      <c r="BO44" s="3"/>
      <c r="BP44" s="3"/>
      <c r="BQ44" s="3"/>
      <c r="BR44" s="3"/>
      <c r="BS44" s="3"/>
      <c r="BT44" s="3"/>
      <c r="BU44" s="3"/>
      <c r="BV44" s="3"/>
      <c r="BW44" s="3"/>
      <c r="BX44" s="3"/>
      <c r="BY44" s="3"/>
    </row>
    <row r="45" spans="1:77" x14ac:dyDescent="0.25">
      <c r="A45" s="1">
        <v>24472.999305555557</v>
      </c>
      <c r="B45" s="123">
        <v>1206.7443662551495</v>
      </c>
      <c r="C45" s="123">
        <v>1746.8500000002621</v>
      </c>
      <c r="D45" s="123">
        <v>2261.1200000002882</v>
      </c>
      <c r="E45" s="123">
        <v>5370.3499999989081</v>
      </c>
      <c r="F45" s="123">
        <v>996.68000000011409</v>
      </c>
      <c r="G45" s="123">
        <v>2334.4100000015378</v>
      </c>
      <c r="H45" s="123">
        <v>284.99999999996709</v>
      </c>
      <c r="I45" s="123">
        <v>2499.9900000012822</v>
      </c>
      <c r="J45" s="123">
        <v>2499.9900000012672</v>
      </c>
      <c r="K45" s="123">
        <v>12726.999999998527</v>
      </c>
      <c r="L45" s="123">
        <v>900.00000000000034</v>
      </c>
      <c r="M45" s="123">
        <v>3659.1999999995969</v>
      </c>
      <c r="N45" s="123">
        <v>13916.560000015921</v>
      </c>
      <c r="O45" s="123">
        <v>11987.800000005504</v>
      </c>
      <c r="P45" s="123">
        <v>673.3700000003422</v>
      </c>
      <c r="Q45" s="123">
        <v>40.265633745388165</v>
      </c>
      <c r="R45" s="123">
        <v>2294.4700000004386</v>
      </c>
      <c r="S45" s="123">
        <v>1591.6899999993404</v>
      </c>
      <c r="T45" s="123">
        <v>504.47000000016385</v>
      </c>
      <c r="U45" s="123">
        <v>419.22999999996358</v>
      </c>
      <c r="V45" s="123">
        <v>5739.9700000027269</v>
      </c>
      <c r="W45" s="123">
        <v>899.98999999967975</v>
      </c>
      <c r="X45" s="123">
        <v>849.98999999941839</v>
      </c>
      <c r="Y45" s="123">
        <v>324.9999999999643</v>
      </c>
      <c r="Z45" s="123">
        <v>200.00000000007739</v>
      </c>
      <c r="AA45" s="123">
        <v>1000.0000000020067</v>
      </c>
      <c r="AB45" s="123">
        <v>1499.999999998952</v>
      </c>
      <c r="AC45" s="123">
        <v>1000.0000000020067</v>
      </c>
      <c r="AD45" s="123">
        <v>1499.999999998952</v>
      </c>
      <c r="AE45" s="123">
        <v>4180.9999999995161</v>
      </c>
      <c r="AF45" s="123">
        <v>288.09582247158619</v>
      </c>
      <c r="AG45" s="123">
        <v>11233.999999998718</v>
      </c>
      <c r="AH45" s="123">
        <v>2521.8491161103502</v>
      </c>
      <c r="AI45" s="123">
        <v>5000.0100000008242</v>
      </c>
      <c r="AJ45" s="123">
        <v>38999.999998983854</v>
      </c>
      <c r="AK45" s="123">
        <v>7969.9999999999927</v>
      </c>
      <c r="AL45" s="123">
        <v>11432.999999998685</v>
      </c>
      <c r="AM45" s="123">
        <v>12099.999999999998</v>
      </c>
      <c r="AN45" s="123">
        <v>3601.9999999995866</v>
      </c>
      <c r="AO45" s="123">
        <v>1105.9999999998727</v>
      </c>
      <c r="AP45" s="123">
        <v>340.98999999997505</v>
      </c>
      <c r="AQ45" s="123">
        <v>908.25099899266945</v>
      </c>
      <c r="AR45" s="123">
        <v>2601.4549610108202</v>
      </c>
      <c r="AS45" s="123">
        <v>31248.028099180548</v>
      </c>
      <c r="AT45" s="123">
        <v>88157.398686032844</v>
      </c>
      <c r="AU45" s="123">
        <v>88430.331808900024</v>
      </c>
      <c r="AV45" s="123">
        <v>96345.392372042101</v>
      </c>
      <c r="AW45" s="123">
        <v>4644.9719008194907</v>
      </c>
      <c r="AX45" s="123">
        <v>28409.2035059728</v>
      </c>
      <c r="AY45" s="123">
        <v>1802.9999999997924</v>
      </c>
      <c r="AZ45" s="123">
        <v>397.84231158405908</v>
      </c>
      <c r="BA45" s="123">
        <v>1211.6952988046401</v>
      </c>
      <c r="BB45" s="123">
        <v>1300.0000000005809</v>
      </c>
      <c r="BC45" s="123">
        <v>16199.99999897049</v>
      </c>
      <c r="BD45" s="123">
        <v>642.99999999992622</v>
      </c>
      <c r="BE45" s="123">
        <v>747.10119521903766</v>
      </c>
      <c r="BF45" s="123">
        <v>550.00999999974545</v>
      </c>
      <c r="BG45" s="123">
        <v>12296.800000006155</v>
      </c>
      <c r="BH45" s="3">
        <v>30080.49319905684</v>
      </c>
      <c r="BI45" s="3">
        <v>5074.6045541581334</v>
      </c>
      <c r="BJ45" s="3">
        <v>2402.0258601601113</v>
      </c>
      <c r="BK45" s="3">
        <v>98716.254166315819</v>
      </c>
      <c r="BL45" s="3">
        <v>0</v>
      </c>
      <c r="BM45" s="3"/>
      <c r="BN45" s="3"/>
      <c r="BO45" s="3"/>
      <c r="BP45" s="3"/>
      <c r="BQ45" s="3"/>
      <c r="BR45" s="3"/>
      <c r="BS45" s="3"/>
      <c r="BT45" s="3"/>
      <c r="BU45" s="3"/>
      <c r="BV45" s="3"/>
      <c r="BW45" s="3"/>
      <c r="BX45" s="3"/>
      <c r="BY45" s="3"/>
    </row>
    <row r="46" spans="1:77" x14ac:dyDescent="0.25">
      <c r="A46" s="1">
        <v>24837.999305555557</v>
      </c>
      <c r="B46" s="123">
        <v>1222.4750915458569</v>
      </c>
      <c r="C46" s="123">
        <v>1746.8500000002621</v>
      </c>
      <c r="D46" s="123">
        <v>2261.1200000002882</v>
      </c>
      <c r="E46" s="123">
        <v>5370.3499999989081</v>
      </c>
      <c r="F46" s="123">
        <v>996.68000000011409</v>
      </c>
      <c r="G46" s="123">
        <v>2334.4100000015378</v>
      </c>
      <c r="H46" s="123">
        <v>272.99999999996874</v>
      </c>
      <c r="I46" s="123">
        <v>2499.9900000012822</v>
      </c>
      <c r="J46" s="123">
        <v>2499.9900000012672</v>
      </c>
      <c r="K46" s="123">
        <v>12107.999999998605</v>
      </c>
      <c r="L46" s="123">
        <v>900</v>
      </c>
      <c r="M46" s="123">
        <v>3659.1999999995969</v>
      </c>
      <c r="N46" s="123">
        <v>13916.560000015921</v>
      </c>
      <c r="O46" s="123">
        <v>11987.800000005504</v>
      </c>
      <c r="P46" s="123">
        <v>673.3700000003422</v>
      </c>
      <c r="Q46" s="123">
        <v>24.53490845467973</v>
      </c>
      <c r="R46" s="123">
        <v>2294.4700000004386</v>
      </c>
      <c r="S46" s="123">
        <v>1591.6899999993404</v>
      </c>
      <c r="T46" s="123">
        <v>504.47000000016385</v>
      </c>
      <c r="U46" s="123">
        <v>419.22999999996358</v>
      </c>
      <c r="V46" s="123">
        <v>5739.9700000027269</v>
      </c>
      <c r="W46" s="123">
        <v>899.98999999967975</v>
      </c>
      <c r="X46" s="123">
        <v>849.98999999941839</v>
      </c>
      <c r="Y46" s="123">
        <v>324.9999999999643</v>
      </c>
      <c r="Z46" s="123">
        <v>200.00000000007739</v>
      </c>
      <c r="AA46" s="123">
        <v>1000.0000000020067</v>
      </c>
      <c r="AB46" s="123">
        <v>1499.999999998952</v>
      </c>
      <c r="AC46" s="123">
        <v>1000.0000000020067</v>
      </c>
      <c r="AD46" s="123">
        <v>1499.999999998952</v>
      </c>
      <c r="AE46" s="123">
        <v>3752.9999999995644</v>
      </c>
      <c r="AF46" s="123">
        <v>255.98405032862183</v>
      </c>
      <c r="AG46" s="123">
        <v>8769.9999999989959</v>
      </c>
      <c r="AH46" s="123">
        <v>2283.5906241091138</v>
      </c>
      <c r="AI46" s="123">
        <v>5000.0100000008242</v>
      </c>
      <c r="AJ46" s="123">
        <v>38999.999998983854</v>
      </c>
      <c r="AK46" s="123">
        <v>7970</v>
      </c>
      <c r="AL46" s="123">
        <v>10930.999999998741</v>
      </c>
      <c r="AM46" s="123">
        <v>12100.000000000007</v>
      </c>
      <c r="AN46" s="123">
        <v>3056.9999999996485</v>
      </c>
      <c r="AO46" s="123">
        <v>903.99999999989586</v>
      </c>
      <c r="AP46" s="123">
        <v>340.98999999997505</v>
      </c>
      <c r="AQ46" s="123">
        <v>1055.2046384509742</v>
      </c>
      <c r="AR46" s="123">
        <v>2038.0024381063301</v>
      </c>
      <c r="AS46" s="123">
        <v>31248.028099180548</v>
      </c>
      <c r="AT46" s="123">
        <v>79379.113385772158</v>
      </c>
      <c r="AU46" s="123">
        <v>79624.869154768166</v>
      </c>
      <c r="AV46" s="123">
        <v>86751.786455658046</v>
      </c>
      <c r="AW46" s="123">
        <v>4644.9719008194988</v>
      </c>
      <c r="AX46" s="123">
        <v>25324.866573702271</v>
      </c>
      <c r="AY46" s="123">
        <v>1567.9999999998192</v>
      </c>
      <c r="AZ46" s="123">
        <v>417.27711409735667</v>
      </c>
      <c r="BA46" s="123">
        <v>1080.1436852588402</v>
      </c>
      <c r="BB46" s="123">
        <v>1300.0000000005809</v>
      </c>
      <c r="BC46" s="123">
        <v>16199.99999897049</v>
      </c>
      <c r="BD46" s="123">
        <v>612.99999999992917</v>
      </c>
      <c r="BE46" s="123">
        <v>665.98974103578053</v>
      </c>
      <c r="BF46" s="123">
        <v>550.00999999974545</v>
      </c>
      <c r="BG46" s="123">
        <v>12296.800000006155</v>
      </c>
      <c r="BH46" s="3">
        <v>27565.425154755609</v>
      </c>
      <c r="BI46" s="3">
        <v>-360.86621999707017</v>
      </c>
      <c r="BJ46" s="3">
        <v>2404.734910307609</v>
      </c>
      <c r="BK46" s="3">
        <v>74654.232783468644</v>
      </c>
      <c r="BL46" s="3">
        <v>0</v>
      </c>
      <c r="BM46" s="3"/>
      <c r="BN46" s="3"/>
      <c r="BO46" s="3"/>
      <c r="BP46" s="3"/>
      <c r="BQ46" s="3"/>
      <c r="BR46" s="3"/>
      <c r="BS46" s="3"/>
      <c r="BT46" s="3"/>
      <c r="BU46" s="3"/>
      <c r="BV46" s="3"/>
      <c r="BW46" s="3"/>
      <c r="BX46" s="3"/>
      <c r="BY46" s="3"/>
    </row>
    <row r="47" spans="1:77" x14ac:dyDescent="0.25">
      <c r="A47" s="1">
        <v>25203.999305555557</v>
      </c>
      <c r="B47" s="123">
        <v>1168.6046666671446</v>
      </c>
      <c r="C47" s="123">
        <v>1746.8500000002621</v>
      </c>
      <c r="D47" s="123">
        <v>2261.1200000002882</v>
      </c>
      <c r="E47" s="123">
        <v>5370.3499999989081</v>
      </c>
      <c r="F47" s="123">
        <v>996.68000000011409</v>
      </c>
      <c r="G47" s="123">
        <v>2334.4100000015383</v>
      </c>
      <c r="H47" s="123">
        <v>272.99999999996885</v>
      </c>
      <c r="I47" s="123">
        <v>2499.9900000012822</v>
      </c>
      <c r="J47" s="123">
        <v>2499.9900000012672</v>
      </c>
      <c r="K47" s="123">
        <v>12111.999999998612</v>
      </c>
      <c r="L47" s="123">
        <v>899.99999999999864</v>
      </c>
      <c r="M47" s="123">
        <v>3659.1999999995965</v>
      </c>
      <c r="N47" s="123">
        <v>13916.560000015921</v>
      </c>
      <c r="O47" s="123">
        <v>11987.800000005504</v>
      </c>
      <c r="P47" s="123">
        <v>673.3700000003422</v>
      </c>
      <c r="Q47" s="123">
        <v>78.405333333393386</v>
      </c>
      <c r="R47" s="123">
        <v>2294.4700000004386</v>
      </c>
      <c r="S47" s="123">
        <v>1591.6899999993404</v>
      </c>
      <c r="T47" s="123">
        <v>504.47000000016385</v>
      </c>
      <c r="U47" s="123">
        <v>419.22999999996358</v>
      </c>
      <c r="V47" s="123">
        <v>5739.970000002726</v>
      </c>
      <c r="W47" s="123">
        <v>899.98999999967964</v>
      </c>
      <c r="X47" s="123">
        <v>849.98999999941861</v>
      </c>
      <c r="Y47" s="123">
        <v>324.9999999999643</v>
      </c>
      <c r="Z47" s="123">
        <v>200.00000000007739</v>
      </c>
      <c r="AA47" s="123">
        <v>1000.0000000020035</v>
      </c>
      <c r="AB47" s="123">
        <v>1499.9999999989695</v>
      </c>
      <c r="AC47" s="123">
        <v>1000.0000000020035</v>
      </c>
      <c r="AD47" s="123">
        <v>1499.9999999989695</v>
      </c>
      <c r="AE47" s="123">
        <v>3488.9999999995966</v>
      </c>
      <c r="AF47" s="123">
        <v>244.21826495457231</v>
      </c>
      <c r="AG47" s="123">
        <v>8011.9999999990832</v>
      </c>
      <c r="AH47" s="123">
        <v>2150.1468422281018</v>
      </c>
      <c r="AI47" s="123">
        <v>5000.0100000008242</v>
      </c>
      <c r="AJ47" s="123">
        <v>38999.999998983862</v>
      </c>
      <c r="AK47" s="123">
        <v>7969.99999999999</v>
      </c>
      <c r="AL47" s="123">
        <v>10951.999999998747</v>
      </c>
      <c r="AM47" s="123">
        <v>12100.000000000007</v>
      </c>
      <c r="AN47" s="123">
        <v>2791.9999999996776</v>
      </c>
      <c r="AO47" s="123">
        <v>826.99999999990428</v>
      </c>
      <c r="AP47" s="123">
        <v>340.98999999997511</v>
      </c>
      <c r="AQ47" s="123">
        <v>1216.1723384522941</v>
      </c>
      <c r="AR47" s="123">
        <v>3632.3901123307505</v>
      </c>
      <c r="AS47" s="123">
        <v>31235.302148767347</v>
      </c>
      <c r="AT47" s="123">
        <v>77695.224359422253</v>
      </c>
      <c r="AU47" s="123">
        <v>77935.766849699081</v>
      </c>
      <c r="AV47" s="123">
        <v>84911.499067728015</v>
      </c>
      <c r="AW47" s="123">
        <v>4657.6978512327059</v>
      </c>
      <c r="AX47" s="123">
        <v>23557.710836650684</v>
      </c>
      <c r="AY47" s="123">
        <v>1583.9999999998174</v>
      </c>
      <c r="AZ47" s="123">
        <v>396.31799418525776</v>
      </c>
      <c r="BA47" s="123">
        <v>1004.7718326692075</v>
      </c>
      <c r="BB47" s="123">
        <v>1300.0000000005807</v>
      </c>
      <c r="BC47" s="123">
        <v>16199.999998970494</v>
      </c>
      <c r="BD47" s="123">
        <v>611.9999999999294</v>
      </c>
      <c r="BE47" s="123">
        <v>619.51733067721989</v>
      </c>
      <c r="BF47" s="123">
        <v>550.00999999974533</v>
      </c>
      <c r="BG47" s="123">
        <v>12296.800000006155</v>
      </c>
      <c r="BH47" s="3">
        <v>27798.378851957212</v>
      </c>
      <c r="BI47" s="3">
        <v>-1539.1713337826466</v>
      </c>
      <c r="BJ47" s="3">
        <v>2418.2705856142911</v>
      </c>
      <c r="BK47" s="3">
        <v>96872.911320062136</v>
      </c>
      <c r="BL47" s="3">
        <v>0</v>
      </c>
      <c r="BM47" s="3"/>
      <c r="BN47" s="3"/>
      <c r="BO47" s="3"/>
      <c r="BP47" s="3"/>
      <c r="BQ47" s="3"/>
      <c r="BR47" s="3"/>
      <c r="BS47" s="3"/>
      <c r="BT47" s="3"/>
      <c r="BU47" s="3"/>
      <c r="BV47" s="3"/>
      <c r="BW47" s="3"/>
      <c r="BX47" s="3"/>
      <c r="BY47" s="3"/>
    </row>
    <row r="48" spans="1:77" x14ac:dyDescent="0.25">
      <c r="A48" s="1">
        <v>25568.999305555557</v>
      </c>
      <c r="B48" s="123">
        <v>1247.010000000537</v>
      </c>
      <c r="C48" s="123">
        <v>1746.8500000002621</v>
      </c>
      <c r="D48" s="123">
        <v>2261.1200000002882</v>
      </c>
      <c r="E48" s="123">
        <v>5370.3499999989081</v>
      </c>
      <c r="F48" s="123">
        <v>996.68000000011409</v>
      </c>
      <c r="G48" s="123">
        <v>2334.4100000015378</v>
      </c>
      <c r="H48" s="123">
        <v>248.99999999997152</v>
      </c>
      <c r="I48" s="123">
        <v>2499.9900000012822</v>
      </c>
      <c r="J48" s="123">
        <v>2499.9900000012672</v>
      </c>
      <c r="K48" s="123">
        <v>10894.999999998752</v>
      </c>
      <c r="L48" s="123">
        <v>900</v>
      </c>
      <c r="M48" s="123">
        <v>3659.1999999995969</v>
      </c>
      <c r="N48" s="123">
        <v>13916.560000015921</v>
      </c>
      <c r="O48" s="123">
        <v>11987.800000005504</v>
      </c>
      <c r="P48" s="123">
        <v>673.3700000003422</v>
      </c>
      <c r="Q48" s="123">
        <v>0</v>
      </c>
      <c r="R48" s="123">
        <v>2294.4700000004386</v>
      </c>
      <c r="S48" s="123">
        <v>1591.6899999993404</v>
      </c>
      <c r="T48" s="123">
        <v>504.47000000016385</v>
      </c>
      <c r="U48" s="123">
        <v>419.22999999996358</v>
      </c>
      <c r="V48" s="123">
        <v>5739.9700000027269</v>
      </c>
      <c r="W48" s="123">
        <v>899.98999999967975</v>
      </c>
      <c r="X48" s="123">
        <v>849.98999999941839</v>
      </c>
      <c r="Y48" s="123">
        <v>324.9999999999643</v>
      </c>
      <c r="Z48" s="123">
        <v>200.00000000007739</v>
      </c>
      <c r="AA48" s="123">
        <v>1000.0000000020067</v>
      </c>
      <c r="AB48" s="123">
        <v>1499.999999998952</v>
      </c>
      <c r="AC48" s="123">
        <v>1000.0000000020067</v>
      </c>
      <c r="AD48" s="123">
        <v>1499.999999998952</v>
      </c>
      <c r="AE48" s="123">
        <v>3481.9999999995985</v>
      </c>
      <c r="AF48" s="123">
        <v>257.11499027715257</v>
      </c>
      <c r="AG48" s="123">
        <v>8241.9999999990523</v>
      </c>
      <c r="AH48" s="123">
        <v>2112.8254537794896</v>
      </c>
      <c r="AI48" s="123">
        <v>5000.0100000008242</v>
      </c>
      <c r="AJ48" s="123">
        <v>38999.999998983854</v>
      </c>
      <c r="AK48" s="123">
        <v>7970.0000000000091</v>
      </c>
      <c r="AL48" s="123">
        <v>10016.999999998845</v>
      </c>
      <c r="AM48" s="123">
        <v>12100.000000000007</v>
      </c>
      <c r="AN48" s="123">
        <v>2673.999999999693</v>
      </c>
      <c r="AO48" s="123">
        <v>957.9999999998895</v>
      </c>
      <c r="AP48" s="123">
        <v>340.98999999997505</v>
      </c>
      <c r="AQ48" s="123">
        <v>1269.7384364640427</v>
      </c>
      <c r="AR48" s="123">
        <v>5605.9571789597685</v>
      </c>
      <c r="AS48" s="123">
        <v>31248.028099180548</v>
      </c>
      <c r="AT48" s="123">
        <v>76506.545326403706</v>
      </c>
      <c r="AU48" s="123">
        <v>76743.407695835107</v>
      </c>
      <c r="AV48" s="123">
        <v>83612.416409351514</v>
      </c>
      <c r="AW48" s="123">
        <v>4644.9719008194825</v>
      </c>
      <c r="AX48" s="123">
        <v>24688.727928284017</v>
      </c>
      <c r="AY48" s="123">
        <v>1404.9999999998377</v>
      </c>
      <c r="AZ48" s="123">
        <v>417.87948098432469</v>
      </c>
      <c r="BA48" s="123">
        <v>1053.011414342508</v>
      </c>
      <c r="BB48" s="123">
        <v>1300.0000000005809</v>
      </c>
      <c r="BC48" s="123">
        <v>16199.99999897049</v>
      </c>
      <c r="BD48" s="123">
        <v>551.99999999993634</v>
      </c>
      <c r="BE48" s="123">
        <v>649.26065737044303</v>
      </c>
      <c r="BF48" s="123">
        <v>550.00999999974545</v>
      </c>
      <c r="BG48" s="123">
        <v>12296.800000006155</v>
      </c>
      <c r="BH48" s="3">
        <v>27030.925799091608</v>
      </c>
      <c r="BI48" s="3">
        <v>-2139.5461329186901</v>
      </c>
      <c r="BJ48" s="3">
        <v>2429.9336211290115</v>
      </c>
      <c r="BK48" s="3">
        <v>127125.89045063809</v>
      </c>
      <c r="BL48" s="3">
        <v>0</v>
      </c>
      <c r="BM48" s="3"/>
      <c r="BN48" s="3"/>
      <c r="BO48" s="3"/>
      <c r="BP48" s="3"/>
      <c r="BQ48" s="3"/>
      <c r="BR48" s="3"/>
      <c r="BS48" s="3"/>
      <c r="BT48" s="3"/>
      <c r="BU48" s="3"/>
      <c r="BV48" s="3"/>
      <c r="BW48" s="3"/>
      <c r="BX48" s="3"/>
      <c r="BY48" s="3"/>
    </row>
    <row r="49" spans="1:77" x14ac:dyDescent="0.25">
      <c r="A49" s="1">
        <v>25933.999305555557</v>
      </c>
      <c r="B49" s="123">
        <v>1237.5120000005425</v>
      </c>
      <c r="C49" s="123">
        <v>1746.8500000002621</v>
      </c>
      <c r="D49" s="123">
        <v>2261.1200000002882</v>
      </c>
      <c r="E49" s="123">
        <v>5370.3499999989081</v>
      </c>
      <c r="F49" s="123">
        <v>996.68000000011409</v>
      </c>
      <c r="G49" s="123">
        <v>2334.4100000015378</v>
      </c>
      <c r="H49" s="123">
        <v>250.99999999997115</v>
      </c>
      <c r="I49" s="123">
        <v>2499.9900000012822</v>
      </c>
      <c r="J49" s="123">
        <v>2499.9900000012672</v>
      </c>
      <c r="K49" s="123">
        <v>11095.999999998723</v>
      </c>
      <c r="L49" s="123">
        <v>899.99999999999943</v>
      </c>
      <c r="M49" s="123">
        <v>3659.1999999995969</v>
      </c>
      <c r="N49" s="123">
        <v>13916.560000015921</v>
      </c>
      <c r="O49" s="123">
        <v>11987.800000005504</v>
      </c>
      <c r="P49" s="123">
        <v>673.3700000003422</v>
      </c>
      <c r="Q49" s="123">
        <v>9.4979999999947626</v>
      </c>
      <c r="R49" s="123">
        <v>2294.4700000004386</v>
      </c>
      <c r="S49" s="123">
        <v>1591.6899999993404</v>
      </c>
      <c r="T49" s="123">
        <v>504.47000000016385</v>
      </c>
      <c r="U49" s="123">
        <v>419.22999999996358</v>
      </c>
      <c r="V49" s="123">
        <v>5739.9700000027269</v>
      </c>
      <c r="W49" s="123">
        <v>899.98999999967975</v>
      </c>
      <c r="X49" s="123">
        <v>849.98999999941839</v>
      </c>
      <c r="Y49" s="123">
        <v>324.9999999999643</v>
      </c>
      <c r="Z49" s="123">
        <v>200.00000000007739</v>
      </c>
      <c r="AA49" s="123">
        <v>1000.0000000020067</v>
      </c>
      <c r="AB49" s="123">
        <v>1499.999999998952</v>
      </c>
      <c r="AC49" s="123">
        <v>1000.0000000020067</v>
      </c>
      <c r="AD49" s="123">
        <v>1499.999999998952</v>
      </c>
      <c r="AE49" s="123">
        <v>3519.9999999995935</v>
      </c>
      <c r="AF49" s="123">
        <v>242.82098433365417</v>
      </c>
      <c r="AG49" s="123">
        <v>8154.9999999990687</v>
      </c>
      <c r="AH49" s="123">
        <v>2091.8912780862497</v>
      </c>
      <c r="AI49" s="123">
        <v>5000.0100000008242</v>
      </c>
      <c r="AJ49" s="123">
        <v>38999.999998983854</v>
      </c>
      <c r="AK49" s="123">
        <v>7970.0000000000064</v>
      </c>
      <c r="AL49" s="123">
        <v>10070.999999998843</v>
      </c>
      <c r="AM49" s="123">
        <v>12099.999999999998</v>
      </c>
      <c r="AN49" s="123">
        <v>2892.9999999996676</v>
      </c>
      <c r="AO49" s="123">
        <v>900.9999999998962</v>
      </c>
      <c r="AP49" s="123">
        <v>340.98999999997505</v>
      </c>
      <c r="AQ49" s="123">
        <v>1262.128258928672</v>
      </c>
      <c r="AR49" s="123">
        <v>2444.0429101348068</v>
      </c>
      <c r="AS49" s="123">
        <v>31248.028099180548</v>
      </c>
      <c r="AT49" s="123">
        <v>78538.326802914875</v>
      </c>
      <c r="AU49" s="123">
        <v>78781.479517474829</v>
      </c>
      <c r="AV49" s="123">
        <v>85832.908239718075</v>
      </c>
      <c r="AW49" s="123">
        <v>4644.9719008195007</v>
      </c>
      <c r="AX49" s="123">
        <v>23553.033346610846</v>
      </c>
      <c r="AY49" s="123">
        <v>1340.9999999998452</v>
      </c>
      <c r="AZ49" s="123">
        <v>395.68287209262928</v>
      </c>
      <c r="BA49" s="123">
        <v>1004.5723306771758</v>
      </c>
      <c r="BB49" s="123">
        <v>1300.0000000005809</v>
      </c>
      <c r="BC49" s="123">
        <v>16199.99999897049</v>
      </c>
      <c r="BD49" s="123">
        <v>560.99999999993611</v>
      </c>
      <c r="BE49" s="123">
        <v>619.39432270909231</v>
      </c>
      <c r="BF49" s="123">
        <v>550.00999999974545</v>
      </c>
      <c r="BG49" s="123">
        <v>12296.800000006155</v>
      </c>
      <c r="BH49" s="3">
        <v>27745.191361295208</v>
      </c>
      <c r="BI49" s="3">
        <v>-881.47710721534656</v>
      </c>
      <c r="BJ49" s="3">
        <v>2428.3967366318529</v>
      </c>
      <c r="BK49" s="3">
        <v>89529.867917365482</v>
      </c>
      <c r="BL49" s="3">
        <v>0</v>
      </c>
      <c r="BM49" s="3"/>
      <c r="BN49" s="3"/>
      <c r="BO49" s="3"/>
      <c r="BP49" s="3"/>
      <c r="BQ49" s="3"/>
      <c r="BR49" s="3"/>
      <c r="BS49" s="3"/>
      <c r="BT49" s="3"/>
      <c r="BU49" s="3"/>
      <c r="BV49" s="3"/>
      <c r="BW49" s="3"/>
      <c r="BX49" s="3"/>
      <c r="BY49" s="3"/>
    </row>
    <row r="50" spans="1:77" x14ac:dyDescent="0.25">
      <c r="A50" s="1">
        <v>26298.999305555557</v>
      </c>
      <c r="B50" s="123">
        <v>1244.2135269718865</v>
      </c>
      <c r="C50" s="123">
        <v>1746.8500000002621</v>
      </c>
      <c r="D50" s="123">
        <v>2261.1200000002882</v>
      </c>
      <c r="E50" s="123">
        <v>5370.3499999989081</v>
      </c>
      <c r="F50" s="123">
        <v>996.68000000011409</v>
      </c>
      <c r="G50" s="123">
        <v>2334.4100000015378</v>
      </c>
      <c r="H50" s="123">
        <v>250.99999999997135</v>
      </c>
      <c r="I50" s="123">
        <v>2499.9900000012822</v>
      </c>
      <c r="J50" s="123">
        <v>2499.9900000012672</v>
      </c>
      <c r="K50" s="123">
        <v>11188.999999998718</v>
      </c>
      <c r="L50" s="123">
        <v>900.00000000000068</v>
      </c>
      <c r="M50" s="123">
        <v>3659.1999999995969</v>
      </c>
      <c r="N50" s="123">
        <v>13916.560000015921</v>
      </c>
      <c r="O50" s="123">
        <v>11987.800000005504</v>
      </c>
      <c r="P50" s="123">
        <v>673.3700000003422</v>
      </c>
      <c r="Q50" s="123">
        <v>2.7964730286507438</v>
      </c>
      <c r="R50" s="123">
        <v>2294.4700000004386</v>
      </c>
      <c r="S50" s="123">
        <v>1591.6899999993404</v>
      </c>
      <c r="T50" s="123">
        <v>504.47000000016385</v>
      </c>
      <c r="U50" s="123">
        <v>419.22999999996358</v>
      </c>
      <c r="V50" s="123">
        <v>5739.9700000027269</v>
      </c>
      <c r="W50" s="123">
        <v>899.98999999967975</v>
      </c>
      <c r="X50" s="123">
        <v>849.98999999941839</v>
      </c>
      <c r="Y50" s="123">
        <v>324.9999999999643</v>
      </c>
      <c r="Z50" s="123">
        <v>200.00000000007739</v>
      </c>
      <c r="AA50" s="123">
        <v>1000.0000000020067</v>
      </c>
      <c r="AB50" s="123">
        <v>1499.999999998952</v>
      </c>
      <c r="AC50" s="123">
        <v>1000.0000000020067</v>
      </c>
      <c r="AD50" s="123">
        <v>1499.999999998952</v>
      </c>
      <c r="AE50" s="123">
        <v>3757.9999999995639</v>
      </c>
      <c r="AF50" s="123">
        <v>243.37170479328154</v>
      </c>
      <c r="AG50" s="123">
        <v>7854.9999999990923</v>
      </c>
      <c r="AH50" s="123">
        <v>2279.5611013298012</v>
      </c>
      <c r="AI50" s="123">
        <v>5000.0100000008242</v>
      </c>
      <c r="AJ50" s="123">
        <v>38999.999998983854</v>
      </c>
      <c r="AK50" s="123">
        <v>7824.0030788877229</v>
      </c>
      <c r="AL50" s="123">
        <v>10181.999999998827</v>
      </c>
      <c r="AM50" s="123">
        <v>12100</v>
      </c>
      <c r="AN50" s="123">
        <v>2617.9999999996985</v>
      </c>
      <c r="AO50" s="123">
        <v>891.9999999998978</v>
      </c>
      <c r="AP50" s="123">
        <v>340.98999999997505</v>
      </c>
      <c r="AQ50" s="123">
        <v>1165.9622931471711</v>
      </c>
      <c r="AR50" s="123">
        <v>2736.3369381753514</v>
      </c>
      <c r="AS50" s="123">
        <v>31248.028099180548</v>
      </c>
      <c r="AT50" s="123">
        <v>81379.991290921636</v>
      </c>
      <c r="AU50" s="123">
        <v>81631.941728355043</v>
      </c>
      <c r="AV50" s="123">
        <v>88938.504413917792</v>
      </c>
      <c r="AW50" s="123">
        <v>4644.9719008194825</v>
      </c>
      <c r="AX50" s="123">
        <v>23746.681434260205</v>
      </c>
      <c r="AY50" s="123">
        <v>1375.9999999998415</v>
      </c>
      <c r="AZ50" s="123">
        <v>396.21639453685822</v>
      </c>
      <c r="BA50" s="123">
        <v>1012.8317131472938</v>
      </c>
      <c r="BB50" s="123">
        <v>1300.0000000005809</v>
      </c>
      <c r="BC50" s="123">
        <v>16199.99999897049</v>
      </c>
      <c r="BD50" s="123">
        <v>565.99999999993474</v>
      </c>
      <c r="BE50" s="123">
        <v>624.48685258956948</v>
      </c>
      <c r="BF50" s="123">
        <v>550.00999999974545</v>
      </c>
      <c r="BG50" s="123">
        <v>12296.800000006155</v>
      </c>
      <c r="BH50" s="3">
        <v>29322.620218650103</v>
      </c>
      <c r="BI50" s="3">
        <v>878.06746740217602</v>
      </c>
      <c r="BJ50" s="3">
        <v>2426.0196477872314</v>
      </c>
      <c r="BK50" s="3">
        <v>61272.241050227894</v>
      </c>
      <c r="BL50" s="3">
        <v>0</v>
      </c>
      <c r="BM50" s="3"/>
      <c r="BN50" s="3"/>
      <c r="BO50" s="3"/>
      <c r="BP50" s="3"/>
      <c r="BQ50" s="3"/>
      <c r="BR50" s="3"/>
      <c r="BS50" s="3"/>
      <c r="BT50" s="3"/>
      <c r="BU50" s="3"/>
      <c r="BV50" s="3"/>
      <c r="BW50" s="3"/>
      <c r="BX50" s="3"/>
      <c r="BY50" s="3"/>
    </row>
    <row r="51" spans="1:77" x14ac:dyDescent="0.25">
      <c r="A51" s="1">
        <v>26664.999305555557</v>
      </c>
      <c r="B51" s="123">
        <v>1036.9277311832343</v>
      </c>
      <c r="C51" s="123">
        <v>1746.8500000002621</v>
      </c>
      <c r="D51" s="123">
        <v>2261.1200000002882</v>
      </c>
      <c r="E51" s="123">
        <v>5370.3499999989081</v>
      </c>
      <c r="F51" s="123">
        <v>996.68000000011409</v>
      </c>
      <c r="G51" s="123">
        <v>2334.4100000015383</v>
      </c>
      <c r="H51" s="123">
        <v>283.99999999996732</v>
      </c>
      <c r="I51" s="123">
        <v>2499.9900000012822</v>
      </c>
      <c r="J51" s="123">
        <v>2499.9900000012672</v>
      </c>
      <c r="K51" s="123">
        <v>12534.999999998554</v>
      </c>
      <c r="L51" s="123">
        <v>900.00000000000125</v>
      </c>
      <c r="M51" s="123">
        <v>3659.1999999995965</v>
      </c>
      <c r="N51" s="123">
        <v>13916.560000015921</v>
      </c>
      <c r="O51" s="123">
        <v>11987.800000005504</v>
      </c>
      <c r="P51" s="123">
        <v>673.3700000003422</v>
      </c>
      <c r="Q51" s="123">
        <v>210.08226881730516</v>
      </c>
      <c r="R51" s="123">
        <v>2294.4700000004386</v>
      </c>
      <c r="S51" s="123">
        <v>1591.6899999993404</v>
      </c>
      <c r="T51" s="123">
        <v>504.47000000016385</v>
      </c>
      <c r="U51" s="123">
        <v>419.22999999996358</v>
      </c>
      <c r="V51" s="123">
        <v>5739.970000002726</v>
      </c>
      <c r="W51" s="123">
        <v>899.98999999967964</v>
      </c>
      <c r="X51" s="123">
        <v>849.98999999941861</v>
      </c>
      <c r="Y51" s="123">
        <v>324.9999999999643</v>
      </c>
      <c r="Z51" s="123">
        <v>200.00000000007739</v>
      </c>
      <c r="AA51" s="123">
        <v>1000.0000000020035</v>
      </c>
      <c r="AB51" s="123">
        <v>1499.9999999989695</v>
      </c>
      <c r="AC51" s="123">
        <v>1000.0000000020035</v>
      </c>
      <c r="AD51" s="123">
        <v>1499.9999999989695</v>
      </c>
      <c r="AE51" s="123">
        <v>3894.9999999995503</v>
      </c>
      <c r="AF51" s="123">
        <v>253.7467731720879</v>
      </c>
      <c r="AG51" s="123">
        <v>9211.230723389097</v>
      </c>
      <c r="AH51" s="123">
        <v>2318.8543424976442</v>
      </c>
      <c r="AI51" s="123">
        <v>5000.0100000008242</v>
      </c>
      <c r="AJ51" s="123">
        <v>38999.999998983862</v>
      </c>
      <c r="AK51" s="123">
        <v>7970.0000000000082</v>
      </c>
      <c r="AL51" s="123">
        <v>11397.999999998687</v>
      </c>
      <c r="AM51" s="123">
        <v>12100.000000000016</v>
      </c>
      <c r="AN51" s="123">
        <v>3084.9999999996453</v>
      </c>
      <c r="AO51" s="123">
        <v>1201.999999999862</v>
      </c>
      <c r="AP51" s="123">
        <v>340.98999999997511</v>
      </c>
      <c r="AQ51" s="123">
        <v>966.8168303555982</v>
      </c>
      <c r="AR51" s="123">
        <v>733.70629349862429</v>
      </c>
      <c r="AS51" s="123">
        <v>31235.302148767347</v>
      </c>
      <c r="AT51" s="123">
        <v>87250.233964676198</v>
      </c>
      <c r="AU51" s="123">
        <v>87520.35852803498</v>
      </c>
      <c r="AV51" s="123">
        <v>95353.970865420692</v>
      </c>
      <c r="AW51" s="123">
        <v>4657.6978512326896</v>
      </c>
      <c r="AX51" s="123">
        <v>24982.47430278598</v>
      </c>
      <c r="AY51" s="123">
        <v>1648.9999999998106</v>
      </c>
      <c r="AZ51" s="123">
        <v>399.5554148823735</v>
      </c>
      <c r="BA51" s="123">
        <v>1065.5401394421087</v>
      </c>
      <c r="BB51" s="123">
        <v>1300.0000000005807</v>
      </c>
      <c r="BC51" s="123">
        <v>16199.999998970494</v>
      </c>
      <c r="BD51" s="123">
        <v>635.99999999992747</v>
      </c>
      <c r="BE51" s="123">
        <v>656.98555776884859</v>
      </c>
      <c r="BF51" s="123">
        <v>550.00999999974533</v>
      </c>
      <c r="BG51" s="123">
        <v>12296.800000006155</v>
      </c>
      <c r="BH51" s="3">
        <v>28499.854368710523</v>
      </c>
      <c r="BI51" s="3">
        <v>4377.2432824737898</v>
      </c>
      <c r="BJ51" s="3">
        <v>2364.6251529799592</v>
      </c>
      <c r="BK51" s="3">
        <v>60245.521726773353</v>
      </c>
      <c r="BL51" s="3">
        <v>0</v>
      </c>
      <c r="BM51" s="3"/>
      <c r="BN51" s="3"/>
      <c r="BO51" s="3"/>
      <c r="BP51" s="3"/>
      <c r="BQ51" s="3"/>
      <c r="BR51" s="3"/>
      <c r="BS51" s="3"/>
      <c r="BT51" s="3"/>
      <c r="BU51" s="3"/>
      <c r="BV51" s="3"/>
      <c r="BW51" s="3"/>
      <c r="BX51" s="3"/>
      <c r="BY51" s="3"/>
    </row>
    <row r="52" spans="1:77" x14ac:dyDescent="0.25">
      <c r="A52" s="1">
        <v>27029.999305555557</v>
      </c>
      <c r="B52" s="123">
        <v>1247.010000000537</v>
      </c>
      <c r="C52" s="123">
        <v>1746.8500000002621</v>
      </c>
      <c r="D52" s="123">
        <v>2261.1200000002882</v>
      </c>
      <c r="E52" s="123">
        <v>5370.3499999989081</v>
      </c>
      <c r="F52" s="123">
        <v>996.68000000011409</v>
      </c>
      <c r="G52" s="123">
        <v>2334.4100000015378</v>
      </c>
      <c r="H52" s="123">
        <v>251.99999999997112</v>
      </c>
      <c r="I52" s="123">
        <v>2499.9900000012822</v>
      </c>
      <c r="J52" s="123">
        <v>2499.9900000012672</v>
      </c>
      <c r="K52" s="123">
        <v>11054.999999998729</v>
      </c>
      <c r="L52" s="123">
        <v>900.00000000000057</v>
      </c>
      <c r="M52" s="123">
        <v>3659.1999999995969</v>
      </c>
      <c r="N52" s="123">
        <v>13916.560000015921</v>
      </c>
      <c r="O52" s="123">
        <v>11987.800000005504</v>
      </c>
      <c r="P52" s="123">
        <v>673.3700000003422</v>
      </c>
      <c r="Q52" s="123">
        <v>0</v>
      </c>
      <c r="R52" s="123">
        <v>2294.4700000004386</v>
      </c>
      <c r="S52" s="123">
        <v>1591.6899999993404</v>
      </c>
      <c r="T52" s="123">
        <v>504.47000000016385</v>
      </c>
      <c r="U52" s="123">
        <v>419.22999999996358</v>
      </c>
      <c r="V52" s="123">
        <v>5739.9700000027269</v>
      </c>
      <c r="W52" s="123">
        <v>899.98999999967975</v>
      </c>
      <c r="X52" s="123">
        <v>849.98999999941839</v>
      </c>
      <c r="Y52" s="123">
        <v>324.9999999999643</v>
      </c>
      <c r="Z52" s="123">
        <v>200.00000000007739</v>
      </c>
      <c r="AA52" s="123">
        <v>1000.0000000020067</v>
      </c>
      <c r="AB52" s="123">
        <v>1499.999999998952</v>
      </c>
      <c r="AC52" s="123">
        <v>1000.0000000020067</v>
      </c>
      <c r="AD52" s="123">
        <v>1499.999999998952</v>
      </c>
      <c r="AE52" s="123">
        <v>3364.9999999996153</v>
      </c>
      <c r="AF52" s="123">
        <v>218.58463162948584</v>
      </c>
      <c r="AG52" s="123">
        <v>7925.999999999086</v>
      </c>
      <c r="AH52" s="123">
        <v>2097.4874118175208</v>
      </c>
      <c r="AI52" s="123">
        <v>5000.0100000008242</v>
      </c>
      <c r="AJ52" s="123">
        <v>38999.999998983854</v>
      </c>
      <c r="AK52" s="123">
        <v>7970</v>
      </c>
      <c r="AL52" s="123">
        <v>10124.999999998838</v>
      </c>
      <c r="AM52" s="123">
        <v>12100.000000000007</v>
      </c>
      <c r="AN52" s="123">
        <v>2684.9999999996899</v>
      </c>
      <c r="AO52" s="123">
        <v>876.99999999989939</v>
      </c>
      <c r="AP52" s="123">
        <v>340.98999999997505</v>
      </c>
      <c r="AQ52" s="123">
        <v>1211.8107405340743</v>
      </c>
      <c r="AR52" s="123">
        <v>5139.4231412345034</v>
      </c>
      <c r="AS52" s="123">
        <v>31248.028099180548</v>
      </c>
      <c r="AT52" s="123">
        <v>75370.64056405508</v>
      </c>
      <c r="AU52" s="123">
        <v>75603.986200476487</v>
      </c>
      <c r="AV52" s="123">
        <v>82371.009656691924</v>
      </c>
      <c r="AW52" s="123">
        <v>4644.9719008195216</v>
      </c>
      <c r="AX52" s="123">
        <v>21491.195737049315</v>
      </c>
      <c r="AY52" s="123">
        <v>1405.9999999998388</v>
      </c>
      <c r="AZ52" s="123">
        <v>355.16192325897214</v>
      </c>
      <c r="BA52" s="123">
        <v>916.63185258953501</v>
      </c>
      <c r="BB52" s="123">
        <v>1300.0000000005809</v>
      </c>
      <c r="BC52" s="123">
        <v>16199.99999897049</v>
      </c>
      <c r="BD52" s="123">
        <v>558.99999999993565</v>
      </c>
      <c r="BE52" s="123">
        <v>565.17241035850054</v>
      </c>
      <c r="BF52" s="123">
        <v>550.00999999974545</v>
      </c>
      <c r="BG52" s="123">
        <v>12296.800000006155</v>
      </c>
      <c r="BH52" s="3">
        <v>28145.681271460613</v>
      </c>
      <c r="BI52" s="3">
        <v>-2842.8927349919904</v>
      </c>
      <c r="BJ52" s="3">
        <v>2430.6755148991124</v>
      </c>
      <c r="BK52" s="3">
        <v>171559.00874659489</v>
      </c>
      <c r="BL52" s="3">
        <v>0</v>
      </c>
      <c r="BM52" s="3"/>
      <c r="BN52" s="3"/>
      <c r="BO52" s="3"/>
      <c r="BP52" s="3"/>
      <c r="BQ52" s="3"/>
      <c r="BR52" s="3"/>
      <c r="BS52" s="3"/>
      <c r="BT52" s="3"/>
      <c r="BU52" s="3"/>
      <c r="BV52" s="3"/>
      <c r="BW52" s="3"/>
      <c r="BX52" s="3"/>
      <c r="BY52" s="3"/>
    </row>
    <row r="53" spans="1:77" x14ac:dyDescent="0.25">
      <c r="A53" s="1">
        <v>27394.999305555557</v>
      </c>
      <c r="B53" s="123">
        <v>976.90903225835075</v>
      </c>
      <c r="C53" s="123">
        <v>1746.8500000002621</v>
      </c>
      <c r="D53" s="123">
        <v>2261.1200000002882</v>
      </c>
      <c r="E53" s="123">
        <v>5370.3499999989081</v>
      </c>
      <c r="F53" s="123">
        <v>996.68000000011409</v>
      </c>
      <c r="G53" s="123">
        <v>2334.4100000015378</v>
      </c>
      <c r="H53" s="123">
        <v>287.99999999996663</v>
      </c>
      <c r="I53" s="123">
        <v>2499.9900000012822</v>
      </c>
      <c r="J53" s="123">
        <v>2499.9900000012672</v>
      </c>
      <c r="K53" s="123">
        <v>12706.999999998538</v>
      </c>
      <c r="L53" s="123">
        <v>900.00000000000034</v>
      </c>
      <c r="M53" s="123">
        <v>3659.1999999995969</v>
      </c>
      <c r="N53" s="123">
        <v>13916.560000015921</v>
      </c>
      <c r="O53" s="123">
        <v>11987.800000005504</v>
      </c>
      <c r="P53" s="123">
        <v>673.3700000003422</v>
      </c>
      <c r="Q53" s="123">
        <v>270.10096774218954</v>
      </c>
      <c r="R53" s="123">
        <v>2294.4700000004386</v>
      </c>
      <c r="S53" s="123">
        <v>1591.6899999993404</v>
      </c>
      <c r="T53" s="123">
        <v>504.47000000016385</v>
      </c>
      <c r="U53" s="123">
        <v>419.22999999996358</v>
      </c>
      <c r="V53" s="123">
        <v>5739.9700000027269</v>
      </c>
      <c r="W53" s="123">
        <v>899.98999999967975</v>
      </c>
      <c r="X53" s="123">
        <v>849.98999999941839</v>
      </c>
      <c r="Y53" s="123">
        <v>324.9999999999643</v>
      </c>
      <c r="Z53" s="123">
        <v>200.00000000007739</v>
      </c>
      <c r="AA53" s="123">
        <v>1000.0000000020067</v>
      </c>
      <c r="AB53" s="123">
        <v>1499.999999998952</v>
      </c>
      <c r="AC53" s="123">
        <v>1000.0000000020067</v>
      </c>
      <c r="AD53" s="123">
        <v>1499.999999998952</v>
      </c>
      <c r="AE53" s="123">
        <v>3976.9999999995421</v>
      </c>
      <c r="AF53" s="123">
        <v>195.87255872211446</v>
      </c>
      <c r="AG53" s="123">
        <v>8537.3996804203089</v>
      </c>
      <c r="AH53" s="123">
        <v>2447.508856903888</v>
      </c>
      <c r="AI53" s="123">
        <v>5000.0100000008242</v>
      </c>
      <c r="AJ53" s="123">
        <v>38999.999998983854</v>
      </c>
      <c r="AK53" s="123">
        <v>7969.9999999999991</v>
      </c>
      <c r="AL53" s="123">
        <v>11576.999999998672</v>
      </c>
      <c r="AM53" s="123">
        <v>12100</v>
      </c>
      <c r="AN53" s="123">
        <v>3097.9999999996421</v>
      </c>
      <c r="AO53" s="123">
        <v>1274.9999999998533</v>
      </c>
      <c r="AP53" s="123">
        <v>340.98999999997505</v>
      </c>
      <c r="AQ53" s="123">
        <v>953.47574650801801</v>
      </c>
      <c r="AR53" s="123">
        <v>983.12127573093358</v>
      </c>
      <c r="AS53" s="123">
        <v>31248.028099180548</v>
      </c>
      <c r="AT53" s="123">
        <v>88622.670372985682</v>
      </c>
      <c r="AU53" s="123">
        <v>88897.043965471836</v>
      </c>
      <c r="AV53" s="123">
        <v>96853.878147566778</v>
      </c>
      <c r="AW53" s="123">
        <v>4644.9719008195034</v>
      </c>
      <c r="AX53" s="123">
        <v>24543.72573704899</v>
      </c>
      <c r="AY53" s="123">
        <v>1550.9999999998211</v>
      </c>
      <c r="AZ53" s="123">
        <v>405.09501774193598</v>
      </c>
      <c r="BA53" s="123">
        <v>1046.8268525895216</v>
      </c>
      <c r="BB53" s="123">
        <v>1300.0000000005809</v>
      </c>
      <c r="BC53" s="123">
        <v>16199.99999897049</v>
      </c>
      <c r="BD53" s="123">
        <v>642.99999999992599</v>
      </c>
      <c r="BE53" s="123">
        <v>645.4474103584912</v>
      </c>
      <c r="BF53" s="123">
        <v>550.00999999974545</v>
      </c>
      <c r="BG53" s="123">
        <v>12296.800000006155</v>
      </c>
      <c r="BH53" s="3">
        <v>27671.637473542603</v>
      </c>
      <c r="BI53" s="3">
        <v>5362.6984779679897</v>
      </c>
      <c r="BJ53" s="3">
        <v>2379.5681919024787</v>
      </c>
      <c r="BK53" s="3">
        <v>49696.202529396454</v>
      </c>
      <c r="BL53" s="3">
        <v>0</v>
      </c>
      <c r="BM53" s="3"/>
      <c r="BN53" s="3"/>
      <c r="BO53" s="3"/>
      <c r="BP53" s="3"/>
      <c r="BQ53" s="3"/>
      <c r="BR53" s="3"/>
      <c r="BS53" s="3"/>
      <c r="BT53" s="3"/>
      <c r="BU53" s="3"/>
      <c r="BV53" s="3"/>
      <c r="BW53" s="3"/>
      <c r="BX53" s="3"/>
      <c r="BY53" s="3"/>
    </row>
    <row r="54" spans="1:77" x14ac:dyDescent="0.25">
      <c r="A54" s="1">
        <v>27759.999305555557</v>
      </c>
      <c r="B54" s="123">
        <v>1247.010000000537</v>
      </c>
      <c r="C54" s="123">
        <v>1746.8500000002621</v>
      </c>
      <c r="D54" s="123">
        <v>2261.1200000002882</v>
      </c>
      <c r="E54" s="123">
        <v>5370.3499999989081</v>
      </c>
      <c r="F54" s="123">
        <v>996.68000000011409</v>
      </c>
      <c r="G54" s="123">
        <v>2334.4100000015378</v>
      </c>
      <c r="H54" s="123">
        <v>251.99999999997095</v>
      </c>
      <c r="I54" s="123">
        <v>2499.9900000012822</v>
      </c>
      <c r="J54" s="123">
        <v>2499.9900000012672</v>
      </c>
      <c r="K54" s="123">
        <v>11097.999999998721</v>
      </c>
      <c r="L54" s="123">
        <v>899.99999999999977</v>
      </c>
      <c r="M54" s="123">
        <v>3659.1999999995969</v>
      </c>
      <c r="N54" s="123">
        <v>13916.560000015921</v>
      </c>
      <c r="O54" s="123">
        <v>11987.800000005504</v>
      </c>
      <c r="P54" s="123">
        <v>673.3700000003422</v>
      </c>
      <c r="Q54" s="123">
        <v>0</v>
      </c>
      <c r="R54" s="123">
        <v>2294.4700000004386</v>
      </c>
      <c r="S54" s="123">
        <v>1591.6899999993404</v>
      </c>
      <c r="T54" s="123">
        <v>504.47000000016385</v>
      </c>
      <c r="U54" s="123">
        <v>419.22999999996358</v>
      </c>
      <c r="V54" s="123">
        <v>5739.9700000027269</v>
      </c>
      <c r="W54" s="123">
        <v>899.98999999967975</v>
      </c>
      <c r="X54" s="123">
        <v>849.98999999941839</v>
      </c>
      <c r="Y54" s="123">
        <v>324.9999999999643</v>
      </c>
      <c r="Z54" s="123">
        <v>200.00000000007739</v>
      </c>
      <c r="AA54" s="123">
        <v>1000.0000000020067</v>
      </c>
      <c r="AB54" s="123">
        <v>1499.999999998952</v>
      </c>
      <c r="AC54" s="123">
        <v>1000.0000000020067</v>
      </c>
      <c r="AD54" s="123">
        <v>1499.999999998952</v>
      </c>
      <c r="AE54" s="123">
        <v>3402.9999999996085</v>
      </c>
      <c r="AF54" s="123">
        <v>230.29222741935479</v>
      </c>
      <c r="AG54" s="123">
        <v>6718.9999999992287</v>
      </c>
      <c r="AH54" s="123">
        <v>2105.9999999997576</v>
      </c>
      <c r="AI54" s="123">
        <v>5000.0100000008242</v>
      </c>
      <c r="AJ54" s="123">
        <v>38999.999998983854</v>
      </c>
      <c r="AK54" s="123">
        <v>6524.0049023243746</v>
      </c>
      <c r="AL54" s="123">
        <v>10116.999999998839</v>
      </c>
      <c r="AM54" s="123">
        <v>12099.999999999995</v>
      </c>
      <c r="AN54" s="123">
        <v>2270.9999999997381</v>
      </c>
      <c r="AO54" s="123">
        <v>959.99999999989029</v>
      </c>
      <c r="AP54" s="123">
        <v>340.98999999997505</v>
      </c>
      <c r="AQ54" s="123">
        <v>1246.3482168228772</v>
      </c>
      <c r="AR54" s="123">
        <v>5315.4113727346548</v>
      </c>
      <c r="AS54" s="123">
        <v>31248.028099180548</v>
      </c>
      <c r="AT54" s="123">
        <v>76847.830618157503</v>
      </c>
      <c r="AU54" s="123">
        <v>77085.749598399518</v>
      </c>
      <c r="AV54" s="123">
        <v>83985.400025416937</v>
      </c>
      <c r="AW54" s="123">
        <v>4644.9719008195098</v>
      </c>
      <c r="AX54" s="123">
        <v>22481.888127487447</v>
      </c>
      <c r="AY54" s="123">
        <v>1365.9999999998438</v>
      </c>
      <c r="AZ54" s="123">
        <v>380.109633258972</v>
      </c>
      <c r="BA54" s="123">
        <v>958.88637450188162</v>
      </c>
      <c r="BB54" s="123">
        <v>1300.0000000005809</v>
      </c>
      <c r="BC54" s="123">
        <v>16199.99999897049</v>
      </c>
      <c r="BD54" s="123">
        <v>561.99999999993497</v>
      </c>
      <c r="BE54" s="123">
        <v>591.22549800789989</v>
      </c>
      <c r="BF54" s="123">
        <v>550.00999999974545</v>
      </c>
      <c r="BG54" s="123">
        <v>12296.800000006155</v>
      </c>
      <c r="BH54" s="3">
        <v>26485.663026552771</v>
      </c>
      <c r="BI54" s="3">
        <v>-1928.2239708419775</v>
      </c>
      <c r="BJ54" s="3">
        <v>2384.2194327958791</v>
      </c>
      <c r="BK54" s="3">
        <v>151212.82656965507</v>
      </c>
      <c r="BL54" s="3">
        <v>0</v>
      </c>
      <c r="BM54" s="3"/>
      <c r="BN54" s="3"/>
      <c r="BO54" s="3"/>
      <c r="BP54" s="3"/>
      <c r="BQ54" s="3"/>
      <c r="BR54" s="3"/>
      <c r="BS54" s="3"/>
      <c r="BT54" s="3"/>
      <c r="BU54" s="3"/>
      <c r="BV54" s="3"/>
      <c r="BW54" s="3"/>
      <c r="BX54" s="3"/>
      <c r="BY54" s="3"/>
    </row>
    <row r="55" spans="1:77" x14ac:dyDescent="0.25">
      <c r="A55" s="1">
        <v>28125.999305555557</v>
      </c>
      <c r="B55" s="123">
        <v>1247.010000000537</v>
      </c>
      <c r="C55" s="123">
        <v>1746.8500000002621</v>
      </c>
      <c r="D55" s="123">
        <v>2261.1200000002882</v>
      </c>
      <c r="E55" s="123">
        <v>5370.3499999989081</v>
      </c>
      <c r="F55" s="123">
        <v>996.68000000011409</v>
      </c>
      <c r="G55" s="123">
        <v>2334.4100000015383</v>
      </c>
      <c r="H55" s="123">
        <v>251.99999999997095</v>
      </c>
      <c r="I55" s="123">
        <v>2499.9900000012822</v>
      </c>
      <c r="J55" s="123">
        <v>2499.9900000012672</v>
      </c>
      <c r="K55" s="123">
        <v>11173.999999998712</v>
      </c>
      <c r="L55" s="123">
        <v>899.99999999999943</v>
      </c>
      <c r="M55" s="123">
        <v>3659.1999999995965</v>
      </c>
      <c r="N55" s="123">
        <v>13916.560000015921</v>
      </c>
      <c r="O55" s="123">
        <v>11987.800000005504</v>
      </c>
      <c r="P55" s="123">
        <v>673.3700000003422</v>
      </c>
      <c r="Q55" s="123">
        <v>0</v>
      </c>
      <c r="R55" s="123">
        <v>2294.4700000004386</v>
      </c>
      <c r="S55" s="123">
        <v>1591.6899999993404</v>
      </c>
      <c r="T55" s="123">
        <v>504.47000000016385</v>
      </c>
      <c r="U55" s="123">
        <v>419.22999999996358</v>
      </c>
      <c r="V55" s="123">
        <v>5739.970000002726</v>
      </c>
      <c r="W55" s="123">
        <v>899.98999999967964</v>
      </c>
      <c r="X55" s="123">
        <v>849.98999999941861</v>
      </c>
      <c r="Y55" s="123">
        <v>324.9999999999643</v>
      </c>
      <c r="Z55" s="123">
        <v>200.00000000007739</v>
      </c>
      <c r="AA55" s="123">
        <v>1000.0000000020035</v>
      </c>
      <c r="AB55" s="123">
        <v>1499.9999999989695</v>
      </c>
      <c r="AC55" s="123">
        <v>1000.0000000020035</v>
      </c>
      <c r="AD55" s="123">
        <v>1499.9999999989695</v>
      </c>
      <c r="AE55" s="123">
        <v>3754.9999999995689</v>
      </c>
      <c r="AF55" s="123">
        <v>240.07725145368556</v>
      </c>
      <c r="AG55" s="123">
        <v>9349.9999999989286</v>
      </c>
      <c r="AH55" s="123">
        <v>2321.0471157088768</v>
      </c>
      <c r="AI55" s="123">
        <v>5000.0100000008242</v>
      </c>
      <c r="AJ55" s="123">
        <v>38999.999998983862</v>
      </c>
      <c r="AK55" s="123">
        <v>7970</v>
      </c>
      <c r="AL55" s="123">
        <v>10122.999999998834</v>
      </c>
      <c r="AM55" s="123">
        <v>12100.000000000007</v>
      </c>
      <c r="AN55" s="123">
        <v>2921.999999999663</v>
      </c>
      <c r="AO55" s="123">
        <v>1107.9999999998727</v>
      </c>
      <c r="AP55" s="123">
        <v>340.98999999997511</v>
      </c>
      <c r="AQ55" s="123">
        <v>1035.131539193558</v>
      </c>
      <c r="AR55" s="123">
        <v>2369.6889462986787</v>
      </c>
      <c r="AS55" s="123">
        <v>31235.302148767347</v>
      </c>
      <c r="AT55" s="123">
        <v>80274.441972356275</v>
      </c>
      <c r="AU55" s="123">
        <v>80522.969656480695</v>
      </c>
      <c r="AV55" s="123">
        <v>87730.272496104531</v>
      </c>
      <c r="AW55" s="123">
        <v>4657.6978512327141</v>
      </c>
      <c r="AX55" s="123">
        <v>23548.355856571001</v>
      </c>
      <c r="AY55" s="123">
        <v>1438.9999999998342</v>
      </c>
      <c r="AZ55" s="123">
        <v>394.03153837051366</v>
      </c>
      <c r="BA55" s="123">
        <v>1004.3728286851443</v>
      </c>
      <c r="BB55" s="123">
        <v>1300.0000000005807</v>
      </c>
      <c r="BC55" s="123">
        <v>16199.999998970494</v>
      </c>
      <c r="BD55" s="123">
        <v>566.99999999993497</v>
      </c>
      <c r="BE55" s="123">
        <v>619.2713147409645</v>
      </c>
      <c r="BF55" s="123">
        <v>550.00999999974533</v>
      </c>
      <c r="BG55" s="123">
        <v>12296.800000006155</v>
      </c>
      <c r="BH55" s="3">
        <v>28017.616617889638</v>
      </c>
      <c r="BI55" s="3">
        <v>57.867435835766727</v>
      </c>
      <c r="BJ55" s="3">
        <v>2425.1578396403715</v>
      </c>
      <c r="BK55" s="3">
        <v>84684.114660778752</v>
      </c>
      <c r="BL55" s="3">
        <v>0</v>
      </c>
      <c r="BM55" s="3"/>
      <c r="BN55" s="3"/>
      <c r="BO55" s="3"/>
      <c r="BP55" s="3"/>
      <c r="BQ55" s="3"/>
      <c r="BR55" s="3"/>
      <c r="BS55" s="3"/>
      <c r="BT55" s="3"/>
      <c r="BU55" s="3"/>
      <c r="BV55" s="3"/>
      <c r="BW55" s="3"/>
      <c r="BX55" s="3"/>
      <c r="BY55" s="3"/>
    </row>
    <row r="56" spans="1:77" x14ac:dyDescent="0.25">
      <c r="A56" s="1">
        <v>28490.999305555557</v>
      </c>
      <c r="B56" s="123">
        <v>953.9862742877599</v>
      </c>
      <c r="C56" s="123">
        <v>1746.8500000002621</v>
      </c>
      <c r="D56" s="123">
        <v>2260.2032875093851</v>
      </c>
      <c r="E56" s="123">
        <v>5370.3499999989081</v>
      </c>
      <c r="F56" s="123">
        <v>996.68000000011409</v>
      </c>
      <c r="G56" s="123">
        <v>2334.4100000015378</v>
      </c>
      <c r="H56" s="123">
        <v>293.99999999996618</v>
      </c>
      <c r="I56" s="123">
        <v>2499.9900000012822</v>
      </c>
      <c r="J56" s="123">
        <v>2499.9900000012672</v>
      </c>
      <c r="K56" s="123">
        <v>12891.999999998521</v>
      </c>
      <c r="L56" s="123">
        <v>900</v>
      </c>
      <c r="M56" s="123">
        <v>3659.1999999995969</v>
      </c>
      <c r="N56" s="123">
        <v>13916.560000015921</v>
      </c>
      <c r="O56" s="123">
        <v>11987.800000005504</v>
      </c>
      <c r="P56" s="123">
        <v>673.3700000003422</v>
      </c>
      <c r="Q56" s="123">
        <v>293.02372571278124</v>
      </c>
      <c r="R56" s="123">
        <v>2294.4700000004386</v>
      </c>
      <c r="S56" s="123">
        <v>1591.6899999993404</v>
      </c>
      <c r="T56" s="123">
        <v>504.47000000016385</v>
      </c>
      <c r="U56" s="123">
        <v>419.22999999996358</v>
      </c>
      <c r="V56" s="123">
        <v>5739.9700000027269</v>
      </c>
      <c r="W56" s="123">
        <v>899.98999999967975</v>
      </c>
      <c r="X56" s="123">
        <v>849.98999999941839</v>
      </c>
      <c r="Y56" s="123">
        <v>324.9999999999643</v>
      </c>
      <c r="Z56" s="123">
        <v>200.00000000007739</v>
      </c>
      <c r="AA56" s="123">
        <v>1000.0000000020067</v>
      </c>
      <c r="AB56" s="123">
        <v>1499.999999998952</v>
      </c>
      <c r="AC56" s="123">
        <v>1000.0000000020067</v>
      </c>
      <c r="AD56" s="123">
        <v>1499.999999998952</v>
      </c>
      <c r="AE56" s="123">
        <v>4070.9999999995348</v>
      </c>
      <c r="AF56" s="123">
        <v>53.350500000000039</v>
      </c>
      <c r="AG56" s="123">
        <v>9088.6226775465457</v>
      </c>
      <c r="AH56" s="123">
        <v>2459.082176344094</v>
      </c>
      <c r="AI56" s="123">
        <v>5000.0100000008242</v>
      </c>
      <c r="AJ56" s="123">
        <v>38999.999998983854</v>
      </c>
      <c r="AK56" s="123">
        <v>7970.0000000000082</v>
      </c>
      <c r="AL56" s="123">
        <v>11754.999999998641</v>
      </c>
      <c r="AM56" s="123">
        <v>12100</v>
      </c>
      <c r="AN56" s="123">
        <v>3168.9999999996348</v>
      </c>
      <c r="AO56" s="123">
        <v>1016.999999999883</v>
      </c>
      <c r="AP56" s="123">
        <v>340.98999999997505</v>
      </c>
      <c r="AQ56" s="123">
        <v>612.92835456300861</v>
      </c>
      <c r="AR56" s="123">
        <v>1712.6319657340155</v>
      </c>
      <c r="AS56" s="123">
        <v>31248.028099180548</v>
      </c>
      <c r="AT56" s="123">
        <v>86948.000806866999</v>
      </c>
      <c r="AU56" s="123">
        <v>87217.189663854137</v>
      </c>
      <c r="AV56" s="123">
        <v>95023.666516483296</v>
      </c>
      <c r="AW56" s="123">
        <v>4644.9719008195007</v>
      </c>
      <c r="AX56" s="123">
        <v>23321.96533864272</v>
      </c>
      <c r="AY56" s="123">
        <v>1636.9999999998124</v>
      </c>
      <c r="AZ56" s="123">
        <v>84.715360614967338</v>
      </c>
      <c r="BA56" s="123">
        <v>994.71693227080198</v>
      </c>
      <c r="BB56" s="123">
        <v>1300.0000000005809</v>
      </c>
      <c r="BC56" s="123">
        <v>16199.99999897049</v>
      </c>
      <c r="BD56" s="123">
        <v>652.99999999992497</v>
      </c>
      <c r="BE56" s="123">
        <v>613.31772908359426</v>
      </c>
      <c r="BF56" s="123">
        <v>550.00999999974545</v>
      </c>
      <c r="BG56" s="123">
        <v>12296.800000006155</v>
      </c>
      <c r="BH56" s="3">
        <v>23513.826943143973</v>
      </c>
      <c r="BI56" s="3">
        <v>4325.7513782039705</v>
      </c>
      <c r="BJ56" s="3">
        <v>2252.2475130175303</v>
      </c>
      <c r="BK56" s="3">
        <v>20634.086462259918</v>
      </c>
      <c r="BL56" s="3">
        <v>0</v>
      </c>
      <c r="BM56" s="3"/>
      <c r="BN56" s="3"/>
      <c r="BO56" s="3"/>
      <c r="BP56" s="3"/>
      <c r="BQ56" s="3"/>
      <c r="BR56" s="3"/>
      <c r="BS56" s="3"/>
      <c r="BT56" s="3"/>
      <c r="BU56" s="3"/>
      <c r="BV56" s="3"/>
      <c r="BW56" s="3"/>
      <c r="BX56" s="3"/>
      <c r="BY56" s="3"/>
    </row>
    <row r="57" spans="1:77" x14ac:dyDescent="0.25">
      <c r="A57" s="1">
        <v>28855.999305555557</v>
      </c>
      <c r="B57" s="123">
        <v>1045.7410809577414</v>
      </c>
      <c r="C57" s="123">
        <v>1746.8500000002621</v>
      </c>
      <c r="D57" s="123">
        <v>2261.1200000002882</v>
      </c>
      <c r="E57" s="123">
        <v>5370.3499999989081</v>
      </c>
      <c r="F57" s="123">
        <v>996.68000000011409</v>
      </c>
      <c r="G57" s="123">
        <v>2334.4100000015378</v>
      </c>
      <c r="H57" s="123">
        <v>269.99999999996896</v>
      </c>
      <c r="I57" s="123">
        <v>2499.9900000012822</v>
      </c>
      <c r="J57" s="123">
        <v>2499.9900000012672</v>
      </c>
      <c r="K57" s="123">
        <v>11801.999999998636</v>
      </c>
      <c r="L57" s="123">
        <v>899.99999999999886</v>
      </c>
      <c r="M57" s="123">
        <v>3659.1999999995969</v>
      </c>
      <c r="N57" s="123">
        <v>13916.560000015921</v>
      </c>
      <c r="O57" s="123">
        <v>11987.800000005504</v>
      </c>
      <c r="P57" s="123">
        <v>673.3700000003422</v>
      </c>
      <c r="Q57" s="123">
        <v>201.26891904279853</v>
      </c>
      <c r="R57" s="123">
        <v>2294.4700000004386</v>
      </c>
      <c r="S57" s="123">
        <v>1591.6899999993404</v>
      </c>
      <c r="T57" s="123">
        <v>504.47000000016385</v>
      </c>
      <c r="U57" s="123">
        <v>419.22999999996358</v>
      </c>
      <c r="V57" s="123">
        <v>5739.9700000027269</v>
      </c>
      <c r="W57" s="123">
        <v>899.98999999967975</v>
      </c>
      <c r="X57" s="123">
        <v>849.98999999941839</v>
      </c>
      <c r="Y57" s="123">
        <v>324.9999999999643</v>
      </c>
      <c r="Z57" s="123">
        <v>200.00000000007739</v>
      </c>
      <c r="AA57" s="123">
        <v>1000.0000000020067</v>
      </c>
      <c r="AB57" s="123">
        <v>1499.999999998952</v>
      </c>
      <c r="AC57" s="123">
        <v>1000.0000000020067</v>
      </c>
      <c r="AD57" s="123">
        <v>1499.999999998952</v>
      </c>
      <c r="AE57" s="123">
        <v>3844.9999999995598</v>
      </c>
      <c r="AF57" s="123">
        <v>13.718699999999989</v>
      </c>
      <c r="AG57" s="123">
        <v>8575.9999999990105</v>
      </c>
      <c r="AH57" s="123">
        <v>2260.5850337577299</v>
      </c>
      <c r="AI57" s="123">
        <v>5000.0100000008242</v>
      </c>
      <c r="AJ57" s="123">
        <v>38999.999998983854</v>
      </c>
      <c r="AK57" s="123">
        <v>7969.9999999999991</v>
      </c>
      <c r="AL57" s="123">
        <v>10803.999999998758</v>
      </c>
      <c r="AM57" s="123">
        <v>12100.000000000005</v>
      </c>
      <c r="AN57" s="123">
        <v>2938.9999999996626</v>
      </c>
      <c r="AO57" s="123">
        <v>1085.9999999998745</v>
      </c>
      <c r="AP57" s="123">
        <v>340.98999999997505</v>
      </c>
      <c r="AQ57" s="123">
        <v>871.32526561818952</v>
      </c>
      <c r="AR57" s="123">
        <v>3190.0803421409623</v>
      </c>
      <c r="AS57" s="123">
        <v>31248.028099180548</v>
      </c>
      <c r="AT57" s="123">
        <v>84418.225173938161</v>
      </c>
      <c r="AU57" s="123">
        <v>84679.581908223059</v>
      </c>
      <c r="AV57" s="123">
        <v>92258.92720247728</v>
      </c>
      <c r="AW57" s="123">
        <v>4644.9719008195098</v>
      </c>
      <c r="AX57" s="123">
        <v>23110.542788841965</v>
      </c>
      <c r="AY57" s="123">
        <v>1666.9999999998081</v>
      </c>
      <c r="AZ57" s="123">
        <v>379.70313000000021</v>
      </c>
      <c r="BA57" s="123">
        <v>985.69944223096206</v>
      </c>
      <c r="BB57" s="123">
        <v>1300.0000000005809</v>
      </c>
      <c r="BC57" s="123">
        <v>16199.99999897049</v>
      </c>
      <c r="BD57" s="123">
        <v>598.99999999993179</v>
      </c>
      <c r="BE57" s="123">
        <v>607.75776892423323</v>
      </c>
      <c r="BF57" s="123">
        <v>550.00999999974545</v>
      </c>
      <c r="BG57" s="123">
        <v>12296.800000006155</v>
      </c>
      <c r="BH57" s="3">
        <v>21556.514619555594</v>
      </c>
      <c r="BI57" s="3">
        <v>2759.3268376908804</v>
      </c>
      <c r="BJ57" s="3">
        <v>2341.0223657724082</v>
      </c>
      <c r="BK57" s="3">
        <v>102976.22427381485</v>
      </c>
      <c r="BL57" s="3">
        <v>0</v>
      </c>
      <c r="BM57" s="3"/>
      <c r="BN57" s="3"/>
      <c r="BO57" s="3"/>
      <c r="BP57" s="3"/>
      <c r="BQ57" s="3"/>
      <c r="BR57" s="3"/>
      <c r="BS57" s="3"/>
      <c r="BT57" s="3"/>
      <c r="BU57" s="3"/>
      <c r="BV57" s="3"/>
      <c r="BW57" s="3"/>
      <c r="BX57" s="3"/>
      <c r="BY57" s="3"/>
    </row>
    <row r="58" spans="1:77" x14ac:dyDescent="0.25">
      <c r="A58" s="1">
        <v>29220.999305555557</v>
      </c>
      <c r="B58" s="123">
        <v>1211.028103594522</v>
      </c>
      <c r="C58" s="123">
        <v>1746.8500000002621</v>
      </c>
      <c r="D58" s="123">
        <v>2261.1200000002882</v>
      </c>
      <c r="E58" s="123">
        <v>5370.3499999989081</v>
      </c>
      <c r="F58" s="123">
        <v>996.68000000011409</v>
      </c>
      <c r="G58" s="123">
        <v>2334.4100000015378</v>
      </c>
      <c r="H58" s="123">
        <v>246.99999999997169</v>
      </c>
      <c r="I58" s="123">
        <v>2499.9900000012822</v>
      </c>
      <c r="J58" s="123">
        <v>2499.9900000012672</v>
      </c>
      <c r="K58" s="123">
        <v>10940.999999998732</v>
      </c>
      <c r="L58" s="123">
        <v>899.99999999999886</v>
      </c>
      <c r="M58" s="123">
        <v>3659.1999999995969</v>
      </c>
      <c r="N58" s="123">
        <v>13916.560000015921</v>
      </c>
      <c r="O58" s="123">
        <v>11987.800000005504</v>
      </c>
      <c r="P58" s="123">
        <v>673.3700000003422</v>
      </c>
      <c r="Q58" s="123">
        <v>35.981896406015906</v>
      </c>
      <c r="R58" s="123">
        <v>2294.4700000004386</v>
      </c>
      <c r="S58" s="123">
        <v>1591.6899999993404</v>
      </c>
      <c r="T58" s="123">
        <v>504.47000000016385</v>
      </c>
      <c r="U58" s="123">
        <v>419.22999999996358</v>
      </c>
      <c r="V58" s="123">
        <v>5739.9700000027269</v>
      </c>
      <c r="W58" s="123">
        <v>899.98999999967975</v>
      </c>
      <c r="X58" s="123">
        <v>849.98999999941839</v>
      </c>
      <c r="Y58" s="123">
        <v>324.9999999999643</v>
      </c>
      <c r="Z58" s="123">
        <v>200.00000000007739</v>
      </c>
      <c r="AA58" s="123">
        <v>1000.0000000020067</v>
      </c>
      <c r="AB58" s="123">
        <v>1499.999999998952</v>
      </c>
      <c r="AC58" s="123">
        <v>1000.0000000020067</v>
      </c>
      <c r="AD58" s="123">
        <v>1499.999999998952</v>
      </c>
      <c r="AE58" s="123">
        <v>3772.9999999995675</v>
      </c>
      <c r="AF58" s="123">
        <v>224.07211453685744</v>
      </c>
      <c r="AG58" s="123">
        <v>9216.9999999989395</v>
      </c>
      <c r="AH58" s="123">
        <v>2300.9999999997372</v>
      </c>
      <c r="AI58" s="123">
        <v>5000.0100000008242</v>
      </c>
      <c r="AJ58" s="123">
        <v>38999.999998983854</v>
      </c>
      <c r="AK58" s="123">
        <v>7969.9999999999955</v>
      </c>
      <c r="AL58" s="123">
        <v>9951.9999999988559</v>
      </c>
      <c r="AM58" s="123">
        <v>12100.000000000009</v>
      </c>
      <c r="AN58" s="123">
        <v>2959.999999999658</v>
      </c>
      <c r="AO58" s="123">
        <v>1157.9999999998672</v>
      </c>
      <c r="AP58" s="123">
        <v>340.98999999997505</v>
      </c>
      <c r="AQ58" s="123">
        <v>1138.5628297121023</v>
      </c>
      <c r="AR58" s="123">
        <v>5423.6482199207776</v>
      </c>
      <c r="AS58" s="123">
        <v>31248.028099180548</v>
      </c>
      <c r="AT58" s="123">
        <v>80834.936464155355</v>
      </c>
      <c r="AU58" s="123">
        <v>81085.199425344588</v>
      </c>
      <c r="AV58" s="123">
        <v>88342.825299834949</v>
      </c>
      <c r="AW58" s="123">
        <v>4644.9719008195098</v>
      </c>
      <c r="AX58" s="123">
        <v>25230.3812748975</v>
      </c>
      <c r="AY58" s="123">
        <v>1620.9999999998131</v>
      </c>
      <c r="AZ58" s="123">
        <v>279.87129477746407</v>
      </c>
      <c r="BA58" s="123">
        <v>1076.1137450197973</v>
      </c>
      <c r="BB58" s="123">
        <v>1300.0000000005809</v>
      </c>
      <c r="BC58" s="123">
        <v>16199.99999897049</v>
      </c>
      <c r="BD58" s="123">
        <v>553.99999999993634</v>
      </c>
      <c r="BE58" s="123">
        <v>663.50498007960425</v>
      </c>
      <c r="BF58" s="123">
        <v>550.00999999974545</v>
      </c>
      <c r="BG58" s="123">
        <v>12296.800000006155</v>
      </c>
      <c r="BH58" s="3">
        <v>26405.676147171027</v>
      </c>
      <c r="BI58" s="3">
        <v>540.57221863014831</v>
      </c>
      <c r="BJ58" s="3">
        <v>2413.0025780780306</v>
      </c>
      <c r="BK58" s="3">
        <v>167149.64098318416</v>
      </c>
      <c r="BL58" s="3">
        <v>0</v>
      </c>
      <c r="BM58" s="3"/>
      <c r="BN58" s="3"/>
      <c r="BO58" s="3"/>
      <c r="BP58" s="3"/>
      <c r="BQ58" s="3"/>
      <c r="BR58" s="3"/>
      <c r="BS58" s="3"/>
      <c r="BT58" s="3"/>
      <c r="BU58" s="3"/>
      <c r="BV58" s="3"/>
      <c r="BW58" s="3"/>
      <c r="BX58" s="3"/>
      <c r="BY58" s="3"/>
    </row>
    <row r="59" spans="1:77" x14ac:dyDescent="0.25">
      <c r="A59" s="1">
        <v>29586.999305555557</v>
      </c>
      <c r="B59" s="123">
        <v>1247.010000000537</v>
      </c>
      <c r="C59" s="123">
        <v>1746.8500000002621</v>
      </c>
      <c r="D59" s="123">
        <v>2261.1200000002882</v>
      </c>
      <c r="E59" s="123">
        <v>5370.3499999989081</v>
      </c>
      <c r="F59" s="123">
        <v>996.68000000011409</v>
      </c>
      <c r="G59" s="123">
        <v>2334.4100000015383</v>
      </c>
      <c r="H59" s="123">
        <v>261.99999999996982</v>
      </c>
      <c r="I59" s="123">
        <v>2499.9900000012822</v>
      </c>
      <c r="J59" s="123">
        <v>2499.9900000012672</v>
      </c>
      <c r="K59" s="123">
        <v>11616.999999998659</v>
      </c>
      <c r="L59" s="123">
        <v>899.99999999999977</v>
      </c>
      <c r="M59" s="123">
        <v>3659.1999999995965</v>
      </c>
      <c r="N59" s="123">
        <v>13916.560000015921</v>
      </c>
      <c r="O59" s="123">
        <v>11987.800000005504</v>
      </c>
      <c r="P59" s="123">
        <v>673.3700000003422</v>
      </c>
      <c r="Q59" s="123">
        <v>0</v>
      </c>
      <c r="R59" s="123">
        <v>2294.4700000004386</v>
      </c>
      <c r="S59" s="123">
        <v>1591.6899999993404</v>
      </c>
      <c r="T59" s="123">
        <v>504.47000000016385</v>
      </c>
      <c r="U59" s="123">
        <v>419.22999999996358</v>
      </c>
      <c r="V59" s="123">
        <v>5739.970000002726</v>
      </c>
      <c r="W59" s="123">
        <v>899.98999999967964</v>
      </c>
      <c r="X59" s="123">
        <v>849.98999999941861</v>
      </c>
      <c r="Y59" s="123">
        <v>324.9999999999643</v>
      </c>
      <c r="Z59" s="123">
        <v>200.00000000007739</v>
      </c>
      <c r="AA59" s="123">
        <v>1000.0000000020035</v>
      </c>
      <c r="AB59" s="123">
        <v>1499.9999999989695</v>
      </c>
      <c r="AC59" s="123">
        <v>1000.0000000020035</v>
      </c>
      <c r="AD59" s="123">
        <v>1499.9999999989695</v>
      </c>
      <c r="AE59" s="123">
        <v>3826.9999999995607</v>
      </c>
      <c r="AF59" s="123">
        <v>262.13042321751499</v>
      </c>
      <c r="AG59" s="123">
        <v>9545.9999999988959</v>
      </c>
      <c r="AH59" s="123">
        <v>2265.8411560122827</v>
      </c>
      <c r="AI59" s="123">
        <v>5000.0100000008242</v>
      </c>
      <c r="AJ59" s="123">
        <v>38999.999998983862</v>
      </c>
      <c r="AK59" s="123">
        <v>7970.0000000000064</v>
      </c>
      <c r="AL59" s="123">
        <v>10536.999999998785</v>
      </c>
      <c r="AM59" s="123">
        <v>12099.999999999991</v>
      </c>
      <c r="AN59" s="123">
        <v>2854.9999999996699</v>
      </c>
      <c r="AO59" s="123">
        <v>1191.9999999998633</v>
      </c>
      <c r="AP59" s="123">
        <v>340.98999999997511</v>
      </c>
      <c r="AQ59" s="123">
        <v>1280.7679511346107</v>
      </c>
      <c r="AR59" s="123">
        <v>6336.611036836719</v>
      </c>
      <c r="AS59" s="123">
        <v>31235.302148767347</v>
      </c>
      <c r="AT59" s="123">
        <v>84275.483041783926</v>
      </c>
      <c r="AU59" s="123">
        <v>84536.397849963105</v>
      </c>
      <c r="AV59" s="123">
        <v>92102.927287150858</v>
      </c>
      <c r="AW59" s="123">
        <v>4657.6978512327141</v>
      </c>
      <c r="AX59" s="123">
        <v>25133.089482068815</v>
      </c>
      <c r="AY59" s="123">
        <v>1555.9999999998213</v>
      </c>
      <c r="AZ59" s="123">
        <v>289.61700000000013</v>
      </c>
      <c r="BA59" s="123">
        <v>1071.9641035855336</v>
      </c>
      <c r="BB59" s="123">
        <v>1300.0000000005807</v>
      </c>
      <c r="BC59" s="123">
        <v>16199.999998970494</v>
      </c>
      <c r="BD59" s="123">
        <v>587.9999999999327</v>
      </c>
      <c r="BE59" s="123">
        <v>660.946414342553</v>
      </c>
      <c r="BF59" s="123">
        <v>550.00999999974533</v>
      </c>
      <c r="BG59" s="123">
        <v>12296.800000006155</v>
      </c>
      <c r="BH59" s="3">
        <v>29948.051705948783</v>
      </c>
      <c r="BI59" s="3">
        <v>2535.2922466270061</v>
      </c>
      <c r="BJ59" s="3">
        <v>2419.443687991034</v>
      </c>
      <c r="BK59" s="3">
        <v>146340.02421289741</v>
      </c>
      <c r="BL59" s="3">
        <v>0</v>
      </c>
      <c r="BM59" s="3"/>
      <c r="BN59" s="3"/>
      <c r="BO59" s="3"/>
      <c r="BP59" s="3"/>
      <c r="BQ59" s="3"/>
      <c r="BR59" s="3"/>
      <c r="BS59" s="3"/>
      <c r="BT59" s="3"/>
      <c r="BU59" s="3"/>
      <c r="BV59" s="3"/>
      <c r="BW59" s="3"/>
      <c r="BX59" s="3"/>
      <c r="BY59" s="3"/>
    </row>
    <row r="60" spans="1:77" x14ac:dyDescent="0.25">
      <c r="A60" s="1">
        <v>29951.999305555557</v>
      </c>
      <c r="B60" s="123">
        <v>1232.7630000005452</v>
      </c>
      <c r="C60" s="123">
        <v>1746.8500000002621</v>
      </c>
      <c r="D60" s="123">
        <v>2261.1200000002882</v>
      </c>
      <c r="E60" s="123">
        <v>5370.3499999989081</v>
      </c>
      <c r="F60" s="123">
        <v>996.68000000011409</v>
      </c>
      <c r="G60" s="123">
        <v>2334.4100000015378</v>
      </c>
      <c r="H60" s="123">
        <v>261.99999999996976</v>
      </c>
      <c r="I60" s="123">
        <v>2499.9900000012822</v>
      </c>
      <c r="J60" s="123">
        <v>2499.9900000012672</v>
      </c>
      <c r="K60" s="123">
        <v>11514.999999998687</v>
      </c>
      <c r="L60" s="123">
        <v>899.99999999999955</v>
      </c>
      <c r="M60" s="123">
        <v>3659.1999999995969</v>
      </c>
      <c r="N60" s="123">
        <v>13916.560000015921</v>
      </c>
      <c r="O60" s="123">
        <v>11987.800000005504</v>
      </c>
      <c r="P60" s="123">
        <v>673.3700000003422</v>
      </c>
      <c r="Q60" s="123">
        <v>14.246999999992143</v>
      </c>
      <c r="R60" s="123">
        <v>2294.4700000004386</v>
      </c>
      <c r="S60" s="123">
        <v>1591.6899999993404</v>
      </c>
      <c r="T60" s="123">
        <v>504.47000000016385</v>
      </c>
      <c r="U60" s="123">
        <v>419.22999999996358</v>
      </c>
      <c r="V60" s="123">
        <v>5739.9700000027269</v>
      </c>
      <c r="W60" s="123">
        <v>899.98999999967975</v>
      </c>
      <c r="X60" s="123">
        <v>849.98999999941839</v>
      </c>
      <c r="Y60" s="123">
        <v>324.9999999999643</v>
      </c>
      <c r="Z60" s="123">
        <v>200.00000000007739</v>
      </c>
      <c r="AA60" s="123">
        <v>1000.0000000020067</v>
      </c>
      <c r="AB60" s="123">
        <v>1499.999999998952</v>
      </c>
      <c r="AC60" s="123">
        <v>1000.0000000020067</v>
      </c>
      <c r="AD60" s="123">
        <v>1499.999999998952</v>
      </c>
      <c r="AE60" s="123">
        <v>3825.9999999995593</v>
      </c>
      <c r="AF60" s="123">
        <v>274.3740058147435</v>
      </c>
      <c r="AG60" s="123">
        <v>9500.999999998905</v>
      </c>
      <c r="AH60" s="123">
        <v>2321.4579377133987</v>
      </c>
      <c r="AI60" s="123">
        <v>5000.0100000008242</v>
      </c>
      <c r="AJ60" s="123">
        <v>38999.999998983854</v>
      </c>
      <c r="AK60" s="123">
        <v>7970.0000000000109</v>
      </c>
      <c r="AL60" s="123">
        <v>10522.99999999879</v>
      </c>
      <c r="AM60" s="123">
        <v>12100.000000000013</v>
      </c>
      <c r="AN60" s="123">
        <v>3184.9999999996312</v>
      </c>
      <c r="AO60" s="123">
        <v>986.99999999988597</v>
      </c>
      <c r="AP60" s="123">
        <v>340.98999999997505</v>
      </c>
      <c r="AQ60" s="123">
        <v>1149.5270479622686</v>
      </c>
      <c r="AR60" s="123">
        <v>3960.8034559182206</v>
      </c>
      <c r="AS60" s="123">
        <v>31248.028099180548</v>
      </c>
      <c r="AT60" s="123">
        <v>81213.643674155421</v>
      </c>
      <c r="AU60" s="123">
        <v>81465.07910348718</v>
      </c>
      <c r="AV60" s="123">
        <v>88756.706554107775</v>
      </c>
      <c r="AW60" s="123">
        <v>4644.9719008194952</v>
      </c>
      <c r="AX60" s="123">
        <v>26667.306215136385</v>
      </c>
      <c r="AY60" s="123">
        <v>1608.9999999998145</v>
      </c>
      <c r="AZ60" s="123">
        <v>279.70904418525623</v>
      </c>
      <c r="BA60" s="123">
        <v>1137.4007569719818</v>
      </c>
      <c r="BB60" s="123">
        <v>1300.0000000005809</v>
      </c>
      <c r="BC60" s="123">
        <v>16199.99999897049</v>
      </c>
      <c r="BD60" s="123">
        <v>583.99999999993247</v>
      </c>
      <c r="BE60" s="123">
        <v>701.2930278883656</v>
      </c>
      <c r="BF60" s="123">
        <v>550.00999999974545</v>
      </c>
      <c r="BG60" s="123">
        <v>12296.800000006155</v>
      </c>
      <c r="BH60" s="3">
        <v>27518.622386412808</v>
      </c>
      <c r="BI60" s="3">
        <v>775.06584711329481</v>
      </c>
      <c r="BJ60" s="3">
        <v>2412.1186097786249</v>
      </c>
      <c r="BK60" s="3">
        <v>60998.6220347614</v>
      </c>
      <c r="BL60" s="3">
        <v>0</v>
      </c>
      <c r="BM60" s="3"/>
      <c r="BN60" s="3"/>
      <c r="BO60" s="3"/>
      <c r="BP60" s="3"/>
      <c r="BQ60" s="3"/>
      <c r="BR60" s="3"/>
      <c r="BS60" s="3"/>
      <c r="BT60" s="3"/>
      <c r="BU60" s="3"/>
      <c r="BV60" s="3"/>
      <c r="BW60" s="3"/>
      <c r="BX60" s="3"/>
      <c r="BY60" s="3"/>
    </row>
    <row r="61" spans="1:77" x14ac:dyDescent="0.25">
      <c r="A61" s="1">
        <v>30316.999305555557</v>
      </c>
      <c r="B61" s="123">
        <v>1247.010000000537</v>
      </c>
      <c r="C61" s="123">
        <v>1746.8500000002621</v>
      </c>
      <c r="D61" s="123">
        <v>2261.1200000002882</v>
      </c>
      <c r="E61" s="123">
        <v>5370.3499999989081</v>
      </c>
      <c r="F61" s="123">
        <v>996.68000000011409</v>
      </c>
      <c r="G61" s="123">
        <v>2334.4100000015378</v>
      </c>
      <c r="H61" s="123">
        <v>232.99999999997291</v>
      </c>
      <c r="I61" s="123">
        <v>2499.9900000012822</v>
      </c>
      <c r="J61" s="123">
        <v>2499.9900000012672</v>
      </c>
      <c r="K61" s="123">
        <v>10359.999999998803</v>
      </c>
      <c r="L61" s="123">
        <v>900.00000000000057</v>
      </c>
      <c r="M61" s="123">
        <v>3659.1999999995969</v>
      </c>
      <c r="N61" s="123">
        <v>13916.560000015921</v>
      </c>
      <c r="O61" s="123">
        <v>11987.800000005504</v>
      </c>
      <c r="P61" s="123">
        <v>673.3700000003422</v>
      </c>
      <c r="Q61" s="123">
        <v>0</v>
      </c>
      <c r="R61" s="123">
        <v>2294.4700000004386</v>
      </c>
      <c r="S61" s="123">
        <v>1591.6899999993404</v>
      </c>
      <c r="T61" s="123">
        <v>504.47000000016385</v>
      </c>
      <c r="U61" s="123">
        <v>419.22999999996358</v>
      </c>
      <c r="V61" s="123">
        <v>5739.9700000027269</v>
      </c>
      <c r="W61" s="123">
        <v>899.98999999967975</v>
      </c>
      <c r="X61" s="123">
        <v>849.98999999941839</v>
      </c>
      <c r="Y61" s="123">
        <v>324.9999999999643</v>
      </c>
      <c r="Z61" s="123">
        <v>200.00000000007739</v>
      </c>
      <c r="AA61" s="123">
        <v>1000.0000000020067</v>
      </c>
      <c r="AB61" s="123">
        <v>1499.999999998952</v>
      </c>
      <c r="AC61" s="123">
        <v>1000.0000000020067</v>
      </c>
      <c r="AD61" s="123">
        <v>1499.999999998952</v>
      </c>
      <c r="AE61" s="123">
        <v>3223.9999999996276</v>
      </c>
      <c r="AF61" s="123">
        <v>252.37327000000002</v>
      </c>
      <c r="AG61" s="123">
        <v>8652.9999999990068</v>
      </c>
      <c r="AH61" s="123">
        <v>1993.9999999997701</v>
      </c>
      <c r="AI61" s="123">
        <v>5000.0100000008242</v>
      </c>
      <c r="AJ61" s="123">
        <v>38999.999998983854</v>
      </c>
      <c r="AK61" s="123">
        <v>7969.9999999999991</v>
      </c>
      <c r="AL61" s="123">
        <v>9360.9999999989268</v>
      </c>
      <c r="AM61" s="123">
        <v>12099.999999999991</v>
      </c>
      <c r="AN61" s="123">
        <v>2830.9999999996749</v>
      </c>
      <c r="AO61" s="123">
        <v>902.99999999989575</v>
      </c>
      <c r="AP61" s="123">
        <v>340.98999999997505</v>
      </c>
      <c r="AQ61" s="123">
        <v>1342.8961374582777</v>
      </c>
      <c r="AR61" s="123">
        <v>7152.8520603637435</v>
      </c>
      <c r="AS61" s="123">
        <v>31248.028099180548</v>
      </c>
      <c r="AT61" s="123">
        <v>70305.33581543302</v>
      </c>
      <c r="AU61" s="123">
        <v>70522.99939380899</v>
      </c>
      <c r="AV61" s="123">
        <v>76835.243166711647</v>
      </c>
      <c r="AW61" s="123">
        <v>4644.9719008195125</v>
      </c>
      <c r="AX61" s="123">
        <v>24777.600239040974</v>
      </c>
      <c r="AY61" s="123">
        <v>1364.9999999998427</v>
      </c>
      <c r="AZ61" s="123">
        <v>410.62675156747542</v>
      </c>
      <c r="BA61" s="123">
        <v>1056.801952191114</v>
      </c>
      <c r="BB61" s="123">
        <v>1300.0000000005809</v>
      </c>
      <c r="BC61" s="123">
        <v>16199.99999897049</v>
      </c>
      <c r="BD61" s="123">
        <v>524.99999999993918</v>
      </c>
      <c r="BE61" s="123">
        <v>651.59780876486479</v>
      </c>
      <c r="BF61" s="123">
        <v>550.00999999974545</v>
      </c>
      <c r="BG61" s="123">
        <v>12296.800000006155</v>
      </c>
      <c r="BH61" s="3">
        <v>26093.72158033483</v>
      </c>
      <c r="BI61" s="3">
        <v>-5979.3043440461424</v>
      </c>
      <c r="BJ61" s="3">
        <v>2430.8186752808642</v>
      </c>
      <c r="BK61" s="3">
        <v>176286.75453377253</v>
      </c>
      <c r="BL61" s="3">
        <v>0</v>
      </c>
      <c r="BM61" s="3"/>
      <c r="BN61" s="3"/>
      <c r="BO61" s="3"/>
      <c r="BP61" s="3"/>
      <c r="BQ61" s="3"/>
      <c r="BR61" s="3"/>
      <c r="BS61" s="3"/>
      <c r="BT61" s="3"/>
      <c r="BU61" s="3"/>
      <c r="BV61" s="3"/>
      <c r="BW61" s="3"/>
      <c r="BX61" s="3"/>
      <c r="BY61" s="3"/>
    </row>
    <row r="62" spans="1:77" x14ac:dyDescent="0.25">
      <c r="A62" s="1">
        <v>30681.999305555557</v>
      </c>
      <c r="B62" s="123">
        <v>1247.010000000537</v>
      </c>
      <c r="C62" s="123">
        <v>1746.8500000002621</v>
      </c>
      <c r="D62" s="123">
        <v>2261.1200000002882</v>
      </c>
      <c r="E62" s="123">
        <v>5370.3499999989081</v>
      </c>
      <c r="F62" s="123">
        <v>996.68000000011409</v>
      </c>
      <c r="G62" s="123">
        <v>2334.4100000015378</v>
      </c>
      <c r="H62" s="123">
        <v>243.99999999997189</v>
      </c>
      <c r="I62" s="123">
        <v>2499.9900000012822</v>
      </c>
      <c r="J62" s="123">
        <v>2499.9900000012672</v>
      </c>
      <c r="K62" s="123">
        <v>10710.999999998774</v>
      </c>
      <c r="L62" s="123">
        <v>900.00000000000011</v>
      </c>
      <c r="M62" s="123">
        <v>3659.1999999995969</v>
      </c>
      <c r="N62" s="123">
        <v>13916.560000015921</v>
      </c>
      <c r="O62" s="123">
        <v>11987.800000005504</v>
      </c>
      <c r="P62" s="123">
        <v>673.3700000003422</v>
      </c>
      <c r="Q62" s="123">
        <v>0</v>
      </c>
      <c r="R62" s="123">
        <v>2294.4700000004386</v>
      </c>
      <c r="S62" s="123">
        <v>1591.6899999993404</v>
      </c>
      <c r="T62" s="123">
        <v>504.47000000016385</v>
      </c>
      <c r="U62" s="123">
        <v>419.22999999996358</v>
      </c>
      <c r="V62" s="123">
        <v>5739.9700000027269</v>
      </c>
      <c r="W62" s="123">
        <v>899.98999999967975</v>
      </c>
      <c r="X62" s="123">
        <v>849.98999999941839</v>
      </c>
      <c r="Y62" s="123">
        <v>324.9999999999643</v>
      </c>
      <c r="Z62" s="123">
        <v>200.00000000007739</v>
      </c>
      <c r="AA62" s="123">
        <v>1000.0000000020067</v>
      </c>
      <c r="AB62" s="123">
        <v>1499.999999998952</v>
      </c>
      <c r="AC62" s="123">
        <v>1000.0000000020067</v>
      </c>
      <c r="AD62" s="123">
        <v>1499.999999998952</v>
      </c>
      <c r="AE62" s="123">
        <v>3622.999999999588</v>
      </c>
      <c r="AF62" s="123">
        <v>256.84454927315716</v>
      </c>
      <c r="AG62" s="123">
        <v>8879.9999999989814</v>
      </c>
      <c r="AH62" s="123">
        <v>2189.9999999997485</v>
      </c>
      <c r="AI62" s="123">
        <v>5000.0100000008242</v>
      </c>
      <c r="AJ62" s="123">
        <v>38999.999998983854</v>
      </c>
      <c r="AK62" s="123">
        <v>7969.9999999999927</v>
      </c>
      <c r="AL62" s="123">
        <v>9776.9999999988704</v>
      </c>
      <c r="AM62" s="123">
        <v>12099.999999999989</v>
      </c>
      <c r="AN62" s="123">
        <v>2966.9999999996594</v>
      </c>
      <c r="AO62" s="123">
        <v>875.99999999989916</v>
      </c>
      <c r="AP62" s="123">
        <v>340.98999999997505</v>
      </c>
      <c r="AQ62" s="123">
        <v>1350.0100000000286</v>
      </c>
      <c r="AR62" s="123">
        <v>7306.7425424115236</v>
      </c>
      <c r="AS62" s="123">
        <v>31248.028099180548</v>
      </c>
      <c r="AT62" s="123">
        <v>78058.772771759657</v>
      </c>
      <c r="AU62" s="123">
        <v>78300.440798916825</v>
      </c>
      <c r="AV62" s="123">
        <v>85308.813586473829</v>
      </c>
      <c r="AW62" s="123">
        <v>4644.9719008195216</v>
      </c>
      <c r="AX62" s="123">
        <v>24079.718725096849</v>
      </c>
      <c r="AY62" s="123">
        <v>1476.9999999998306</v>
      </c>
      <c r="AZ62" s="123">
        <v>415.37174999999951</v>
      </c>
      <c r="BA62" s="123">
        <v>1027.0362549799609</v>
      </c>
      <c r="BB62" s="123">
        <v>1300.0000000005809</v>
      </c>
      <c r="BC62" s="123">
        <v>16199.99999897049</v>
      </c>
      <c r="BD62" s="123">
        <v>542.99999999993759</v>
      </c>
      <c r="BE62" s="123">
        <v>633.24501992024602</v>
      </c>
      <c r="BF62" s="123">
        <v>550.00999999974545</v>
      </c>
      <c r="BG62" s="123">
        <v>12296.800000006155</v>
      </c>
      <c r="BH62" s="3">
        <v>29738.8051667605</v>
      </c>
      <c r="BI62" s="3">
        <v>-1178.4145878067845</v>
      </c>
      <c r="BJ62" s="3">
        <v>2430.1154613242056</v>
      </c>
      <c r="BK62" s="3">
        <v>155691.45955409191</v>
      </c>
      <c r="BL62" s="3">
        <v>0</v>
      </c>
      <c r="BM62" s="3"/>
      <c r="BN62" s="3"/>
      <c r="BO62" s="3"/>
      <c r="BP62" s="3"/>
      <c r="BQ62" s="3"/>
      <c r="BR62" s="3"/>
      <c r="BS62" s="3"/>
      <c r="BT62" s="3"/>
      <c r="BU62" s="3"/>
      <c r="BV62" s="3"/>
      <c r="BW62" s="3"/>
      <c r="BX62" s="3"/>
      <c r="BY62" s="3"/>
    </row>
    <row r="63" spans="1:77" x14ac:dyDescent="0.25">
      <c r="A63" s="1">
        <v>31047.999305555557</v>
      </c>
      <c r="B63" s="123">
        <v>1247.010000000537</v>
      </c>
      <c r="C63" s="123">
        <v>1746.8500000002621</v>
      </c>
      <c r="D63" s="123">
        <v>2261.1200000002882</v>
      </c>
      <c r="E63" s="123">
        <v>5370.3499999989081</v>
      </c>
      <c r="F63" s="123">
        <v>996.68000000011409</v>
      </c>
      <c r="G63" s="123">
        <v>2334.4100000015383</v>
      </c>
      <c r="H63" s="123">
        <v>254.99999999997075</v>
      </c>
      <c r="I63" s="123">
        <v>2499.9900000012822</v>
      </c>
      <c r="J63" s="123">
        <v>2499.9900000012672</v>
      </c>
      <c r="K63" s="123">
        <v>11244.999999998701</v>
      </c>
      <c r="L63" s="123">
        <v>900.00000000000011</v>
      </c>
      <c r="M63" s="123">
        <v>3659.1999999995965</v>
      </c>
      <c r="N63" s="123">
        <v>13916.560000015921</v>
      </c>
      <c r="O63" s="123">
        <v>11987.800000005504</v>
      </c>
      <c r="P63" s="123">
        <v>673.3700000003422</v>
      </c>
      <c r="Q63" s="123">
        <v>0</v>
      </c>
      <c r="R63" s="123">
        <v>2294.4700000004386</v>
      </c>
      <c r="S63" s="123">
        <v>1591.6899999993404</v>
      </c>
      <c r="T63" s="123">
        <v>504.47000000016385</v>
      </c>
      <c r="U63" s="123">
        <v>419.22999999996358</v>
      </c>
      <c r="V63" s="123">
        <v>5739.970000002726</v>
      </c>
      <c r="W63" s="123">
        <v>899.98999999967964</v>
      </c>
      <c r="X63" s="123">
        <v>849.98999999941861</v>
      </c>
      <c r="Y63" s="123">
        <v>324.9999999999643</v>
      </c>
      <c r="Z63" s="123">
        <v>200.00000000007739</v>
      </c>
      <c r="AA63" s="123">
        <v>1000.0000000020035</v>
      </c>
      <c r="AB63" s="123">
        <v>1499.9999999989695</v>
      </c>
      <c r="AC63" s="123">
        <v>1000.0000000020035</v>
      </c>
      <c r="AD63" s="123">
        <v>1499.9999999989695</v>
      </c>
      <c r="AE63" s="123">
        <v>3737.9999999995698</v>
      </c>
      <c r="AF63" s="123">
        <v>255.24403616294848</v>
      </c>
      <c r="AG63" s="123">
        <v>9282.9999999989268</v>
      </c>
      <c r="AH63" s="123">
        <v>2245.3183184549566</v>
      </c>
      <c r="AI63" s="123">
        <v>5000.0100000008242</v>
      </c>
      <c r="AJ63" s="123">
        <v>38999.999998983862</v>
      </c>
      <c r="AK63" s="123">
        <v>7969.9999999999945</v>
      </c>
      <c r="AL63" s="123">
        <v>10284.999999998819</v>
      </c>
      <c r="AM63" s="123">
        <v>12099.999999999998</v>
      </c>
      <c r="AN63" s="123">
        <v>3118.9999999996407</v>
      </c>
      <c r="AO63" s="123">
        <v>1102.9999999998734</v>
      </c>
      <c r="AP63" s="123">
        <v>340.98999999997511</v>
      </c>
      <c r="AQ63" s="123">
        <v>1336.2025966425012</v>
      </c>
      <c r="AR63" s="123">
        <v>5108.0002686064363</v>
      </c>
      <c r="AS63" s="123">
        <v>31235.302148767347</v>
      </c>
      <c r="AT63" s="123">
        <v>70567.147501909596</v>
      </c>
      <c r="AU63" s="123">
        <v>70785.621642782382</v>
      </c>
      <c r="AV63" s="123">
        <v>77121.371728093567</v>
      </c>
      <c r="AW63" s="123">
        <v>4657.697851232705</v>
      </c>
      <c r="AX63" s="123">
        <v>24640.082031869686</v>
      </c>
      <c r="AY63" s="123">
        <v>1566.9999999998195</v>
      </c>
      <c r="AZ63" s="123">
        <v>419.56359244422936</v>
      </c>
      <c r="BA63" s="123">
        <v>1050.936593625378</v>
      </c>
      <c r="BB63" s="123">
        <v>1300.0000000005807</v>
      </c>
      <c r="BC63" s="123">
        <v>16199.999998970494</v>
      </c>
      <c r="BD63" s="123">
        <v>568.99999999993474</v>
      </c>
      <c r="BE63" s="123">
        <v>647.98137450191734</v>
      </c>
      <c r="BF63" s="123">
        <v>550.00999999974533</v>
      </c>
      <c r="BG63" s="123">
        <v>12296.800000006155</v>
      </c>
      <c r="BH63" s="3">
        <v>28284.220703589635</v>
      </c>
      <c r="BI63" s="3">
        <v>-5952.8412145953471</v>
      </c>
      <c r="BJ63" s="3">
        <v>2430.8429494794486</v>
      </c>
      <c r="BK63" s="3">
        <v>150207.42380208799</v>
      </c>
      <c r="BL63" s="3">
        <v>0</v>
      </c>
      <c r="BM63" s="3"/>
      <c r="BN63" s="3"/>
      <c r="BO63" s="3"/>
      <c r="BP63" s="3"/>
      <c r="BQ63" s="3"/>
      <c r="BR63" s="3"/>
      <c r="BS63" s="3"/>
      <c r="BT63" s="3"/>
      <c r="BU63" s="3"/>
      <c r="BV63" s="3"/>
      <c r="BW63" s="3"/>
      <c r="BX63" s="3"/>
      <c r="BY63" s="3"/>
    </row>
    <row r="64" spans="1:77" x14ac:dyDescent="0.25">
      <c r="A64" s="1">
        <v>31412.999305555557</v>
      </c>
      <c r="B64" s="123">
        <v>1247.010000000537</v>
      </c>
      <c r="C64" s="123">
        <v>1746.8500000002621</v>
      </c>
      <c r="D64" s="123">
        <v>2261.1200000002882</v>
      </c>
      <c r="E64" s="123">
        <v>5370.3499999989081</v>
      </c>
      <c r="F64" s="123">
        <v>996.68000000011409</v>
      </c>
      <c r="G64" s="123">
        <v>2334.4100000015378</v>
      </c>
      <c r="H64" s="123">
        <v>258.99999999997033</v>
      </c>
      <c r="I64" s="123">
        <v>2499.9900000012822</v>
      </c>
      <c r="J64" s="123">
        <v>2499.9900000012672</v>
      </c>
      <c r="K64" s="123">
        <v>11398.999999998689</v>
      </c>
      <c r="L64" s="123">
        <v>899.99999999999955</v>
      </c>
      <c r="M64" s="123">
        <v>3659.1999999995969</v>
      </c>
      <c r="N64" s="123">
        <v>13916.560000015921</v>
      </c>
      <c r="O64" s="123">
        <v>11987.800000005504</v>
      </c>
      <c r="P64" s="123">
        <v>673.3700000003422</v>
      </c>
      <c r="Q64" s="123">
        <v>0</v>
      </c>
      <c r="R64" s="123">
        <v>2294.4700000004386</v>
      </c>
      <c r="S64" s="123">
        <v>1591.6899999993404</v>
      </c>
      <c r="T64" s="123">
        <v>504.47000000016385</v>
      </c>
      <c r="U64" s="123">
        <v>419.22999999996358</v>
      </c>
      <c r="V64" s="123">
        <v>5739.9700000027269</v>
      </c>
      <c r="W64" s="123">
        <v>899.98999999967975</v>
      </c>
      <c r="X64" s="123">
        <v>849.98999999941839</v>
      </c>
      <c r="Y64" s="123">
        <v>324.9999999999643</v>
      </c>
      <c r="Z64" s="123">
        <v>200.00000000007739</v>
      </c>
      <c r="AA64" s="123">
        <v>1000.0000000020067</v>
      </c>
      <c r="AB64" s="123">
        <v>1499.999999998952</v>
      </c>
      <c r="AC64" s="123">
        <v>1000.0000000020067</v>
      </c>
      <c r="AD64" s="123">
        <v>1499.999999998952</v>
      </c>
      <c r="AE64" s="123">
        <v>3786.9999999995616</v>
      </c>
      <c r="AF64" s="123">
        <v>256.18403201713539</v>
      </c>
      <c r="AG64" s="123">
        <v>9145.9999999989413</v>
      </c>
      <c r="AH64" s="123">
        <v>2286.5533784115296</v>
      </c>
      <c r="AI64" s="123">
        <v>5000.0100000008242</v>
      </c>
      <c r="AJ64" s="123">
        <v>38999.999998983854</v>
      </c>
      <c r="AK64" s="123">
        <v>7969.9999999999991</v>
      </c>
      <c r="AL64" s="123">
        <v>10487.99999999879</v>
      </c>
      <c r="AM64" s="123">
        <v>12099.999999999995</v>
      </c>
      <c r="AN64" s="123">
        <v>2941.9999999996603</v>
      </c>
      <c r="AO64" s="123">
        <v>950.99999999989006</v>
      </c>
      <c r="AP64" s="123">
        <v>340.98999999997505</v>
      </c>
      <c r="AQ64" s="123">
        <v>1321.8209465264658</v>
      </c>
      <c r="AR64" s="123">
        <v>5517.3392745853153</v>
      </c>
      <c r="AS64" s="123">
        <v>31248.028099180548</v>
      </c>
      <c r="AT64" s="123">
        <v>80651.578058584448</v>
      </c>
      <c r="AU64" s="123">
        <v>80901.273346691785</v>
      </c>
      <c r="AV64" s="123">
        <v>88142.43670179644</v>
      </c>
      <c r="AW64" s="123">
        <v>4644.9719008195007</v>
      </c>
      <c r="AX64" s="123">
        <v>24883.311513941368</v>
      </c>
      <c r="AY64" s="123">
        <v>1558.9999999998204</v>
      </c>
      <c r="AZ64" s="123">
        <v>415.87984999999964</v>
      </c>
      <c r="BA64" s="123">
        <v>1061.3106972110336</v>
      </c>
      <c r="BB64" s="123">
        <v>1300.0000000005809</v>
      </c>
      <c r="BC64" s="123">
        <v>16199.99999897049</v>
      </c>
      <c r="BD64" s="123">
        <v>577.99999999993383</v>
      </c>
      <c r="BE64" s="123">
        <v>654.37778884454679</v>
      </c>
      <c r="BF64" s="123">
        <v>550.00999999974545</v>
      </c>
      <c r="BG64" s="123">
        <v>12296.800000006155</v>
      </c>
      <c r="BH64" s="3">
        <v>29454.930147178286</v>
      </c>
      <c r="BI64" s="3">
        <v>427.03760217771497</v>
      </c>
      <c r="BJ64" s="3">
        <v>2429.6135609428093</v>
      </c>
      <c r="BK64" s="3">
        <v>215995.83302172733</v>
      </c>
      <c r="BL64" s="3">
        <v>0</v>
      </c>
      <c r="BM64" s="3"/>
      <c r="BN64" s="3"/>
      <c r="BO64" s="3"/>
      <c r="BP64" s="3"/>
      <c r="BQ64" s="3"/>
      <c r="BR64" s="3"/>
      <c r="BS64" s="3"/>
      <c r="BT64" s="3"/>
      <c r="BU64" s="3"/>
      <c r="BV64" s="3"/>
      <c r="BW64" s="3"/>
      <c r="BX64" s="3"/>
      <c r="BY64" s="3"/>
    </row>
    <row r="65" spans="1:77" x14ac:dyDescent="0.25">
      <c r="A65" s="1">
        <v>31777.999305555557</v>
      </c>
      <c r="B65" s="123">
        <v>1247.010000000537</v>
      </c>
      <c r="C65" s="123">
        <v>1746.8500000002621</v>
      </c>
      <c r="D65" s="123">
        <v>2261.1200000002882</v>
      </c>
      <c r="E65" s="123">
        <v>5370.3499999989081</v>
      </c>
      <c r="F65" s="123">
        <v>996.68000000011409</v>
      </c>
      <c r="G65" s="123">
        <v>2334.4100000015378</v>
      </c>
      <c r="H65" s="123">
        <v>223.99999999997419</v>
      </c>
      <c r="I65" s="123">
        <v>2499.9900000012822</v>
      </c>
      <c r="J65" s="123">
        <v>2499.9900000012672</v>
      </c>
      <c r="K65" s="123">
        <v>9848.9999999988577</v>
      </c>
      <c r="L65" s="123">
        <v>899.99999999999841</v>
      </c>
      <c r="M65" s="123">
        <v>3659.1999999995969</v>
      </c>
      <c r="N65" s="123">
        <v>13916.560000015921</v>
      </c>
      <c r="O65" s="123">
        <v>11987.800000005504</v>
      </c>
      <c r="P65" s="123">
        <v>673.3700000003422</v>
      </c>
      <c r="Q65" s="123">
        <v>0</v>
      </c>
      <c r="R65" s="123">
        <v>2294.4700000004386</v>
      </c>
      <c r="S65" s="123">
        <v>1591.6899999993404</v>
      </c>
      <c r="T65" s="123">
        <v>504.47000000016385</v>
      </c>
      <c r="U65" s="123">
        <v>419.22999999996358</v>
      </c>
      <c r="V65" s="123">
        <v>5739.9700000027269</v>
      </c>
      <c r="W65" s="123">
        <v>899.98999999967975</v>
      </c>
      <c r="X65" s="123">
        <v>849.98999999941839</v>
      </c>
      <c r="Y65" s="123">
        <v>324.9999999999643</v>
      </c>
      <c r="Z65" s="123">
        <v>200.00000000007739</v>
      </c>
      <c r="AA65" s="123">
        <v>1000.0000000020067</v>
      </c>
      <c r="AB65" s="123">
        <v>1499.999999998952</v>
      </c>
      <c r="AC65" s="123">
        <v>1000.0000000020067</v>
      </c>
      <c r="AD65" s="123">
        <v>1499.999999998952</v>
      </c>
      <c r="AE65" s="123">
        <v>3245.9999999996262</v>
      </c>
      <c r="AF65" s="123">
        <v>207.52607948374595</v>
      </c>
      <c r="AG65" s="123">
        <v>7793.9999999991051</v>
      </c>
      <c r="AH65" s="123">
        <v>2002.9999999997697</v>
      </c>
      <c r="AI65" s="123">
        <v>5000.0100000008242</v>
      </c>
      <c r="AJ65" s="123">
        <v>38999.999998983854</v>
      </c>
      <c r="AK65" s="123">
        <v>7820.0034710919263</v>
      </c>
      <c r="AL65" s="123">
        <v>9007.9999999989632</v>
      </c>
      <c r="AM65" s="123">
        <v>12099.999999999996</v>
      </c>
      <c r="AN65" s="123">
        <v>2645.9999999996958</v>
      </c>
      <c r="AO65" s="123">
        <v>1112.999999999872</v>
      </c>
      <c r="AP65" s="123">
        <v>340.98999999997505</v>
      </c>
      <c r="AQ65" s="123">
        <v>1350.0100000000286</v>
      </c>
      <c r="AR65" s="123">
        <v>8423.6974168613888</v>
      </c>
      <c r="AS65" s="123">
        <v>31248.028099180548</v>
      </c>
      <c r="AT65" s="123">
        <v>67118.440717654608</v>
      </c>
      <c r="AU65" s="123">
        <v>67326.237747740175</v>
      </c>
      <c r="AV65" s="123">
        <v>73352.351620223024</v>
      </c>
      <c r="AW65" s="123">
        <v>4644.9719008194979</v>
      </c>
      <c r="AX65" s="123">
        <v>19750.233944220814</v>
      </c>
      <c r="AY65" s="123">
        <v>1353.9999999998431</v>
      </c>
      <c r="AZ65" s="123">
        <v>334.63301806036895</v>
      </c>
      <c r="BA65" s="123">
        <v>842.3772111552812</v>
      </c>
      <c r="BB65" s="123">
        <v>1300.0000000005809</v>
      </c>
      <c r="BC65" s="123">
        <v>16199.99999897049</v>
      </c>
      <c r="BD65" s="123">
        <v>497.99999999994293</v>
      </c>
      <c r="BE65" s="123">
        <v>519.38884462145393</v>
      </c>
      <c r="BF65" s="123">
        <v>550.00999999974545</v>
      </c>
      <c r="BG65" s="123">
        <v>12296.800000006155</v>
      </c>
      <c r="BH65" s="3">
        <v>28671.719147677515</v>
      </c>
      <c r="BI65" s="3">
        <v>-7952.6140021133169</v>
      </c>
      <c r="BJ65" s="3">
        <v>2430.8445436060993</v>
      </c>
      <c r="BK65" s="3">
        <v>129968.25089895114</v>
      </c>
      <c r="BL65" s="3">
        <v>0</v>
      </c>
      <c r="BM65" s="3"/>
      <c r="BN65" s="3"/>
      <c r="BO65" s="3"/>
      <c r="BP65" s="3"/>
      <c r="BQ65" s="3"/>
      <c r="BR65" s="3"/>
      <c r="BS65" s="3"/>
      <c r="BT65" s="3"/>
      <c r="BU65" s="3"/>
      <c r="BV65" s="3"/>
      <c r="BW65" s="3"/>
      <c r="BX65" s="3"/>
      <c r="BY65" s="3"/>
    </row>
    <row r="66" spans="1:77" x14ac:dyDescent="0.25">
      <c r="A66" s="1">
        <v>32142.999305555557</v>
      </c>
      <c r="B66" s="123">
        <v>1247.010000000537</v>
      </c>
      <c r="C66" s="123">
        <v>1746.8500000002621</v>
      </c>
      <c r="D66" s="123">
        <v>2261.1200000002882</v>
      </c>
      <c r="E66" s="123">
        <v>5370.3499999989081</v>
      </c>
      <c r="F66" s="123">
        <v>996.68000000011409</v>
      </c>
      <c r="G66" s="123">
        <v>2334.4100000015378</v>
      </c>
      <c r="H66" s="123">
        <v>258.99999999997038</v>
      </c>
      <c r="I66" s="123">
        <v>2499.9900000012822</v>
      </c>
      <c r="J66" s="123">
        <v>2499.9900000012672</v>
      </c>
      <c r="K66" s="123">
        <v>11415.999999998683</v>
      </c>
      <c r="L66" s="123">
        <v>899.99999999999898</v>
      </c>
      <c r="M66" s="123">
        <v>3659.1999999995969</v>
      </c>
      <c r="N66" s="123">
        <v>13916.560000015921</v>
      </c>
      <c r="O66" s="123">
        <v>11987.800000005504</v>
      </c>
      <c r="P66" s="123">
        <v>673.3700000003422</v>
      </c>
      <c r="Q66" s="123">
        <v>0</v>
      </c>
      <c r="R66" s="123">
        <v>2294.4700000004386</v>
      </c>
      <c r="S66" s="123">
        <v>1591.6899999993404</v>
      </c>
      <c r="T66" s="123">
        <v>504.47000000016385</v>
      </c>
      <c r="U66" s="123">
        <v>419.22999999996358</v>
      </c>
      <c r="V66" s="123">
        <v>5739.9700000027269</v>
      </c>
      <c r="W66" s="123">
        <v>899.98999999967975</v>
      </c>
      <c r="X66" s="123">
        <v>849.98999999941839</v>
      </c>
      <c r="Y66" s="123">
        <v>324.9999999999643</v>
      </c>
      <c r="Z66" s="123">
        <v>200.00000000007739</v>
      </c>
      <c r="AA66" s="123">
        <v>1000.0000000020067</v>
      </c>
      <c r="AB66" s="123">
        <v>1499.999999998952</v>
      </c>
      <c r="AC66" s="123">
        <v>1000.0000000020067</v>
      </c>
      <c r="AD66" s="123">
        <v>1499.999999998952</v>
      </c>
      <c r="AE66" s="123">
        <v>3937.9999999995503</v>
      </c>
      <c r="AF66" s="123">
        <v>254.31223353180468</v>
      </c>
      <c r="AG66" s="123">
        <v>8978.9999999989741</v>
      </c>
      <c r="AH66" s="123">
        <v>2359.0157835585696</v>
      </c>
      <c r="AI66" s="123">
        <v>5000.0100000008242</v>
      </c>
      <c r="AJ66" s="123">
        <v>38999.999998983854</v>
      </c>
      <c r="AK66" s="123">
        <v>7970.0000000000045</v>
      </c>
      <c r="AL66" s="123">
        <v>10445.999999998801</v>
      </c>
      <c r="AM66" s="123">
        <v>12099.999999999993</v>
      </c>
      <c r="AN66" s="123">
        <v>2935.999999999663</v>
      </c>
      <c r="AO66" s="123">
        <v>1262.9999999998547</v>
      </c>
      <c r="AP66" s="123">
        <v>340.98999999997505</v>
      </c>
      <c r="AQ66" s="123">
        <v>1350.0100000000286</v>
      </c>
      <c r="AR66" s="123">
        <v>6312.9304248268154</v>
      </c>
      <c r="AS66" s="123">
        <v>31248.028099180548</v>
      </c>
      <c r="AT66" s="123">
        <v>82168.223915073933</v>
      </c>
      <c r="AU66" s="123">
        <v>82422.614701188548</v>
      </c>
      <c r="AV66" s="123">
        <v>89799.947498517213</v>
      </c>
      <c r="AW66" s="123">
        <v>4644.9719008195216</v>
      </c>
      <c r="AX66" s="123">
        <v>24686.856932268085</v>
      </c>
      <c r="AY66" s="123">
        <v>1773.9999999997951</v>
      </c>
      <c r="AZ66" s="123">
        <v>254.5581018171078</v>
      </c>
      <c r="BA66" s="123">
        <v>1052.9316135456945</v>
      </c>
      <c r="BB66" s="123">
        <v>1300.0000000005809</v>
      </c>
      <c r="BC66" s="123">
        <v>16199.99999897049</v>
      </c>
      <c r="BD66" s="123">
        <v>576.99999999993383</v>
      </c>
      <c r="BE66" s="123">
        <v>649.21145418319213</v>
      </c>
      <c r="BF66" s="123">
        <v>550.00999999974545</v>
      </c>
      <c r="BG66" s="123">
        <v>12296.800000006155</v>
      </c>
      <c r="BH66" s="3">
        <v>29559.913756059403</v>
      </c>
      <c r="BI66" s="3">
        <v>1366.1372037191627</v>
      </c>
      <c r="BJ66" s="3">
        <v>2428.5027222128037</v>
      </c>
      <c r="BK66" s="3">
        <v>44385.766685397852</v>
      </c>
      <c r="BL66" s="3">
        <v>0</v>
      </c>
      <c r="BM66" s="3"/>
      <c r="BN66" s="3"/>
      <c r="BO66" s="3"/>
      <c r="BP66" s="3"/>
      <c r="BQ66" s="3"/>
      <c r="BR66" s="3"/>
      <c r="BS66" s="3"/>
      <c r="BT66" s="3"/>
      <c r="BU66" s="3"/>
      <c r="BV66" s="3"/>
      <c r="BW66" s="3"/>
      <c r="BX66" s="3"/>
      <c r="BY66" s="3"/>
    </row>
    <row r="67" spans="1:77" x14ac:dyDescent="0.25">
      <c r="A67" s="1">
        <v>32508.999305555557</v>
      </c>
      <c r="B67" s="123">
        <v>1247.010000000537</v>
      </c>
      <c r="C67" s="123">
        <v>1746.8500000002621</v>
      </c>
      <c r="D67" s="123">
        <v>2261.1200000002882</v>
      </c>
      <c r="E67" s="123">
        <v>5370.3499999989081</v>
      </c>
      <c r="F67" s="123">
        <v>996.68000000011409</v>
      </c>
      <c r="G67" s="123">
        <v>2334.4100000015383</v>
      </c>
      <c r="H67" s="123">
        <v>263.99999999996953</v>
      </c>
      <c r="I67" s="123">
        <v>2499.9900000012822</v>
      </c>
      <c r="J67" s="123">
        <v>2499.9900000012672</v>
      </c>
      <c r="K67" s="123">
        <v>11656.999999998659</v>
      </c>
      <c r="L67" s="123">
        <v>900.00000000000011</v>
      </c>
      <c r="M67" s="123">
        <v>3659.1999999995965</v>
      </c>
      <c r="N67" s="123">
        <v>13916.560000015921</v>
      </c>
      <c r="O67" s="123">
        <v>11987.800000005504</v>
      </c>
      <c r="P67" s="123">
        <v>673.3700000003422</v>
      </c>
      <c r="Q67" s="123">
        <v>0</v>
      </c>
      <c r="R67" s="123">
        <v>2294.4700000004386</v>
      </c>
      <c r="S67" s="123">
        <v>1591.6899999993404</v>
      </c>
      <c r="T67" s="123">
        <v>504.47000000016385</v>
      </c>
      <c r="U67" s="123">
        <v>419.22999999996358</v>
      </c>
      <c r="V67" s="123">
        <v>5739.970000002726</v>
      </c>
      <c r="W67" s="123">
        <v>899.98999999967964</v>
      </c>
      <c r="X67" s="123">
        <v>849.98999999941861</v>
      </c>
      <c r="Y67" s="123">
        <v>324.9999999999643</v>
      </c>
      <c r="Z67" s="123">
        <v>200.00000000007739</v>
      </c>
      <c r="AA67" s="123">
        <v>1000.0000000020035</v>
      </c>
      <c r="AB67" s="123">
        <v>1499.9999999989695</v>
      </c>
      <c r="AC67" s="123">
        <v>1000.0000000020035</v>
      </c>
      <c r="AD67" s="123">
        <v>1499.9999999989695</v>
      </c>
      <c r="AE67" s="123">
        <v>3898.9999999995521</v>
      </c>
      <c r="AF67" s="123">
        <v>250.42773870967727</v>
      </c>
      <c r="AG67" s="123">
        <v>9820.999999998874</v>
      </c>
      <c r="AH67" s="123">
        <v>2300.6345140943977</v>
      </c>
      <c r="AI67" s="123">
        <v>5000.0100000008242</v>
      </c>
      <c r="AJ67" s="123">
        <v>38999.999998983862</v>
      </c>
      <c r="AK67" s="123">
        <v>7969.9999999999882</v>
      </c>
      <c r="AL67" s="123">
        <v>10629.999999998783</v>
      </c>
      <c r="AM67" s="123">
        <v>12099.999999999995</v>
      </c>
      <c r="AN67" s="123">
        <v>3358.9999999996144</v>
      </c>
      <c r="AO67" s="123">
        <v>1133.9999999998697</v>
      </c>
      <c r="AP67" s="123">
        <v>340.98999999997511</v>
      </c>
      <c r="AQ67" s="123">
        <v>1316.4813065134856</v>
      </c>
      <c r="AR67" s="123">
        <v>3182.9017941914985</v>
      </c>
      <c r="AS67" s="123">
        <v>31235.302148767347</v>
      </c>
      <c r="AT67" s="123">
        <v>79753.969220310435</v>
      </c>
      <c r="AU67" s="123">
        <v>80000.88553368632</v>
      </c>
      <c r="AV67" s="123">
        <v>87161.458621577709</v>
      </c>
      <c r="AW67" s="123">
        <v>4657.6978512327059</v>
      </c>
      <c r="AX67" s="123">
        <v>24123.687131471324</v>
      </c>
      <c r="AY67" s="123">
        <v>1646.9999999998106</v>
      </c>
      <c r="AZ67" s="123">
        <v>409.24996451612839</v>
      </c>
      <c r="BA67" s="123">
        <v>1028.9115737050604</v>
      </c>
      <c r="BB67" s="123">
        <v>1300.0000000005807</v>
      </c>
      <c r="BC67" s="123">
        <v>16199.999998970494</v>
      </c>
      <c r="BD67" s="123">
        <v>589.99999999993179</v>
      </c>
      <c r="BE67" s="123">
        <v>634.40129482064447</v>
      </c>
      <c r="BF67" s="123">
        <v>550.00999999974533</v>
      </c>
      <c r="BG67" s="123">
        <v>12296.800000006155</v>
      </c>
      <c r="BH67" s="3">
        <v>27455.584021549599</v>
      </c>
      <c r="BI67" s="3">
        <v>-264.40671403773342</v>
      </c>
      <c r="BJ67" s="3">
        <v>2430.0071971112907</v>
      </c>
      <c r="BK67" s="3">
        <v>70663.846675062887</v>
      </c>
      <c r="BL67" s="3">
        <v>0</v>
      </c>
      <c r="BM67" s="3"/>
      <c r="BN67" s="3"/>
      <c r="BO67" s="3"/>
      <c r="BP67" s="3"/>
      <c r="BQ67" s="3"/>
      <c r="BR67" s="3"/>
      <c r="BS67" s="3"/>
      <c r="BT67" s="3"/>
      <c r="BU67" s="3"/>
      <c r="BV67" s="3"/>
      <c r="BW67" s="3"/>
      <c r="BX67" s="3"/>
      <c r="BY67" s="3"/>
    </row>
    <row r="68" spans="1:77" x14ac:dyDescent="0.25">
      <c r="A68" s="1">
        <v>32873.999305555553</v>
      </c>
      <c r="B68" s="123">
        <v>1161.2909828995546</v>
      </c>
      <c r="C68" s="123">
        <v>1746.8500000002621</v>
      </c>
      <c r="D68" s="123">
        <v>2261.1200000002882</v>
      </c>
      <c r="E68" s="123">
        <v>5370.3499999989081</v>
      </c>
      <c r="F68" s="123">
        <v>996.68000000011409</v>
      </c>
      <c r="G68" s="123">
        <v>2334.4100000015378</v>
      </c>
      <c r="H68" s="123">
        <v>304.99999999996493</v>
      </c>
      <c r="I68" s="123">
        <v>2499.9900000012822</v>
      </c>
      <c r="J68" s="123">
        <v>2499.9900000012672</v>
      </c>
      <c r="K68" s="123">
        <v>13489.999999998443</v>
      </c>
      <c r="L68" s="123">
        <v>899.99999999999898</v>
      </c>
      <c r="M68" s="123">
        <v>3659.1999999995969</v>
      </c>
      <c r="N68" s="123">
        <v>13916.560000015921</v>
      </c>
      <c r="O68" s="123">
        <v>11987.800000005504</v>
      </c>
      <c r="P68" s="123">
        <v>673.3700000003422</v>
      </c>
      <c r="Q68" s="123">
        <v>85.719017100983535</v>
      </c>
      <c r="R68" s="123">
        <v>2294.4700000004386</v>
      </c>
      <c r="S68" s="123">
        <v>1591.6899999993404</v>
      </c>
      <c r="T68" s="123">
        <v>504.47000000016385</v>
      </c>
      <c r="U68" s="123">
        <v>419.22999999996358</v>
      </c>
      <c r="V68" s="123">
        <v>5739.9700000027269</v>
      </c>
      <c r="W68" s="123">
        <v>899.98999999967975</v>
      </c>
      <c r="X68" s="123">
        <v>849.98999999941839</v>
      </c>
      <c r="Y68" s="123">
        <v>324.9999999999643</v>
      </c>
      <c r="Z68" s="123">
        <v>200.00000000007739</v>
      </c>
      <c r="AA68" s="123">
        <v>1000.0000000020067</v>
      </c>
      <c r="AB68" s="123">
        <v>1499.999999998952</v>
      </c>
      <c r="AC68" s="123">
        <v>1000.0000000020067</v>
      </c>
      <c r="AD68" s="123">
        <v>1499.999999998952</v>
      </c>
      <c r="AE68" s="123">
        <v>4406.9999999994916</v>
      </c>
      <c r="AF68" s="123">
        <v>279.78526383705093</v>
      </c>
      <c r="AG68" s="123">
        <v>10253.999999998827</v>
      </c>
      <c r="AH68" s="123">
        <v>2655.2379547515443</v>
      </c>
      <c r="AI68" s="123">
        <v>5000.0100000008242</v>
      </c>
      <c r="AJ68" s="123">
        <v>38999.999998983854</v>
      </c>
      <c r="AK68" s="123">
        <v>7970</v>
      </c>
      <c r="AL68" s="123">
        <v>12249.999999998585</v>
      </c>
      <c r="AM68" s="123">
        <v>12100.000000000005</v>
      </c>
      <c r="AN68" s="123">
        <v>3445.9999999996007</v>
      </c>
      <c r="AO68" s="123">
        <v>1245.9999999998579</v>
      </c>
      <c r="AP68" s="123">
        <v>340.98999999997505</v>
      </c>
      <c r="AQ68" s="123">
        <v>1102.5072065351669</v>
      </c>
      <c r="AR68" s="123">
        <v>2684.5400345523144</v>
      </c>
      <c r="AS68" s="123">
        <v>31248.028099180548</v>
      </c>
      <c r="AT68" s="123">
        <v>90291.844226972724</v>
      </c>
      <c r="AU68" s="123">
        <v>90571.385540369432</v>
      </c>
      <c r="AV68" s="123">
        <v>98678.083628858862</v>
      </c>
      <c r="AW68" s="123">
        <v>4644.9719008194907</v>
      </c>
      <c r="AX68" s="123">
        <v>27034.021434259837</v>
      </c>
      <c r="AY68" s="123">
        <v>1989.9999999997706</v>
      </c>
      <c r="AZ68" s="123">
        <v>370.40490000000017</v>
      </c>
      <c r="BA68" s="123">
        <v>1153.0417131472771</v>
      </c>
      <c r="BB68" s="123">
        <v>1300.0000000005809</v>
      </c>
      <c r="BC68" s="123">
        <v>16199.99999897049</v>
      </c>
      <c r="BD68" s="123">
        <v>682.9999999999211</v>
      </c>
      <c r="BE68" s="123">
        <v>710.93685258955986</v>
      </c>
      <c r="BF68" s="123">
        <v>550.00999999974545</v>
      </c>
      <c r="BG68" s="123">
        <v>12296.800000006155</v>
      </c>
      <c r="BH68" s="3">
        <v>27695.338976966239</v>
      </c>
      <c r="BI68" s="3">
        <v>6396.2426600033705</v>
      </c>
      <c r="BJ68" s="3">
        <v>2413.9390119530231</v>
      </c>
      <c r="BK68" s="3">
        <v>77777.534070343609</v>
      </c>
      <c r="BL68" s="3">
        <v>0</v>
      </c>
      <c r="BM68" s="3"/>
      <c r="BN68" s="3"/>
      <c r="BO68" s="3"/>
      <c r="BP68" s="3"/>
      <c r="BQ68" s="3"/>
      <c r="BR68" s="3"/>
      <c r="BS68" s="3"/>
      <c r="BT68" s="3"/>
      <c r="BU68" s="3"/>
      <c r="BV68" s="3"/>
      <c r="BW68" s="3"/>
      <c r="BX68" s="3"/>
      <c r="BY68" s="3"/>
    </row>
    <row r="69" spans="1:77" x14ac:dyDescent="0.25">
      <c r="A69" s="1">
        <v>33238.999305555553</v>
      </c>
      <c r="B69" s="123">
        <v>1232.7630000005452</v>
      </c>
      <c r="C69" s="123">
        <v>1746.8500000002621</v>
      </c>
      <c r="D69" s="123">
        <v>2261.1200000002882</v>
      </c>
      <c r="E69" s="123">
        <v>5370.3499999989081</v>
      </c>
      <c r="F69" s="123">
        <v>996.68000000011409</v>
      </c>
      <c r="G69" s="123">
        <v>2334.4100000015378</v>
      </c>
      <c r="H69" s="123">
        <v>270.99999999996879</v>
      </c>
      <c r="I69" s="123">
        <v>2499.9900000012822</v>
      </c>
      <c r="J69" s="123">
        <v>2499.9900000012672</v>
      </c>
      <c r="K69" s="123">
        <v>11935.999999998632</v>
      </c>
      <c r="L69" s="123">
        <v>900.00000000000125</v>
      </c>
      <c r="M69" s="123">
        <v>3659.1999999995969</v>
      </c>
      <c r="N69" s="123">
        <v>13916.560000015921</v>
      </c>
      <c r="O69" s="123">
        <v>11987.800000005504</v>
      </c>
      <c r="P69" s="123">
        <v>673.3700000003422</v>
      </c>
      <c r="Q69" s="123">
        <v>14.246999999992143</v>
      </c>
      <c r="R69" s="123">
        <v>2294.4700000004386</v>
      </c>
      <c r="S69" s="123">
        <v>1591.6899999993404</v>
      </c>
      <c r="T69" s="123">
        <v>504.47000000016385</v>
      </c>
      <c r="U69" s="123">
        <v>419.22999999996358</v>
      </c>
      <c r="V69" s="123">
        <v>5739.9700000027269</v>
      </c>
      <c r="W69" s="123">
        <v>899.98999999967975</v>
      </c>
      <c r="X69" s="123">
        <v>849.98999999941839</v>
      </c>
      <c r="Y69" s="123">
        <v>324.9999999999643</v>
      </c>
      <c r="Z69" s="123">
        <v>200.00000000007739</v>
      </c>
      <c r="AA69" s="123">
        <v>1000.0000000020067</v>
      </c>
      <c r="AB69" s="123">
        <v>1499.999999998952</v>
      </c>
      <c r="AC69" s="123">
        <v>1000.0000000020067</v>
      </c>
      <c r="AD69" s="123">
        <v>1499.999999998952</v>
      </c>
      <c r="AE69" s="123">
        <v>4001.9999999995371</v>
      </c>
      <c r="AF69" s="123">
        <v>249.37556039351219</v>
      </c>
      <c r="AG69" s="123">
        <v>9055.9999999989632</v>
      </c>
      <c r="AH69" s="123">
        <v>2308.1433283236752</v>
      </c>
      <c r="AI69" s="123">
        <v>5000.0100000008242</v>
      </c>
      <c r="AJ69" s="123">
        <v>38999.999998983854</v>
      </c>
      <c r="AK69" s="123">
        <v>7969.9999999999909</v>
      </c>
      <c r="AL69" s="123">
        <v>10871.999999998738</v>
      </c>
      <c r="AM69" s="123">
        <v>12100.000000000002</v>
      </c>
      <c r="AN69" s="123">
        <v>3114.9999999996426</v>
      </c>
      <c r="AO69" s="123">
        <v>990.9999999998862</v>
      </c>
      <c r="AP69" s="123">
        <v>340.98999999997505</v>
      </c>
      <c r="AQ69" s="123">
        <v>1126.839515355221</v>
      </c>
      <c r="AR69" s="123">
        <v>3127.5867597703777</v>
      </c>
      <c r="AS69" s="123">
        <v>31248.028099180548</v>
      </c>
      <c r="AT69" s="123">
        <v>84105.588350296355</v>
      </c>
      <c r="AU69" s="123">
        <v>84365.977168718397</v>
      </c>
      <c r="AV69" s="123">
        <v>91917.252902955341</v>
      </c>
      <c r="AW69" s="123">
        <v>4644.9719008195125</v>
      </c>
      <c r="AX69" s="123">
        <v>24291.141274897585</v>
      </c>
      <c r="AY69" s="123">
        <v>1490.9999999998283</v>
      </c>
      <c r="AZ69" s="123">
        <v>389.45865068141501</v>
      </c>
      <c r="BA69" s="123">
        <v>1036.0537450197999</v>
      </c>
      <c r="BB69" s="123">
        <v>1300.0000000005809</v>
      </c>
      <c r="BC69" s="123">
        <v>16199.99999897049</v>
      </c>
      <c r="BD69" s="123">
        <v>604.99999999993088</v>
      </c>
      <c r="BE69" s="123">
        <v>638.80498007960773</v>
      </c>
      <c r="BF69" s="123">
        <v>550.00999999974545</v>
      </c>
      <c r="BG69" s="123">
        <v>12296.800000006155</v>
      </c>
      <c r="BH69" s="3">
        <v>25965.876419256467</v>
      </c>
      <c r="BI69" s="3">
        <v>2565.7436651571588</v>
      </c>
      <c r="BJ69" s="3">
        <v>2318.1157359871154</v>
      </c>
      <c r="BK69" s="3">
        <v>80945.052909673614</v>
      </c>
      <c r="BL69" s="3">
        <v>0</v>
      </c>
      <c r="BM69" s="3"/>
      <c r="BN69" s="3"/>
      <c r="BO69" s="3"/>
      <c r="BP69" s="3"/>
      <c r="BQ69" s="3"/>
      <c r="BR69" s="3"/>
      <c r="BS69" s="3"/>
      <c r="BT69" s="3"/>
      <c r="BU69" s="3"/>
      <c r="BV69" s="3"/>
      <c r="BW69" s="3"/>
      <c r="BX69" s="3"/>
      <c r="BY69" s="3"/>
    </row>
    <row r="70" spans="1:77" x14ac:dyDescent="0.25">
      <c r="A70" s="1">
        <v>33603.999305555553</v>
      </c>
      <c r="B70" s="123">
        <v>1247.010000000537</v>
      </c>
      <c r="C70" s="123">
        <v>1746.8500000002621</v>
      </c>
      <c r="D70" s="123">
        <v>2261.1200000002882</v>
      </c>
      <c r="E70" s="123">
        <v>5370.3499999989081</v>
      </c>
      <c r="F70" s="123">
        <v>996.68000000011409</v>
      </c>
      <c r="G70" s="123">
        <v>2334.4100000015378</v>
      </c>
      <c r="H70" s="123">
        <v>271.99999999996885</v>
      </c>
      <c r="I70" s="123">
        <v>2499.9900000012822</v>
      </c>
      <c r="J70" s="123">
        <v>2499.9900000012672</v>
      </c>
      <c r="K70" s="123">
        <v>12065.99999999861</v>
      </c>
      <c r="L70" s="123">
        <v>900.00000000000034</v>
      </c>
      <c r="M70" s="123">
        <v>3659.1999999995969</v>
      </c>
      <c r="N70" s="123">
        <v>13916.560000015921</v>
      </c>
      <c r="O70" s="123">
        <v>11987.800000005504</v>
      </c>
      <c r="P70" s="123">
        <v>673.3700000003422</v>
      </c>
      <c r="Q70" s="123">
        <v>0</v>
      </c>
      <c r="R70" s="123">
        <v>2294.4700000004386</v>
      </c>
      <c r="S70" s="123">
        <v>1591.6899999993404</v>
      </c>
      <c r="T70" s="123">
        <v>504.47000000016385</v>
      </c>
      <c r="U70" s="123">
        <v>419.22999999996358</v>
      </c>
      <c r="V70" s="123">
        <v>5739.9700000027269</v>
      </c>
      <c r="W70" s="123">
        <v>899.98999999967975</v>
      </c>
      <c r="X70" s="123">
        <v>849.98999999941839</v>
      </c>
      <c r="Y70" s="123">
        <v>324.9999999999643</v>
      </c>
      <c r="Z70" s="123">
        <v>200.00000000007739</v>
      </c>
      <c r="AA70" s="123">
        <v>1000.0000000020067</v>
      </c>
      <c r="AB70" s="123">
        <v>1499.999999998952</v>
      </c>
      <c r="AC70" s="123">
        <v>1000.0000000020067</v>
      </c>
      <c r="AD70" s="123">
        <v>1499.999999998952</v>
      </c>
      <c r="AE70" s="123">
        <v>3858.9999999995566</v>
      </c>
      <c r="AF70" s="123">
        <v>256.08239127788539</v>
      </c>
      <c r="AG70" s="123">
        <v>8943.9999999989741</v>
      </c>
      <c r="AH70" s="123">
        <v>2331.2879849085175</v>
      </c>
      <c r="AI70" s="123">
        <v>5000.0100000008242</v>
      </c>
      <c r="AJ70" s="123">
        <v>38999.999998983854</v>
      </c>
      <c r="AK70" s="123">
        <v>7969.9999999999973</v>
      </c>
      <c r="AL70" s="123">
        <v>10960.999999998752</v>
      </c>
      <c r="AM70" s="123">
        <v>12100.000000000009</v>
      </c>
      <c r="AN70" s="123">
        <v>3199.999999999633</v>
      </c>
      <c r="AO70" s="123">
        <v>1010.9999999998829</v>
      </c>
      <c r="AP70" s="123">
        <v>340.98999999997505</v>
      </c>
      <c r="AQ70" s="123">
        <v>1170.7089651456047</v>
      </c>
      <c r="AR70" s="123">
        <v>1770.8407157804477</v>
      </c>
      <c r="AS70" s="123">
        <v>31248.028099180548</v>
      </c>
      <c r="AT70" s="123">
        <v>82882.883902025147</v>
      </c>
      <c r="AU70" s="123">
        <v>83139.487257759203</v>
      </c>
      <c r="AV70" s="123">
        <v>90580.98457403986</v>
      </c>
      <c r="AW70" s="123">
        <v>4644.9719008195098</v>
      </c>
      <c r="AX70" s="123">
        <v>24844.020597606694</v>
      </c>
      <c r="AY70" s="123">
        <v>1564.9999999998206</v>
      </c>
      <c r="AZ70" s="123">
        <v>417.46150449954598</v>
      </c>
      <c r="BA70" s="123">
        <v>1059.6348804779655</v>
      </c>
      <c r="BB70" s="123">
        <v>1300.0000000005809</v>
      </c>
      <c r="BC70" s="123">
        <v>16199.99999897049</v>
      </c>
      <c r="BD70" s="123">
        <v>610.99999999992951</v>
      </c>
      <c r="BE70" s="123">
        <v>653.3445219122757</v>
      </c>
      <c r="BF70" s="123">
        <v>550.00999999974545</v>
      </c>
      <c r="BG70" s="123">
        <v>12296.800000006155</v>
      </c>
      <c r="BH70" s="3">
        <v>29049.712890512641</v>
      </c>
      <c r="BI70" s="3">
        <v>1808.6511275280955</v>
      </c>
      <c r="BJ70" s="3">
        <v>2428.8089150730184</v>
      </c>
      <c r="BK70" s="3">
        <v>130090.73993569438</v>
      </c>
      <c r="BL70" s="3">
        <v>0</v>
      </c>
      <c r="BM70" s="3"/>
      <c r="BN70" s="3"/>
      <c r="BO70" s="3"/>
      <c r="BP70" s="3"/>
      <c r="BQ70" s="3"/>
      <c r="BR70" s="3"/>
      <c r="BS70" s="3"/>
      <c r="BT70" s="3"/>
      <c r="BU70" s="3"/>
      <c r="BV70" s="3"/>
      <c r="BW70" s="3"/>
      <c r="BX70" s="3"/>
      <c r="BY70" s="3"/>
    </row>
    <row r="71" spans="1:77" x14ac:dyDescent="0.25">
      <c r="A71" s="1">
        <v>33969.999305555553</v>
      </c>
      <c r="B71" s="123">
        <v>1247.010000000537</v>
      </c>
      <c r="C71" s="123">
        <v>1746.8500000002621</v>
      </c>
      <c r="D71" s="123">
        <v>2261.1200000002877</v>
      </c>
      <c r="E71" s="123">
        <v>5370.3499999989081</v>
      </c>
      <c r="F71" s="123">
        <v>996.68000000011409</v>
      </c>
      <c r="G71" s="123">
        <v>2334.4100000015383</v>
      </c>
      <c r="H71" s="123">
        <v>267.99999999996891</v>
      </c>
      <c r="I71" s="123">
        <v>2499.9900000012822</v>
      </c>
      <c r="J71" s="123">
        <v>2499.9900000012672</v>
      </c>
      <c r="K71" s="123">
        <v>11811.999999998648</v>
      </c>
      <c r="L71" s="123">
        <v>900</v>
      </c>
      <c r="M71" s="123">
        <v>3659.1999999995965</v>
      </c>
      <c r="N71" s="123">
        <v>13916.560000015921</v>
      </c>
      <c r="O71" s="123">
        <v>11987.800000005504</v>
      </c>
      <c r="P71" s="123">
        <v>673.3700000003422</v>
      </c>
      <c r="Q71" s="123">
        <v>0</v>
      </c>
      <c r="R71" s="123">
        <v>2294.4700000004386</v>
      </c>
      <c r="S71" s="123">
        <v>1591.6899999993404</v>
      </c>
      <c r="T71" s="123">
        <v>504.47000000016385</v>
      </c>
      <c r="U71" s="123">
        <v>419.22999999996358</v>
      </c>
      <c r="V71" s="123">
        <v>5739.970000002726</v>
      </c>
      <c r="W71" s="123">
        <v>899.98999999967964</v>
      </c>
      <c r="X71" s="123">
        <v>849.98999999941861</v>
      </c>
      <c r="Y71" s="123">
        <v>324.9999999999643</v>
      </c>
      <c r="Z71" s="123">
        <v>200.00000000007739</v>
      </c>
      <c r="AA71" s="123">
        <v>1000.0000000020035</v>
      </c>
      <c r="AB71" s="123">
        <v>1499.9999999989695</v>
      </c>
      <c r="AC71" s="123">
        <v>1000.0000000020035</v>
      </c>
      <c r="AD71" s="123">
        <v>1499.9999999989695</v>
      </c>
      <c r="AE71" s="123">
        <v>3749.9999999995666</v>
      </c>
      <c r="AF71" s="123">
        <v>245.66635000000002</v>
      </c>
      <c r="AG71" s="123">
        <v>8438.9999999990341</v>
      </c>
      <c r="AH71" s="123">
        <v>2319.9999999997326</v>
      </c>
      <c r="AI71" s="123">
        <v>5000.0100000008242</v>
      </c>
      <c r="AJ71" s="123">
        <v>38999.999998983862</v>
      </c>
      <c r="AK71" s="123">
        <v>7969.9999999999955</v>
      </c>
      <c r="AL71" s="123">
        <v>10805.99999999875</v>
      </c>
      <c r="AM71" s="123">
        <v>12100.000000000011</v>
      </c>
      <c r="AN71" s="123">
        <v>2811.9999999996744</v>
      </c>
      <c r="AO71" s="123">
        <v>961.99999999988893</v>
      </c>
      <c r="AP71" s="123">
        <v>340.98999999997511</v>
      </c>
      <c r="AQ71" s="123">
        <v>1207.8036692852058</v>
      </c>
      <c r="AR71" s="123">
        <v>4835.3532491226752</v>
      </c>
      <c r="AS71" s="123">
        <v>31235.302148767347</v>
      </c>
      <c r="AT71" s="123">
        <v>77987.071565512248</v>
      </c>
      <c r="AU71" s="123">
        <v>78228.517607510963</v>
      </c>
      <c r="AV71" s="123">
        <v>85230.452825466578</v>
      </c>
      <c r="AW71" s="123">
        <v>4657.6978512327023</v>
      </c>
      <c r="AX71" s="123">
        <v>24023.588844618767</v>
      </c>
      <c r="AY71" s="123">
        <v>1636.9999999998129</v>
      </c>
      <c r="AZ71" s="123">
        <v>402.31685806451566</v>
      </c>
      <c r="BA71" s="123">
        <v>1024.6422310755788</v>
      </c>
      <c r="BB71" s="123">
        <v>1300.0000000005807</v>
      </c>
      <c r="BC71" s="123">
        <v>16199.999998970494</v>
      </c>
      <c r="BD71" s="123">
        <v>600.99999999993111</v>
      </c>
      <c r="BE71" s="123">
        <v>631.76892430271619</v>
      </c>
      <c r="BF71" s="123">
        <v>550.00999999974533</v>
      </c>
      <c r="BG71" s="123">
        <v>12296.800000006155</v>
      </c>
      <c r="BH71" s="3">
        <v>27766.824184464156</v>
      </c>
      <c r="BI71" s="3">
        <v>-1358.4609894546502</v>
      </c>
      <c r="BJ71" s="3">
        <v>2430.2475386299079</v>
      </c>
      <c r="BK71" s="3">
        <v>126827.52783706694</v>
      </c>
      <c r="BL71" s="3">
        <v>0</v>
      </c>
      <c r="BM71" s="3"/>
      <c r="BN71" s="3"/>
      <c r="BO71" s="3"/>
      <c r="BP71" s="3"/>
      <c r="BQ71" s="3"/>
      <c r="BR71" s="3"/>
      <c r="BS71" s="3"/>
      <c r="BT71" s="3"/>
      <c r="BU71" s="3"/>
      <c r="BV71" s="3"/>
      <c r="BW71" s="3"/>
      <c r="BX71" s="3"/>
      <c r="BY71" s="3"/>
    </row>
    <row r="72" spans="1:77" x14ac:dyDescent="0.25">
      <c r="A72" s="1">
        <v>34334.999305555553</v>
      </c>
      <c r="B72" s="123">
        <v>1247.010000000537</v>
      </c>
      <c r="C72" s="123">
        <v>1746.8500000002621</v>
      </c>
      <c r="D72" s="123">
        <v>2261.1200000002882</v>
      </c>
      <c r="E72" s="123">
        <v>5370.3499999989081</v>
      </c>
      <c r="F72" s="123">
        <v>996.68000000011409</v>
      </c>
      <c r="G72" s="123">
        <v>2334.4100000015378</v>
      </c>
      <c r="H72" s="123">
        <v>272.99999999996845</v>
      </c>
      <c r="I72" s="123">
        <v>2499.9900000012822</v>
      </c>
      <c r="J72" s="123">
        <v>2499.9900000012672</v>
      </c>
      <c r="K72" s="123">
        <v>12057.999999998612</v>
      </c>
      <c r="L72" s="123">
        <v>900.00000000000011</v>
      </c>
      <c r="M72" s="123">
        <v>3659.1999999995969</v>
      </c>
      <c r="N72" s="123">
        <v>13916.560000015921</v>
      </c>
      <c r="O72" s="123">
        <v>11987.800000005504</v>
      </c>
      <c r="P72" s="123">
        <v>673.3700000003422</v>
      </c>
      <c r="Q72" s="123">
        <v>0</v>
      </c>
      <c r="R72" s="123">
        <v>2294.4700000004386</v>
      </c>
      <c r="S72" s="123">
        <v>1591.6899999993404</v>
      </c>
      <c r="T72" s="123">
        <v>504.47000000016385</v>
      </c>
      <c r="U72" s="123">
        <v>419.22999999996358</v>
      </c>
      <c r="V72" s="123">
        <v>5739.9700000027269</v>
      </c>
      <c r="W72" s="123">
        <v>899.98999999967975</v>
      </c>
      <c r="X72" s="123">
        <v>849.98999999941839</v>
      </c>
      <c r="Y72" s="123">
        <v>324.9999999999643</v>
      </c>
      <c r="Z72" s="123">
        <v>200.00000000007739</v>
      </c>
      <c r="AA72" s="123">
        <v>1000.0000000020067</v>
      </c>
      <c r="AB72" s="123">
        <v>1499.999999998952</v>
      </c>
      <c r="AC72" s="123">
        <v>1000.0000000020067</v>
      </c>
      <c r="AD72" s="123">
        <v>1499.999999998952</v>
      </c>
      <c r="AE72" s="123">
        <v>3717.9999999995698</v>
      </c>
      <c r="AF72" s="123">
        <v>253.23048314412529</v>
      </c>
      <c r="AG72" s="123">
        <v>8262.9999999990559</v>
      </c>
      <c r="AH72" s="123">
        <v>2230.1232574710684</v>
      </c>
      <c r="AI72" s="123">
        <v>5000.0100000008242</v>
      </c>
      <c r="AJ72" s="123">
        <v>38999.999998983854</v>
      </c>
      <c r="AK72" s="123">
        <v>7969.9999999999973</v>
      </c>
      <c r="AL72" s="123">
        <v>10972.999999998732</v>
      </c>
      <c r="AM72" s="123">
        <v>12100</v>
      </c>
      <c r="AN72" s="123">
        <v>2986.9999999996567</v>
      </c>
      <c r="AO72" s="123">
        <v>982.99999999988734</v>
      </c>
      <c r="AP72" s="123">
        <v>340.98999999997505</v>
      </c>
      <c r="AQ72" s="123">
        <v>1349.8393513015162</v>
      </c>
      <c r="AR72" s="123">
        <v>7079.1671551613445</v>
      </c>
      <c r="AS72" s="123">
        <v>31248.028099180548</v>
      </c>
      <c r="AT72" s="123">
        <v>81595.069460023529</v>
      </c>
      <c r="AU72" s="123">
        <v>81847.685774141253</v>
      </c>
      <c r="AV72" s="123">
        <v>89173.558883554913</v>
      </c>
      <c r="AW72" s="123">
        <v>4644.9719008195098</v>
      </c>
      <c r="AX72" s="123">
        <v>24408.078525893605</v>
      </c>
      <c r="AY72" s="123">
        <v>1681.9999999998063</v>
      </c>
      <c r="AZ72" s="123">
        <v>410.82343548387155</v>
      </c>
      <c r="BA72" s="123">
        <v>1041.041294820596</v>
      </c>
      <c r="BB72" s="123">
        <v>1300.0000000005809</v>
      </c>
      <c r="BC72" s="123">
        <v>16199.99999897049</v>
      </c>
      <c r="BD72" s="123">
        <v>609.99999999992917</v>
      </c>
      <c r="BE72" s="123">
        <v>641.88017928279442</v>
      </c>
      <c r="BF72" s="123">
        <v>550.00999999974545</v>
      </c>
      <c r="BG72" s="123">
        <v>12296.800000006155</v>
      </c>
      <c r="BH72" s="3">
        <v>28809.221011260644</v>
      </c>
      <c r="BI72" s="3">
        <v>1011.2428043070149</v>
      </c>
      <c r="BJ72" s="3">
        <v>2430.5586277085631</v>
      </c>
      <c r="BK72" s="3">
        <v>167354.73443907991</v>
      </c>
      <c r="BL72" s="3">
        <v>0</v>
      </c>
      <c r="BM72" s="3"/>
      <c r="BN72" s="3"/>
      <c r="BO72" s="3"/>
      <c r="BP72" s="3"/>
      <c r="BQ72" s="3"/>
      <c r="BR72" s="3"/>
      <c r="BS72" s="3"/>
      <c r="BT72" s="3"/>
      <c r="BU72" s="3"/>
      <c r="BV72" s="3"/>
      <c r="BW72" s="3"/>
      <c r="BX72" s="3"/>
      <c r="BY72" s="3"/>
    </row>
    <row r="73" spans="1:77" x14ac:dyDescent="0.25">
      <c r="A73" s="1">
        <v>34699.999305555553</v>
      </c>
      <c r="B73" s="123">
        <v>1219.6564516134092</v>
      </c>
      <c r="C73" s="123">
        <v>1746.8500000002621</v>
      </c>
      <c r="D73" s="123">
        <v>2261.1200000002882</v>
      </c>
      <c r="E73" s="123">
        <v>5370.3499999989081</v>
      </c>
      <c r="F73" s="123">
        <v>996.68000000011409</v>
      </c>
      <c r="G73" s="123">
        <v>2334.4100000015378</v>
      </c>
      <c r="H73" s="123">
        <v>307.99999999996453</v>
      </c>
      <c r="I73" s="123">
        <v>2499.9900000012822</v>
      </c>
      <c r="J73" s="123">
        <v>2499.9900000012672</v>
      </c>
      <c r="K73" s="123">
        <v>13615.999999998428</v>
      </c>
      <c r="L73" s="123">
        <v>899.99999999999977</v>
      </c>
      <c r="M73" s="123">
        <v>3659.1999999995969</v>
      </c>
      <c r="N73" s="123">
        <v>13916.560000015921</v>
      </c>
      <c r="O73" s="123">
        <v>11987.800000005504</v>
      </c>
      <c r="P73" s="123">
        <v>673.3700000003422</v>
      </c>
      <c r="Q73" s="123">
        <v>27.35354838712821</v>
      </c>
      <c r="R73" s="123">
        <v>2294.4700000004386</v>
      </c>
      <c r="S73" s="123">
        <v>1591.6899999993404</v>
      </c>
      <c r="T73" s="123">
        <v>504.47000000016385</v>
      </c>
      <c r="U73" s="123">
        <v>419.22999999996358</v>
      </c>
      <c r="V73" s="123">
        <v>5739.9700000027269</v>
      </c>
      <c r="W73" s="123">
        <v>899.98999999967975</v>
      </c>
      <c r="X73" s="123">
        <v>849.98999999941839</v>
      </c>
      <c r="Y73" s="123">
        <v>324.9999999999643</v>
      </c>
      <c r="Z73" s="123">
        <v>200.00000000007739</v>
      </c>
      <c r="AA73" s="123">
        <v>1000.0000000020067</v>
      </c>
      <c r="AB73" s="123">
        <v>1499.999999998952</v>
      </c>
      <c r="AC73" s="123">
        <v>1000.0000000020067</v>
      </c>
      <c r="AD73" s="123">
        <v>1499.999999998952</v>
      </c>
      <c r="AE73" s="123">
        <v>4167.9999999995225</v>
      </c>
      <c r="AF73" s="123">
        <v>276.76207000000039</v>
      </c>
      <c r="AG73" s="123">
        <v>9888.9999999988631</v>
      </c>
      <c r="AH73" s="123">
        <v>2404.1592711597809</v>
      </c>
      <c r="AI73" s="123">
        <v>5000.0100000008242</v>
      </c>
      <c r="AJ73" s="123">
        <v>38999.999998983854</v>
      </c>
      <c r="AK73" s="123">
        <v>7970.0000000000045</v>
      </c>
      <c r="AL73" s="123">
        <v>12410.999999998563</v>
      </c>
      <c r="AM73" s="123">
        <v>12100</v>
      </c>
      <c r="AN73" s="123">
        <v>3420.9999999996053</v>
      </c>
      <c r="AO73" s="123">
        <v>1222.9999999998597</v>
      </c>
      <c r="AP73" s="123">
        <v>340.98999999997505</v>
      </c>
      <c r="AQ73" s="123">
        <v>1331.6264104660552</v>
      </c>
      <c r="AR73" s="123">
        <v>3364.3294309133244</v>
      </c>
      <c r="AS73" s="123">
        <v>31248.028099180548</v>
      </c>
      <c r="AT73" s="123">
        <v>93164.046565574143</v>
      </c>
      <c r="AU73" s="123">
        <v>93452.480146272515</v>
      </c>
      <c r="AV73" s="123">
        <v>101817.05398652544</v>
      </c>
      <c r="AW73" s="123">
        <v>4644.9719008195007</v>
      </c>
      <c r="AX73" s="123">
        <v>26913.342191231957</v>
      </c>
      <c r="AY73" s="123">
        <v>2157.9999999997526</v>
      </c>
      <c r="AZ73" s="123">
        <v>458.66186999999923</v>
      </c>
      <c r="BA73" s="123">
        <v>1147.8945617528564</v>
      </c>
      <c r="BB73" s="123">
        <v>1300.0000000005809</v>
      </c>
      <c r="BC73" s="123">
        <v>16199.99999897049</v>
      </c>
      <c r="BD73" s="123">
        <v>689.99999999992031</v>
      </c>
      <c r="BE73" s="123">
        <v>707.76324701187048</v>
      </c>
      <c r="BF73" s="123">
        <v>550.00999999974545</v>
      </c>
      <c r="BG73" s="123">
        <v>12296.800000006155</v>
      </c>
      <c r="BH73" s="3">
        <v>28053.869266817914</v>
      </c>
      <c r="BI73" s="3">
        <v>8174.696120437814</v>
      </c>
      <c r="BJ73" s="3">
        <v>2387.185553231493</v>
      </c>
      <c r="BK73" s="3">
        <v>108099.23283735766</v>
      </c>
      <c r="BL73" s="3">
        <v>0</v>
      </c>
      <c r="BM73" s="3"/>
      <c r="BN73" s="3"/>
      <c r="BO73" s="3"/>
      <c r="BP73" s="3"/>
      <c r="BQ73" s="3"/>
      <c r="BR73" s="3"/>
      <c r="BS73" s="3"/>
      <c r="BT73" s="3"/>
      <c r="BU73" s="3"/>
      <c r="BV73" s="3"/>
      <c r="BW73" s="3"/>
      <c r="BX73" s="3"/>
      <c r="BY73" s="3"/>
    </row>
    <row r="74" spans="1:77" x14ac:dyDescent="0.25">
      <c r="A74" s="1">
        <v>35064.999305555553</v>
      </c>
      <c r="B74" s="123">
        <v>1247.010000000537</v>
      </c>
      <c r="C74" s="123">
        <v>1746.8500000002621</v>
      </c>
      <c r="D74" s="123">
        <v>2261.1200000002882</v>
      </c>
      <c r="E74" s="123">
        <v>5370.3499999989081</v>
      </c>
      <c r="F74" s="123">
        <v>996.68000000011409</v>
      </c>
      <c r="G74" s="123">
        <v>2334.4100000015378</v>
      </c>
      <c r="H74" s="123">
        <v>273.99999999996828</v>
      </c>
      <c r="I74" s="123">
        <v>2499.9900000012822</v>
      </c>
      <c r="J74" s="123">
        <v>2499.9900000012672</v>
      </c>
      <c r="K74" s="123">
        <v>12137.999999998598</v>
      </c>
      <c r="L74" s="123">
        <v>900.00000000000057</v>
      </c>
      <c r="M74" s="123">
        <v>3659.1999999995969</v>
      </c>
      <c r="N74" s="123">
        <v>13916.560000015921</v>
      </c>
      <c r="O74" s="123">
        <v>11987.800000005504</v>
      </c>
      <c r="P74" s="123">
        <v>673.3700000003422</v>
      </c>
      <c r="Q74" s="123">
        <v>0</v>
      </c>
      <c r="R74" s="123">
        <v>2294.4700000004386</v>
      </c>
      <c r="S74" s="123">
        <v>1591.6899999993404</v>
      </c>
      <c r="T74" s="123">
        <v>504.47000000016385</v>
      </c>
      <c r="U74" s="123">
        <v>419.22999999996358</v>
      </c>
      <c r="V74" s="123">
        <v>5739.9700000027269</v>
      </c>
      <c r="W74" s="123">
        <v>899.98999999967975</v>
      </c>
      <c r="X74" s="123">
        <v>849.98999999941839</v>
      </c>
      <c r="Y74" s="123">
        <v>324.9999999999643</v>
      </c>
      <c r="Z74" s="123">
        <v>200.00000000007739</v>
      </c>
      <c r="AA74" s="123">
        <v>1000.0000000020067</v>
      </c>
      <c r="AB74" s="123">
        <v>1499.999999998952</v>
      </c>
      <c r="AC74" s="123">
        <v>1000.0000000020067</v>
      </c>
      <c r="AD74" s="123">
        <v>1499.999999998952</v>
      </c>
      <c r="AE74" s="123">
        <v>3503.999999999598</v>
      </c>
      <c r="AF74" s="123">
        <v>247.94460483870952</v>
      </c>
      <c r="AG74" s="123">
        <v>9017.9999999989632</v>
      </c>
      <c r="AH74" s="123">
        <v>2165.062082601532</v>
      </c>
      <c r="AI74" s="123">
        <v>5000.0100000008242</v>
      </c>
      <c r="AJ74" s="123">
        <v>38999.999998983854</v>
      </c>
      <c r="AK74" s="123">
        <v>7969.9999999999927</v>
      </c>
      <c r="AL74" s="123">
        <v>10903.999999998739</v>
      </c>
      <c r="AM74" s="123">
        <v>12099.999999999998</v>
      </c>
      <c r="AN74" s="123">
        <v>3100.9999999996453</v>
      </c>
      <c r="AO74" s="123">
        <v>1115.9999999998715</v>
      </c>
      <c r="AP74" s="123">
        <v>340.98999999997505</v>
      </c>
      <c r="AQ74" s="123">
        <v>1350.0100000000286</v>
      </c>
      <c r="AR74" s="123">
        <v>6097.5046213931755</v>
      </c>
      <c r="AS74" s="123">
        <v>31248.028099180548</v>
      </c>
      <c r="AT74" s="123">
        <v>79640.970273532861</v>
      </c>
      <c r="AU74" s="123">
        <v>79887.536744968136</v>
      </c>
      <c r="AV74" s="123">
        <v>87037.964416585834</v>
      </c>
      <c r="AW74" s="123">
        <v>4644.9719008195007</v>
      </c>
      <c r="AX74" s="123">
        <v>24501.628326690407</v>
      </c>
      <c r="AY74" s="123">
        <v>1841.9999999997888</v>
      </c>
      <c r="AZ74" s="123">
        <v>405.97191162948582</v>
      </c>
      <c r="BA74" s="123">
        <v>1045.0313346612354</v>
      </c>
      <c r="BB74" s="123">
        <v>1300.0000000005809</v>
      </c>
      <c r="BC74" s="123">
        <v>16199.99999897049</v>
      </c>
      <c r="BD74" s="123">
        <v>614.9999999999294</v>
      </c>
      <c r="BE74" s="123">
        <v>644.34033864534399</v>
      </c>
      <c r="BF74" s="123">
        <v>550.00999999974545</v>
      </c>
      <c r="BG74" s="123">
        <v>12296.800000006155</v>
      </c>
      <c r="BH74" s="3">
        <v>28563.696097711996</v>
      </c>
      <c r="BI74" s="3">
        <v>-198.72573221946817</v>
      </c>
      <c r="BJ74" s="3">
        <v>2430.7884437642128</v>
      </c>
      <c r="BK74" s="3">
        <v>124525.97273395772</v>
      </c>
      <c r="BL74" s="3">
        <v>0</v>
      </c>
      <c r="BM74" s="3"/>
      <c r="BN74" s="3"/>
      <c r="BO74" s="3"/>
      <c r="BP74" s="3"/>
      <c r="BQ74" s="3"/>
      <c r="BR74" s="3"/>
      <c r="BS74" s="3"/>
      <c r="BT74" s="3"/>
      <c r="BU74" s="3"/>
      <c r="BV74" s="3"/>
      <c r="BW74" s="3"/>
      <c r="BX74" s="3"/>
      <c r="BY74" s="3"/>
    </row>
    <row r="75" spans="1:77" x14ac:dyDescent="0.25">
      <c r="A75" s="1">
        <v>35430.999305555553</v>
      </c>
      <c r="B75" s="123">
        <v>955.10923655946272</v>
      </c>
      <c r="C75" s="123">
        <v>1746.8500000002621</v>
      </c>
      <c r="D75" s="123">
        <v>2261.1200000002882</v>
      </c>
      <c r="E75" s="123">
        <v>5370.3499999989081</v>
      </c>
      <c r="F75" s="123">
        <v>996.68000000011409</v>
      </c>
      <c r="G75" s="123">
        <v>2334.4100000015383</v>
      </c>
      <c r="H75" s="123">
        <v>301.99999999996567</v>
      </c>
      <c r="I75" s="123">
        <v>2499.9900000012822</v>
      </c>
      <c r="J75" s="123">
        <v>2499.9900000012672</v>
      </c>
      <c r="K75" s="123">
        <v>13380.999999998465</v>
      </c>
      <c r="L75" s="123">
        <v>899.99999999999898</v>
      </c>
      <c r="M75" s="123">
        <v>3659.1999999995965</v>
      </c>
      <c r="N75" s="123">
        <v>13916.560000015921</v>
      </c>
      <c r="O75" s="123">
        <v>11987.800000005504</v>
      </c>
      <c r="P75" s="123">
        <v>673.3700000003422</v>
      </c>
      <c r="Q75" s="123">
        <v>291.9007634410778</v>
      </c>
      <c r="R75" s="123">
        <v>2294.4700000004386</v>
      </c>
      <c r="S75" s="123">
        <v>1591.6899999993404</v>
      </c>
      <c r="T75" s="123">
        <v>504.47000000016385</v>
      </c>
      <c r="U75" s="123">
        <v>419.22999999996358</v>
      </c>
      <c r="V75" s="123">
        <v>5739.970000002726</v>
      </c>
      <c r="W75" s="123">
        <v>899.98999999967964</v>
      </c>
      <c r="X75" s="123">
        <v>849.98999999941861</v>
      </c>
      <c r="Y75" s="123">
        <v>324.9999999999643</v>
      </c>
      <c r="Z75" s="123">
        <v>200.00000000007739</v>
      </c>
      <c r="AA75" s="123">
        <v>1000.0000000020035</v>
      </c>
      <c r="AB75" s="123">
        <v>1499.9999999989695</v>
      </c>
      <c r="AC75" s="123">
        <v>1000.0000000020035</v>
      </c>
      <c r="AD75" s="123">
        <v>1499.9999999989695</v>
      </c>
      <c r="AE75" s="123">
        <v>3930.9999999995457</v>
      </c>
      <c r="AF75" s="123">
        <v>246.17444999999964</v>
      </c>
      <c r="AG75" s="123">
        <v>9765.406594865266</v>
      </c>
      <c r="AH75" s="123">
        <v>2356.8743027802311</v>
      </c>
      <c r="AI75" s="123">
        <v>5000.0100000008242</v>
      </c>
      <c r="AJ75" s="123">
        <v>38999.999998983862</v>
      </c>
      <c r="AK75" s="123">
        <v>7970.0000000000045</v>
      </c>
      <c r="AL75" s="123">
        <v>12141.999999998601</v>
      </c>
      <c r="AM75" s="123">
        <v>12100.000000000007</v>
      </c>
      <c r="AN75" s="123">
        <v>3468.9999999995989</v>
      </c>
      <c r="AO75" s="123">
        <v>1297.9999999998495</v>
      </c>
      <c r="AP75" s="123">
        <v>340.98999999997511</v>
      </c>
      <c r="AQ75" s="123">
        <v>1184.8208017999514</v>
      </c>
      <c r="AR75" s="123">
        <v>1653.7610479381055</v>
      </c>
      <c r="AS75" s="123">
        <v>31235.302148767347</v>
      </c>
      <c r="AT75" s="123">
        <v>87533.857864480058</v>
      </c>
      <c r="AU75" s="123">
        <v>87804.860520406815</v>
      </c>
      <c r="AV75" s="123">
        <v>95663.937542295185</v>
      </c>
      <c r="AW75" s="123">
        <v>4657.6978512326987</v>
      </c>
      <c r="AX75" s="123">
        <v>27262.282948204029</v>
      </c>
      <c r="AY75" s="123">
        <v>1985.9999999997713</v>
      </c>
      <c r="AZ75" s="123">
        <v>458.04962771452705</v>
      </c>
      <c r="BA75" s="123">
        <v>1162.7774103584311</v>
      </c>
      <c r="BB75" s="123">
        <v>1300.0000000005807</v>
      </c>
      <c r="BC75" s="123">
        <v>16199.999998970494</v>
      </c>
      <c r="BD75" s="123">
        <v>675.99999999992247</v>
      </c>
      <c r="BE75" s="123">
        <v>716.93964143418009</v>
      </c>
      <c r="BF75" s="123">
        <v>550.00999999974533</v>
      </c>
      <c r="BG75" s="123">
        <v>12296.800000006155</v>
      </c>
      <c r="BH75" s="3">
        <v>26516.854229919682</v>
      </c>
      <c r="BI75" s="3">
        <v>4552.8617962837643</v>
      </c>
      <c r="BJ75" s="3">
        <v>2371.5561547379361</v>
      </c>
      <c r="BK75" s="3">
        <v>59541.469650366664</v>
      </c>
      <c r="BL75" s="3">
        <v>0</v>
      </c>
      <c r="BM75" s="3"/>
      <c r="BN75" s="3"/>
      <c r="BO75" s="3"/>
      <c r="BP75" s="3"/>
      <c r="BQ75" s="3"/>
      <c r="BR75" s="3"/>
      <c r="BS75" s="3"/>
      <c r="BT75" s="3"/>
      <c r="BU75" s="3"/>
      <c r="BV75" s="3"/>
      <c r="BW75" s="3"/>
      <c r="BX75" s="3"/>
      <c r="BY75" s="3"/>
    </row>
    <row r="76" spans="1:77" x14ac:dyDescent="0.25">
      <c r="A76" s="1">
        <v>35795.999305555553</v>
      </c>
      <c r="B76" s="123">
        <v>1247.010000000537</v>
      </c>
      <c r="C76" s="123">
        <v>1746.8500000002621</v>
      </c>
      <c r="D76" s="123">
        <v>2261.1200000002882</v>
      </c>
      <c r="E76" s="123">
        <v>5370.3499999989081</v>
      </c>
      <c r="F76" s="123">
        <v>996.68000000011409</v>
      </c>
      <c r="G76" s="123">
        <v>2334.4100000015378</v>
      </c>
      <c r="H76" s="123">
        <v>237.9999999999726</v>
      </c>
      <c r="I76" s="123">
        <v>2499.9900000012822</v>
      </c>
      <c r="J76" s="123">
        <v>2499.9900000012672</v>
      </c>
      <c r="K76" s="123">
        <v>10627.999999998781</v>
      </c>
      <c r="L76" s="123">
        <v>900.00000000000011</v>
      </c>
      <c r="M76" s="123">
        <v>3659.1999999995969</v>
      </c>
      <c r="N76" s="123">
        <v>13916.560000015921</v>
      </c>
      <c r="O76" s="123">
        <v>11987.800000005504</v>
      </c>
      <c r="P76" s="123">
        <v>673.3700000003422</v>
      </c>
      <c r="Q76" s="123">
        <v>0</v>
      </c>
      <c r="R76" s="123">
        <v>2294.4700000004386</v>
      </c>
      <c r="S76" s="123">
        <v>1591.6899999993404</v>
      </c>
      <c r="T76" s="123">
        <v>504.47000000016385</v>
      </c>
      <c r="U76" s="123">
        <v>419.22999999996358</v>
      </c>
      <c r="V76" s="123">
        <v>5739.9700000027269</v>
      </c>
      <c r="W76" s="123">
        <v>899.98999999967975</v>
      </c>
      <c r="X76" s="123">
        <v>849.98999999941839</v>
      </c>
      <c r="Y76" s="123">
        <v>324.9999999999643</v>
      </c>
      <c r="Z76" s="123">
        <v>200.00000000007739</v>
      </c>
      <c r="AA76" s="123">
        <v>1000.0000000020067</v>
      </c>
      <c r="AB76" s="123">
        <v>1499.999999998952</v>
      </c>
      <c r="AC76" s="123">
        <v>1000.0000000020067</v>
      </c>
      <c r="AD76" s="123">
        <v>1499.999999998952</v>
      </c>
      <c r="AE76" s="123">
        <v>3403.9999999996076</v>
      </c>
      <c r="AF76" s="123">
        <v>217.01606649245406</v>
      </c>
      <c r="AG76" s="123">
        <v>8870.9999999989705</v>
      </c>
      <c r="AH76" s="123">
        <v>2095.999999999759</v>
      </c>
      <c r="AI76" s="123">
        <v>5000.0100000008242</v>
      </c>
      <c r="AJ76" s="123">
        <v>38999.999998983854</v>
      </c>
      <c r="AK76" s="123">
        <v>7969.9999999999973</v>
      </c>
      <c r="AL76" s="123">
        <v>9570.9999999988995</v>
      </c>
      <c r="AM76" s="123">
        <v>12099.999999999995</v>
      </c>
      <c r="AN76" s="123">
        <v>2984.9999999996553</v>
      </c>
      <c r="AO76" s="123">
        <v>1004.9999999998837</v>
      </c>
      <c r="AP76" s="123">
        <v>340.98999999997505</v>
      </c>
      <c r="AQ76" s="123">
        <v>1332.9845652422657</v>
      </c>
      <c r="AR76" s="123">
        <v>7326.5282474216447</v>
      </c>
      <c r="AS76" s="123">
        <v>31248.028099180548</v>
      </c>
      <c r="AT76" s="123">
        <v>73531.966009639189</v>
      </c>
      <c r="AU76" s="123">
        <v>73759.619155180044</v>
      </c>
      <c r="AV76" s="123">
        <v>80361.560375859714</v>
      </c>
      <c r="AW76" s="123">
        <v>4644.9719008194943</v>
      </c>
      <c r="AX76" s="123">
        <v>20853.186095615132</v>
      </c>
      <c r="AY76" s="123">
        <v>1603.9999999998165</v>
      </c>
      <c r="AZ76" s="123">
        <v>351.50357999999989</v>
      </c>
      <c r="BA76" s="123">
        <v>889.41978087639222</v>
      </c>
      <c r="BB76" s="123">
        <v>1300.0000000005809</v>
      </c>
      <c r="BC76" s="123">
        <v>16199.99999897049</v>
      </c>
      <c r="BD76" s="123">
        <v>535.99999999993827</v>
      </c>
      <c r="BE76" s="123">
        <v>548.39412350591306</v>
      </c>
      <c r="BF76" s="123">
        <v>550.00999999974545</v>
      </c>
      <c r="BG76" s="123">
        <v>12296.800000006155</v>
      </c>
      <c r="BH76" s="3">
        <v>25462.406007032168</v>
      </c>
      <c r="BI76" s="3">
        <v>-3981.3909111008579</v>
      </c>
      <c r="BJ76" s="3">
        <v>2430.8445436060993</v>
      </c>
      <c r="BK76" s="3">
        <v>158331.02457244843</v>
      </c>
      <c r="BL76" s="3">
        <v>0</v>
      </c>
      <c r="BM76" s="3"/>
      <c r="BN76" s="3"/>
      <c r="BO76" s="3"/>
      <c r="BP76" s="3"/>
      <c r="BQ76" s="3"/>
      <c r="BR76" s="3"/>
      <c r="BS76" s="3"/>
      <c r="BT76" s="3"/>
      <c r="BU76" s="3"/>
      <c r="BV76" s="3"/>
      <c r="BW76" s="3"/>
      <c r="BX76" s="3"/>
      <c r="BY76" s="3"/>
    </row>
    <row r="77" spans="1:77" x14ac:dyDescent="0.25">
      <c r="A77" s="1">
        <v>36160.999305555553</v>
      </c>
      <c r="B77" s="123">
        <v>1247.010000000537</v>
      </c>
      <c r="C77" s="123">
        <v>1746.8500000002621</v>
      </c>
      <c r="D77" s="123">
        <v>2261.1200000002882</v>
      </c>
      <c r="E77" s="123">
        <v>5370.3499999989081</v>
      </c>
      <c r="F77" s="123">
        <v>996.68000000011409</v>
      </c>
      <c r="G77" s="123">
        <v>2334.4100000015378</v>
      </c>
      <c r="H77" s="123">
        <v>263.99999999996976</v>
      </c>
      <c r="I77" s="123">
        <v>2499.9900000012822</v>
      </c>
      <c r="J77" s="123">
        <v>2499.9900000012672</v>
      </c>
      <c r="K77" s="123">
        <v>11706.999999998661</v>
      </c>
      <c r="L77" s="123">
        <v>899.99999999999943</v>
      </c>
      <c r="M77" s="123">
        <v>3659.1999999995969</v>
      </c>
      <c r="N77" s="123">
        <v>13916.560000015921</v>
      </c>
      <c r="O77" s="123">
        <v>11987.800000005504</v>
      </c>
      <c r="P77" s="123">
        <v>673.3700000003422</v>
      </c>
      <c r="Q77" s="123">
        <v>0</v>
      </c>
      <c r="R77" s="123">
        <v>2294.4700000004386</v>
      </c>
      <c r="S77" s="123">
        <v>1591.6899999993404</v>
      </c>
      <c r="T77" s="123">
        <v>504.47000000016385</v>
      </c>
      <c r="U77" s="123">
        <v>419.22999999996358</v>
      </c>
      <c r="V77" s="123">
        <v>5739.9700000027269</v>
      </c>
      <c r="W77" s="123">
        <v>899.98999999967975</v>
      </c>
      <c r="X77" s="123">
        <v>849.98999999941839</v>
      </c>
      <c r="Y77" s="123">
        <v>324.9999999999643</v>
      </c>
      <c r="Z77" s="123">
        <v>200.00000000007739</v>
      </c>
      <c r="AA77" s="123">
        <v>1000.0000000020067</v>
      </c>
      <c r="AB77" s="123">
        <v>1499.999999998952</v>
      </c>
      <c r="AC77" s="123">
        <v>1000.0000000020067</v>
      </c>
      <c r="AD77" s="123">
        <v>1499.999999998952</v>
      </c>
      <c r="AE77" s="123">
        <v>3727.9999999995703</v>
      </c>
      <c r="AF77" s="123">
        <v>248.36256012781203</v>
      </c>
      <c r="AG77" s="123">
        <v>9284.999999998925</v>
      </c>
      <c r="AH77" s="123">
        <v>2290.4007619768008</v>
      </c>
      <c r="AI77" s="123">
        <v>5000.0100000008242</v>
      </c>
      <c r="AJ77" s="123">
        <v>38999.999998983854</v>
      </c>
      <c r="AK77" s="123">
        <v>7970.0000000000036</v>
      </c>
      <c r="AL77" s="123">
        <v>10662.99999999877</v>
      </c>
      <c r="AM77" s="123">
        <v>12100.000000000009</v>
      </c>
      <c r="AN77" s="123">
        <v>3225.9999999996289</v>
      </c>
      <c r="AO77" s="123">
        <v>1219.9999999998595</v>
      </c>
      <c r="AP77" s="123">
        <v>340.98999999997505</v>
      </c>
      <c r="AQ77" s="123">
        <v>1210.6246469692071</v>
      </c>
      <c r="AR77" s="123">
        <v>2088.1742112171382</v>
      </c>
      <c r="AS77" s="123">
        <v>31248.028099180548</v>
      </c>
      <c r="AT77" s="123">
        <v>83585.34659750534</v>
      </c>
      <c r="AU77" s="123">
        <v>83844.124760345716</v>
      </c>
      <c r="AV77" s="123">
        <v>91348.691482722352</v>
      </c>
      <c r="AW77" s="123">
        <v>4644.9719008195034</v>
      </c>
      <c r="AX77" s="123">
        <v>24161.107051790033</v>
      </c>
      <c r="AY77" s="123">
        <v>1757.9999999997974</v>
      </c>
      <c r="AZ77" s="123">
        <v>406.47998837051449</v>
      </c>
      <c r="BA77" s="123">
        <v>1030.507589641315</v>
      </c>
      <c r="BB77" s="123">
        <v>1300.0000000005809</v>
      </c>
      <c r="BC77" s="123">
        <v>16199.99999897049</v>
      </c>
      <c r="BD77" s="123">
        <v>591.9999999999319</v>
      </c>
      <c r="BE77" s="123">
        <v>635.38535856566409</v>
      </c>
      <c r="BF77" s="123">
        <v>550.00999999974545</v>
      </c>
      <c r="BG77" s="123">
        <v>12296.800000006155</v>
      </c>
      <c r="BH77" s="3">
        <v>29587.450363252741</v>
      </c>
      <c r="BI77" s="3">
        <v>2243.6125488780126</v>
      </c>
      <c r="BJ77" s="3">
        <v>2430.2838740380789</v>
      </c>
      <c r="BK77" s="3">
        <v>95210.955644643909</v>
      </c>
      <c r="BL77" s="3">
        <v>0</v>
      </c>
      <c r="BM77" s="3"/>
      <c r="BN77" s="3"/>
      <c r="BO77" s="3"/>
      <c r="BP77" s="3"/>
      <c r="BQ77" s="3"/>
      <c r="BR77" s="3"/>
      <c r="BS77" s="3"/>
      <c r="BT77" s="3"/>
      <c r="BU77" s="3"/>
      <c r="BV77" s="3"/>
      <c r="BW77" s="3"/>
      <c r="BX77" s="3"/>
      <c r="BY77" s="3"/>
    </row>
    <row r="78" spans="1:77" x14ac:dyDescent="0.25">
      <c r="A78" s="1">
        <v>36525.999305555553</v>
      </c>
      <c r="B78" s="123">
        <v>1247.010000000537</v>
      </c>
      <c r="C78" s="123">
        <v>1746.8500000002621</v>
      </c>
      <c r="D78" s="123">
        <v>2261.1200000002882</v>
      </c>
      <c r="E78" s="123">
        <v>5370.3499999989081</v>
      </c>
      <c r="F78" s="123">
        <v>996.68000000011409</v>
      </c>
      <c r="G78" s="123">
        <v>2334.4100000015378</v>
      </c>
      <c r="H78" s="123">
        <v>250.99999999997135</v>
      </c>
      <c r="I78" s="123">
        <v>2499.9900000012822</v>
      </c>
      <c r="J78" s="123">
        <v>2499.9900000012672</v>
      </c>
      <c r="K78" s="123">
        <v>11107.999999998727</v>
      </c>
      <c r="L78" s="123">
        <v>900.00000000000125</v>
      </c>
      <c r="M78" s="123">
        <v>3659.1999999995969</v>
      </c>
      <c r="N78" s="123">
        <v>13916.560000015921</v>
      </c>
      <c r="O78" s="123">
        <v>11987.800000005504</v>
      </c>
      <c r="P78" s="123">
        <v>673.3700000003422</v>
      </c>
      <c r="Q78" s="123">
        <v>0</v>
      </c>
      <c r="R78" s="123">
        <v>2294.4700000004386</v>
      </c>
      <c r="S78" s="123">
        <v>1591.6899999993404</v>
      </c>
      <c r="T78" s="123">
        <v>504.47000000016385</v>
      </c>
      <c r="U78" s="123">
        <v>419.22999999996358</v>
      </c>
      <c r="V78" s="123">
        <v>5739.9700000027269</v>
      </c>
      <c r="W78" s="123">
        <v>899.98999999967975</v>
      </c>
      <c r="X78" s="123">
        <v>849.98999999941839</v>
      </c>
      <c r="Y78" s="123">
        <v>324.9999999999643</v>
      </c>
      <c r="Z78" s="123">
        <v>200.00000000007739</v>
      </c>
      <c r="AA78" s="123">
        <v>1000.0000000020067</v>
      </c>
      <c r="AB78" s="123">
        <v>1499.999999998952</v>
      </c>
      <c r="AC78" s="123">
        <v>1000.0000000020067</v>
      </c>
      <c r="AD78" s="123">
        <v>1499.999999998952</v>
      </c>
      <c r="AE78" s="123">
        <v>3151.9999999996389</v>
      </c>
      <c r="AF78" s="123">
        <v>204.9167299999998</v>
      </c>
      <c r="AG78" s="123">
        <v>9039.9999999989559</v>
      </c>
      <c r="AH78" s="123">
        <v>2040.9999999997649</v>
      </c>
      <c r="AI78" s="123">
        <v>5000.0100000008242</v>
      </c>
      <c r="AJ78" s="123">
        <v>38999.999998983854</v>
      </c>
      <c r="AK78" s="123">
        <v>7970.0000000000064</v>
      </c>
      <c r="AL78" s="123">
        <v>10068.999999998838</v>
      </c>
      <c r="AM78" s="123">
        <v>12100.000000000002</v>
      </c>
      <c r="AN78" s="123">
        <v>2993.9999999996562</v>
      </c>
      <c r="AO78" s="123">
        <v>900.99999999989541</v>
      </c>
      <c r="AP78" s="123">
        <v>340.98999999997505</v>
      </c>
      <c r="AQ78" s="123">
        <v>1350.0100000000286</v>
      </c>
      <c r="AR78" s="123">
        <v>5498.0563062957117</v>
      </c>
      <c r="AS78" s="123">
        <v>31248.028099180548</v>
      </c>
      <c r="AT78" s="123">
        <v>66859.719805387518</v>
      </c>
      <c r="AU78" s="123">
        <v>67066.71584193669</v>
      </c>
      <c r="AV78" s="123">
        <v>73069.600901862854</v>
      </c>
      <c r="AW78" s="123">
        <v>4644.9719008194888</v>
      </c>
      <c r="AX78" s="123">
        <v>20811.088685256575</v>
      </c>
      <c r="AY78" s="123">
        <v>1537.999999999824</v>
      </c>
      <c r="AZ78" s="123">
        <v>334.3625690156756</v>
      </c>
      <c r="BA78" s="123">
        <v>887.62426294810541</v>
      </c>
      <c r="BB78" s="123">
        <v>1300.0000000005809</v>
      </c>
      <c r="BC78" s="123">
        <v>16199.99999897049</v>
      </c>
      <c r="BD78" s="123">
        <v>561.99999999993508</v>
      </c>
      <c r="BE78" s="123">
        <v>547.28705179276608</v>
      </c>
      <c r="BF78" s="123">
        <v>550.00999999974545</v>
      </c>
      <c r="BG78" s="123">
        <v>12296.800000006155</v>
      </c>
      <c r="BH78" s="3">
        <v>27524.511125171517</v>
      </c>
      <c r="BI78" s="3">
        <v>-8112.812709399378</v>
      </c>
      <c r="BJ78" s="3">
        <v>2430.8370582133089</v>
      </c>
      <c r="BK78" s="3">
        <v>115567.67773603335</v>
      </c>
      <c r="BL78" s="3">
        <v>0</v>
      </c>
      <c r="BM78" s="3"/>
      <c r="BN78" s="3"/>
      <c r="BO78" s="3"/>
      <c r="BP78" s="3"/>
      <c r="BQ78" s="3"/>
      <c r="BR78" s="3"/>
      <c r="BS78" s="3"/>
      <c r="BT78" s="3"/>
      <c r="BU78" s="3"/>
      <c r="BV78" s="3"/>
      <c r="BW78" s="3"/>
      <c r="BX78" s="3"/>
      <c r="BY78" s="3"/>
    </row>
    <row r="79" spans="1:77" x14ac:dyDescent="0.25">
      <c r="A79" s="1">
        <v>36891.999305555553</v>
      </c>
      <c r="B79" s="123">
        <v>1039.8574280143789</v>
      </c>
      <c r="C79" s="123">
        <v>1746.8500000002621</v>
      </c>
      <c r="D79" s="123">
        <v>2261.1200000002882</v>
      </c>
      <c r="E79" s="123">
        <v>5370.3499999989081</v>
      </c>
      <c r="F79" s="123">
        <v>996.68000000011409</v>
      </c>
      <c r="G79" s="123">
        <v>2334.4100000015383</v>
      </c>
      <c r="H79" s="123">
        <v>318.99999999996288</v>
      </c>
      <c r="I79" s="123">
        <v>2499.9900000012822</v>
      </c>
      <c r="J79" s="123">
        <v>2499.9900000012672</v>
      </c>
      <c r="K79" s="123">
        <v>13979.999999998399</v>
      </c>
      <c r="L79" s="123">
        <v>899.99999999999955</v>
      </c>
      <c r="M79" s="123">
        <v>3659.1999999995965</v>
      </c>
      <c r="N79" s="123">
        <v>13916.560000015921</v>
      </c>
      <c r="O79" s="123">
        <v>11987.800000005504</v>
      </c>
      <c r="P79" s="123">
        <v>673.3700000003422</v>
      </c>
      <c r="Q79" s="123">
        <v>207.15257198616055</v>
      </c>
      <c r="R79" s="123">
        <v>2294.4700000004386</v>
      </c>
      <c r="S79" s="123">
        <v>1591.6899999993404</v>
      </c>
      <c r="T79" s="123">
        <v>504.47000000016385</v>
      </c>
      <c r="U79" s="123">
        <v>419.22999999996358</v>
      </c>
      <c r="V79" s="123">
        <v>5739.970000002726</v>
      </c>
      <c r="W79" s="123">
        <v>899.98999999967964</v>
      </c>
      <c r="X79" s="123">
        <v>849.98999999941861</v>
      </c>
      <c r="Y79" s="123">
        <v>324.9999999999643</v>
      </c>
      <c r="Z79" s="123">
        <v>200.00000000007739</v>
      </c>
      <c r="AA79" s="123">
        <v>1000.0000000020035</v>
      </c>
      <c r="AB79" s="123">
        <v>1499.9999999989695</v>
      </c>
      <c r="AC79" s="123">
        <v>1000.0000000020035</v>
      </c>
      <c r="AD79" s="123">
        <v>1499.9999999989695</v>
      </c>
      <c r="AE79" s="123">
        <v>4149.999999999518</v>
      </c>
      <c r="AF79" s="123">
        <v>245.41229999999945</v>
      </c>
      <c r="AG79" s="123">
        <v>10672.18659267023</v>
      </c>
      <c r="AH79" s="123">
        <v>2485.6175956189509</v>
      </c>
      <c r="AI79" s="123">
        <v>5000.0100000008242</v>
      </c>
      <c r="AJ79" s="123">
        <v>38999.999998983862</v>
      </c>
      <c r="AK79" s="123">
        <v>7970.0000000000036</v>
      </c>
      <c r="AL79" s="123">
        <v>12812.99999999853</v>
      </c>
      <c r="AM79" s="123">
        <v>12100.000000000002</v>
      </c>
      <c r="AN79" s="123">
        <v>3538.9999999995921</v>
      </c>
      <c r="AO79" s="123">
        <v>1628.9999999998124</v>
      </c>
      <c r="AP79" s="123">
        <v>340.98999999997511</v>
      </c>
      <c r="AQ79" s="123">
        <v>1153.4654604757584</v>
      </c>
      <c r="AR79" s="123">
        <v>1920.5109610479944</v>
      </c>
      <c r="AS79" s="123">
        <v>31235.302148767347</v>
      </c>
      <c r="AT79" s="123">
        <v>93598.508669787931</v>
      </c>
      <c r="AU79" s="123">
        <v>93888.287334399618</v>
      </c>
      <c r="AV79" s="123">
        <v>102291.86860815766</v>
      </c>
      <c r="AW79" s="123">
        <v>4657.6978512327141</v>
      </c>
      <c r="AX79" s="123">
        <v>28748.789282865229</v>
      </c>
      <c r="AY79" s="123">
        <v>2141.9999999997558</v>
      </c>
      <c r="AZ79" s="123">
        <v>406.22596162948571</v>
      </c>
      <c r="BA79" s="123">
        <v>1226.1791434261545</v>
      </c>
      <c r="BB79" s="123">
        <v>1300.0000000005807</v>
      </c>
      <c r="BC79" s="123">
        <v>16199.999998970494</v>
      </c>
      <c r="BD79" s="123">
        <v>707.99999999991837</v>
      </c>
      <c r="BE79" s="123">
        <v>756.03157370509211</v>
      </c>
      <c r="BF79" s="123">
        <v>550.00999999974533</v>
      </c>
      <c r="BG79" s="123">
        <v>12296.800000006155</v>
      </c>
      <c r="BH79" s="3">
        <v>27640.06091337882</v>
      </c>
      <c r="BI79" s="3">
        <v>8308.0635333164664</v>
      </c>
      <c r="BJ79" s="3">
        <v>2360.6473287296471</v>
      </c>
      <c r="BK79" s="3">
        <v>43274.40509322963</v>
      </c>
      <c r="BL79" s="3">
        <v>0</v>
      </c>
      <c r="BM79" s="3"/>
      <c r="BN79" s="3"/>
      <c r="BO79" s="3"/>
      <c r="BP79" s="3"/>
      <c r="BQ79" s="3"/>
      <c r="BR79" s="3"/>
      <c r="BS79" s="3"/>
      <c r="BT79" s="3"/>
      <c r="BU79" s="3"/>
      <c r="BV79" s="3"/>
      <c r="BW79" s="3"/>
      <c r="BX79" s="3"/>
      <c r="BY79" s="3"/>
    </row>
    <row r="80" spans="1:77" x14ac:dyDescent="0.25">
      <c r="A80" s="1">
        <v>37256.999305555553</v>
      </c>
      <c r="B80" s="123">
        <v>1134.3023333337856</v>
      </c>
      <c r="C80" s="123">
        <v>1746.8500000002621</v>
      </c>
      <c r="D80" s="123">
        <v>2261.1200000002882</v>
      </c>
      <c r="E80" s="123">
        <v>5370.3499999989081</v>
      </c>
      <c r="F80" s="123">
        <v>996.68000000011409</v>
      </c>
      <c r="G80" s="123">
        <v>2334.4100000015378</v>
      </c>
      <c r="H80" s="123">
        <v>297.99999999996595</v>
      </c>
      <c r="I80" s="123">
        <v>2499.9900000012822</v>
      </c>
      <c r="J80" s="123">
        <v>2499.9900000012672</v>
      </c>
      <c r="K80" s="123">
        <v>13164.99999999849</v>
      </c>
      <c r="L80" s="123">
        <v>900.00000000000034</v>
      </c>
      <c r="M80" s="123">
        <v>3659.1999999995969</v>
      </c>
      <c r="N80" s="123">
        <v>13916.560000015921</v>
      </c>
      <c r="O80" s="123">
        <v>11987.800000005504</v>
      </c>
      <c r="P80" s="123">
        <v>673.3700000003422</v>
      </c>
      <c r="Q80" s="123">
        <v>112.707666666753</v>
      </c>
      <c r="R80" s="123">
        <v>2294.4700000004386</v>
      </c>
      <c r="S80" s="123">
        <v>1591.6899999993404</v>
      </c>
      <c r="T80" s="123">
        <v>504.47000000016385</v>
      </c>
      <c r="U80" s="123">
        <v>419.22999999996358</v>
      </c>
      <c r="V80" s="123">
        <v>5739.9700000027269</v>
      </c>
      <c r="W80" s="123">
        <v>899.98999999967975</v>
      </c>
      <c r="X80" s="123">
        <v>849.98999999941839</v>
      </c>
      <c r="Y80" s="123">
        <v>324.9999999999643</v>
      </c>
      <c r="Z80" s="123">
        <v>200.00000000007739</v>
      </c>
      <c r="AA80" s="123">
        <v>1000.0000000020067</v>
      </c>
      <c r="AB80" s="123">
        <v>1499.999999998952</v>
      </c>
      <c r="AC80" s="123">
        <v>1000.0000000020067</v>
      </c>
      <c r="AD80" s="123">
        <v>1499.999999998952</v>
      </c>
      <c r="AE80" s="123">
        <v>4308.9999999995061</v>
      </c>
      <c r="AF80" s="123">
        <v>285.39976108406063</v>
      </c>
      <c r="AG80" s="123">
        <v>9934.9999999988559</v>
      </c>
      <c r="AH80" s="123">
        <v>2600.6144476117815</v>
      </c>
      <c r="AI80" s="123">
        <v>5000.0100000008242</v>
      </c>
      <c r="AJ80" s="123">
        <v>38999.999998983854</v>
      </c>
      <c r="AK80" s="123">
        <v>7970.0000000000064</v>
      </c>
      <c r="AL80" s="123">
        <v>11934.99999999863</v>
      </c>
      <c r="AM80" s="123">
        <v>12099.999999999995</v>
      </c>
      <c r="AN80" s="123">
        <v>3508.9999999995925</v>
      </c>
      <c r="AO80" s="123">
        <v>1210.9999999998608</v>
      </c>
      <c r="AP80" s="123">
        <v>340.98999999997505</v>
      </c>
      <c r="AQ80" s="123">
        <v>1177.9865664170436</v>
      </c>
      <c r="AR80" s="123">
        <v>2602.8643240023521</v>
      </c>
      <c r="AS80" s="123">
        <v>31248.028099180548</v>
      </c>
      <c r="AT80" s="123">
        <v>87725.178038930404</v>
      </c>
      <c r="AU80" s="123">
        <v>87996.773017378917</v>
      </c>
      <c r="AV80" s="123">
        <v>95873.027392391363</v>
      </c>
      <c r="AW80" s="123">
        <v>4644.9719008195152</v>
      </c>
      <c r="AX80" s="123">
        <v>27882.518127486823</v>
      </c>
      <c r="AY80" s="123">
        <v>1809.9999999997915</v>
      </c>
      <c r="AZ80" s="123">
        <v>378.02640000000065</v>
      </c>
      <c r="BA80" s="123">
        <v>1189.2313745018548</v>
      </c>
      <c r="BB80" s="123">
        <v>1300.0000000005809</v>
      </c>
      <c r="BC80" s="123">
        <v>16199.99999897049</v>
      </c>
      <c r="BD80" s="123">
        <v>666.99999999992315</v>
      </c>
      <c r="BE80" s="123">
        <v>733.25049800788349</v>
      </c>
      <c r="BF80" s="123">
        <v>550.00999999974545</v>
      </c>
      <c r="BG80" s="123">
        <v>12296.800000006155</v>
      </c>
      <c r="BH80" s="3">
        <v>28664.449471524342</v>
      </c>
      <c r="BI80" s="3">
        <v>4806.9756705034179</v>
      </c>
      <c r="BJ80" s="3">
        <v>2414.7966725940255</v>
      </c>
      <c r="BK80" s="3">
        <v>110278.94257695759</v>
      </c>
      <c r="BL80" s="3">
        <v>0</v>
      </c>
      <c r="BM80" s="3"/>
      <c r="BN80" s="3"/>
      <c r="BO80" s="3"/>
      <c r="BP80" s="3"/>
      <c r="BQ80" s="3"/>
      <c r="BR80" s="3"/>
      <c r="BS80" s="3"/>
      <c r="BT80" s="3"/>
      <c r="BU80" s="3"/>
      <c r="BV80" s="3"/>
      <c r="BW80" s="3"/>
      <c r="BX80" s="3"/>
      <c r="BY80" s="3"/>
    </row>
    <row r="81" spans="1:77" x14ac:dyDescent="0.25">
      <c r="A81" s="1">
        <v>37621.999305555553</v>
      </c>
      <c r="B81" s="123">
        <v>540.52766666693037</v>
      </c>
      <c r="C81" s="123">
        <v>1746.8500000002621</v>
      </c>
      <c r="D81" s="123">
        <v>2233.4823600630862</v>
      </c>
      <c r="E81" s="123">
        <v>5370.3499999989081</v>
      </c>
      <c r="F81" s="123">
        <v>994.1018042304479</v>
      </c>
      <c r="G81" s="123">
        <v>2334.4100000015378</v>
      </c>
      <c r="H81" s="123">
        <v>300.99999999996527</v>
      </c>
      <c r="I81" s="123">
        <v>2499.9900000012822</v>
      </c>
      <c r="J81" s="123">
        <v>2499.9900000012672</v>
      </c>
      <c r="K81" s="123">
        <v>13273.999999998476</v>
      </c>
      <c r="L81" s="123">
        <v>899.99999999999977</v>
      </c>
      <c r="M81" s="123">
        <v>3659.1999999995969</v>
      </c>
      <c r="N81" s="123">
        <v>13916.560000015921</v>
      </c>
      <c r="O81" s="123">
        <v>11987.800000005504</v>
      </c>
      <c r="P81" s="123">
        <v>673.3700000003422</v>
      </c>
      <c r="Q81" s="123">
        <v>706.48233333360861</v>
      </c>
      <c r="R81" s="123">
        <v>2294.4700000004391</v>
      </c>
      <c r="S81" s="123">
        <v>1591.6899999993404</v>
      </c>
      <c r="T81" s="123">
        <v>504.47000000016385</v>
      </c>
      <c r="U81" s="123">
        <v>419.22999999996358</v>
      </c>
      <c r="V81" s="123">
        <v>5739.9700000027269</v>
      </c>
      <c r="W81" s="123">
        <v>899.98999999967975</v>
      </c>
      <c r="X81" s="123">
        <v>849.98999999941839</v>
      </c>
      <c r="Y81" s="123">
        <v>324.9999999999643</v>
      </c>
      <c r="Z81" s="123">
        <v>200.00000000007739</v>
      </c>
      <c r="AA81" s="123">
        <v>908.39537485009691</v>
      </c>
      <c r="AB81" s="123">
        <v>1499.999999998952</v>
      </c>
      <c r="AC81" s="123">
        <v>1000.0000000020067</v>
      </c>
      <c r="AD81" s="123">
        <v>1499.999999998952</v>
      </c>
      <c r="AE81" s="123">
        <v>4227.6534281730583</v>
      </c>
      <c r="AF81" s="123">
        <v>16.767299818289285</v>
      </c>
      <c r="AG81" s="123">
        <v>6879.628677763264</v>
      </c>
      <c r="AH81" s="123">
        <v>2409.2508957526993</v>
      </c>
      <c r="AI81" s="123">
        <v>5000.0100000008242</v>
      </c>
      <c r="AJ81" s="123">
        <v>38999.999998983854</v>
      </c>
      <c r="AK81" s="123">
        <v>7970.0000000000091</v>
      </c>
      <c r="AL81" s="123">
        <v>12147.999999998594</v>
      </c>
      <c r="AM81" s="123">
        <v>12099.999999999998</v>
      </c>
      <c r="AN81" s="123">
        <v>3362.999999999613</v>
      </c>
      <c r="AO81" s="123">
        <v>1516.9999999998263</v>
      </c>
      <c r="AP81" s="123">
        <v>340.98999999997505</v>
      </c>
      <c r="AQ81" s="123">
        <v>906.62613101944271</v>
      </c>
      <c r="AR81" s="123">
        <v>511.09724989710134</v>
      </c>
      <c r="AS81" s="123">
        <v>31248.028099180548</v>
      </c>
      <c r="AT81" s="123">
        <v>80971.193583422384</v>
      </c>
      <c r="AU81" s="123">
        <v>81221.878393278006</v>
      </c>
      <c r="AV81" s="123">
        <v>88491.737879096312</v>
      </c>
      <c r="AW81" s="123">
        <v>4644.9719008195098</v>
      </c>
      <c r="AX81" s="123">
        <v>27474.049661690598</v>
      </c>
      <c r="AY81" s="123">
        <v>1860.9999999997851</v>
      </c>
      <c r="AZ81" s="123">
        <v>81.550049999999999</v>
      </c>
      <c r="BA81" s="123">
        <v>1177.8597609560391</v>
      </c>
      <c r="BB81" s="123">
        <v>1300.0000000005809</v>
      </c>
      <c r="BC81" s="123">
        <v>16199.99999897049</v>
      </c>
      <c r="BD81" s="123">
        <v>671.99999999992247</v>
      </c>
      <c r="BE81" s="123">
        <v>726.23904382461774</v>
      </c>
      <c r="BF81" s="123">
        <v>550.00999999974545</v>
      </c>
      <c r="BG81" s="123">
        <v>12296.800000006155</v>
      </c>
      <c r="BH81" s="3">
        <v>22516.106275070768</v>
      </c>
      <c r="BI81" s="3">
        <v>624.94195192244729</v>
      </c>
      <c r="BJ81" s="3">
        <v>2066.7769764269219</v>
      </c>
      <c r="BK81" s="3">
        <v>7345.5348732380489</v>
      </c>
      <c r="BL81" s="3">
        <v>0</v>
      </c>
      <c r="BM81" s="3"/>
      <c r="BN81" s="3"/>
      <c r="BO81" s="3"/>
      <c r="BP81" s="3"/>
      <c r="BQ81" s="3"/>
      <c r="BR81" s="3"/>
      <c r="BS81" s="3"/>
      <c r="BT81" s="3"/>
      <c r="BU81" s="3"/>
      <c r="BV81" s="3"/>
      <c r="BW81" s="3"/>
      <c r="BX81" s="3"/>
      <c r="BY81" s="3"/>
    </row>
    <row r="82" spans="1:77" x14ac:dyDescent="0.25">
      <c r="A82" s="1">
        <v>37986.999305555553</v>
      </c>
      <c r="B82" s="123">
        <v>971.15516129085438</v>
      </c>
      <c r="C82" s="123">
        <v>1746.8500000002621</v>
      </c>
      <c r="D82" s="123">
        <v>2261.1200000002882</v>
      </c>
      <c r="E82" s="123">
        <v>5370.3499999989081</v>
      </c>
      <c r="F82" s="123">
        <v>996.68000000011409</v>
      </c>
      <c r="G82" s="123">
        <v>2334.4100000015378</v>
      </c>
      <c r="H82" s="123">
        <v>303.99999999996521</v>
      </c>
      <c r="I82" s="123">
        <v>2499.9900000012822</v>
      </c>
      <c r="J82" s="123">
        <v>2499.9900000012672</v>
      </c>
      <c r="K82" s="123">
        <v>9736.8784121099743</v>
      </c>
      <c r="L82" s="123">
        <v>652.94617173831989</v>
      </c>
      <c r="M82" s="123">
        <v>3659.1999999995969</v>
      </c>
      <c r="N82" s="123">
        <v>13916.560000015921</v>
      </c>
      <c r="O82" s="123">
        <v>11987.800000005504</v>
      </c>
      <c r="P82" s="123">
        <v>673.3700000003422</v>
      </c>
      <c r="Q82" s="123">
        <v>275.85483870968653</v>
      </c>
      <c r="R82" s="123">
        <v>2294.4700000004386</v>
      </c>
      <c r="S82" s="123">
        <v>1591.6899999993404</v>
      </c>
      <c r="T82" s="123">
        <v>504.47000000016385</v>
      </c>
      <c r="U82" s="123">
        <v>419.22999999996358</v>
      </c>
      <c r="V82" s="123">
        <v>5739.9700000027269</v>
      </c>
      <c r="W82" s="123">
        <v>899.98999999967975</v>
      </c>
      <c r="X82" s="123">
        <v>849.98999999941839</v>
      </c>
      <c r="Y82" s="123">
        <v>324.9999999999643</v>
      </c>
      <c r="Z82" s="123">
        <v>200.00000000007739</v>
      </c>
      <c r="AA82" s="123">
        <v>1000.0000000020067</v>
      </c>
      <c r="AB82" s="123">
        <v>1499.999999998952</v>
      </c>
      <c r="AC82" s="123">
        <v>1000.0000000020067</v>
      </c>
      <c r="AD82" s="123">
        <v>1499.999999998952</v>
      </c>
      <c r="AE82" s="123">
        <v>4461.9999999994798</v>
      </c>
      <c r="AF82" s="123">
        <v>273.94211771354708</v>
      </c>
      <c r="AG82" s="123">
        <v>7374.9629046088194</v>
      </c>
      <c r="AH82" s="123">
        <v>2554.9441287467912</v>
      </c>
      <c r="AI82" s="123">
        <v>2988.0551610426478</v>
      </c>
      <c r="AJ82" s="123">
        <v>23306.78364195428</v>
      </c>
      <c r="AK82" s="123">
        <v>5782.2010986160012</v>
      </c>
      <c r="AL82" s="123">
        <v>8885.146405864758</v>
      </c>
      <c r="AM82" s="123">
        <v>8778.4985311485234</v>
      </c>
      <c r="AN82" s="123">
        <v>2585.6668400834492</v>
      </c>
      <c r="AO82" s="123">
        <v>1400.9999999998392</v>
      </c>
      <c r="AP82" s="123">
        <v>340.98999999997505</v>
      </c>
      <c r="AQ82" s="123">
        <v>813.95394910900347</v>
      </c>
      <c r="AR82" s="123">
        <v>1293.7824276114652</v>
      </c>
      <c r="AS82" s="123">
        <v>18674.128978571229</v>
      </c>
      <c r="AT82" s="123">
        <v>56011.326725856226</v>
      </c>
      <c r="AU82" s="123">
        <v>56184.736406122174</v>
      </c>
      <c r="AV82" s="123">
        <v>61213.617133830667</v>
      </c>
      <c r="AW82" s="123">
        <v>2775.8809004661102</v>
      </c>
      <c r="AX82" s="123">
        <v>26568.143426291786</v>
      </c>
      <c r="AY82" s="123">
        <v>1834.9999999997888</v>
      </c>
      <c r="AZ82" s="123">
        <v>443.95237499999985</v>
      </c>
      <c r="BA82" s="123">
        <v>1133.171314740905</v>
      </c>
      <c r="BB82" s="123">
        <v>1300.0000000005809</v>
      </c>
      <c r="BC82" s="123">
        <v>9681.2793586026637</v>
      </c>
      <c r="BD82" s="123">
        <v>680.99999999992133</v>
      </c>
      <c r="BE82" s="123">
        <v>698.68525896406288</v>
      </c>
      <c r="BF82" s="123">
        <v>550.00999999974545</v>
      </c>
      <c r="BG82" s="123">
        <v>12296.800000006155</v>
      </c>
      <c r="BH82" s="3">
        <v>17908.818234993741</v>
      </c>
      <c r="BI82" s="3">
        <v>-14830.083966075032</v>
      </c>
      <c r="BJ82" s="3">
        <v>1844.2101624736865</v>
      </c>
      <c r="BK82" s="3">
        <v>62408.514211163114</v>
      </c>
      <c r="BL82" s="3">
        <v>223057.26539013168</v>
      </c>
      <c r="BM82" s="3"/>
      <c r="BN82" s="3"/>
      <c r="BO82" s="3"/>
      <c r="BP82" s="3"/>
      <c r="BQ82" s="3"/>
      <c r="BR82" s="3"/>
      <c r="BS82" s="3"/>
      <c r="BT82" s="3"/>
      <c r="BU82" s="3"/>
      <c r="BV82" s="3"/>
      <c r="BW82" s="3"/>
      <c r="BX82" s="3"/>
      <c r="BY82" s="3"/>
    </row>
    <row r="83" spans="1:77" x14ac:dyDescent="0.25">
      <c r="A83" s="1">
        <v>38352.999305555553</v>
      </c>
      <c r="B83" s="123">
        <v>1125.8570860219065</v>
      </c>
      <c r="C83" s="123">
        <v>1746.8500000002621</v>
      </c>
      <c r="D83" s="123">
        <v>2261.1200000002882</v>
      </c>
      <c r="E83" s="123">
        <v>5370.3499999989081</v>
      </c>
      <c r="F83" s="123">
        <v>996.68000000011409</v>
      </c>
      <c r="G83" s="123">
        <v>2334.4100000015383</v>
      </c>
      <c r="H83" s="123">
        <v>283.99999999996737</v>
      </c>
      <c r="I83" s="123">
        <v>2499.9900000012822</v>
      </c>
      <c r="J83" s="123">
        <v>2499.9900000012672</v>
      </c>
      <c r="K83" s="123">
        <v>12490.999999998565</v>
      </c>
      <c r="L83" s="123">
        <v>900.00000000000034</v>
      </c>
      <c r="M83" s="123">
        <v>3659.1999999995965</v>
      </c>
      <c r="N83" s="123">
        <v>13916.560000015921</v>
      </c>
      <c r="O83" s="123">
        <v>11987.800000005504</v>
      </c>
      <c r="P83" s="123">
        <v>673.3700000003422</v>
      </c>
      <c r="Q83" s="123">
        <v>121.15291397863196</v>
      </c>
      <c r="R83" s="123">
        <v>2294.4700000004386</v>
      </c>
      <c r="S83" s="123">
        <v>1591.6899999993404</v>
      </c>
      <c r="T83" s="123">
        <v>504.47000000016385</v>
      </c>
      <c r="U83" s="123">
        <v>419.22999999996358</v>
      </c>
      <c r="V83" s="123">
        <v>5739.970000002726</v>
      </c>
      <c r="W83" s="123">
        <v>899.98999999967964</v>
      </c>
      <c r="X83" s="123">
        <v>849.98999999941861</v>
      </c>
      <c r="Y83" s="123">
        <v>324.9999999999643</v>
      </c>
      <c r="Z83" s="123">
        <v>200.00000000007739</v>
      </c>
      <c r="AA83" s="123">
        <v>1000.0000000020035</v>
      </c>
      <c r="AB83" s="123">
        <v>1499.9999999989695</v>
      </c>
      <c r="AC83" s="123">
        <v>1000.0000000020035</v>
      </c>
      <c r="AD83" s="123">
        <v>1499.9999999989695</v>
      </c>
      <c r="AE83" s="123">
        <v>4092.9999999995316</v>
      </c>
      <c r="AF83" s="123">
        <v>267.05734837051409</v>
      </c>
      <c r="AG83" s="123">
        <v>9132.9999999989413</v>
      </c>
      <c r="AH83" s="123">
        <v>2436.0352671645906</v>
      </c>
      <c r="AI83" s="123">
        <v>5000.0100000008242</v>
      </c>
      <c r="AJ83" s="123">
        <v>38999.999998983862</v>
      </c>
      <c r="AK83" s="123">
        <v>7970.0000000000127</v>
      </c>
      <c r="AL83" s="123">
        <v>11421.999999998685</v>
      </c>
      <c r="AM83" s="123">
        <v>12100.000000000007</v>
      </c>
      <c r="AN83" s="123">
        <v>3205.9999999996321</v>
      </c>
      <c r="AO83" s="123">
        <v>1277.9999999998536</v>
      </c>
      <c r="AP83" s="123">
        <v>340.98999999997511</v>
      </c>
      <c r="AQ83" s="123">
        <v>1058.5010314717729</v>
      </c>
      <c r="AR83" s="123">
        <v>4036.2654024431499</v>
      </c>
      <c r="AS83" s="123">
        <v>31235.302148767347</v>
      </c>
      <c r="AT83" s="123">
        <v>86579.461571808948</v>
      </c>
      <c r="AU83" s="123">
        <v>86847.50944045253</v>
      </c>
      <c r="AV83" s="123">
        <v>94620.897631110318</v>
      </c>
      <c r="AW83" s="123">
        <v>4657.6978512327078</v>
      </c>
      <c r="AX83" s="123">
        <v>25877.745896411368</v>
      </c>
      <c r="AY83" s="123">
        <v>1528.9999999998242</v>
      </c>
      <c r="AZ83" s="123">
        <v>358.97265563303284</v>
      </c>
      <c r="BA83" s="123">
        <v>1103.7248207170044</v>
      </c>
      <c r="BB83" s="123">
        <v>1300.0000000005807</v>
      </c>
      <c r="BC83" s="123">
        <v>16199.999998970494</v>
      </c>
      <c r="BD83" s="123">
        <v>633.9999999999269</v>
      </c>
      <c r="BE83" s="123">
        <v>680.52928286844724</v>
      </c>
      <c r="BF83" s="123">
        <v>550.00999999974533</v>
      </c>
      <c r="BG83" s="123">
        <v>12296.800000006155</v>
      </c>
      <c r="BH83" s="3">
        <v>18128.783034361179</v>
      </c>
      <c r="BI83" s="3">
        <v>3961.90433952179</v>
      </c>
      <c r="BJ83" s="3">
        <v>2120.3804023586472</v>
      </c>
      <c r="BK83" s="3">
        <v>87912.719746710325</v>
      </c>
      <c r="BL83" s="3">
        <v>0</v>
      </c>
      <c r="BM83" s="3"/>
      <c r="BN83" s="3"/>
      <c r="BO83" s="3"/>
      <c r="BP83" s="3"/>
      <c r="BQ83" s="3"/>
      <c r="BR83" s="3"/>
      <c r="BS83" s="3"/>
      <c r="BT83" s="3"/>
      <c r="BU83" s="3"/>
      <c r="BV83" s="3"/>
      <c r="BW83" s="3"/>
      <c r="BX83" s="3"/>
      <c r="BY83" s="3"/>
    </row>
    <row r="84" spans="1:77" x14ac:dyDescent="0.25">
      <c r="A84" s="1">
        <v>38717.999305555553</v>
      </c>
      <c r="B84" s="123">
        <v>1247.010000000537</v>
      </c>
      <c r="C84" s="123">
        <v>1746.8500000002621</v>
      </c>
      <c r="D84" s="123">
        <v>2261.1200000002882</v>
      </c>
      <c r="E84" s="123">
        <v>5370.3499999989081</v>
      </c>
      <c r="F84" s="123">
        <v>996.68000000011409</v>
      </c>
      <c r="G84" s="123">
        <v>2334.4100000015378</v>
      </c>
      <c r="H84" s="123">
        <v>283.99999999996743</v>
      </c>
      <c r="I84" s="123">
        <v>2499.9900000012822</v>
      </c>
      <c r="J84" s="123">
        <v>2499.9900000012672</v>
      </c>
      <c r="K84" s="123">
        <v>12489.999999998568</v>
      </c>
      <c r="L84" s="123">
        <v>900.00000000000034</v>
      </c>
      <c r="M84" s="123">
        <v>3659.1999999995969</v>
      </c>
      <c r="N84" s="123">
        <v>13916.560000015921</v>
      </c>
      <c r="O84" s="123">
        <v>11987.800000005504</v>
      </c>
      <c r="P84" s="123">
        <v>673.3700000003422</v>
      </c>
      <c r="Q84" s="123">
        <v>0</v>
      </c>
      <c r="R84" s="123">
        <v>2294.4700000004386</v>
      </c>
      <c r="S84" s="123">
        <v>1591.6899999993404</v>
      </c>
      <c r="T84" s="123">
        <v>504.47000000016385</v>
      </c>
      <c r="U84" s="123">
        <v>419.22999999996358</v>
      </c>
      <c r="V84" s="123">
        <v>5739.9700000027269</v>
      </c>
      <c r="W84" s="123">
        <v>899.98999999967975</v>
      </c>
      <c r="X84" s="123">
        <v>849.98999999941839</v>
      </c>
      <c r="Y84" s="123">
        <v>324.9999999999643</v>
      </c>
      <c r="Z84" s="123">
        <v>200.00000000007739</v>
      </c>
      <c r="AA84" s="123">
        <v>1000.0000000020067</v>
      </c>
      <c r="AB84" s="123">
        <v>1499.999999998952</v>
      </c>
      <c r="AC84" s="123">
        <v>1000.0000000020067</v>
      </c>
      <c r="AD84" s="123">
        <v>1499.999999998952</v>
      </c>
      <c r="AE84" s="123">
        <v>4185.9999999995171</v>
      </c>
      <c r="AF84" s="123">
        <v>255.32023837051415</v>
      </c>
      <c r="AG84" s="123">
        <v>9351.9999999989232</v>
      </c>
      <c r="AH84" s="123">
        <v>2426.1376266416155</v>
      </c>
      <c r="AI84" s="123">
        <v>5000.0100000008242</v>
      </c>
      <c r="AJ84" s="123">
        <v>38999.999998983854</v>
      </c>
      <c r="AK84" s="123">
        <v>7970</v>
      </c>
      <c r="AL84" s="123">
        <v>11450.999999998678</v>
      </c>
      <c r="AM84" s="123">
        <v>12099.999999999998</v>
      </c>
      <c r="AN84" s="123">
        <v>3336.9999999996157</v>
      </c>
      <c r="AO84" s="123">
        <v>1312.9999999998493</v>
      </c>
      <c r="AP84" s="123">
        <v>340.98999999997505</v>
      </c>
      <c r="AQ84" s="123">
        <v>1230.3693145479042</v>
      </c>
      <c r="AR84" s="123">
        <v>4756.0874069423608</v>
      </c>
      <c r="AS84" s="123">
        <v>31248.028099180548</v>
      </c>
      <c r="AT84" s="123">
        <v>88245.68076925003</v>
      </c>
      <c r="AU84" s="123">
        <v>88518.887211259818</v>
      </c>
      <c r="AV84" s="123">
        <v>96441.874029551749</v>
      </c>
      <c r="AW84" s="123">
        <v>4644.9719008194943</v>
      </c>
      <c r="AX84" s="123">
        <v>25391.286932268005</v>
      </c>
      <c r="AY84" s="123">
        <v>1647.9999999998106</v>
      </c>
      <c r="AZ84" s="123">
        <v>426.72779653863091</v>
      </c>
      <c r="BA84" s="123">
        <v>1082.976613545691</v>
      </c>
      <c r="BB84" s="123">
        <v>1300.0000000005809</v>
      </c>
      <c r="BC84" s="123">
        <v>16199.99999897049</v>
      </c>
      <c r="BD84" s="123">
        <v>633.99999999992679</v>
      </c>
      <c r="BE84" s="123">
        <v>667.7364541831904</v>
      </c>
      <c r="BF84" s="123">
        <v>550.00999999974545</v>
      </c>
      <c r="BG84" s="123">
        <v>12296.800000006155</v>
      </c>
      <c r="BH84" s="3">
        <v>27458.931062313084</v>
      </c>
      <c r="BI84" s="3">
        <v>5129.2683827755964</v>
      </c>
      <c r="BJ84" s="3">
        <v>2428.5436254183824</v>
      </c>
      <c r="BK84" s="3">
        <v>168580.84417970228</v>
      </c>
      <c r="BL84" s="3">
        <v>0</v>
      </c>
      <c r="BM84" s="3"/>
      <c r="BN84" s="3"/>
      <c r="BO84" s="3"/>
      <c r="BP84" s="3"/>
      <c r="BQ84" s="3"/>
      <c r="BR84" s="3"/>
      <c r="BS84" s="3"/>
      <c r="BT84" s="3"/>
      <c r="BU84" s="3"/>
      <c r="BV84" s="3"/>
      <c r="BW84" s="3"/>
      <c r="BX84" s="3"/>
      <c r="BY84" s="3"/>
    </row>
    <row r="85" spans="1:77" x14ac:dyDescent="0.25">
      <c r="A85" s="1">
        <v>39082.999305555553</v>
      </c>
      <c r="B85" s="123">
        <v>1247.010000000537</v>
      </c>
      <c r="C85" s="123">
        <v>1746.8500000002621</v>
      </c>
      <c r="D85" s="123">
        <v>2261.1200000002882</v>
      </c>
      <c r="E85" s="123">
        <v>5370.3499999989081</v>
      </c>
      <c r="F85" s="123">
        <v>996.68000000011409</v>
      </c>
      <c r="G85" s="123">
        <v>2334.4100000015378</v>
      </c>
      <c r="H85" s="123">
        <v>274.99999999996851</v>
      </c>
      <c r="I85" s="123">
        <v>2499.9900000012822</v>
      </c>
      <c r="J85" s="123">
        <v>2499.9900000012672</v>
      </c>
      <c r="K85" s="123">
        <v>12038.99999999861</v>
      </c>
      <c r="L85" s="123">
        <v>899.99999999999955</v>
      </c>
      <c r="M85" s="123">
        <v>3659.1999999995969</v>
      </c>
      <c r="N85" s="123">
        <v>13916.560000015921</v>
      </c>
      <c r="O85" s="123">
        <v>11987.800000005504</v>
      </c>
      <c r="P85" s="123">
        <v>673.3700000003422</v>
      </c>
      <c r="Q85" s="123">
        <v>0</v>
      </c>
      <c r="R85" s="123">
        <v>2294.4700000004386</v>
      </c>
      <c r="S85" s="123">
        <v>1591.6899999993404</v>
      </c>
      <c r="T85" s="123">
        <v>504.47000000016385</v>
      </c>
      <c r="U85" s="123">
        <v>419.22999999996358</v>
      </c>
      <c r="V85" s="123">
        <v>5739.9700000027269</v>
      </c>
      <c r="W85" s="123">
        <v>899.98999999967975</v>
      </c>
      <c r="X85" s="123">
        <v>849.98999999941839</v>
      </c>
      <c r="Y85" s="123">
        <v>324.9999999999643</v>
      </c>
      <c r="Z85" s="123">
        <v>200.00000000007739</v>
      </c>
      <c r="AA85" s="123">
        <v>1000.0000000020067</v>
      </c>
      <c r="AB85" s="123">
        <v>1499.999999998952</v>
      </c>
      <c r="AC85" s="123">
        <v>1000.0000000020067</v>
      </c>
      <c r="AD85" s="123">
        <v>1499.999999998952</v>
      </c>
      <c r="AE85" s="123">
        <v>4011.9999999995352</v>
      </c>
      <c r="AF85" s="123">
        <v>266.58519614990047</v>
      </c>
      <c r="AG85" s="123">
        <v>8948.9999999989705</v>
      </c>
      <c r="AH85" s="123">
        <v>2398.3426755289756</v>
      </c>
      <c r="AI85" s="123">
        <v>5000.0100000008242</v>
      </c>
      <c r="AJ85" s="123">
        <v>38999.999998983854</v>
      </c>
      <c r="AK85" s="123">
        <v>7969.9999999999955</v>
      </c>
      <c r="AL85" s="123">
        <v>11033.999999998741</v>
      </c>
      <c r="AM85" s="123">
        <v>12099.999999999995</v>
      </c>
      <c r="AN85" s="123">
        <v>3221.9999999996267</v>
      </c>
      <c r="AO85" s="123">
        <v>1073.9999999998765</v>
      </c>
      <c r="AP85" s="123">
        <v>340.98999999997505</v>
      </c>
      <c r="AQ85" s="123">
        <v>1108.5413866505828</v>
      </c>
      <c r="AR85" s="123">
        <v>1488.9732428287427</v>
      </c>
      <c r="AS85" s="123">
        <v>31248.028099180548</v>
      </c>
      <c r="AT85" s="123">
        <v>84071.163175116308</v>
      </c>
      <c r="AU85" s="123">
        <v>84331.445414048358</v>
      </c>
      <c r="AV85" s="123">
        <v>91879.630343083467</v>
      </c>
      <c r="AW85" s="123">
        <v>4644.9719008195216</v>
      </c>
      <c r="AX85" s="123">
        <v>26326.784940236012</v>
      </c>
      <c r="AY85" s="123">
        <v>1524.9999999998251</v>
      </c>
      <c r="AZ85" s="123">
        <v>416.89605572388678</v>
      </c>
      <c r="BA85" s="123">
        <v>1122.8770119520623</v>
      </c>
      <c r="BB85" s="123">
        <v>1300.0000000005809</v>
      </c>
      <c r="BC85" s="123">
        <v>16199.99999897049</v>
      </c>
      <c r="BD85" s="123">
        <v>608.99999999993008</v>
      </c>
      <c r="BE85" s="123">
        <v>692.33804780868513</v>
      </c>
      <c r="BF85" s="123">
        <v>550.00999999974545</v>
      </c>
      <c r="BG85" s="123">
        <v>12296.800000006155</v>
      </c>
      <c r="BH85" s="3">
        <v>29247.173154576438</v>
      </c>
      <c r="BI85" s="3">
        <v>2544.4277672128819</v>
      </c>
      <c r="BJ85" s="3">
        <v>2430.648123607958</v>
      </c>
      <c r="BK85" s="3">
        <v>87525.787851443121</v>
      </c>
      <c r="BL85" s="3">
        <v>0</v>
      </c>
      <c r="BM85" s="3"/>
      <c r="BN85" s="3"/>
      <c r="BO85" s="3"/>
      <c r="BP85" s="3"/>
      <c r="BQ85" s="3"/>
      <c r="BR85" s="3"/>
      <c r="BS85" s="3"/>
      <c r="BT85" s="3"/>
      <c r="BU85" s="3"/>
      <c r="BV85" s="3"/>
      <c r="BW85" s="3"/>
      <c r="BX85" s="3"/>
      <c r="BY85" s="3"/>
    </row>
    <row r="86" spans="1:77" x14ac:dyDescent="0.25">
      <c r="A86" s="1">
        <v>39447.999305555553</v>
      </c>
      <c r="B86" s="123">
        <v>1247.010000000537</v>
      </c>
      <c r="C86" s="123">
        <v>1746.8500000002621</v>
      </c>
      <c r="D86" s="123">
        <v>2261.1200000002882</v>
      </c>
      <c r="E86" s="123">
        <v>5370.3499999989081</v>
      </c>
      <c r="F86" s="123">
        <v>996.68000000011409</v>
      </c>
      <c r="G86" s="123">
        <v>2334.4100000015378</v>
      </c>
      <c r="H86" s="123">
        <v>287.99999999996692</v>
      </c>
      <c r="I86" s="123">
        <v>2499.9900000012822</v>
      </c>
      <c r="J86" s="123">
        <v>2499.9900000012672</v>
      </c>
      <c r="K86" s="123">
        <v>12759.999999998538</v>
      </c>
      <c r="L86" s="123">
        <v>899.99999999999943</v>
      </c>
      <c r="M86" s="123">
        <v>3659.1999999995969</v>
      </c>
      <c r="N86" s="123">
        <v>13916.560000015921</v>
      </c>
      <c r="O86" s="123">
        <v>11987.800000005504</v>
      </c>
      <c r="P86" s="123">
        <v>673.3700000003422</v>
      </c>
      <c r="Q86" s="123">
        <v>0</v>
      </c>
      <c r="R86" s="123">
        <v>2294.4700000004386</v>
      </c>
      <c r="S86" s="123">
        <v>1591.6899999993404</v>
      </c>
      <c r="T86" s="123">
        <v>504.47000000016385</v>
      </c>
      <c r="U86" s="123">
        <v>419.22999999996358</v>
      </c>
      <c r="V86" s="123">
        <v>5739.9700000027269</v>
      </c>
      <c r="W86" s="123">
        <v>899.98999999967975</v>
      </c>
      <c r="X86" s="123">
        <v>849.98999999941839</v>
      </c>
      <c r="Y86" s="123">
        <v>324.9999999999643</v>
      </c>
      <c r="Z86" s="123">
        <v>200.00000000007739</v>
      </c>
      <c r="AA86" s="123">
        <v>1000.0000000020067</v>
      </c>
      <c r="AB86" s="123">
        <v>1499.999999998952</v>
      </c>
      <c r="AC86" s="123">
        <v>1000.0000000020067</v>
      </c>
      <c r="AD86" s="123">
        <v>1499.999999998952</v>
      </c>
      <c r="AE86" s="123">
        <v>4162.9999999995207</v>
      </c>
      <c r="AF86" s="123">
        <v>270.61241609086051</v>
      </c>
      <c r="AG86" s="123">
        <v>9353.9999999989213</v>
      </c>
      <c r="AH86" s="123">
        <v>2498.8629016973605</v>
      </c>
      <c r="AI86" s="123">
        <v>5000.0100000008242</v>
      </c>
      <c r="AJ86" s="123">
        <v>38999.999998983854</v>
      </c>
      <c r="AK86" s="123">
        <v>7970.0000000000127</v>
      </c>
      <c r="AL86" s="123">
        <v>11562.999999998672</v>
      </c>
      <c r="AM86" s="123">
        <v>12099.999999999989</v>
      </c>
      <c r="AN86" s="123">
        <v>3433.9999999996076</v>
      </c>
      <c r="AO86" s="123">
        <v>1299.9999999998502</v>
      </c>
      <c r="AP86" s="123">
        <v>340.98999999997505</v>
      </c>
      <c r="AQ86" s="123">
        <v>1114.5937432673065</v>
      </c>
      <c r="AR86" s="123">
        <v>1835.2122142071419</v>
      </c>
      <c r="AS86" s="123">
        <v>31248.028099180548</v>
      </c>
      <c r="AT86" s="123">
        <v>85666.114157472723</v>
      </c>
      <c r="AU86" s="123">
        <v>85931.334325142947</v>
      </c>
      <c r="AV86" s="123">
        <v>93622.719187578448</v>
      </c>
      <c r="AW86" s="123">
        <v>4644.9719008194943</v>
      </c>
      <c r="AX86" s="123">
        <v>26529.788007965068</v>
      </c>
      <c r="AY86" s="123">
        <v>1735.9999999998001</v>
      </c>
      <c r="AZ86" s="123">
        <v>441.11275742764678</v>
      </c>
      <c r="BA86" s="123">
        <v>1131.5353984062442</v>
      </c>
      <c r="BB86" s="123">
        <v>1300.0000000005809</v>
      </c>
      <c r="BC86" s="123">
        <v>16199.99999897049</v>
      </c>
      <c r="BD86" s="123">
        <v>643.99999999992644</v>
      </c>
      <c r="BE86" s="123">
        <v>697.6765936254169</v>
      </c>
      <c r="BF86" s="123">
        <v>550.00999999974545</v>
      </c>
      <c r="BG86" s="123">
        <v>12296.800000006155</v>
      </c>
      <c r="BH86" s="3">
        <v>28092.608799444362</v>
      </c>
      <c r="BI86" s="3">
        <v>3532.0135148020386</v>
      </c>
      <c r="BJ86" s="3">
        <v>2430.4440207935509</v>
      </c>
      <c r="BK86" s="3">
        <v>110696.21304040719</v>
      </c>
      <c r="BL86" s="3">
        <v>0</v>
      </c>
      <c r="BM86" s="3"/>
      <c r="BN86" s="3"/>
      <c r="BO86" s="3"/>
      <c r="BP86" s="3"/>
      <c r="BQ86" s="3"/>
      <c r="BR86" s="3"/>
      <c r="BS86" s="3"/>
      <c r="BT86" s="3"/>
      <c r="BU86" s="3"/>
      <c r="BV86" s="3"/>
      <c r="BW86" s="3"/>
      <c r="BX86" s="3"/>
      <c r="BY86" s="3"/>
    </row>
    <row r="87" spans="1:77" x14ac:dyDescent="0.25">
      <c r="A87" s="1">
        <v>39813.999305555553</v>
      </c>
      <c r="B87" s="123">
        <v>1247.010000000537</v>
      </c>
      <c r="C87" s="123">
        <v>1746.8500000002621</v>
      </c>
      <c r="D87" s="123">
        <v>2261.1200000002882</v>
      </c>
      <c r="E87" s="123">
        <v>5370.3499999989081</v>
      </c>
      <c r="F87" s="123">
        <v>996.68000000011409</v>
      </c>
      <c r="G87" s="123">
        <v>2334.4100000015383</v>
      </c>
      <c r="H87" s="123">
        <v>254.99999999997075</v>
      </c>
      <c r="I87" s="123">
        <v>2499.9900000012822</v>
      </c>
      <c r="J87" s="123">
        <v>2499.9900000012672</v>
      </c>
      <c r="K87" s="123">
        <v>11309.999999998698</v>
      </c>
      <c r="L87" s="123">
        <v>899.99999999999977</v>
      </c>
      <c r="M87" s="123">
        <v>3659.1999999995965</v>
      </c>
      <c r="N87" s="123">
        <v>13916.560000015921</v>
      </c>
      <c r="O87" s="123">
        <v>11987.800000005504</v>
      </c>
      <c r="P87" s="123">
        <v>673.3700000003422</v>
      </c>
      <c r="Q87" s="123">
        <v>0</v>
      </c>
      <c r="R87" s="123">
        <v>2294.4700000004386</v>
      </c>
      <c r="S87" s="123">
        <v>1591.6899999993404</v>
      </c>
      <c r="T87" s="123">
        <v>504.47000000016385</v>
      </c>
      <c r="U87" s="123">
        <v>419.22999999996358</v>
      </c>
      <c r="V87" s="123">
        <v>5739.970000002726</v>
      </c>
      <c r="W87" s="123">
        <v>899.98999999967964</v>
      </c>
      <c r="X87" s="123">
        <v>849.98999999941861</v>
      </c>
      <c r="Y87" s="123">
        <v>324.9999999999643</v>
      </c>
      <c r="Z87" s="123">
        <v>200.00000000007739</v>
      </c>
      <c r="AA87" s="123">
        <v>1000.0000000020035</v>
      </c>
      <c r="AB87" s="123">
        <v>1499.9999999989695</v>
      </c>
      <c r="AC87" s="123">
        <v>1000.0000000020035</v>
      </c>
      <c r="AD87" s="123">
        <v>1499.9999999989695</v>
      </c>
      <c r="AE87" s="123">
        <v>3903.9999999995503</v>
      </c>
      <c r="AF87" s="123">
        <v>265.50210675350962</v>
      </c>
      <c r="AG87" s="123">
        <v>8945.9999999989632</v>
      </c>
      <c r="AH87" s="123">
        <v>2407.8462152426387</v>
      </c>
      <c r="AI87" s="123">
        <v>5000.0100000008242</v>
      </c>
      <c r="AJ87" s="123">
        <v>38999.999998983862</v>
      </c>
      <c r="AK87" s="123">
        <v>7969.9999999999991</v>
      </c>
      <c r="AL87" s="123">
        <v>10202.999999998818</v>
      </c>
      <c r="AM87" s="123">
        <v>12100.000000000007</v>
      </c>
      <c r="AN87" s="123">
        <v>3049.9999999996498</v>
      </c>
      <c r="AO87" s="123">
        <v>1266.9999999998538</v>
      </c>
      <c r="AP87" s="123">
        <v>340.98999999997511</v>
      </c>
      <c r="AQ87" s="123">
        <v>991.42623283616535</v>
      </c>
      <c r="AR87" s="123">
        <v>2519.9658036229043</v>
      </c>
      <c r="AS87" s="123">
        <v>31235.302148767347</v>
      </c>
      <c r="AT87" s="123">
        <v>76473.072567362353</v>
      </c>
      <c r="AU87" s="123">
        <v>76709.831305961721</v>
      </c>
      <c r="AV87" s="123">
        <v>83575.83472532194</v>
      </c>
      <c r="AW87" s="123">
        <v>4657.6978512327032</v>
      </c>
      <c r="AX87" s="123">
        <v>26096.65243027587</v>
      </c>
      <c r="AY87" s="123">
        <v>1731.9999999998022</v>
      </c>
      <c r="AZ87" s="123">
        <v>403.17735000000016</v>
      </c>
      <c r="BA87" s="123">
        <v>1113.0615139440952</v>
      </c>
      <c r="BB87" s="123">
        <v>1300.0000000005807</v>
      </c>
      <c r="BC87" s="123">
        <v>16199.999998970494</v>
      </c>
      <c r="BD87" s="123">
        <v>570.99999999993429</v>
      </c>
      <c r="BE87" s="123">
        <v>686.28605577681367</v>
      </c>
      <c r="BF87" s="123">
        <v>550.00999999974533</v>
      </c>
      <c r="BG87" s="123">
        <v>12296.800000006155</v>
      </c>
      <c r="BH87" s="3">
        <v>27641.182364578966</v>
      </c>
      <c r="BI87" s="3">
        <v>-2295.9216694233423</v>
      </c>
      <c r="BJ87" s="3">
        <v>2422.7307443522818</v>
      </c>
      <c r="BK87" s="3">
        <v>140654.19732086756</v>
      </c>
      <c r="BL87" s="3">
        <v>0</v>
      </c>
      <c r="BM87" s="3"/>
      <c r="BN87" s="3"/>
      <c r="BO87" s="3"/>
      <c r="BP87" s="3"/>
      <c r="BQ87" s="3"/>
      <c r="BR87" s="3"/>
      <c r="BS87" s="3"/>
      <c r="BT87" s="3"/>
      <c r="BU87" s="3"/>
      <c r="BV87" s="3"/>
      <c r="BW87" s="3"/>
      <c r="BX87" s="3"/>
      <c r="BY87" s="3"/>
    </row>
    <row r="88" spans="1:77" x14ac:dyDescent="0.25">
      <c r="A88" s="1">
        <v>40178.999305555553</v>
      </c>
      <c r="B88" s="123">
        <v>975.96419480756208</v>
      </c>
      <c r="C88" s="123">
        <v>1746.8500000002621</v>
      </c>
      <c r="D88" s="123">
        <v>2261.1200000002882</v>
      </c>
      <c r="E88" s="123">
        <v>5370.3499999989081</v>
      </c>
      <c r="F88" s="123">
        <v>996.68000000011409</v>
      </c>
      <c r="G88" s="123">
        <v>2334.4100000015378</v>
      </c>
      <c r="H88" s="123">
        <v>282.99999999996754</v>
      </c>
      <c r="I88" s="123">
        <v>2499.9900000012822</v>
      </c>
      <c r="J88" s="123">
        <v>2499.9900000012672</v>
      </c>
      <c r="K88" s="123">
        <v>12496.999999998572</v>
      </c>
      <c r="L88" s="123">
        <v>899.99999999999977</v>
      </c>
      <c r="M88" s="123">
        <v>3659.1999999995969</v>
      </c>
      <c r="N88" s="123">
        <v>13916.560000015921</v>
      </c>
      <c r="O88" s="123">
        <v>11987.800000005504</v>
      </c>
      <c r="P88" s="123">
        <v>673.3700000003422</v>
      </c>
      <c r="Q88" s="123">
        <v>271.04580519297804</v>
      </c>
      <c r="R88" s="123">
        <v>2294.4700000004386</v>
      </c>
      <c r="S88" s="123">
        <v>1591.6899999993404</v>
      </c>
      <c r="T88" s="123">
        <v>504.47000000016385</v>
      </c>
      <c r="U88" s="123">
        <v>419.22999999996358</v>
      </c>
      <c r="V88" s="123">
        <v>5739.9700000027269</v>
      </c>
      <c r="W88" s="123">
        <v>899.98999999967975</v>
      </c>
      <c r="X88" s="123">
        <v>849.98999999941839</v>
      </c>
      <c r="Y88" s="123">
        <v>324.9999999999643</v>
      </c>
      <c r="Z88" s="123">
        <v>200.00000000007739</v>
      </c>
      <c r="AA88" s="123">
        <v>1000.0000000020067</v>
      </c>
      <c r="AB88" s="123">
        <v>1499.999999998952</v>
      </c>
      <c r="AC88" s="123">
        <v>1000.0000000020067</v>
      </c>
      <c r="AD88" s="123">
        <v>1499.999999998952</v>
      </c>
      <c r="AE88" s="123">
        <v>4135.9999999995225</v>
      </c>
      <c r="AF88" s="123">
        <v>268.79309516129001</v>
      </c>
      <c r="AG88" s="123">
        <v>8868.5113877418225</v>
      </c>
      <c r="AH88" s="123">
        <v>2495.9298800432625</v>
      </c>
      <c r="AI88" s="123">
        <v>5000.0100000008242</v>
      </c>
      <c r="AJ88" s="123">
        <v>38999.999998983854</v>
      </c>
      <c r="AK88" s="123">
        <v>7970.0000000000091</v>
      </c>
      <c r="AL88" s="123">
        <v>11359.999999998685</v>
      </c>
      <c r="AM88" s="123">
        <v>12099.999999999998</v>
      </c>
      <c r="AN88" s="123">
        <v>3051.9999999996476</v>
      </c>
      <c r="AO88" s="123">
        <v>1123.9999999998715</v>
      </c>
      <c r="AP88" s="123">
        <v>340.98999999997505</v>
      </c>
      <c r="AQ88" s="123">
        <v>886.50902282929906</v>
      </c>
      <c r="AR88" s="123">
        <v>1727.6992018583901</v>
      </c>
      <c r="AS88" s="123">
        <v>31248.028099180548</v>
      </c>
      <c r="AT88" s="123">
        <v>84293.917508027211</v>
      </c>
      <c r="AU88" s="123">
        <v>84554.889388857293</v>
      </c>
      <c r="AV88" s="123">
        <v>92123.073932921121</v>
      </c>
      <c r="AW88" s="123">
        <v>4644.9719008194952</v>
      </c>
      <c r="AX88" s="123">
        <v>26586.853386451134</v>
      </c>
      <c r="AY88" s="123">
        <v>1675.9999999998079</v>
      </c>
      <c r="AZ88" s="123">
        <v>339.15674927315723</v>
      </c>
      <c r="BA88" s="123">
        <v>1133.9693227090322</v>
      </c>
      <c r="BB88" s="123">
        <v>1300.0000000005809</v>
      </c>
      <c r="BC88" s="123">
        <v>16199.99999897049</v>
      </c>
      <c r="BD88" s="123">
        <v>633.99999999992735</v>
      </c>
      <c r="BE88" s="123">
        <v>699.17729083657309</v>
      </c>
      <c r="BF88" s="123">
        <v>550.00999999974545</v>
      </c>
      <c r="BG88" s="123">
        <v>12296.800000006155</v>
      </c>
      <c r="BH88" s="3">
        <v>28140.707407500991</v>
      </c>
      <c r="BI88" s="3">
        <v>2682.3561467242621</v>
      </c>
      <c r="BJ88" s="3">
        <v>2363.0553454924502</v>
      </c>
      <c r="BK88" s="3">
        <v>106706.37686413618</v>
      </c>
      <c r="BL88" s="3">
        <v>0</v>
      </c>
      <c r="BM88" s="3"/>
      <c r="BN88" s="3"/>
      <c r="BO88" s="3"/>
      <c r="BP88" s="3"/>
      <c r="BQ88" s="3"/>
      <c r="BR88" s="3"/>
      <c r="BS88" s="3"/>
      <c r="BT88" s="3"/>
      <c r="BU88" s="3"/>
      <c r="BV88" s="3"/>
      <c r="BW88" s="3"/>
      <c r="BX88" s="3"/>
      <c r="BY88" s="3"/>
    </row>
    <row r="89" spans="1:77" x14ac:dyDescent="0.25">
      <c r="A89" s="1">
        <v>40543.999305555553</v>
      </c>
      <c r="B89" s="123">
        <v>1179.9725806457193</v>
      </c>
      <c r="C89" s="123">
        <v>1746.8500000002621</v>
      </c>
      <c r="D89" s="123">
        <v>2261.1200000002882</v>
      </c>
      <c r="E89" s="123">
        <v>5370.3499999989081</v>
      </c>
      <c r="F89" s="123">
        <v>996.68000000011409</v>
      </c>
      <c r="G89" s="123">
        <v>2334.4100000015378</v>
      </c>
      <c r="H89" s="123">
        <v>265.99999999996942</v>
      </c>
      <c r="I89" s="123">
        <v>2499.9900000012822</v>
      </c>
      <c r="J89" s="123">
        <v>2499.9900000012672</v>
      </c>
      <c r="K89" s="123">
        <v>11718.99999999865</v>
      </c>
      <c r="L89" s="123">
        <v>899.99999999999977</v>
      </c>
      <c r="M89" s="123">
        <v>3659.1999999995969</v>
      </c>
      <c r="N89" s="123">
        <v>13916.560000015921</v>
      </c>
      <c r="O89" s="123">
        <v>11987.800000005504</v>
      </c>
      <c r="P89" s="123">
        <v>673.3700000003422</v>
      </c>
      <c r="Q89" s="123">
        <v>67.037419354818709</v>
      </c>
      <c r="R89" s="123">
        <v>2294.4700000004386</v>
      </c>
      <c r="S89" s="123">
        <v>1591.6899999993404</v>
      </c>
      <c r="T89" s="123">
        <v>504.47000000016385</v>
      </c>
      <c r="U89" s="123">
        <v>419.22999999996358</v>
      </c>
      <c r="V89" s="123">
        <v>5739.9700000027269</v>
      </c>
      <c r="W89" s="123">
        <v>899.98999999967975</v>
      </c>
      <c r="X89" s="123">
        <v>849.98999999941839</v>
      </c>
      <c r="Y89" s="123">
        <v>324.9999999999643</v>
      </c>
      <c r="Z89" s="123">
        <v>200.00000000007739</v>
      </c>
      <c r="AA89" s="123">
        <v>1000.0000000020067</v>
      </c>
      <c r="AB89" s="123">
        <v>1499.999999998952</v>
      </c>
      <c r="AC89" s="123">
        <v>1000.0000000020067</v>
      </c>
      <c r="AD89" s="123">
        <v>1499.999999998952</v>
      </c>
      <c r="AE89" s="123">
        <v>3842.9999999995562</v>
      </c>
      <c r="AF89" s="123">
        <v>285.19653000000022</v>
      </c>
      <c r="AG89" s="123">
        <v>9175.67698582706</v>
      </c>
      <c r="AH89" s="123">
        <v>2277.2703181653965</v>
      </c>
      <c r="AI89" s="123">
        <v>5000.0100000008242</v>
      </c>
      <c r="AJ89" s="123">
        <v>38999.999998983854</v>
      </c>
      <c r="AK89" s="123">
        <v>7970.0000000000064</v>
      </c>
      <c r="AL89" s="123">
        <v>10698.999999998774</v>
      </c>
      <c r="AM89" s="123">
        <v>12099.999999999998</v>
      </c>
      <c r="AN89" s="123">
        <v>3094.9999999996417</v>
      </c>
      <c r="AO89" s="123">
        <v>1175.9999999998647</v>
      </c>
      <c r="AP89" s="123">
        <v>340.98999999997505</v>
      </c>
      <c r="AQ89" s="123">
        <v>989.61360341692694</v>
      </c>
      <c r="AR89" s="123">
        <v>2977.32214207676</v>
      </c>
      <c r="AS89" s="123">
        <v>31248.028099180548</v>
      </c>
      <c r="AT89" s="123">
        <v>79825.82890744695</v>
      </c>
      <c r="AU89" s="123">
        <v>80072.967696634078</v>
      </c>
      <c r="AV89" s="123">
        <v>87239.992583061379</v>
      </c>
      <c r="AW89" s="123">
        <v>4644.9719008194988</v>
      </c>
      <c r="AX89" s="123">
        <v>27246.379482068591</v>
      </c>
      <c r="AY89" s="123">
        <v>1563.9999999998197</v>
      </c>
      <c r="AZ89" s="123">
        <v>380.31285290737134</v>
      </c>
      <c r="BA89" s="123">
        <v>1162.0991035855232</v>
      </c>
      <c r="BB89" s="123">
        <v>1300.0000000005809</v>
      </c>
      <c r="BC89" s="123">
        <v>16199.99999897049</v>
      </c>
      <c r="BD89" s="123">
        <v>593.99999999993145</v>
      </c>
      <c r="BE89" s="123">
        <v>716.52141434254679</v>
      </c>
      <c r="BF89" s="123">
        <v>550.00999999974545</v>
      </c>
      <c r="BG89" s="123">
        <v>12296.800000006155</v>
      </c>
      <c r="BH89" s="3">
        <v>29087.620350761172</v>
      </c>
      <c r="BI89" s="3">
        <v>-84.26218180829612</v>
      </c>
      <c r="BJ89" s="3">
        <v>2223.1349618982554</v>
      </c>
      <c r="BK89" s="3">
        <v>90189.295557858321</v>
      </c>
      <c r="BL89" s="3">
        <v>0</v>
      </c>
      <c r="BM89" s="3"/>
      <c r="BN89" s="3"/>
      <c r="BO89" s="3"/>
      <c r="BP89" s="3"/>
      <c r="BQ89" s="3"/>
      <c r="BR89" s="3"/>
      <c r="BS89" s="3"/>
      <c r="BT89" s="3"/>
      <c r="BU89" s="3"/>
      <c r="BV89" s="3"/>
      <c r="BW89" s="3"/>
      <c r="BX89" s="3"/>
      <c r="BY89" s="3"/>
    </row>
    <row r="90" spans="1:77" x14ac:dyDescent="0.25">
      <c r="A90" s="1">
        <v>40908.999305555553</v>
      </c>
      <c r="B90" s="123">
        <v>1164.9493548391533</v>
      </c>
      <c r="C90" s="123">
        <v>1746.8500000002621</v>
      </c>
      <c r="D90" s="123">
        <v>2261.1200000002882</v>
      </c>
      <c r="E90" s="123">
        <v>5370.3499999989081</v>
      </c>
      <c r="F90" s="123">
        <v>996.68000000011409</v>
      </c>
      <c r="G90" s="123">
        <v>2334.4100000015378</v>
      </c>
      <c r="H90" s="123">
        <v>281.99999999996743</v>
      </c>
      <c r="I90" s="123">
        <v>2499.9900000012822</v>
      </c>
      <c r="J90" s="123">
        <v>2499.9900000012672</v>
      </c>
      <c r="K90" s="123">
        <v>12430.99999999857</v>
      </c>
      <c r="L90" s="123">
        <v>899.99999999999977</v>
      </c>
      <c r="M90" s="123">
        <v>3659.1999999995969</v>
      </c>
      <c r="N90" s="123">
        <v>13916.560000015921</v>
      </c>
      <c r="O90" s="123">
        <v>11987.800000005504</v>
      </c>
      <c r="P90" s="123">
        <v>673.3700000003422</v>
      </c>
      <c r="Q90" s="123">
        <v>82.060645161384613</v>
      </c>
      <c r="R90" s="123">
        <v>2294.4700000004386</v>
      </c>
      <c r="S90" s="123">
        <v>1591.6899999993404</v>
      </c>
      <c r="T90" s="123">
        <v>504.47000000016385</v>
      </c>
      <c r="U90" s="123">
        <v>419.22999999996358</v>
      </c>
      <c r="V90" s="123">
        <v>5739.9700000027269</v>
      </c>
      <c r="W90" s="123">
        <v>899.98999999967975</v>
      </c>
      <c r="X90" s="123">
        <v>849.98999999941839</v>
      </c>
      <c r="Y90" s="123">
        <v>324.9999999999643</v>
      </c>
      <c r="Z90" s="123">
        <v>200.00000000007739</v>
      </c>
      <c r="AA90" s="123">
        <v>1000.0000000020067</v>
      </c>
      <c r="AB90" s="123">
        <v>1499.999999998952</v>
      </c>
      <c r="AC90" s="123">
        <v>1000.0000000020067</v>
      </c>
      <c r="AD90" s="123">
        <v>1499.999999998952</v>
      </c>
      <c r="AE90" s="123">
        <v>3914.9999999995503</v>
      </c>
      <c r="AF90" s="123">
        <v>266.75249995457182</v>
      </c>
      <c r="AG90" s="123">
        <v>9366.9999999989268</v>
      </c>
      <c r="AH90" s="123">
        <v>2338.5248407584609</v>
      </c>
      <c r="AI90" s="123">
        <v>5000.0100000008242</v>
      </c>
      <c r="AJ90" s="123">
        <v>38999.999998983854</v>
      </c>
      <c r="AK90" s="123">
        <v>7970.0000000000045</v>
      </c>
      <c r="AL90" s="123">
        <v>11339.999999998698</v>
      </c>
      <c r="AM90" s="123">
        <v>12099.999999999998</v>
      </c>
      <c r="AN90" s="123">
        <v>3129.9999999996385</v>
      </c>
      <c r="AO90" s="123">
        <v>1170.9999999998661</v>
      </c>
      <c r="AP90" s="123">
        <v>340.98999999997505</v>
      </c>
      <c r="AQ90" s="123">
        <v>914.31223151158099</v>
      </c>
      <c r="AR90" s="123">
        <v>1893.9876140533358</v>
      </c>
      <c r="AS90" s="123">
        <v>31248.028099180548</v>
      </c>
      <c r="AT90" s="123">
        <v>84158.725719520386</v>
      </c>
      <c r="AU90" s="123">
        <v>84419.279049921519</v>
      </c>
      <c r="AV90" s="123">
        <v>91975.325631549989</v>
      </c>
      <c r="AW90" s="123">
        <v>4644.9719008194916</v>
      </c>
      <c r="AX90" s="123">
        <v>26885.27725099292</v>
      </c>
      <c r="AY90" s="123">
        <v>1595.9999999998154</v>
      </c>
      <c r="AZ90" s="123">
        <v>319.34085000000056</v>
      </c>
      <c r="BA90" s="123">
        <v>1146.6975498006639</v>
      </c>
      <c r="BB90" s="123">
        <v>1300.0000000005809</v>
      </c>
      <c r="BC90" s="123">
        <v>16199.99999897049</v>
      </c>
      <c r="BD90" s="123">
        <v>630.99999999992815</v>
      </c>
      <c r="BE90" s="123">
        <v>707.0251992031059</v>
      </c>
      <c r="BF90" s="123">
        <v>550.00999999974545</v>
      </c>
      <c r="BG90" s="123">
        <v>12296.800000006155</v>
      </c>
      <c r="BH90" s="3">
        <v>28991.517086486754</v>
      </c>
      <c r="BI90" s="3">
        <v>2598.6460609615751</v>
      </c>
      <c r="BJ90" s="3">
        <v>2396.1583409315526</v>
      </c>
      <c r="BK90" s="3">
        <v>99317.325032988127</v>
      </c>
      <c r="BL90" s="3">
        <v>0</v>
      </c>
      <c r="BM90" s="3"/>
      <c r="BN90" s="3"/>
      <c r="BO90" s="3"/>
      <c r="BP90" s="3"/>
      <c r="BQ90" s="3"/>
      <c r="BR90" s="3"/>
      <c r="BS90" s="3"/>
      <c r="BT90" s="3"/>
      <c r="BU90" s="3"/>
      <c r="BV90" s="3"/>
      <c r="BW90" s="3"/>
      <c r="BX90" s="3"/>
      <c r="BY90" s="3"/>
    </row>
    <row r="91" spans="1:77" x14ac:dyDescent="0.25">
      <c r="A91" s="1">
        <v>41274.999305555553</v>
      </c>
      <c r="B91" s="123">
        <v>744.08965130153388</v>
      </c>
      <c r="C91" s="123">
        <v>1746.8500000002621</v>
      </c>
      <c r="D91" s="123">
        <v>2261.1200000002882</v>
      </c>
      <c r="E91" s="123">
        <v>5370.3499999989081</v>
      </c>
      <c r="F91" s="123">
        <v>996.68000000011409</v>
      </c>
      <c r="G91" s="123">
        <v>2334.4100000015383</v>
      </c>
      <c r="H91" s="123">
        <v>301.9999999999651</v>
      </c>
      <c r="I91" s="123">
        <v>2499.9900000012822</v>
      </c>
      <c r="J91" s="123">
        <v>2499.9900000012672</v>
      </c>
      <c r="K91" s="123">
        <v>13401.999999998467</v>
      </c>
      <c r="L91" s="123">
        <v>899.99999999999977</v>
      </c>
      <c r="M91" s="123">
        <v>3659.1999999995965</v>
      </c>
      <c r="N91" s="123">
        <v>13916.560000015921</v>
      </c>
      <c r="O91" s="123">
        <v>11987.800000005504</v>
      </c>
      <c r="P91" s="123">
        <v>673.3700000003422</v>
      </c>
      <c r="Q91" s="123">
        <v>502.92034869900436</v>
      </c>
      <c r="R91" s="123">
        <v>2294.4700000004386</v>
      </c>
      <c r="S91" s="123">
        <v>1591.6899999993404</v>
      </c>
      <c r="T91" s="123">
        <v>504.47000000016385</v>
      </c>
      <c r="U91" s="123">
        <v>419.22999999996358</v>
      </c>
      <c r="V91" s="123">
        <v>5739.970000002726</v>
      </c>
      <c r="W91" s="123">
        <v>899.98999999967964</v>
      </c>
      <c r="X91" s="123">
        <v>849.98999999941861</v>
      </c>
      <c r="Y91" s="123">
        <v>324.9999999999643</v>
      </c>
      <c r="Z91" s="123">
        <v>200.00000000007739</v>
      </c>
      <c r="AA91" s="123">
        <v>963.56562825254764</v>
      </c>
      <c r="AB91" s="123">
        <v>1499.9999999989695</v>
      </c>
      <c r="AC91" s="123">
        <v>1000.0000000020035</v>
      </c>
      <c r="AD91" s="123">
        <v>1499.9999999989695</v>
      </c>
      <c r="AE91" s="123">
        <v>4569.9999999994716</v>
      </c>
      <c r="AF91" s="123">
        <v>145.57064922772963</v>
      </c>
      <c r="AG91" s="123">
        <v>10635.252599246207</v>
      </c>
      <c r="AH91" s="123">
        <v>2740.9311423240415</v>
      </c>
      <c r="AI91" s="123">
        <v>5000.0100000008242</v>
      </c>
      <c r="AJ91" s="123">
        <v>38999.999998983862</v>
      </c>
      <c r="AK91" s="123">
        <v>7970.0000000000018</v>
      </c>
      <c r="AL91" s="123">
        <v>12169.999999998592</v>
      </c>
      <c r="AM91" s="123">
        <v>12100.000000000007</v>
      </c>
      <c r="AN91" s="123">
        <v>3372.9999999996107</v>
      </c>
      <c r="AO91" s="123">
        <v>1514.9999999998254</v>
      </c>
      <c r="AP91" s="123">
        <v>340.98999999997511</v>
      </c>
      <c r="AQ91" s="123">
        <v>623.6664238135404</v>
      </c>
      <c r="AR91" s="123">
        <v>646.97386269232925</v>
      </c>
      <c r="AS91" s="123">
        <v>31235.302148767347</v>
      </c>
      <c r="AT91" s="123">
        <v>89769.184931919619</v>
      </c>
      <c r="AU91" s="123">
        <v>90047.108105083375</v>
      </c>
      <c r="AV91" s="123">
        <v>98106.880126834832</v>
      </c>
      <c r="AW91" s="123">
        <v>4657.6978512326959</v>
      </c>
      <c r="AX91" s="123">
        <v>29612.253944219698</v>
      </c>
      <c r="AY91" s="123">
        <v>1875.9999999997838</v>
      </c>
      <c r="AZ91" s="123">
        <v>326.9623499999995</v>
      </c>
      <c r="BA91" s="123">
        <v>1263.007211155234</v>
      </c>
      <c r="BB91" s="123">
        <v>1300.0000000005807</v>
      </c>
      <c r="BC91" s="123">
        <v>16199.999998970494</v>
      </c>
      <c r="BD91" s="123">
        <v>677.99999999992201</v>
      </c>
      <c r="BE91" s="123">
        <v>778.73884462142507</v>
      </c>
      <c r="BF91" s="123">
        <v>550.00999999974533</v>
      </c>
      <c r="BG91" s="123">
        <v>12296.800000006155</v>
      </c>
      <c r="BH91" s="3">
        <v>28201.697358282112</v>
      </c>
      <c r="BI91" s="3">
        <v>5936.9652436150545</v>
      </c>
      <c r="BJ91" s="3">
        <v>2289.3564724088592</v>
      </c>
      <c r="BK91" s="3">
        <v>48327.862398616518</v>
      </c>
      <c r="BL91" s="3">
        <v>0</v>
      </c>
      <c r="BM91" s="3"/>
      <c r="BN91" s="3"/>
      <c r="BO91" s="3"/>
      <c r="BP91" s="3"/>
      <c r="BQ91" s="3"/>
      <c r="BR91" s="3"/>
      <c r="BS91" s="3"/>
      <c r="BT91" s="3"/>
      <c r="BU91" s="3"/>
      <c r="BV91" s="3"/>
      <c r="BW91" s="3"/>
      <c r="BX91" s="3"/>
      <c r="BY91" s="3"/>
    </row>
    <row r="92" spans="1:77" x14ac:dyDescent="0.25">
      <c r="A92" s="1">
        <v>41639.999305555553</v>
      </c>
      <c r="B92" s="493" t="s">
        <v>678</v>
      </c>
      <c r="C92" s="493" t="s">
        <v>678</v>
      </c>
      <c r="D92" s="493" t="s">
        <v>678</v>
      </c>
      <c r="E92" s="493" t="s">
        <v>678</v>
      </c>
      <c r="F92" s="493" t="s">
        <v>678</v>
      </c>
      <c r="G92" s="493" t="s">
        <v>678</v>
      </c>
      <c r="H92" s="493" t="s">
        <v>678</v>
      </c>
      <c r="I92" s="493" t="s">
        <v>678</v>
      </c>
      <c r="J92" s="493" t="s">
        <v>678</v>
      </c>
      <c r="K92" s="493" t="s">
        <v>678</v>
      </c>
      <c r="L92" s="493" t="s">
        <v>678</v>
      </c>
      <c r="M92" s="493" t="s">
        <v>678</v>
      </c>
      <c r="N92" s="493" t="s">
        <v>678</v>
      </c>
      <c r="O92" s="493" t="s">
        <v>678</v>
      </c>
      <c r="P92" s="493" t="s">
        <v>678</v>
      </c>
      <c r="Q92" s="493" t="s">
        <v>678</v>
      </c>
      <c r="R92" s="493" t="s">
        <v>678</v>
      </c>
      <c r="S92" s="493" t="s">
        <v>678</v>
      </c>
      <c r="T92" s="493" t="s">
        <v>678</v>
      </c>
      <c r="U92" s="493" t="s">
        <v>678</v>
      </c>
      <c r="V92" s="493" t="s">
        <v>678</v>
      </c>
      <c r="W92" s="493" t="s">
        <v>678</v>
      </c>
      <c r="X92" s="493" t="s">
        <v>678</v>
      </c>
      <c r="Y92" s="493" t="s">
        <v>678</v>
      </c>
      <c r="Z92" s="493" t="s">
        <v>678</v>
      </c>
      <c r="AA92" s="493" t="s">
        <v>678</v>
      </c>
      <c r="AB92" s="493" t="s">
        <v>678</v>
      </c>
      <c r="AC92" s="493" t="s">
        <v>678</v>
      </c>
      <c r="AD92" s="493" t="s">
        <v>678</v>
      </c>
      <c r="AE92" s="493" t="s">
        <v>678</v>
      </c>
      <c r="AF92" s="493" t="s">
        <v>678</v>
      </c>
      <c r="AG92" s="493" t="s">
        <v>678</v>
      </c>
      <c r="AH92" s="493" t="s">
        <v>678</v>
      </c>
      <c r="AI92" s="493" t="s">
        <v>678</v>
      </c>
      <c r="AJ92" s="493" t="s">
        <v>678</v>
      </c>
      <c r="AK92" s="493" t="s">
        <v>678</v>
      </c>
      <c r="AL92" s="493" t="s">
        <v>678</v>
      </c>
      <c r="AM92" s="493" t="s">
        <v>678</v>
      </c>
      <c r="AN92" s="493" t="s">
        <v>678</v>
      </c>
      <c r="AO92" s="493" t="s">
        <v>678</v>
      </c>
      <c r="AP92" s="493" t="s">
        <v>678</v>
      </c>
      <c r="AQ92" s="493" t="s">
        <v>678</v>
      </c>
      <c r="AR92" s="493" t="s">
        <v>678</v>
      </c>
      <c r="AS92" s="493" t="s">
        <v>678</v>
      </c>
      <c r="AT92" s="493" t="s">
        <v>678</v>
      </c>
      <c r="AU92" s="493" t="s">
        <v>678</v>
      </c>
      <c r="AV92" s="493" t="s">
        <v>678</v>
      </c>
      <c r="AW92" s="493" t="s">
        <v>678</v>
      </c>
      <c r="AX92" s="493" t="s">
        <v>678</v>
      </c>
      <c r="AY92" s="493" t="s">
        <v>678</v>
      </c>
      <c r="AZ92" s="493" t="s">
        <v>678</v>
      </c>
      <c r="BA92" s="493" t="s">
        <v>678</v>
      </c>
      <c r="BB92" s="493" t="s">
        <v>678</v>
      </c>
      <c r="BC92" s="493" t="s">
        <v>678</v>
      </c>
      <c r="BD92" s="493" t="s">
        <v>678</v>
      </c>
      <c r="BE92" s="493" t="s">
        <v>678</v>
      </c>
      <c r="BF92" s="493" t="s">
        <v>678</v>
      </c>
      <c r="BG92" s="493" t="s">
        <v>678</v>
      </c>
      <c r="BH92" s="493" t="s">
        <v>678</v>
      </c>
      <c r="BI92" s="493" t="s">
        <v>678</v>
      </c>
      <c r="BJ92" s="493" t="s">
        <v>678</v>
      </c>
      <c r="BK92" s="493" t="s">
        <v>678</v>
      </c>
      <c r="BL92" s="493" t="s">
        <v>678</v>
      </c>
      <c r="BM92" s="3"/>
      <c r="BN92" s="3"/>
      <c r="BO92" s="3"/>
      <c r="BP92" s="3"/>
      <c r="BQ92" s="3"/>
      <c r="BR92" s="3"/>
      <c r="BS92" s="3"/>
      <c r="BT92" s="3"/>
      <c r="BU92" s="3"/>
      <c r="BV92" s="3"/>
      <c r="BW92" s="3"/>
      <c r="BX92" s="3"/>
      <c r="BY92" s="3"/>
    </row>
    <row r="93" spans="1:77" x14ac:dyDescent="0.25">
      <c r="A93" s="1">
        <v>42004.999305555553</v>
      </c>
    </row>
    <row r="94" spans="1:77" x14ac:dyDescent="0.25">
      <c r="A94" s="1">
        <v>42369.999305555553</v>
      </c>
    </row>
    <row r="95" spans="1:77" x14ac:dyDescent="0.25">
      <c r="A95" s="1">
        <v>42735.999305555553</v>
      </c>
    </row>
    <row r="96" spans="1:77" x14ac:dyDescent="0.25">
      <c r="A96" s="1">
        <v>43100.999305555553</v>
      </c>
    </row>
    <row r="97" spans="1:1" x14ac:dyDescent="0.25">
      <c r="A97" s="1">
        <v>43465.999305555553</v>
      </c>
    </row>
    <row r="98" spans="1:1" x14ac:dyDescent="0.25">
      <c r="A98" s="1">
        <v>43830.999305555553</v>
      </c>
    </row>
    <row r="99" spans="1:1" x14ac:dyDescent="0.25">
      <c r="A99" s="1">
        <v>44196.999305555553</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7BDBF-7225-4192-B15F-2947549D1817}">
  <sheetPr codeName="Sheet10">
    <tabColor theme="9" tint="0.59996337778862885"/>
  </sheetPr>
  <dimension ref="A1:BG99"/>
  <sheetViews>
    <sheetView zoomScale="70" zoomScaleNormal="70" workbookViewId="0">
      <selection activeCell="Q45" sqref="Q45"/>
    </sheetView>
  </sheetViews>
  <sheetFormatPr defaultRowHeight="15" x14ac:dyDescent="0.25"/>
  <cols>
    <col min="1" max="1" width="18.140625" bestFit="1" customWidth="1"/>
    <col min="2" max="59" width="12.7109375" style="122" customWidth="1"/>
  </cols>
  <sheetData>
    <row r="1" spans="1:59" x14ac:dyDescent="0.25">
      <c r="A1" s="124" t="s">
        <v>290</v>
      </c>
      <c r="B1" s="125">
        <f t="shared" ref="B1:AG1" ca="1" si="0">AVERAGE(OFFSET(B$8,0,0,NumRunYears-1))</f>
        <v>1247.0100000005366</v>
      </c>
      <c r="C1" s="125">
        <f t="shared" ca="1" si="0"/>
        <v>1746.8500000002646</v>
      </c>
      <c r="D1" s="125">
        <f t="shared" ca="1" si="0"/>
        <v>2261.1200000002868</v>
      </c>
      <c r="E1" s="125">
        <f t="shared" ca="1" si="0"/>
        <v>5370.3499999989153</v>
      </c>
      <c r="F1" s="125">
        <f t="shared" ca="1" si="0"/>
        <v>996.68000000011398</v>
      </c>
      <c r="G1" s="125">
        <f t="shared" ca="1" si="0"/>
        <v>2334.4100000015387</v>
      </c>
      <c r="H1" s="125">
        <f t="shared" ca="1" si="0"/>
        <v>268.51190476187378</v>
      </c>
      <c r="I1" s="125">
        <f t="shared" ca="1" si="0"/>
        <v>2499.9900000012794</v>
      </c>
      <c r="J1" s="125">
        <f t="shared" ca="1" si="0"/>
        <v>2499.9900000012694</v>
      </c>
      <c r="K1" s="125">
        <f t="shared" ca="1" si="0"/>
        <v>11855.46428571292</v>
      </c>
      <c r="L1" s="125">
        <f t="shared" ca="1" si="0"/>
        <v>900</v>
      </c>
      <c r="M1" s="125">
        <f t="shared" ca="1" si="0"/>
        <v>3659.1999999996005</v>
      </c>
      <c r="N1" s="125">
        <f t="shared" ca="1" si="0"/>
        <v>13916.560000015908</v>
      </c>
      <c r="O1" s="125">
        <f t="shared" ca="1" si="0"/>
        <v>11987.800000005514</v>
      </c>
      <c r="P1" s="125">
        <f t="shared" ca="1" si="0"/>
        <v>673.370000000343</v>
      </c>
      <c r="Q1" s="125">
        <f t="shared" ca="1" si="0"/>
        <v>80.172319004262832</v>
      </c>
      <c r="R1" s="125">
        <f t="shared" ca="1" si="0"/>
        <v>2294.4700000004386</v>
      </c>
      <c r="S1" s="125">
        <f t="shared" ca="1" si="0"/>
        <v>1591.6899999993436</v>
      </c>
      <c r="T1" s="125">
        <f t="shared" ca="1" si="0"/>
        <v>504.47000000016351</v>
      </c>
      <c r="U1" s="125">
        <f t="shared" ca="1" si="0"/>
        <v>419.22999999996347</v>
      </c>
      <c r="V1" s="125">
        <f t="shared" ca="1" si="0"/>
        <v>5739.9700000027206</v>
      </c>
      <c r="W1" s="125">
        <f t="shared" ca="1" si="0"/>
        <v>899.98999999967987</v>
      </c>
      <c r="X1" s="125">
        <f t="shared" ca="1" si="0"/>
        <v>849.98999999941782</v>
      </c>
      <c r="Y1" s="125">
        <f t="shared" ca="1" si="0"/>
        <v>324.9999999999639</v>
      </c>
      <c r="Z1" s="125">
        <f t="shared" ca="1" si="0"/>
        <v>200.00000000007773</v>
      </c>
      <c r="AA1" s="125">
        <f t="shared" ca="1" si="0"/>
        <v>1000.0000000020068</v>
      </c>
      <c r="AB1" s="125">
        <f t="shared" ca="1" si="0"/>
        <v>1499.9999999989561</v>
      </c>
      <c r="AC1" s="125">
        <f t="shared" ca="1" si="0"/>
        <v>1000.0000000020068</v>
      </c>
      <c r="AD1" s="125">
        <f t="shared" ca="1" si="0"/>
        <v>1499.9999999989561</v>
      </c>
      <c r="AE1" s="125">
        <f t="shared" ca="1" si="0"/>
        <v>3795.0238095233735</v>
      </c>
      <c r="AF1" s="125">
        <f t="shared" ca="1" si="0"/>
        <v>252.31999999997095</v>
      </c>
      <c r="AG1" s="125">
        <f t="shared" ca="1" si="0"/>
        <v>9353.202380951303</v>
      </c>
      <c r="AH1" s="125">
        <f t="shared" ref="AH1:BG1" ca="1" si="1">AVERAGE(OFFSET(AH$8,0,0,NumRunYears-1))</f>
        <v>2291.310144169383</v>
      </c>
      <c r="AI1" s="125">
        <f t="shared" ca="1" si="1"/>
        <v>5000.0100000008242</v>
      </c>
      <c r="AJ1" s="125">
        <f t="shared" ca="1" si="1"/>
        <v>38999.999998983898</v>
      </c>
      <c r="AK1" s="125">
        <f t="shared" ca="1" si="1"/>
        <v>7948.5715793494019</v>
      </c>
      <c r="AL1" s="125">
        <f t="shared" ca="1" si="1"/>
        <v>10793.654761903521</v>
      </c>
      <c r="AM1" s="125">
        <f t="shared" ca="1" si="1"/>
        <v>12100</v>
      </c>
      <c r="AN1" s="125">
        <f t="shared" ca="1" si="1"/>
        <v>3124.0357142853545</v>
      </c>
      <c r="AO1" s="125">
        <f t="shared" ca="1" si="1"/>
        <v>1121.7380952379663</v>
      </c>
      <c r="AP1" s="125">
        <f t="shared" ca="1" si="1"/>
        <v>340.98999999997534</v>
      </c>
      <c r="AQ1" s="125">
        <f t="shared" ca="1" si="1"/>
        <v>1350.010000000027</v>
      </c>
      <c r="AR1" s="125">
        <f t="shared" ca="1" si="1"/>
        <v>11326.845238093942</v>
      </c>
      <c r="AS1" s="125">
        <f t="shared" ca="1" si="1"/>
        <v>31244.84661157729</v>
      </c>
      <c r="AT1" s="125">
        <f t="shared" ca="1" si="1"/>
        <v>80465.656237155912</v>
      </c>
      <c r="AU1" s="125">
        <f t="shared" ca="1" si="1"/>
        <v>80714.775915908642</v>
      </c>
      <c r="AV1" s="125">
        <f t="shared" ca="1" si="1"/>
        <v>87939.246599739985</v>
      </c>
      <c r="AW1" s="125">
        <f t="shared" ca="1" si="1"/>
        <v>4648.1533884228165</v>
      </c>
      <c r="AX1" s="125">
        <f t="shared" ca="1" si="1"/>
        <v>24731.994711152529</v>
      </c>
      <c r="AY1" s="125">
        <f t="shared" ca="1" si="1"/>
        <v>1610.8333333331479</v>
      </c>
      <c r="AZ1" s="125">
        <f t="shared" ca="1" si="1"/>
        <v>411.67999999995237</v>
      </c>
      <c r="BA1" s="125">
        <f t="shared" ca="1" si="1"/>
        <v>1054.8568077688028</v>
      </c>
      <c r="BB1" s="125">
        <f t="shared" ca="1" si="1"/>
        <v>1300.0000000005816</v>
      </c>
      <c r="BC1" s="125">
        <f t="shared" ca="1" si="1"/>
        <v>16199.999998970492</v>
      </c>
      <c r="BD1" s="125">
        <f t="shared" ca="1" si="1"/>
        <v>600.4047619046928</v>
      </c>
      <c r="BE1" s="125">
        <f t="shared" ca="1" si="1"/>
        <v>650.39848107562204</v>
      </c>
      <c r="BF1" s="125">
        <f t="shared" ca="1" si="1"/>
        <v>550.00999999974533</v>
      </c>
      <c r="BG1" s="125">
        <f t="shared" ca="1" si="1"/>
        <v>12296.800000006129</v>
      </c>
    </row>
    <row r="2" spans="1:59" x14ac:dyDescent="0.25">
      <c r="A2" s="124" t="s">
        <v>291</v>
      </c>
      <c r="B2" s="125">
        <f t="shared" ref="B2:AG2" ca="1" si="2">MIN(OFFSET(B$8,0,0,NumRunYears-1))</f>
        <v>1247.010000000537</v>
      </c>
      <c r="C2" s="125">
        <f t="shared" ca="1" si="2"/>
        <v>1746.8500000002621</v>
      </c>
      <c r="D2" s="125">
        <f t="shared" ca="1" si="2"/>
        <v>2261.1200000002882</v>
      </c>
      <c r="E2" s="125">
        <f t="shared" ca="1" si="2"/>
        <v>5370.3499999989081</v>
      </c>
      <c r="F2" s="125">
        <f t="shared" ca="1" si="2"/>
        <v>996.68000000011409</v>
      </c>
      <c r="G2" s="125">
        <f t="shared" ca="1" si="2"/>
        <v>2334.4100000015378</v>
      </c>
      <c r="H2" s="125">
        <f t="shared" ca="1" si="2"/>
        <v>201.99999999997667</v>
      </c>
      <c r="I2" s="125">
        <f t="shared" ca="1" si="2"/>
        <v>2499.9900000012822</v>
      </c>
      <c r="J2" s="125">
        <f t="shared" ca="1" si="2"/>
        <v>2499.9900000012672</v>
      </c>
      <c r="K2" s="125">
        <f t="shared" ca="1" si="2"/>
        <v>8758.9999999990032</v>
      </c>
      <c r="L2" s="125">
        <f t="shared" ca="1" si="2"/>
        <v>899.99999999999841</v>
      </c>
      <c r="M2" s="125">
        <f t="shared" ca="1" si="2"/>
        <v>3659.1999999995965</v>
      </c>
      <c r="N2" s="125">
        <f t="shared" ca="1" si="2"/>
        <v>13916.560000015921</v>
      </c>
      <c r="O2" s="125">
        <f t="shared" ca="1" si="2"/>
        <v>11987.800000005504</v>
      </c>
      <c r="P2" s="125">
        <f t="shared" ca="1" si="2"/>
        <v>673.3700000003422</v>
      </c>
      <c r="Q2" s="125">
        <f t="shared" ca="1" si="2"/>
        <v>0</v>
      </c>
      <c r="R2" s="125">
        <f t="shared" ca="1" si="2"/>
        <v>2294.4700000004405</v>
      </c>
      <c r="S2" s="125">
        <f t="shared" ca="1" si="2"/>
        <v>1591.6899999993404</v>
      </c>
      <c r="T2" s="125">
        <f t="shared" ca="1" si="2"/>
        <v>504.47000000016385</v>
      </c>
      <c r="U2" s="125">
        <f t="shared" ca="1" si="2"/>
        <v>419.22999999996358</v>
      </c>
      <c r="V2" s="125">
        <f t="shared" ca="1" si="2"/>
        <v>5739.970000002726</v>
      </c>
      <c r="W2" s="125">
        <f t="shared" ca="1" si="2"/>
        <v>899.98999999967964</v>
      </c>
      <c r="X2" s="125">
        <f t="shared" ca="1" si="2"/>
        <v>849.98999999941839</v>
      </c>
      <c r="Y2" s="125">
        <f t="shared" ca="1" si="2"/>
        <v>324.9999999999643</v>
      </c>
      <c r="Z2" s="125">
        <f t="shared" ca="1" si="2"/>
        <v>200.00000000007739</v>
      </c>
      <c r="AA2" s="125">
        <f t="shared" ca="1" si="2"/>
        <v>1000.0000000020035</v>
      </c>
      <c r="AB2" s="125">
        <f t="shared" ca="1" si="2"/>
        <v>1499.999999998952</v>
      </c>
      <c r="AC2" s="125">
        <f t="shared" ca="1" si="2"/>
        <v>1000.0000000020035</v>
      </c>
      <c r="AD2" s="125">
        <f t="shared" ca="1" si="2"/>
        <v>1499.999999998952</v>
      </c>
      <c r="AE2" s="125">
        <f t="shared" ca="1" si="2"/>
        <v>2734.9999999996844</v>
      </c>
      <c r="AF2" s="125">
        <f t="shared" ca="1" si="2"/>
        <v>174.79999999998012</v>
      </c>
      <c r="AG2" s="125">
        <f t="shared" ca="1" si="2"/>
        <v>6718.9999999992287</v>
      </c>
      <c r="AH2" s="125">
        <f t="shared" ref="AH2:BG2" ca="1" si="3">MIN(OFFSET(AH$8,0,0,NumRunYears-1))</f>
        <v>1719.9999999998015</v>
      </c>
      <c r="AI2" s="125">
        <f t="shared" ca="1" si="3"/>
        <v>5000.0100000008242</v>
      </c>
      <c r="AJ2" s="125">
        <f t="shared" ca="1" si="3"/>
        <v>38999.999998983854</v>
      </c>
      <c r="AK2" s="125">
        <f t="shared" ca="1" si="3"/>
        <v>6524.0049023243746</v>
      </c>
      <c r="AL2" s="125">
        <f t="shared" ca="1" si="3"/>
        <v>8081.9999999990669</v>
      </c>
      <c r="AM2" s="125">
        <f t="shared" ca="1" si="3"/>
        <v>12099.999999999989</v>
      </c>
      <c r="AN2" s="125">
        <f t="shared" ca="1" si="3"/>
        <v>2270.9999999997381</v>
      </c>
      <c r="AO2" s="125">
        <f t="shared" ca="1" si="3"/>
        <v>698.99999999991951</v>
      </c>
      <c r="AP2" s="125">
        <f t="shared" ca="1" si="3"/>
        <v>340.98999999997505</v>
      </c>
      <c r="AQ2" s="125">
        <f t="shared" ca="1" si="3"/>
        <v>1350.0100000000286</v>
      </c>
      <c r="AR2" s="125">
        <f t="shared" ca="1" si="3"/>
        <v>7773.9999999991023</v>
      </c>
      <c r="AS2" s="125">
        <f t="shared" ca="1" si="3"/>
        <v>31235.302148767347</v>
      </c>
      <c r="AT2" s="125">
        <f t="shared" ca="1" si="3"/>
        <v>59530.921547760881</v>
      </c>
      <c r="AU2" s="125">
        <f t="shared" ca="1" si="3"/>
        <v>59715.227806422583</v>
      </c>
      <c r="AV2" s="125">
        <f t="shared" ca="1" si="3"/>
        <v>65060.109307614875</v>
      </c>
      <c r="AW2" s="125">
        <f t="shared" ca="1" si="3"/>
        <v>4644.9719008195216</v>
      </c>
      <c r="AX2" s="125">
        <f t="shared" ca="1" si="3"/>
        <v>16739.801354579744</v>
      </c>
      <c r="AY2" s="125">
        <f t="shared" ca="1" si="3"/>
        <v>1230.9999999998588</v>
      </c>
      <c r="AZ2" s="125">
        <f t="shared" ca="1" si="3"/>
        <v>285.1999999999685</v>
      </c>
      <c r="BA2" s="125">
        <f t="shared" ca="1" si="3"/>
        <v>713.97772908358309</v>
      </c>
      <c r="BB2" s="125">
        <f t="shared" ca="1" si="3"/>
        <v>1300.0000000005807</v>
      </c>
      <c r="BC2" s="125">
        <f t="shared" ca="1" si="3"/>
        <v>16199.99999897049</v>
      </c>
      <c r="BD2" s="125">
        <f t="shared" ca="1" si="3"/>
        <v>444.99999999994805</v>
      </c>
      <c r="BE2" s="125">
        <f t="shared" ca="1" si="3"/>
        <v>440.22091633461065</v>
      </c>
      <c r="BF2" s="125">
        <f t="shared" ca="1" si="3"/>
        <v>550.00999999974533</v>
      </c>
      <c r="BG2" s="125">
        <f t="shared" ca="1" si="3"/>
        <v>12296.800000006155</v>
      </c>
    </row>
    <row r="3" spans="1:59" x14ac:dyDescent="0.25">
      <c r="A3" s="124" t="s">
        <v>292</v>
      </c>
      <c r="B3" s="125">
        <f t="shared" ref="B3:AG3" ca="1" si="4">MAX(OFFSET(B$8,0,0,NumRunYears-1))</f>
        <v>1247.010000000537</v>
      </c>
      <c r="C3" s="125">
        <f t="shared" ca="1" si="4"/>
        <v>1746.8500000002621</v>
      </c>
      <c r="D3" s="125">
        <f t="shared" ca="1" si="4"/>
        <v>2261.1200000002882</v>
      </c>
      <c r="E3" s="125">
        <f t="shared" ca="1" si="4"/>
        <v>5370.3499999989081</v>
      </c>
      <c r="F3" s="125">
        <f t="shared" ca="1" si="4"/>
        <v>996.68000000011409</v>
      </c>
      <c r="G3" s="125">
        <f t="shared" ca="1" si="4"/>
        <v>2334.4100000015383</v>
      </c>
      <c r="H3" s="125">
        <f t="shared" ca="1" si="4"/>
        <v>318.99999999996288</v>
      </c>
      <c r="I3" s="125">
        <f t="shared" ca="1" si="4"/>
        <v>2499.9900000012822</v>
      </c>
      <c r="J3" s="125">
        <f t="shared" ca="1" si="4"/>
        <v>2499.9900000012672</v>
      </c>
      <c r="K3" s="125">
        <f t="shared" ca="1" si="4"/>
        <v>13979.999999998399</v>
      </c>
      <c r="L3" s="125">
        <f t="shared" ca="1" si="4"/>
        <v>900.00000000000125</v>
      </c>
      <c r="M3" s="125">
        <f t="shared" ca="1" si="4"/>
        <v>3659.1999999995969</v>
      </c>
      <c r="N3" s="125">
        <f t="shared" ca="1" si="4"/>
        <v>13916.560000015921</v>
      </c>
      <c r="O3" s="125">
        <f t="shared" ca="1" si="4"/>
        <v>11987.800000005504</v>
      </c>
      <c r="P3" s="125">
        <f t="shared" ca="1" si="4"/>
        <v>673.3700000003422</v>
      </c>
      <c r="Q3" s="125">
        <f t="shared" ca="1" si="4"/>
        <v>706.48233333360884</v>
      </c>
      <c r="R3" s="125">
        <f t="shared" ca="1" si="4"/>
        <v>2294.4700000004405</v>
      </c>
      <c r="S3" s="125">
        <f t="shared" ca="1" si="4"/>
        <v>1591.6899999993404</v>
      </c>
      <c r="T3" s="125">
        <f t="shared" ca="1" si="4"/>
        <v>504.47000000016385</v>
      </c>
      <c r="U3" s="125">
        <f t="shared" ca="1" si="4"/>
        <v>419.22999999996358</v>
      </c>
      <c r="V3" s="125">
        <f t="shared" ca="1" si="4"/>
        <v>5739.9700000027269</v>
      </c>
      <c r="W3" s="125">
        <f t="shared" ca="1" si="4"/>
        <v>899.98999999967975</v>
      </c>
      <c r="X3" s="125">
        <f t="shared" ca="1" si="4"/>
        <v>849.98999999941861</v>
      </c>
      <c r="Y3" s="125">
        <f t="shared" ca="1" si="4"/>
        <v>324.9999999999643</v>
      </c>
      <c r="Z3" s="125">
        <f t="shared" ca="1" si="4"/>
        <v>200.00000000007739</v>
      </c>
      <c r="AA3" s="125">
        <f t="shared" ca="1" si="4"/>
        <v>1000.0000000020067</v>
      </c>
      <c r="AB3" s="125">
        <f t="shared" ca="1" si="4"/>
        <v>1499.9999999989695</v>
      </c>
      <c r="AC3" s="125">
        <f t="shared" ca="1" si="4"/>
        <v>1000.0000000020067</v>
      </c>
      <c r="AD3" s="125">
        <f t="shared" ca="1" si="4"/>
        <v>1499.9999999989695</v>
      </c>
      <c r="AE3" s="125">
        <f t="shared" ca="1" si="4"/>
        <v>4569.9999999994716</v>
      </c>
      <c r="AF3" s="125">
        <f t="shared" ca="1" si="4"/>
        <v>299.81999999996515</v>
      </c>
      <c r="AG3" s="125">
        <f t="shared" ca="1" si="4"/>
        <v>11255.999999998705</v>
      </c>
      <c r="AH3" s="125">
        <f t="shared" ref="AH3:BG3" ca="1" si="5">MAX(OFFSET(AH$8,0,0,NumRunYears-1))</f>
        <v>2740.9311423240415</v>
      </c>
      <c r="AI3" s="125">
        <f t="shared" ca="1" si="5"/>
        <v>5000.0100000008242</v>
      </c>
      <c r="AJ3" s="125">
        <f t="shared" ca="1" si="5"/>
        <v>38999.999998983862</v>
      </c>
      <c r="AK3" s="125">
        <f t="shared" ca="1" si="5"/>
        <v>7970.0000000000155</v>
      </c>
      <c r="AL3" s="125">
        <f t="shared" ca="1" si="5"/>
        <v>12812.99999999853</v>
      </c>
      <c r="AM3" s="125">
        <f t="shared" ca="1" si="5"/>
        <v>12100.000000000022</v>
      </c>
      <c r="AN3" s="125">
        <f t="shared" ca="1" si="5"/>
        <v>3601.9999999995866</v>
      </c>
      <c r="AO3" s="125">
        <f t="shared" ca="1" si="5"/>
        <v>1628.9999999998124</v>
      </c>
      <c r="AP3" s="125">
        <f t="shared" ca="1" si="5"/>
        <v>340.98999999997511</v>
      </c>
      <c r="AQ3" s="125">
        <f t="shared" ca="1" si="5"/>
        <v>1350.0100000000286</v>
      </c>
      <c r="AR3" s="125">
        <f t="shared" ca="1" si="5"/>
        <v>13498.999999998439</v>
      </c>
      <c r="AS3" s="125">
        <f t="shared" ca="1" si="5"/>
        <v>31248.028099180548</v>
      </c>
      <c r="AT3" s="125">
        <f t="shared" ca="1" si="5"/>
        <v>93725.576888236639</v>
      </c>
      <c r="AU3" s="125">
        <f t="shared" ca="1" si="5"/>
        <v>94015.74895290623</v>
      </c>
      <c r="AV3" s="125">
        <f t="shared" ca="1" si="5"/>
        <v>102430.73882832074</v>
      </c>
      <c r="AW3" s="125">
        <f t="shared" ca="1" si="5"/>
        <v>4657.697851232725</v>
      </c>
      <c r="AX3" s="125">
        <f t="shared" ca="1" si="5"/>
        <v>29612.253944219698</v>
      </c>
      <c r="AY3" s="125">
        <f t="shared" ca="1" si="5"/>
        <v>2157.9999999997526</v>
      </c>
      <c r="AZ3" s="125">
        <f t="shared" ca="1" si="5"/>
        <v>489.17999999994237</v>
      </c>
      <c r="BA3" s="125">
        <f t="shared" ca="1" si="5"/>
        <v>1263.007211155234</v>
      </c>
      <c r="BB3" s="125">
        <f t="shared" ca="1" si="5"/>
        <v>1300.0000000005809</v>
      </c>
      <c r="BC3" s="125">
        <f t="shared" ca="1" si="5"/>
        <v>16199.999998970494</v>
      </c>
      <c r="BD3" s="125">
        <f t="shared" ca="1" si="5"/>
        <v>707.99999999991837</v>
      </c>
      <c r="BE3" s="125">
        <f t="shared" ca="1" si="5"/>
        <v>778.73884462142507</v>
      </c>
      <c r="BF3" s="125">
        <f t="shared" ca="1" si="5"/>
        <v>550.00999999974545</v>
      </c>
      <c r="BG3" s="125">
        <f t="shared" ca="1" si="5"/>
        <v>12296.800000006155</v>
      </c>
    </row>
    <row r="5" spans="1:59" ht="60" x14ac:dyDescent="0.25">
      <c r="A5" s="2" t="s">
        <v>539</v>
      </c>
      <c r="B5" s="122" t="str">
        <f t="shared" ref="B5:BG5" si="6">RIGHT(B$6,LEN(B$6)-FIND(".",B$6))</f>
        <v>ALPDurango</v>
      </c>
      <c r="C5" s="122" t="str">
        <f t="shared" si="6"/>
        <v>ALPNMSupplyFromAnimas__ALPAztec</v>
      </c>
      <c r="D5" s="122" t="str">
        <f t="shared" si="6"/>
        <v>ALPNMSupplyFromAnimas__ALPBloomfield</v>
      </c>
      <c r="E5" s="122" t="str">
        <f t="shared" si="6"/>
        <v>ALPNMSupplyFromAnimas__ALPFarmington</v>
      </c>
      <c r="F5" s="122" t="str">
        <f t="shared" si="6"/>
        <v>ALPNMSupplyFromAnimas__ALPKirkland</v>
      </c>
      <c r="G5" s="122" t="str">
        <f t="shared" si="6"/>
        <v>ALPNMSupplyFromAnimas__ALPShiprock</v>
      </c>
      <c r="H5" s="122" t="str">
        <f t="shared" si="6"/>
        <v>ArchuletaDitch</v>
      </c>
      <c r="I5" s="122" t="str">
        <f t="shared" si="6"/>
        <v>AztecMI</v>
      </c>
      <c r="J5" s="122" t="str">
        <f t="shared" si="6"/>
        <v>BloomfieldMI</v>
      </c>
      <c r="K5" s="122" t="str">
        <f t="shared" si="6"/>
        <v>CitizenDitch</v>
      </c>
      <c r="L5" s="122" t="str">
        <f t="shared" si="6"/>
        <v>CudeiCanal</v>
      </c>
      <c r="M5" s="122" t="str">
        <f t="shared" si="6"/>
        <v>DemandsOnRBR__AnimasFloridaMI</v>
      </c>
      <c r="N5" s="122" t="str">
        <f t="shared" si="6"/>
        <v>DemandsOnRBR__Coal</v>
      </c>
      <c r="O5" s="122" t="str">
        <f t="shared" si="6"/>
        <v>DemandsOnRBR__ColoradoBalance</v>
      </c>
      <c r="P5" s="122" t="str">
        <f t="shared" si="6"/>
        <v>DemandsOnRBR__DgoRuralMI</v>
      </c>
      <c r="Q5" s="122" t="str">
        <f t="shared" si="6"/>
        <v>DemandsOnRBR__DurangoMI</v>
      </c>
      <c r="R5" s="122" t="str">
        <f t="shared" si="6"/>
        <v>DemandsOnRBR__GasPowerPlant</v>
      </c>
      <c r="S5" s="122" t="str">
        <f t="shared" si="6"/>
        <v>DemandsOnRBR__LaPlataRuralMI</v>
      </c>
      <c r="T5" s="122" t="str">
        <f t="shared" si="6"/>
        <v>DemandsOnRBR__MancosResort</v>
      </c>
      <c r="U5" s="122" t="str">
        <f t="shared" si="6"/>
        <v>DemandsOnRBR__RidgesBasinResort</v>
      </c>
      <c r="V5" s="122" t="str">
        <f t="shared" si="6"/>
        <v>DemandsOnRBR__UteDurango</v>
      </c>
      <c r="W5" s="122" t="str">
        <f t="shared" si="6"/>
        <v>DEP_NMU2NonIr</v>
      </c>
      <c r="X5" s="122" t="str">
        <f t="shared" si="6"/>
        <v>DEP_NMU3NonIr</v>
      </c>
      <c r="Y5" s="122" t="str">
        <f t="shared" si="6"/>
        <v>DEP_NMU6NonIr</v>
      </c>
      <c r="Z5" s="122" t="str">
        <f t="shared" si="6"/>
        <v>DEP_NMU7NonIr</v>
      </c>
      <c r="AA5" s="122" t="str">
        <f t="shared" si="6"/>
        <v>DEP_Unspecified1</v>
      </c>
      <c r="AB5" s="122" t="str">
        <f t="shared" si="6"/>
        <v>DEP_Unspecified2</v>
      </c>
      <c r="AC5" s="122" t="str">
        <f t="shared" si="6"/>
        <v>DEP_Unspecified3</v>
      </c>
      <c r="AD5" s="122" t="str">
        <f t="shared" si="6"/>
        <v>DEP_Unspecified4</v>
      </c>
      <c r="AE5" s="122" t="str">
        <f t="shared" si="6"/>
        <v>EchoDitch</v>
      </c>
      <c r="AF5" s="122" t="str">
        <f t="shared" si="6"/>
        <v>Enterprise</v>
      </c>
      <c r="AG5" s="122" t="str">
        <f t="shared" si="6"/>
        <v>FarmersMutual</v>
      </c>
      <c r="AH5" s="122" t="str">
        <f t="shared" si="6"/>
        <v>FarmingtonGlade</v>
      </c>
      <c r="AI5" s="122" t="str">
        <f t="shared" si="6"/>
        <v>FarmingtonMI</v>
      </c>
      <c r="AJ5" s="122" t="str">
        <f t="shared" si="6"/>
        <v>FourCornersPP</v>
      </c>
      <c r="AK5" s="122" t="str">
        <f t="shared" si="6"/>
        <v>FruitlandAndCambridge</v>
      </c>
      <c r="AL5" s="122" t="str">
        <f t="shared" si="6"/>
        <v>Hammond</v>
      </c>
      <c r="AM5" s="122" t="str">
        <f t="shared" si="6"/>
        <v>Hogback</v>
      </c>
      <c r="AN5" s="122" t="str">
        <f t="shared" si="6"/>
        <v>JewettValley</v>
      </c>
      <c r="AO5" s="122" t="str">
        <f t="shared" si="6"/>
        <v>JicarillaIrr</v>
      </c>
      <c r="AP5" s="122" t="str">
        <f t="shared" si="6"/>
        <v>JicarillaNonIr</v>
      </c>
      <c r="AQ5" s="122" t="str">
        <f t="shared" si="6"/>
        <v>LaPlataNonIr</v>
      </c>
      <c r="AR5" s="122" t="str">
        <f t="shared" si="6"/>
        <v>LowerLaPlataIrr</v>
      </c>
      <c r="AS5" s="122" t="str">
        <f t="shared" si="6"/>
        <v>NavajoGallupBalance</v>
      </c>
      <c r="AT5" s="122" t="str">
        <f t="shared" si="6"/>
        <v>NIIP__DEP_NIIPUnit3</v>
      </c>
      <c r="AU5" s="122" t="str">
        <f t="shared" si="6"/>
        <v>NIIP__DEP_NIIPUnit5</v>
      </c>
      <c r="AV5" s="122" t="str">
        <f t="shared" si="6"/>
        <v>NIIP__DEP_NIIPUnit6</v>
      </c>
      <c r="AW5" s="122" t="str">
        <f t="shared" si="6"/>
        <v>NIIP__NavajoGallupNIIP</v>
      </c>
      <c r="AX5" s="122" t="str">
        <f t="shared" si="6"/>
        <v>NMAnimasIrr</v>
      </c>
      <c r="AY5" s="122" t="str">
        <f t="shared" si="6"/>
        <v>NMPineRiverAreaIrr</v>
      </c>
      <c r="AZ5" s="122" t="str">
        <f t="shared" si="6"/>
        <v>Pioneer</v>
      </c>
      <c r="BA5" s="122" t="str">
        <f t="shared" si="6"/>
        <v>Ralston</v>
      </c>
      <c r="BB5" s="122" t="str">
        <f t="shared" si="6"/>
        <v>ShiprockMI</v>
      </c>
      <c r="BC5" s="122" t="str">
        <f t="shared" si="6"/>
        <v>SJGeneratingStation</v>
      </c>
      <c r="BD5" s="122" t="str">
        <f t="shared" si="6"/>
        <v>TurleyDitch</v>
      </c>
      <c r="BE5" s="122" t="str">
        <f t="shared" si="6"/>
        <v>TwinRocks</v>
      </c>
      <c r="BF5" s="122" t="str">
        <f t="shared" si="6"/>
        <v>USNavajoNonIr</v>
      </c>
      <c r="BG5" s="122" t="str">
        <f t="shared" si="6"/>
        <v>UtahIrr</v>
      </c>
    </row>
    <row r="6" spans="1:59" s="2" customFormat="1" ht="120" x14ac:dyDescent="0.25">
      <c r="A6" s="2" t="s">
        <v>538</v>
      </c>
      <c r="B6" s="2" t="s">
        <v>480</v>
      </c>
      <c r="C6" s="2" t="s">
        <v>481</v>
      </c>
      <c r="D6" s="2" t="s">
        <v>482</v>
      </c>
      <c r="E6" s="2" t="s">
        <v>483</v>
      </c>
      <c r="F6" s="2" t="s">
        <v>484</v>
      </c>
      <c r="G6" s="2" t="s">
        <v>485</v>
      </c>
      <c r="H6" s="2" t="s">
        <v>486</v>
      </c>
      <c r="I6" s="2" t="s">
        <v>487</v>
      </c>
      <c r="J6" s="2" t="s">
        <v>488</v>
      </c>
      <c r="K6" s="2" t="s">
        <v>489</v>
      </c>
      <c r="L6" s="2" t="s">
        <v>490</v>
      </c>
      <c r="M6" s="2" t="s">
        <v>491</v>
      </c>
      <c r="N6" s="2" t="s">
        <v>492</v>
      </c>
      <c r="O6" s="2" t="s">
        <v>493</v>
      </c>
      <c r="P6" s="2" t="s">
        <v>494</v>
      </c>
      <c r="Q6" s="2" t="s">
        <v>495</v>
      </c>
      <c r="R6" s="2" t="s">
        <v>496</v>
      </c>
      <c r="S6" s="2" t="s">
        <v>497</v>
      </c>
      <c r="T6" s="2" t="s">
        <v>498</v>
      </c>
      <c r="U6" s="2" t="s">
        <v>499</v>
      </c>
      <c r="V6" s="2" t="s">
        <v>500</v>
      </c>
      <c r="W6" s="2" t="s">
        <v>501</v>
      </c>
      <c r="X6" s="2" t="s">
        <v>502</v>
      </c>
      <c r="Y6" s="2" t="s">
        <v>503</v>
      </c>
      <c r="Z6" s="2" t="s">
        <v>504</v>
      </c>
      <c r="AA6" s="2" t="s">
        <v>505</v>
      </c>
      <c r="AB6" s="2" t="s">
        <v>506</v>
      </c>
      <c r="AC6" s="2" t="s">
        <v>507</v>
      </c>
      <c r="AD6" s="2" t="s">
        <v>508</v>
      </c>
      <c r="AE6" s="2" t="s">
        <v>509</v>
      </c>
      <c r="AF6" s="2" t="s">
        <v>510</v>
      </c>
      <c r="AG6" s="2" t="s">
        <v>511</v>
      </c>
      <c r="AH6" s="2" t="s">
        <v>512</v>
      </c>
      <c r="AI6" s="2" t="s">
        <v>513</v>
      </c>
      <c r="AJ6" s="2" t="s">
        <v>514</v>
      </c>
      <c r="AK6" s="2" t="s">
        <v>515</v>
      </c>
      <c r="AL6" s="2" t="s">
        <v>516</v>
      </c>
      <c r="AM6" s="2" t="s">
        <v>517</v>
      </c>
      <c r="AN6" s="2" t="s">
        <v>518</v>
      </c>
      <c r="AO6" s="2" t="s">
        <v>519</v>
      </c>
      <c r="AP6" s="2" t="s">
        <v>520</v>
      </c>
      <c r="AQ6" s="2" t="s">
        <v>521</v>
      </c>
      <c r="AR6" s="2" t="s">
        <v>522</v>
      </c>
      <c r="AS6" s="2" t="s">
        <v>523</v>
      </c>
      <c r="AT6" s="2" t="s">
        <v>524</v>
      </c>
      <c r="AU6" s="2" t="s">
        <v>525</v>
      </c>
      <c r="AV6" s="2" t="s">
        <v>526</v>
      </c>
      <c r="AW6" s="2" t="s">
        <v>527</v>
      </c>
      <c r="AX6" s="2" t="s">
        <v>528</v>
      </c>
      <c r="AY6" s="2" t="s">
        <v>529</v>
      </c>
      <c r="AZ6" s="2" t="s">
        <v>530</v>
      </c>
      <c r="BA6" s="2" t="s">
        <v>531</v>
      </c>
      <c r="BB6" s="2" t="s">
        <v>532</v>
      </c>
      <c r="BC6" s="2" t="s">
        <v>533</v>
      </c>
      <c r="BD6" s="2" t="s">
        <v>534</v>
      </c>
      <c r="BE6" s="2" t="s">
        <v>535</v>
      </c>
      <c r="BF6" s="2" t="s">
        <v>536</v>
      </c>
      <c r="BG6" s="2" t="s">
        <v>537</v>
      </c>
    </row>
    <row r="7" spans="1:59" x14ac:dyDescent="0.25">
      <c r="A7" s="1">
        <v>10593.999305555555</v>
      </c>
      <c r="B7" s="493" t="s">
        <v>678</v>
      </c>
      <c r="C7" s="493" t="s">
        <v>678</v>
      </c>
      <c r="D7" s="493" t="s">
        <v>678</v>
      </c>
      <c r="E7" s="493" t="s">
        <v>678</v>
      </c>
      <c r="F7" s="493" t="s">
        <v>678</v>
      </c>
      <c r="G7" s="493" t="s">
        <v>678</v>
      </c>
      <c r="H7" s="493" t="s">
        <v>678</v>
      </c>
      <c r="I7" s="493" t="s">
        <v>678</v>
      </c>
      <c r="J7" s="493" t="s">
        <v>678</v>
      </c>
      <c r="K7" s="493" t="s">
        <v>678</v>
      </c>
      <c r="L7" s="493" t="s">
        <v>678</v>
      </c>
      <c r="M7" s="493" t="s">
        <v>678</v>
      </c>
      <c r="N7" s="493" t="s">
        <v>678</v>
      </c>
      <c r="O7" s="493" t="s">
        <v>678</v>
      </c>
      <c r="P7" s="493" t="s">
        <v>678</v>
      </c>
      <c r="Q7" s="493" t="s">
        <v>678</v>
      </c>
      <c r="R7" s="493" t="s">
        <v>678</v>
      </c>
      <c r="S7" s="493" t="s">
        <v>678</v>
      </c>
      <c r="T7" s="493" t="s">
        <v>678</v>
      </c>
      <c r="U7" s="493" t="s">
        <v>678</v>
      </c>
      <c r="V7" s="493" t="s">
        <v>678</v>
      </c>
      <c r="W7" s="493" t="s">
        <v>678</v>
      </c>
      <c r="X7" s="493" t="s">
        <v>678</v>
      </c>
      <c r="Y7" s="493" t="s">
        <v>678</v>
      </c>
      <c r="Z7" s="493" t="s">
        <v>678</v>
      </c>
      <c r="AA7" s="493" t="s">
        <v>678</v>
      </c>
      <c r="AB7" s="493" t="s">
        <v>678</v>
      </c>
      <c r="AC7" s="493" t="s">
        <v>678</v>
      </c>
      <c r="AD7" s="493" t="s">
        <v>678</v>
      </c>
      <c r="AE7" s="493" t="s">
        <v>678</v>
      </c>
      <c r="AF7" s="493" t="s">
        <v>678</v>
      </c>
      <c r="AG7" s="493" t="s">
        <v>678</v>
      </c>
      <c r="AH7" s="493" t="s">
        <v>678</v>
      </c>
      <c r="AI7" s="493" t="s">
        <v>678</v>
      </c>
      <c r="AJ7" s="493" t="s">
        <v>678</v>
      </c>
      <c r="AK7" s="493" t="s">
        <v>678</v>
      </c>
      <c r="AL7" s="493" t="s">
        <v>678</v>
      </c>
      <c r="AM7" s="493" t="s">
        <v>678</v>
      </c>
      <c r="AN7" s="493" t="s">
        <v>678</v>
      </c>
      <c r="AO7" s="493" t="s">
        <v>678</v>
      </c>
      <c r="AP7" s="493" t="s">
        <v>678</v>
      </c>
      <c r="AQ7" s="493" t="s">
        <v>678</v>
      </c>
      <c r="AR7" s="493" t="s">
        <v>678</v>
      </c>
      <c r="AS7" s="493" t="s">
        <v>678</v>
      </c>
      <c r="AT7" s="493" t="s">
        <v>678</v>
      </c>
      <c r="AU7" s="493" t="s">
        <v>678</v>
      </c>
      <c r="AV7" s="493" t="s">
        <v>678</v>
      </c>
      <c r="AW7" s="493" t="s">
        <v>678</v>
      </c>
      <c r="AX7" s="493" t="s">
        <v>678</v>
      </c>
      <c r="AY7" s="493" t="s">
        <v>678</v>
      </c>
      <c r="AZ7" s="493" t="s">
        <v>678</v>
      </c>
      <c r="BA7" s="493" t="s">
        <v>678</v>
      </c>
      <c r="BB7" s="493" t="s">
        <v>678</v>
      </c>
      <c r="BC7" s="493" t="s">
        <v>678</v>
      </c>
      <c r="BD7" s="493" t="s">
        <v>678</v>
      </c>
      <c r="BE7" s="493" t="s">
        <v>678</v>
      </c>
      <c r="BF7" s="493" t="s">
        <v>678</v>
      </c>
      <c r="BG7" s="493" t="s">
        <v>678</v>
      </c>
    </row>
    <row r="8" spans="1:59" x14ac:dyDescent="0.25">
      <c r="A8" s="1">
        <v>10958.999305555555</v>
      </c>
      <c r="B8" s="3">
        <v>1247.010000000537</v>
      </c>
      <c r="C8" s="3">
        <v>1746.8500000002621</v>
      </c>
      <c r="D8" s="3">
        <v>2261.1200000002882</v>
      </c>
      <c r="E8" s="3">
        <v>5370.3499999989081</v>
      </c>
      <c r="F8" s="3">
        <v>996.68000000011409</v>
      </c>
      <c r="G8" s="3">
        <v>2334.4100000015378</v>
      </c>
      <c r="H8" s="3">
        <v>234.99999999997297</v>
      </c>
      <c r="I8" s="3">
        <v>2499.9900000012822</v>
      </c>
      <c r="J8" s="3">
        <v>2499.9900000012672</v>
      </c>
      <c r="K8" s="3">
        <v>10411.999999998803</v>
      </c>
      <c r="L8" s="3">
        <v>899.99999999999977</v>
      </c>
      <c r="M8" s="3">
        <v>3659.1999999995969</v>
      </c>
      <c r="N8" s="3">
        <v>13916.560000015921</v>
      </c>
      <c r="O8" s="122">
        <v>11987.800000005504</v>
      </c>
      <c r="P8" s="122">
        <v>673.3700000003422</v>
      </c>
      <c r="Q8" s="122">
        <v>0</v>
      </c>
      <c r="R8" s="122">
        <v>2294.4700000004405</v>
      </c>
      <c r="S8" s="122">
        <v>1591.6899999993404</v>
      </c>
      <c r="T8" s="122">
        <v>504.47000000016385</v>
      </c>
      <c r="U8" s="122">
        <v>419.22999999996358</v>
      </c>
      <c r="V8" s="122">
        <v>5739.9700000027269</v>
      </c>
      <c r="W8" s="122">
        <v>899.98999999967975</v>
      </c>
      <c r="X8" s="122">
        <v>849.98999999941839</v>
      </c>
      <c r="Y8" s="122">
        <v>324.9999999999643</v>
      </c>
      <c r="Z8" s="122">
        <v>200.00000000007739</v>
      </c>
      <c r="AA8" s="122">
        <v>1000.0000000020067</v>
      </c>
      <c r="AB8" s="122">
        <v>1499.999999998952</v>
      </c>
      <c r="AC8" s="122">
        <v>1000.0000000020067</v>
      </c>
      <c r="AD8" s="122">
        <v>1499.999999998952</v>
      </c>
      <c r="AE8" s="122">
        <v>3350.9999999996153</v>
      </c>
      <c r="AF8" s="122">
        <v>212.79999999997537</v>
      </c>
      <c r="AG8" s="122">
        <v>8381.9999999990359</v>
      </c>
      <c r="AH8" s="122">
        <v>2054.1080248165572</v>
      </c>
      <c r="AI8" s="122">
        <v>5000.0100000008242</v>
      </c>
      <c r="AJ8" s="122">
        <v>38999.999998983854</v>
      </c>
      <c r="AK8" s="122">
        <v>7970.0000000000064</v>
      </c>
      <c r="AL8" s="122">
        <v>9463.9999999989122</v>
      </c>
      <c r="AM8" s="122">
        <v>12100.000000000005</v>
      </c>
      <c r="AN8" s="122">
        <v>2780.9999999996817</v>
      </c>
      <c r="AO8" s="122">
        <v>920.99999999989495</v>
      </c>
      <c r="AP8" s="122">
        <v>340.98999999997505</v>
      </c>
      <c r="AQ8" s="122">
        <v>1350.0100000000286</v>
      </c>
      <c r="AR8" s="122">
        <v>9502.9999999989104</v>
      </c>
      <c r="AS8" s="122">
        <v>31248.028099180548</v>
      </c>
      <c r="AT8" s="122">
        <v>66229.486245605673</v>
      </c>
      <c r="AU8" s="122">
        <v>66434.531094662816</v>
      </c>
      <c r="AV8" s="122">
        <v>72380.831717333451</v>
      </c>
      <c r="AW8" s="122">
        <v>4644.9719008195216</v>
      </c>
      <c r="AX8" s="122">
        <v>20661.409003981695</v>
      </c>
      <c r="AY8" s="122">
        <v>1281.9999999998511</v>
      </c>
      <c r="AZ8" s="122">
        <v>347.19999999996077</v>
      </c>
      <c r="BA8" s="122">
        <v>881.24019920308592</v>
      </c>
      <c r="BB8" s="122">
        <v>1300.0000000005809</v>
      </c>
      <c r="BC8" s="122">
        <v>16199.99999897049</v>
      </c>
      <c r="BD8" s="122">
        <v>526.99999999993918</v>
      </c>
      <c r="BE8" s="122">
        <v>543.35079681268633</v>
      </c>
      <c r="BF8" s="122">
        <v>550.00999999974545</v>
      </c>
      <c r="BG8" s="122">
        <v>12296.800000006155</v>
      </c>
    </row>
    <row r="9" spans="1:59" x14ac:dyDescent="0.25">
      <c r="A9" s="1">
        <v>11323.999305555555</v>
      </c>
      <c r="B9" s="3">
        <v>1247.010000000537</v>
      </c>
      <c r="C9" s="3">
        <v>1746.8500000002621</v>
      </c>
      <c r="D9" s="3">
        <v>2261.1200000002882</v>
      </c>
      <c r="E9" s="3">
        <v>5370.3499999989081</v>
      </c>
      <c r="F9" s="3">
        <v>996.68000000011409</v>
      </c>
      <c r="G9" s="3">
        <v>2334.4100000015378</v>
      </c>
      <c r="H9" s="3">
        <v>266.99999999996948</v>
      </c>
      <c r="I9" s="3">
        <v>2499.9900000012822</v>
      </c>
      <c r="J9" s="3">
        <v>2499.9900000012672</v>
      </c>
      <c r="K9" s="3">
        <v>11781.999999998641</v>
      </c>
      <c r="L9" s="3">
        <v>899.99999999999977</v>
      </c>
      <c r="M9" s="3">
        <v>3659.1999999995969</v>
      </c>
      <c r="N9" s="3">
        <v>13916.560000015921</v>
      </c>
      <c r="O9" s="122">
        <v>11987.800000005504</v>
      </c>
      <c r="P9" s="122">
        <v>673.3700000003422</v>
      </c>
      <c r="Q9" s="122">
        <v>0</v>
      </c>
      <c r="R9" s="122">
        <v>2294.4700000004405</v>
      </c>
      <c r="S9" s="122">
        <v>1591.6899999993404</v>
      </c>
      <c r="T9" s="122">
        <v>504.47000000016385</v>
      </c>
      <c r="U9" s="122">
        <v>419.22999999996358</v>
      </c>
      <c r="V9" s="122">
        <v>5739.9700000027269</v>
      </c>
      <c r="W9" s="122">
        <v>899.98999999967975</v>
      </c>
      <c r="X9" s="122">
        <v>849.98999999941839</v>
      </c>
      <c r="Y9" s="122">
        <v>324.9999999999643</v>
      </c>
      <c r="Z9" s="122">
        <v>200.00000000007739</v>
      </c>
      <c r="AA9" s="122">
        <v>1000.0000000020067</v>
      </c>
      <c r="AB9" s="122">
        <v>1499.999999998952</v>
      </c>
      <c r="AC9" s="122">
        <v>1000.0000000020067</v>
      </c>
      <c r="AD9" s="122">
        <v>1499.999999998952</v>
      </c>
      <c r="AE9" s="122">
        <v>3831.9999999995598</v>
      </c>
      <c r="AF9" s="122">
        <v>246.99999999997155</v>
      </c>
      <c r="AG9" s="122">
        <v>9244.9999999989286</v>
      </c>
      <c r="AH9" s="122">
        <v>2358.9999999997262</v>
      </c>
      <c r="AI9" s="122">
        <v>5000.0100000008242</v>
      </c>
      <c r="AJ9" s="122">
        <v>38999.999998983854</v>
      </c>
      <c r="AK9" s="122">
        <v>7970</v>
      </c>
      <c r="AL9" s="122">
        <v>10714.999999998774</v>
      </c>
      <c r="AM9" s="122">
        <v>12099.999999999991</v>
      </c>
      <c r="AN9" s="122">
        <v>2945.9999999996617</v>
      </c>
      <c r="AO9" s="122">
        <v>1010.9999999998838</v>
      </c>
      <c r="AP9" s="122">
        <v>340.98999999997505</v>
      </c>
      <c r="AQ9" s="122">
        <v>1350.0100000000286</v>
      </c>
      <c r="AR9" s="122">
        <v>11132.999999998719</v>
      </c>
      <c r="AS9" s="122">
        <v>31248.028099180548</v>
      </c>
      <c r="AT9" s="122">
        <v>73032.401884640887</v>
      </c>
      <c r="AU9" s="122">
        <v>73258.508392023708</v>
      </c>
      <c r="AV9" s="122">
        <v>79815.597106124755</v>
      </c>
      <c r="AW9" s="122">
        <v>4644.9719008195216</v>
      </c>
      <c r="AX9" s="122">
        <v>24365.981115535051</v>
      </c>
      <c r="AY9" s="122">
        <v>1475.9999999998304</v>
      </c>
      <c r="AZ9" s="122">
        <v>402.99999999995515</v>
      </c>
      <c r="BA9" s="122">
        <v>1039.2457768923107</v>
      </c>
      <c r="BB9" s="122">
        <v>1300.0000000005809</v>
      </c>
      <c r="BC9" s="122">
        <v>16199.99999897049</v>
      </c>
      <c r="BD9" s="122">
        <v>596.99999999993088</v>
      </c>
      <c r="BE9" s="122">
        <v>640.77310756964687</v>
      </c>
      <c r="BF9" s="122">
        <v>550.00999999974545</v>
      </c>
      <c r="BG9" s="122">
        <v>12296.800000006155</v>
      </c>
    </row>
    <row r="10" spans="1:59" x14ac:dyDescent="0.25">
      <c r="A10" s="1">
        <v>11688.999305555555</v>
      </c>
      <c r="B10" s="3">
        <v>1247.010000000537</v>
      </c>
      <c r="C10" s="3">
        <v>1746.8500000002621</v>
      </c>
      <c r="D10" s="3">
        <v>2261.1200000002882</v>
      </c>
      <c r="E10" s="3">
        <v>5370.3499999989081</v>
      </c>
      <c r="F10" s="3">
        <v>996.68000000011409</v>
      </c>
      <c r="G10" s="3">
        <v>2334.4100000015378</v>
      </c>
      <c r="H10" s="3">
        <v>264.99999999996959</v>
      </c>
      <c r="I10" s="3">
        <v>2499.9900000012822</v>
      </c>
      <c r="J10" s="3">
        <v>2499.9900000012672</v>
      </c>
      <c r="K10" s="3">
        <v>11675.999999998658</v>
      </c>
      <c r="L10" s="3">
        <v>900.00000000000125</v>
      </c>
      <c r="M10" s="3">
        <v>3659.1999999995969</v>
      </c>
      <c r="N10" s="3">
        <v>13916.560000015921</v>
      </c>
      <c r="O10" s="122">
        <v>11987.800000005504</v>
      </c>
      <c r="P10" s="122">
        <v>673.3700000003422</v>
      </c>
      <c r="Q10" s="122">
        <v>111.33020017531827</v>
      </c>
      <c r="R10" s="122">
        <v>2294.4700000004405</v>
      </c>
      <c r="S10" s="122">
        <v>1591.6899999993404</v>
      </c>
      <c r="T10" s="122">
        <v>504.47000000016385</v>
      </c>
      <c r="U10" s="122">
        <v>419.22999999996358</v>
      </c>
      <c r="V10" s="122">
        <v>5739.9700000027269</v>
      </c>
      <c r="W10" s="122">
        <v>899.98999999967975</v>
      </c>
      <c r="X10" s="122">
        <v>849.98999999941839</v>
      </c>
      <c r="Y10" s="122">
        <v>324.9999999999643</v>
      </c>
      <c r="Z10" s="122">
        <v>200.00000000007739</v>
      </c>
      <c r="AA10" s="122">
        <v>1000.0000000020067</v>
      </c>
      <c r="AB10" s="122">
        <v>1499.999999998952</v>
      </c>
      <c r="AC10" s="122">
        <v>1000.0000000020067</v>
      </c>
      <c r="AD10" s="122">
        <v>1499.999999998952</v>
      </c>
      <c r="AE10" s="122">
        <v>3749.9999999995671</v>
      </c>
      <c r="AF10" s="122">
        <v>238.63999999997273</v>
      </c>
      <c r="AG10" s="122">
        <v>9201.9999999989486</v>
      </c>
      <c r="AH10" s="122">
        <v>2292.3505707510376</v>
      </c>
      <c r="AI10" s="122">
        <v>5000.0100000008242</v>
      </c>
      <c r="AJ10" s="122">
        <v>38999.999998983854</v>
      </c>
      <c r="AK10" s="122">
        <v>7970.0000000000155</v>
      </c>
      <c r="AL10" s="122">
        <v>10663.999999998772</v>
      </c>
      <c r="AM10" s="122">
        <v>12099.999999999993</v>
      </c>
      <c r="AN10" s="122">
        <v>3042.9999999996512</v>
      </c>
      <c r="AO10" s="122">
        <v>1097.9999999998745</v>
      </c>
      <c r="AP10" s="122">
        <v>340.98999999997505</v>
      </c>
      <c r="AQ10" s="122">
        <v>1350.0100000000286</v>
      </c>
      <c r="AR10" s="122">
        <v>10686.999999998772</v>
      </c>
      <c r="AS10" s="122">
        <v>31248.028099180548</v>
      </c>
      <c r="AT10" s="122">
        <v>72606.415938926133</v>
      </c>
      <c r="AU10" s="122">
        <v>72831.203604371447</v>
      </c>
      <c r="AV10" s="122">
        <v>79350.045902293728</v>
      </c>
      <c r="AW10" s="122">
        <v>4644.9719008195216</v>
      </c>
      <c r="AX10" s="122">
        <v>23219.060557766257</v>
      </c>
      <c r="AY10" s="122">
        <v>1449.9999999998336</v>
      </c>
      <c r="AZ10" s="122">
        <v>389.3599999999546</v>
      </c>
      <c r="BA10" s="122">
        <v>990.32788844610172</v>
      </c>
      <c r="BB10" s="122">
        <v>1300.0000000005809</v>
      </c>
      <c r="BC10" s="122">
        <v>16199.99999897049</v>
      </c>
      <c r="BD10" s="122">
        <v>590.99999999993156</v>
      </c>
      <c r="BE10" s="122">
        <v>610.61155378479077</v>
      </c>
      <c r="BF10" s="122">
        <v>550.00999999974545</v>
      </c>
      <c r="BG10" s="122">
        <v>12296.800000006155</v>
      </c>
    </row>
    <row r="11" spans="1:59" x14ac:dyDescent="0.25">
      <c r="A11" s="1">
        <v>12054.999305555555</v>
      </c>
      <c r="B11" s="3">
        <v>1247.010000000537</v>
      </c>
      <c r="C11" s="3">
        <v>1746.8500000002621</v>
      </c>
      <c r="D11" s="3">
        <v>2261.1200000002882</v>
      </c>
      <c r="E11" s="3">
        <v>5370.3499999989081</v>
      </c>
      <c r="F11" s="3">
        <v>996.68000000011409</v>
      </c>
      <c r="G11" s="3">
        <v>2334.4100000015383</v>
      </c>
      <c r="H11" s="3">
        <v>232.99999999997314</v>
      </c>
      <c r="I11" s="3">
        <v>2499.9900000012822</v>
      </c>
      <c r="J11" s="3">
        <v>2499.9900000012672</v>
      </c>
      <c r="K11" s="3">
        <v>10349.999999998814</v>
      </c>
      <c r="L11" s="3">
        <v>899.99999999999943</v>
      </c>
      <c r="M11" s="3">
        <v>3659.1999999995965</v>
      </c>
      <c r="N11" s="3">
        <v>13916.560000015921</v>
      </c>
      <c r="O11" s="122">
        <v>11987.800000005504</v>
      </c>
      <c r="P11" s="122">
        <v>673.3700000003422</v>
      </c>
      <c r="Q11" s="122">
        <v>0</v>
      </c>
      <c r="R11" s="122">
        <v>2294.4700000004405</v>
      </c>
      <c r="S11" s="122">
        <v>1591.6899999993404</v>
      </c>
      <c r="T11" s="122">
        <v>504.47000000016385</v>
      </c>
      <c r="U11" s="122">
        <v>419.22999999996358</v>
      </c>
      <c r="V11" s="122">
        <v>5739.970000002726</v>
      </c>
      <c r="W11" s="122">
        <v>899.98999999967964</v>
      </c>
      <c r="X11" s="122">
        <v>849.98999999941861</v>
      </c>
      <c r="Y11" s="122">
        <v>324.9999999999643</v>
      </c>
      <c r="Z11" s="122">
        <v>200.00000000007739</v>
      </c>
      <c r="AA11" s="122">
        <v>1000.0000000020035</v>
      </c>
      <c r="AB11" s="122">
        <v>1499.9999999989695</v>
      </c>
      <c r="AC11" s="122">
        <v>1000.0000000020035</v>
      </c>
      <c r="AD11" s="122">
        <v>1499.9999999989695</v>
      </c>
      <c r="AE11" s="122">
        <v>3814.9999999995607</v>
      </c>
      <c r="AF11" s="122">
        <v>237.49999999997181</v>
      </c>
      <c r="AG11" s="122">
        <v>9472.9999999989213</v>
      </c>
      <c r="AH11" s="122">
        <v>2322.6529538075652</v>
      </c>
      <c r="AI11" s="122">
        <v>5000.0100000008242</v>
      </c>
      <c r="AJ11" s="122">
        <v>38999.999998983862</v>
      </c>
      <c r="AK11" s="122">
        <v>7970.0000000000036</v>
      </c>
      <c r="AL11" s="122">
        <v>9367.9999999989159</v>
      </c>
      <c r="AM11" s="122">
        <v>12100</v>
      </c>
      <c r="AN11" s="122">
        <v>2981.9999999996558</v>
      </c>
      <c r="AO11" s="122">
        <v>1058.9999999998784</v>
      </c>
      <c r="AP11" s="122">
        <v>340.98999999997511</v>
      </c>
      <c r="AQ11" s="122">
        <v>1350.0100000000286</v>
      </c>
      <c r="AR11" s="122">
        <v>10713.999999998774</v>
      </c>
      <c r="AS11" s="122">
        <v>31235.302148767347</v>
      </c>
      <c r="AT11" s="122">
        <v>69705.664744417722</v>
      </c>
      <c r="AU11" s="122">
        <v>69921.471756010316</v>
      </c>
      <c r="AV11" s="122">
        <v>76179.875092196351</v>
      </c>
      <c r="AW11" s="122">
        <v>4657.697851232725</v>
      </c>
      <c r="AX11" s="122">
        <v>23472.580517925584</v>
      </c>
      <c r="AY11" s="122">
        <v>1390.9999999998392</v>
      </c>
      <c r="AZ11" s="122">
        <v>387.49999999995521</v>
      </c>
      <c r="BA11" s="122">
        <v>1001.1408964142272</v>
      </c>
      <c r="BB11" s="122">
        <v>1300.0000000005807</v>
      </c>
      <c r="BC11" s="122">
        <v>16199.999998970494</v>
      </c>
      <c r="BD11" s="122">
        <v>523.99999999993963</v>
      </c>
      <c r="BE11" s="122">
        <v>617.27858565729935</v>
      </c>
      <c r="BF11" s="122">
        <v>550.00999999974533</v>
      </c>
      <c r="BG11" s="122">
        <v>12296.800000006155</v>
      </c>
    </row>
    <row r="12" spans="1:59" x14ac:dyDescent="0.25">
      <c r="A12" s="1">
        <v>12419.999305555555</v>
      </c>
      <c r="B12" s="3">
        <v>1247.010000000537</v>
      </c>
      <c r="C12" s="3">
        <v>1746.8500000002621</v>
      </c>
      <c r="D12" s="3">
        <v>2261.1200000002882</v>
      </c>
      <c r="E12" s="3">
        <v>5370.3499999989081</v>
      </c>
      <c r="F12" s="3">
        <v>996.68000000011409</v>
      </c>
      <c r="G12" s="3">
        <v>2334.4100000015378</v>
      </c>
      <c r="H12" s="3">
        <v>226.99999999997397</v>
      </c>
      <c r="I12" s="3">
        <v>2499.9900000012822</v>
      </c>
      <c r="J12" s="3">
        <v>2499.9900000012672</v>
      </c>
      <c r="K12" s="3">
        <v>10007.999999998856</v>
      </c>
      <c r="L12" s="3">
        <v>900.00000000000011</v>
      </c>
      <c r="M12" s="3">
        <v>3659.1999999995969</v>
      </c>
      <c r="N12" s="3">
        <v>13916.560000015921</v>
      </c>
      <c r="O12" s="122">
        <v>11987.800000005504</v>
      </c>
      <c r="P12" s="122">
        <v>673.3700000003422</v>
      </c>
      <c r="Q12" s="122">
        <v>18.67463980477314</v>
      </c>
      <c r="R12" s="122">
        <v>2294.4700000004405</v>
      </c>
      <c r="S12" s="122">
        <v>1591.6899999993404</v>
      </c>
      <c r="T12" s="122">
        <v>504.47000000016385</v>
      </c>
      <c r="U12" s="122">
        <v>419.22999999996358</v>
      </c>
      <c r="V12" s="122">
        <v>5739.9700000027269</v>
      </c>
      <c r="W12" s="122">
        <v>899.98999999967975</v>
      </c>
      <c r="X12" s="122">
        <v>849.98999999941839</v>
      </c>
      <c r="Y12" s="122">
        <v>324.9999999999643</v>
      </c>
      <c r="Z12" s="122">
        <v>200.00000000007739</v>
      </c>
      <c r="AA12" s="122">
        <v>1000.0000000020067</v>
      </c>
      <c r="AB12" s="122">
        <v>1499.999999998952</v>
      </c>
      <c r="AC12" s="122">
        <v>1000.0000000020067</v>
      </c>
      <c r="AD12" s="122">
        <v>1499.999999998952</v>
      </c>
      <c r="AE12" s="122">
        <v>3812.9999999995603</v>
      </c>
      <c r="AF12" s="122">
        <v>238.63999999997202</v>
      </c>
      <c r="AG12" s="122">
        <v>9616.9999999988904</v>
      </c>
      <c r="AH12" s="122">
        <v>2295.2306319885201</v>
      </c>
      <c r="AI12" s="122">
        <v>5000.0100000008242</v>
      </c>
      <c r="AJ12" s="122">
        <v>38999.999998983854</v>
      </c>
      <c r="AK12" s="122">
        <v>7969.9999999999991</v>
      </c>
      <c r="AL12" s="122">
        <v>9116.9999999989468</v>
      </c>
      <c r="AM12" s="122">
        <v>12099.999999999991</v>
      </c>
      <c r="AN12" s="122">
        <v>3260.9999999996253</v>
      </c>
      <c r="AO12" s="122">
        <v>1241.999999999857</v>
      </c>
      <c r="AP12" s="122">
        <v>340.98999999997505</v>
      </c>
      <c r="AQ12" s="122">
        <v>1350.0100000000286</v>
      </c>
      <c r="AR12" s="122">
        <v>10749.999999998763</v>
      </c>
      <c r="AS12" s="122">
        <v>31248.028099180548</v>
      </c>
      <c r="AT12" s="122">
        <v>68857.38419549368</v>
      </c>
      <c r="AU12" s="122">
        <v>69070.564951517139</v>
      </c>
      <c r="AV12" s="122">
        <v>75252.806876189949</v>
      </c>
      <c r="AW12" s="122">
        <v>4644.9719008195216</v>
      </c>
      <c r="AX12" s="122">
        <v>23422.999123503283</v>
      </c>
      <c r="AY12" s="122">
        <v>1428.9999999998358</v>
      </c>
      <c r="AZ12" s="122">
        <v>389.35999999995545</v>
      </c>
      <c r="BA12" s="122">
        <v>999.02617529868974</v>
      </c>
      <c r="BB12" s="122">
        <v>1300.0000000005809</v>
      </c>
      <c r="BC12" s="122">
        <v>16199.99999897049</v>
      </c>
      <c r="BD12" s="122">
        <v>506.99999999994156</v>
      </c>
      <c r="BE12" s="122">
        <v>615.9747011951481</v>
      </c>
      <c r="BF12" s="122">
        <v>550.00999999974545</v>
      </c>
      <c r="BG12" s="122">
        <v>12296.800000006155</v>
      </c>
    </row>
    <row r="13" spans="1:59" x14ac:dyDescent="0.25">
      <c r="A13" s="1">
        <v>12784.999305555555</v>
      </c>
      <c r="B13" s="3">
        <v>1247.010000000537</v>
      </c>
      <c r="C13" s="3">
        <v>1746.8500000002621</v>
      </c>
      <c r="D13" s="3">
        <v>2261.1200000002882</v>
      </c>
      <c r="E13" s="3">
        <v>5370.3499999989081</v>
      </c>
      <c r="F13" s="3">
        <v>996.68000000011409</v>
      </c>
      <c r="G13" s="3">
        <v>2334.4100000015378</v>
      </c>
      <c r="H13" s="3">
        <v>250.99999999997129</v>
      </c>
      <c r="I13" s="3">
        <v>2499.9900000012822</v>
      </c>
      <c r="J13" s="3">
        <v>2499.9900000012672</v>
      </c>
      <c r="K13" s="3">
        <v>11220.999999998698</v>
      </c>
      <c r="L13" s="3">
        <v>899.99999999999977</v>
      </c>
      <c r="M13" s="3">
        <v>3659.1999999995969</v>
      </c>
      <c r="N13" s="3">
        <v>13916.560000015921</v>
      </c>
      <c r="O13" s="122">
        <v>11987.800000005504</v>
      </c>
      <c r="P13" s="122">
        <v>673.3700000003422</v>
      </c>
      <c r="Q13" s="122">
        <v>653.63731661966904</v>
      </c>
      <c r="R13" s="122">
        <v>2294.4700000004405</v>
      </c>
      <c r="S13" s="122">
        <v>1591.6899999993404</v>
      </c>
      <c r="T13" s="122">
        <v>504.47000000016385</v>
      </c>
      <c r="U13" s="122">
        <v>419.22999999996358</v>
      </c>
      <c r="V13" s="122">
        <v>5739.9700000027269</v>
      </c>
      <c r="W13" s="122">
        <v>899.98999999967975</v>
      </c>
      <c r="X13" s="122">
        <v>849.98999999941839</v>
      </c>
      <c r="Y13" s="122">
        <v>324.9999999999643</v>
      </c>
      <c r="Z13" s="122">
        <v>200.00000000007739</v>
      </c>
      <c r="AA13" s="122">
        <v>1000.0000000020067</v>
      </c>
      <c r="AB13" s="122">
        <v>1499.999999998952</v>
      </c>
      <c r="AC13" s="122">
        <v>1000.0000000020067</v>
      </c>
      <c r="AD13" s="122">
        <v>1499.999999998952</v>
      </c>
      <c r="AE13" s="122">
        <v>3977.9999999995389</v>
      </c>
      <c r="AF13" s="122">
        <v>254.97999999997</v>
      </c>
      <c r="AG13" s="122">
        <v>9670.9999999988777</v>
      </c>
      <c r="AH13" s="122">
        <v>2412.0696176563615</v>
      </c>
      <c r="AI13" s="122">
        <v>5000.0100000008242</v>
      </c>
      <c r="AJ13" s="122">
        <v>38999.999998983854</v>
      </c>
      <c r="AK13" s="122">
        <v>7970.0000000000127</v>
      </c>
      <c r="AL13" s="122">
        <v>10133.999999998829</v>
      </c>
      <c r="AM13" s="122">
        <v>12099.999999999991</v>
      </c>
      <c r="AN13" s="122">
        <v>3252.9999999996257</v>
      </c>
      <c r="AO13" s="122">
        <v>1407.9999999998367</v>
      </c>
      <c r="AP13" s="122">
        <v>340.98999999997505</v>
      </c>
      <c r="AQ13" s="122">
        <v>1350.0100000000286</v>
      </c>
      <c r="AR13" s="122">
        <v>11629.999999998659</v>
      </c>
      <c r="AS13" s="122">
        <v>31248.028099180548</v>
      </c>
      <c r="AT13" s="122">
        <v>66913.039507008827</v>
      </c>
      <c r="AU13" s="122">
        <v>67120.200620033444</v>
      </c>
      <c r="AV13" s="122">
        <v>73127.872897752663</v>
      </c>
      <c r="AW13" s="122">
        <v>4644.9719008195216</v>
      </c>
      <c r="AX13" s="122">
        <v>25986.263665335653</v>
      </c>
      <c r="AY13" s="122">
        <v>1624.9999999998129</v>
      </c>
      <c r="AZ13" s="122">
        <v>416.01999999995292</v>
      </c>
      <c r="BA13" s="122">
        <v>1108.3532669321453</v>
      </c>
      <c r="BB13" s="122">
        <v>1300.0000000005809</v>
      </c>
      <c r="BC13" s="122">
        <v>16199.99999897049</v>
      </c>
      <c r="BD13" s="122">
        <v>566.99999999993497</v>
      </c>
      <c r="BE13" s="122">
        <v>683.38306772900546</v>
      </c>
      <c r="BF13" s="122">
        <v>550.00999999974545</v>
      </c>
      <c r="BG13" s="122">
        <v>12296.800000006155</v>
      </c>
    </row>
    <row r="14" spans="1:59" x14ac:dyDescent="0.25">
      <c r="A14" s="1">
        <v>13149.999305555555</v>
      </c>
      <c r="B14" s="3">
        <v>1247.010000000537</v>
      </c>
      <c r="C14" s="3">
        <v>1746.8500000002621</v>
      </c>
      <c r="D14" s="3">
        <v>2261.1200000002882</v>
      </c>
      <c r="E14" s="3">
        <v>5370.3499999989081</v>
      </c>
      <c r="F14" s="3">
        <v>996.68000000011409</v>
      </c>
      <c r="G14" s="3">
        <v>2334.4100000015378</v>
      </c>
      <c r="H14" s="3">
        <v>215.99999999997516</v>
      </c>
      <c r="I14" s="3">
        <v>2499.9900000012822</v>
      </c>
      <c r="J14" s="3">
        <v>2499.9900000012672</v>
      </c>
      <c r="K14" s="3">
        <v>9509.999999998905</v>
      </c>
      <c r="L14" s="3">
        <v>899.99999999999977</v>
      </c>
      <c r="M14" s="3">
        <v>3659.1999999995969</v>
      </c>
      <c r="N14" s="3">
        <v>13916.560000015921</v>
      </c>
      <c r="O14" s="122">
        <v>11987.800000005504</v>
      </c>
      <c r="P14" s="122">
        <v>673.3700000003422</v>
      </c>
      <c r="Q14" s="122">
        <v>0</v>
      </c>
      <c r="R14" s="122">
        <v>2294.4700000004405</v>
      </c>
      <c r="S14" s="122">
        <v>1591.6899999993404</v>
      </c>
      <c r="T14" s="122">
        <v>504.47000000016385</v>
      </c>
      <c r="U14" s="122">
        <v>419.22999999996358</v>
      </c>
      <c r="V14" s="122">
        <v>5739.9700000027269</v>
      </c>
      <c r="W14" s="122">
        <v>899.98999999967975</v>
      </c>
      <c r="X14" s="122">
        <v>849.98999999941839</v>
      </c>
      <c r="Y14" s="122">
        <v>324.9999999999643</v>
      </c>
      <c r="Z14" s="122">
        <v>200.00000000007739</v>
      </c>
      <c r="AA14" s="122">
        <v>1000.0000000020067</v>
      </c>
      <c r="AB14" s="122">
        <v>1499.999999998952</v>
      </c>
      <c r="AC14" s="122">
        <v>1000.0000000020067</v>
      </c>
      <c r="AD14" s="122">
        <v>1499.999999998952</v>
      </c>
      <c r="AE14" s="122">
        <v>3800.9999999995616</v>
      </c>
      <c r="AF14" s="122">
        <v>220.77999999997502</v>
      </c>
      <c r="AG14" s="122">
        <v>9342.9999999989268</v>
      </c>
      <c r="AH14" s="122">
        <v>2316.7596858690208</v>
      </c>
      <c r="AI14" s="122">
        <v>5000.0100000008242</v>
      </c>
      <c r="AJ14" s="122">
        <v>38999.999998983854</v>
      </c>
      <c r="AK14" s="122">
        <v>7969.9999999999909</v>
      </c>
      <c r="AL14" s="122">
        <v>8625.9999999990068</v>
      </c>
      <c r="AM14" s="122">
        <v>12099.999999999996</v>
      </c>
      <c r="AN14" s="122">
        <v>3122.9999999996398</v>
      </c>
      <c r="AO14" s="122">
        <v>1006.9999999998837</v>
      </c>
      <c r="AP14" s="122">
        <v>340.98999999997505</v>
      </c>
      <c r="AQ14" s="122">
        <v>1350.0100000000286</v>
      </c>
      <c r="AR14" s="122">
        <v>9920.9999999988577</v>
      </c>
      <c r="AS14" s="122">
        <v>31248.028099180548</v>
      </c>
      <c r="AT14" s="122">
        <v>65251.554633783759</v>
      </c>
      <c r="AU14" s="122">
        <v>65453.571830792018</v>
      </c>
      <c r="AV14" s="122">
        <v>71312.070544042348</v>
      </c>
      <c r="AW14" s="122">
        <v>4644.9719008195216</v>
      </c>
      <c r="AX14" s="122">
        <v>21614.681474101086</v>
      </c>
      <c r="AY14" s="122">
        <v>1230.9999999998588</v>
      </c>
      <c r="AZ14" s="122">
        <v>360.21999999995899</v>
      </c>
      <c r="BA14" s="122">
        <v>921.89870517917723</v>
      </c>
      <c r="BB14" s="122">
        <v>1300.0000000005809</v>
      </c>
      <c r="BC14" s="122">
        <v>16199.99999897049</v>
      </c>
      <c r="BD14" s="122">
        <v>479.99999999994475</v>
      </c>
      <c r="BE14" s="122">
        <v>568.41982071706616</v>
      </c>
      <c r="BF14" s="122">
        <v>550.00999999974545</v>
      </c>
      <c r="BG14" s="122">
        <v>12296.800000006155</v>
      </c>
    </row>
    <row r="15" spans="1:59" x14ac:dyDescent="0.25">
      <c r="A15" s="1">
        <v>13515.999305555555</v>
      </c>
      <c r="B15" s="3">
        <v>1247.010000000537</v>
      </c>
      <c r="C15" s="3">
        <v>1746.8500000002621</v>
      </c>
      <c r="D15" s="3">
        <v>2261.1200000002882</v>
      </c>
      <c r="E15" s="3">
        <v>5370.3499999989081</v>
      </c>
      <c r="F15" s="3">
        <v>996.68000000011409</v>
      </c>
      <c r="G15" s="3">
        <v>2334.4100000015383</v>
      </c>
      <c r="H15" s="3">
        <v>256.99999999997056</v>
      </c>
      <c r="I15" s="3">
        <v>2499.9900000012822</v>
      </c>
      <c r="J15" s="3">
        <v>2499.9900000012672</v>
      </c>
      <c r="K15" s="3">
        <v>11308.999999998703</v>
      </c>
      <c r="L15" s="3">
        <v>899.99999999999955</v>
      </c>
      <c r="M15" s="3">
        <v>3659.1999999995965</v>
      </c>
      <c r="N15" s="3">
        <v>13916.560000015921</v>
      </c>
      <c r="O15" s="122">
        <v>11987.800000005504</v>
      </c>
      <c r="P15" s="122">
        <v>673.3700000003422</v>
      </c>
      <c r="Q15" s="122">
        <v>0</v>
      </c>
      <c r="R15" s="122">
        <v>2294.4700000004405</v>
      </c>
      <c r="S15" s="122">
        <v>1591.6899999993404</v>
      </c>
      <c r="T15" s="122">
        <v>504.47000000016385</v>
      </c>
      <c r="U15" s="122">
        <v>419.22999999996358</v>
      </c>
      <c r="V15" s="122">
        <v>5739.970000002726</v>
      </c>
      <c r="W15" s="122">
        <v>899.98999999967964</v>
      </c>
      <c r="X15" s="122">
        <v>849.98999999941861</v>
      </c>
      <c r="Y15" s="122">
        <v>324.9999999999643</v>
      </c>
      <c r="Z15" s="122">
        <v>200.00000000007739</v>
      </c>
      <c r="AA15" s="122">
        <v>1000.0000000020035</v>
      </c>
      <c r="AB15" s="122">
        <v>1499.9999999989695</v>
      </c>
      <c r="AC15" s="122">
        <v>1000.0000000020035</v>
      </c>
      <c r="AD15" s="122">
        <v>1499.9999999989695</v>
      </c>
      <c r="AE15" s="122">
        <v>3787.9999999995675</v>
      </c>
      <c r="AF15" s="122">
        <v>243.95999999997247</v>
      </c>
      <c r="AG15" s="122">
        <v>9385.9999999989104</v>
      </c>
      <c r="AH15" s="122">
        <v>2274.5060885456451</v>
      </c>
      <c r="AI15" s="122">
        <v>5000.0100000008242</v>
      </c>
      <c r="AJ15" s="122">
        <v>38999.999998983862</v>
      </c>
      <c r="AK15" s="122">
        <v>7969.9999999999955</v>
      </c>
      <c r="AL15" s="122">
        <v>10304.999999998818</v>
      </c>
      <c r="AM15" s="122">
        <v>12099.999999999989</v>
      </c>
      <c r="AN15" s="122">
        <v>3124.9999999996403</v>
      </c>
      <c r="AO15" s="122">
        <v>1072.999999999877</v>
      </c>
      <c r="AP15" s="122">
        <v>340.98999999997511</v>
      </c>
      <c r="AQ15" s="122">
        <v>1350.0100000000286</v>
      </c>
      <c r="AR15" s="122">
        <v>11003.999999998738</v>
      </c>
      <c r="AS15" s="122">
        <v>31235.302148767347</v>
      </c>
      <c r="AT15" s="122">
        <v>80364.422990971681</v>
      </c>
      <c r="AU15" s="122">
        <v>80613.229254101883</v>
      </c>
      <c r="AV15" s="122">
        <v>87828.610884870024</v>
      </c>
      <c r="AW15" s="122">
        <v>4657.697851232725</v>
      </c>
      <c r="AX15" s="122">
        <v>24101.235179280102</v>
      </c>
      <c r="AY15" s="122">
        <v>1447.9999999998331</v>
      </c>
      <c r="AZ15" s="122">
        <v>398.03999999995409</v>
      </c>
      <c r="BA15" s="122">
        <v>1027.9539641433087</v>
      </c>
      <c r="BB15" s="122">
        <v>1300.0000000005807</v>
      </c>
      <c r="BC15" s="122">
        <v>16199.999998970494</v>
      </c>
      <c r="BD15" s="122">
        <v>572.99999999993418</v>
      </c>
      <c r="BE15" s="122">
        <v>633.8108565736319</v>
      </c>
      <c r="BF15" s="122">
        <v>550.00999999974533</v>
      </c>
      <c r="BG15" s="122">
        <v>12296.800000006155</v>
      </c>
    </row>
    <row r="16" spans="1:59" x14ac:dyDescent="0.25">
      <c r="A16" s="1">
        <v>13880.999305555555</v>
      </c>
      <c r="B16" s="3">
        <v>1247.010000000537</v>
      </c>
      <c r="C16" s="3">
        <v>1746.8500000002621</v>
      </c>
      <c r="D16" s="3">
        <v>2261.1200000002882</v>
      </c>
      <c r="E16" s="3">
        <v>5370.3499999989081</v>
      </c>
      <c r="F16" s="3">
        <v>996.68000000011409</v>
      </c>
      <c r="G16" s="3">
        <v>2334.4100000015378</v>
      </c>
      <c r="H16" s="3">
        <v>272.99999999996874</v>
      </c>
      <c r="I16" s="3">
        <v>2499.9900000012822</v>
      </c>
      <c r="J16" s="3">
        <v>2499.9900000012672</v>
      </c>
      <c r="K16" s="3">
        <v>12076.999999998614</v>
      </c>
      <c r="L16" s="3">
        <v>900.00000000000114</v>
      </c>
      <c r="M16" s="3">
        <v>3659.1999999995969</v>
      </c>
      <c r="N16" s="3">
        <v>13916.560000015921</v>
      </c>
      <c r="O16" s="122">
        <v>11987.800000005504</v>
      </c>
      <c r="P16" s="122">
        <v>673.3700000003422</v>
      </c>
      <c r="Q16" s="122">
        <v>33.492539772868156</v>
      </c>
      <c r="R16" s="122">
        <v>2294.4700000004405</v>
      </c>
      <c r="S16" s="122">
        <v>1591.6899999993404</v>
      </c>
      <c r="T16" s="122">
        <v>504.47000000016385</v>
      </c>
      <c r="U16" s="122">
        <v>419.22999999996358</v>
      </c>
      <c r="V16" s="122">
        <v>5739.9700000027269</v>
      </c>
      <c r="W16" s="122">
        <v>899.98999999967975</v>
      </c>
      <c r="X16" s="122">
        <v>849.98999999941839</v>
      </c>
      <c r="Y16" s="122">
        <v>324.9999999999643</v>
      </c>
      <c r="Z16" s="122">
        <v>200.00000000007739</v>
      </c>
      <c r="AA16" s="122">
        <v>1000.0000000020067</v>
      </c>
      <c r="AB16" s="122">
        <v>1499.999999998952</v>
      </c>
      <c r="AC16" s="122">
        <v>1000.0000000020067</v>
      </c>
      <c r="AD16" s="122">
        <v>1499.999999998952</v>
      </c>
      <c r="AE16" s="122">
        <v>3800.9999999995575</v>
      </c>
      <c r="AF16" s="122">
        <v>228.37999999997351</v>
      </c>
      <c r="AG16" s="122">
        <v>9376.9999999989068</v>
      </c>
      <c r="AH16" s="122">
        <v>2335.9821031654542</v>
      </c>
      <c r="AI16" s="122">
        <v>5000.0100000008242</v>
      </c>
      <c r="AJ16" s="122">
        <v>38999.999998983854</v>
      </c>
      <c r="AK16" s="122">
        <v>7970</v>
      </c>
      <c r="AL16" s="122">
        <v>10960.999999998738</v>
      </c>
      <c r="AM16" s="122">
        <v>12100.000000000009</v>
      </c>
      <c r="AN16" s="122">
        <v>3231.9999999996253</v>
      </c>
      <c r="AO16" s="122">
        <v>1186.9999999998631</v>
      </c>
      <c r="AP16" s="122">
        <v>340.98999999997505</v>
      </c>
      <c r="AQ16" s="122">
        <v>1350.0100000000286</v>
      </c>
      <c r="AR16" s="122">
        <v>10331.999999998807</v>
      </c>
      <c r="AS16" s="122">
        <v>31248.028099180548</v>
      </c>
      <c r="AT16" s="122">
        <v>72784.270981880982</v>
      </c>
      <c r="AU16" s="122">
        <v>73009.609282134188</v>
      </c>
      <c r="AV16" s="122">
        <v>79544.419989485774</v>
      </c>
      <c r="AW16" s="122">
        <v>4644.9719008195216</v>
      </c>
      <c r="AX16" s="122">
        <v>22751.31155378223</v>
      </c>
      <c r="AY16" s="122">
        <v>1577.9999999998174</v>
      </c>
      <c r="AZ16" s="122">
        <v>372.61999999995771</v>
      </c>
      <c r="BA16" s="122">
        <v>970.37768924291606</v>
      </c>
      <c r="BB16" s="122">
        <v>1300.0000000005809</v>
      </c>
      <c r="BC16" s="122">
        <v>16199.99999897049</v>
      </c>
      <c r="BD16" s="122">
        <v>610.99999999993031</v>
      </c>
      <c r="BE16" s="122">
        <v>598.31075697204335</v>
      </c>
      <c r="BF16" s="122">
        <v>550.00999999974545</v>
      </c>
      <c r="BG16" s="122">
        <v>12296.800000006155</v>
      </c>
    </row>
    <row r="17" spans="1:59" x14ac:dyDescent="0.25">
      <c r="A17" s="1">
        <v>14245.999305555555</v>
      </c>
      <c r="B17" s="3">
        <v>1247.010000000537</v>
      </c>
      <c r="C17" s="3">
        <v>1746.8500000002621</v>
      </c>
      <c r="D17" s="3">
        <v>2261.1200000002882</v>
      </c>
      <c r="E17" s="3">
        <v>5370.3499999989081</v>
      </c>
      <c r="F17" s="3">
        <v>996.68000000011409</v>
      </c>
      <c r="G17" s="3">
        <v>2334.4100000015378</v>
      </c>
      <c r="H17" s="3">
        <v>248.99999999997132</v>
      </c>
      <c r="I17" s="3">
        <v>2499.9900000012822</v>
      </c>
      <c r="J17" s="3">
        <v>2499.9900000012672</v>
      </c>
      <c r="K17" s="3">
        <v>11094.999999998727</v>
      </c>
      <c r="L17" s="3">
        <v>900.00000000000057</v>
      </c>
      <c r="M17" s="3">
        <v>3659.1999999995969</v>
      </c>
      <c r="N17" s="3">
        <v>13916.560000015921</v>
      </c>
      <c r="O17" s="122">
        <v>11987.800000005504</v>
      </c>
      <c r="P17" s="122">
        <v>673.3700000003422</v>
      </c>
      <c r="Q17" s="122">
        <v>0</v>
      </c>
      <c r="R17" s="122">
        <v>2294.4700000004405</v>
      </c>
      <c r="S17" s="122">
        <v>1591.6899999993404</v>
      </c>
      <c r="T17" s="122">
        <v>504.47000000016385</v>
      </c>
      <c r="U17" s="122">
        <v>419.22999999996358</v>
      </c>
      <c r="V17" s="122">
        <v>5739.9700000027269</v>
      </c>
      <c r="W17" s="122">
        <v>899.98999999967975</v>
      </c>
      <c r="X17" s="122">
        <v>849.98999999941839</v>
      </c>
      <c r="Y17" s="122">
        <v>324.9999999999643</v>
      </c>
      <c r="Z17" s="122">
        <v>200.00000000007739</v>
      </c>
      <c r="AA17" s="122">
        <v>1000.0000000020067</v>
      </c>
      <c r="AB17" s="122">
        <v>1499.999999998952</v>
      </c>
      <c r="AC17" s="122">
        <v>1000.0000000020067</v>
      </c>
      <c r="AD17" s="122">
        <v>1499.999999998952</v>
      </c>
      <c r="AE17" s="122">
        <v>3929.999999999548</v>
      </c>
      <c r="AF17" s="122">
        <v>221.15999999997439</v>
      </c>
      <c r="AG17" s="122">
        <v>9787.9999999988613</v>
      </c>
      <c r="AH17" s="122">
        <v>2353.0209375757054</v>
      </c>
      <c r="AI17" s="122">
        <v>5000.0100000008242</v>
      </c>
      <c r="AJ17" s="122">
        <v>38999.999998983854</v>
      </c>
      <c r="AK17" s="122">
        <v>7970.0000000000018</v>
      </c>
      <c r="AL17" s="122">
        <v>10053.999999998843</v>
      </c>
      <c r="AM17" s="122">
        <v>12100.000000000002</v>
      </c>
      <c r="AN17" s="122">
        <v>3225.9999999996276</v>
      </c>
      <c r="AO17" s="122">
        <v>1141.9999999998679</v>
      </c>
      <c r="AP17" s="122">
        <v>340.98999999997505</v>
      </c>
      <c r="AQ17" s="122">
        <v>1350.0100000000286</v>
      </c>
      <c r="AR17" s="122">
        <v>9915.9999999988613</v>
      </c>
      <c r="AS17" s="122">
        <v>31248.028099180548</v>
      </c>
      <c r="AT17" s="122">
        <v>78842.732549306078</v>
      </c>
      <c r="AU17" s="122">
        <v>79086.827696517605</v>
      </c>
      <c r="AV17" s="122">
        <v>86165.586965650451</v>
      </c>
      <c r="AW17" s="122">
        <v>4644.9719008195216</v>
      </c>
      <c r="AX17" s="122">
        <v>21618.423466132965</v>
      </c>
      <c r="AY17" s="122">
        <v>1483.9999999998281</v>
      </c>
      <c r="AZ17" s="122">
        <v>360.83999999995842</v>
      </c>
      <c r="BA17" s="122">
        <v>922.05830677280233</v>
      </c>
      <c r="BB17" s="122">
        <v>1300.0000000005809</v>
      </c>
      <c r="BC17" s="122">
        <v>16199.99999897049</v>
      </c>
      <c r="BD17" s="122">
        <v>561.99999999993565</v>
      </c>
      <c r="BE17" s="122">
        <v>568.51822709156761</v>
      </c>
      <c r="BF17" s="122">
        <v>550.00999999974545</v>
      </c>
      <c r="BG17" s="122">
        <v>12296.800000006155</v>
      </c>
    </row>
    <row r="18" spans="1:59" x14ac:dyDescent="0.25">
      <c r="A18" s="1">
        <v>14610.999305555555</v>
      </c>
      <c r="B18" s="3">
        <v>1247.010000000537</v>
      </c>
      <c r="C18" s="3">
        <v>1746.8500000002621</v>
      </c>
      <c r="D18" s="3">
        <v>2261.1200000002882</v>
      </c>
      <c r="E18" s="3">
        <v>5370.3499999989081</v>
      </c>
      <c r="F18" s="3">
        <v>996.68000000011409</v>
      </c>
      <c r="G18" s="3">
        <v>2334.4100000015378</v>
      </c>
      <c r="H18" s="3">
        <v>288.99999999996675</v>
      </c>
      <c r="I18" s="3">
        <v>2499.9900000012822</v>
      </c>
      <c r="J18" s="3">
        <v>2499.9900000012672</v>
      </c>
      <c r="K18" s="3">
        <v>12844.999999998525</v>
      </c>
      <c r="L18" s="3">
        <v>899.99999999999955</v>
      </c>
      <c r="M18" s="3">
        <v>3659.1999999995969</v>
      </c>
      <c r="N18" s="3">
        <v>13916.560000015921</v>
      </c>
      <c r="O18" s="122">
        <v>11987.800000005504</v>
      </c>
      <c r="P18" s="122">
        <v>673.3700000003422</v>
      </c>
      <c r="Q18" s="122">
        <v>212.02032258075084</v>
      </c>
      <c r="R18" s="122">
        <v>2294.4700000004405</v>
      </c>
      <c r="S18" s="122">
        <v>1591.6899999993404</v>
      </c>
      <c r="T18" s="122">
        <v>504.47000000016385</v>
      </c>
      <c r="U18" s="122">
        <v>419.22999999996358</v>
      </c>
      <c r="V18" s="122">
        <v>5739.9700000027269</v>
      </c>
      <c r="W18" s="122">
        <v>899.98999999967975</v>
      </c>
      <c r="X18" s="122">
        <v>849.98999999941839</v>
      </c>
      <c r="Y18" s="122">
        <v>324.9999999999643</v>
      </c>
      <c r="Z18" s="122">
        <v>200.00000000007739</v>
      </c>
      <c r="AA18" s="122">
        <v>1000.0000000020067</v>
      </c>
      <c r="AB18" s="122">
        <v>1499.999999998952</v>
      </c>
      <c r="AC18" s="122">
        <v>1000.0000000020067</v>
      </c>
      <c r="AD18" s="122">
        <v>1499.999999998952</v>
      </c>
      <c r="AE18" s="122">
        <v>3830.9999999995557</v>
      </c>
      <c r="AF18" s="122">
        <v>269.7999999999696</v>
      </c>
      <c r="AG18" s="122">
        <v>10747.999999998761</v>
      </c>
      <c r="AH18" s="122">
        <v>2290.8954375515373</v>
      </c>
      <c r="AI18" s="122">
        <v>5000.0100000008242</v>
      </c>
      <c r="AJ18" s="122">
        <v>38999.999998983854</v>
      </c>
      <c r="AK18" s="122">
        <v>7970</v>
      </c>
      <c r="AL18" s="122">
        <v>11643.999999998656</v>
      </c>
      <c r="AM18" s="122">
        <v>12100.000000000011</v>
      </c>
      <c r="AN18" s="122">
        <v>3331.9999999996153</v>
      </c>
      <c r="AO18" s="122">
        <v>1224.9999999998595</v>
      </c>
      <c r="AP18" s="122">
        <v>340.98999999997505</v>
      </c>
      <c r="AQ18" s="122">
        <v>1350.0100000000286</v>
      </c>
      <c r="AR18" s="122">
        <v>12128.999999998614</v>
      </c>
      <c r="AS18" s="122">
        <v>31248.028099180548</v>
      </c>
      <c r="AT18" s="122">
        <v>88200.764449082912</v>
      </c>
      <c r="AU18" s="122">
        <v>88473.831831278076</v>
      </c>
      <c r="AV18" s="122">
        <v>96392.785914942142</v>
      </c>
      <c r="AW18" s="122">
        <v>4644.9719008195216</v>
      </c>
      <c r="AX18" s="122">
        <v>26483.948605574627</v>
      </c>
      <c r="AY18" s="122">
        <v>1676.9999999998061</v>
      </c>
      <c r="AZ18" s="122">
        <v>440.19999999994894</v>
      </c>
      <c r="BA18" s="122">
        <v>1129.5802788843325</v>
      </c>
      <c r="BB18" s="122">
        <v>1300.0000000005809</v>
      </c>
      <c r="BC18" s="122">
        <v>16199.99999897049</v>
      </c>
      <c r="BD18" s="122">
        <v>649.99999999992519</v>
      </c>
      <c r="BE18" s="122">
        <v>696.47111553776836</v>
      </c>
      <c r="BF18" s="122">
        <v>550.00999999974545</v>
      </c>
      <c r="BG18" s="122">
        <v>12296.800000006155</v>
      </c>
    </row>
    <row r="19" spans="1:59" x14ac:dyDescent="0.25">
      <c r="A19" s="1">
        <v>14976.999305555555</v>
      </c>
      <c r="B19" s="3">
        <v>1247.010000000537</v>
      </c>
      <c r="C19" s="3">
        <v>1746.8500000002621</v>
      </c>
      <c r="D19" s="3">
        <v>2261.1200000002882</v>
      </c>
      <c r="E19" s="3">
        <v>5370.3499999989081</v>
      </c>
      <c r="F19" s="3">
        <v>996.68000000011409</v>
      </c>
      <c r="G19" s="3">
        <v>2334.4100000015383</v>
      </c>
      <c r="H19" s="3">
        <v>253.99999999997078</v>
      </c>
      <c r="I19" s="3">
        <v>2499.9900000012822</v>
      </c>
      <c r="J19" s="3">
        <v>2499.9900000012672</v>
      </c>
      <c r="K19" s="3">
        <v>11232.999999998705</v>
      </c>
      <c r="L19" s="3">
        <v>899.99999999999943</v>
      </c>
      <c r="M19" s="3">
        <v>3659.1999999995965</v>
      </c>
      <c r="N19" s="3">
        <v>13916.560000015921</v>
      </c>
      <c r="O19" s="122">
        <v>11987.800000005504</v>
      </c>
      <c r="P19" s="122">
        <v>673.3700000003422</v>
      </c>
      <c r="Q19" s="122">
        <v>279.78143425345741</v>
      </c>
      <c r="R19" s="122">
        <v>2294.4700000004405</v>
      </c>
      <c r="S19" s="122">
        <v>1591.6899999993404</v>
      </c>
      <c r="T19" s="122">
        <v>504.47000000016385</v>
      </c>
      <c r="U19" s="122">
        <v>419.22999999996358</v>
      </c>
      <c r="V19" s="122">
        <v>5739.970000002726</v>
      </c>
      <c r="W19" s="122">
        <v>899.98999999967964</v>
      </c>
      <c r="X19" s="122">
        <v>849.98999999941861</v>
      </c>
      <c r="Y19" s="122">
        <v>324.9999999999643</v>
      </c>
      <c r="Z19" s="122">
        <v>200.00000000007739</v>
      </c>
      <c r="AA19" s="122">
        <v>1000.0000000020035</v>
      </c>
      <c r="AB19" s="122">
        <v>1499.9999999989695</v>
      </c>
      <c r="AC19" s="122">
        <v>1000.0000000020035</v>
      </c>
      <c r="AD19" s="122">
        <v>1499.9999999989695</v>
      </c>
      <c r="AE19" s="122">
        <v>3846.9999999995548</v>
      </c>
      <c r="AF19" s="122">
        <v>239.39999999997312</v>
      </c>
      <c r="AG19" s="122">
        <v>10121.999999998827</v>
      </c>
      <c r="AH19" s="122">
        <v>2349.7003508907983</v>
      </c>
      <c r="AI19" s="122">
        <v>5000.0100000008242</v>
      </c>
      <c r="AJ19" s="122">
        <v>38999.999998983862</v>
      </c>
      <c r="AK19" s="122">
        <v>7970</v>
      </c>
      <c r="AL19" s="122">
        <v>10215.999999998825</v>
      </c>
      <c r="AM19" s="122">
        <v>12100.000000000004</v>
      </c>
      <c r="AN19" s="122">
        <v>3357.9999999996135</v>
      </c>
      <c r="AO19" s="122">
        <v>1216.9999999998599</v>
      </c>
      <c r="AP19" s="122">
        <v>340.98999999997511</v>
      </c>
      <c r="AQ19" s="122">
        <v>1350.0100000000286</v>
      </c>
      <c r="AR19" s="122">
        <v>10812.999999998745</v>
      </c>
      <c r="AS19" s="122">
        <v>31235.302148767347</v>
      </c>
      <c r="AT19" s="122">
        <v>75379.168653002838</v>
      </c>
      <c r="AU19" s="122">
        <v>75612.540692176422</v>
      </c>
      <c r="AV19" s="122">
        <v>82380.329828204383</v>
      </c>
      <c r="AW19" s="122">
        <v>4657.697851232725</v>
      </c>
      <c r="AX19" s="122">
        <v>23744.810438244283</v>
      </c>
      <c r="AY19" s="122">
        <v>1528.9999999998233</v>
      </c>
      <c r="AZ19" s="122">
        <v>390.59999999995404</v>
      </c>
      <c r="BA19" s="122">
        <v>1012.7519123504823</v>
      </c>
      <c r="BB19" s="122">
        <v>1300.0000000005807</v>
      </c>
      <c r="BC19" s="122">
        <v>16199.999998970494</v>
      </c>
      <c r="BD19" s="122">
        <v>568.9999999999344</v>
      </c>
      <c r="BE19" s="122">
        <v>624.43764940231893</v>
      </c>
      <c r="BF19" s="122">
        <v>550.00999999974533</v>
      </c>
      <c r="BG19" s="122">
        <v>12296.800000006155</v>
      </c>
    </row>
    <row r="20" spans="1:59" x14ac:dyDescent="0.25">
      <c r="A20" s="1">
        <v>15341.999305555555</v>
      </c>
      <c r="B20" s="3">
        <v>1247.010000000537</v>
      </c>
      <c r="C20" s="3">
        <v>1746.8500000002621</v>
      </c>
      <c r="D20" s="3">
        <v>2261.1200000002882</v>
      </c>
      <c r="E20" s="3">
        <v>5370.3499999989081</v>
      </c>
      <c r="F20" s="3">
        <v>996.68000000011409</v>
      </c>
      <c r="G20" s="3">
        <v>2334.4100000015378</v>
      </c>
      <c r="H20" s="3">
        <v>201.99999999997667</v>
      </c>
      <c r="I20" s="3">
        <v>2499.9900000012822</v>
      </c>
      <c r="J20" s="3">
        <v>2499.9900000012672</v>
      </c>
      <c r="K20" s="3">
        <v>8758.9999999990032</v>
      </c>
      <c r="L20" s="3">
        <v>899.99999999999898</v>
      </c>
      <c r="M20" s="3">
        <v>3659.1999999995969</v>
      </c>
      <c r="N20" s="3">
        <v>13916.560000015921</v>
      </c>
      <c r="O20" s="122">
        <v>11987.800000005504</v>
      </c>
      <c r="P20" s="122">
        <v>673.3700000003422</v>
      </c>
      <c r="Q20" s="122">
        <v>0</v>
      </c>
      <c r="R20" s="122">
        <v>2294.4700000004405</v>
      </c>
      <c r="S20" s="122">
        <v>1591.6899999993404</v>
      </c>
      <c r="T20" s="122">
        <v>504.47000000016385</v>
      </c>
      <c r="U20" s="122">
        <v>419.22999999996358</v>
      </c>
      <c r="V20" s="122">
        <v>5739.9700000027269</v>
      </c>
      <c r="W20" s="122">
        <v>899.98999999967975</v>
      </c>
      <c r="X20" s="122">
        <v>849.98999999941839</v>
      </c>
      <c r="Y20" s="122">
        <v>324.9999999999643</v>
      </c>
      <c r="Z20" s="122">
        <v>200.00000000007739</v>
      </c>
      <c r="AA20" s="122">
        <v>1000.0000000020067</v>
      </c>
      <c r="AB20" s="122">
        <v>1499.999999998952</v>
      </c>
      <c r="AC20" s="122">
        <v>1000.0000000020067</v>
      </c>
      <c r="AD20" s="122">
        <v>1499.999999998952</v>
      </c>
      <c r="AE20" s="122">
        <v>3175.9999999996344</v>
      </c>
      <c r="AF20" s="122">
        <v>174.79999999998012</v>
      </c>
      <c r="AG20" s="122">
        <v>7750.9999999991105</v>
      </c>
      <c r="AH20" s="122">
        <v>1882.6209193161653</v>
      </c>
      <c r="AI20" s="122">
        <v>5000.0100000008242</v>
      </c>
      <c r="AJ20" s="122">
        <v>38999.999998983854</v>
      </c>
      <c r="AK20" s="122">
        <v>7969.9999999999945</v>
      </c>
      <c r="AL20" s="122">
        <v>8081.9999999990669</v>
      </c>
      <c r="AM20" s="122">
        <v>12100.000000000011</v>
      </c>
      <c r="AN20" s="122">
        <v>2600.999999999699</v>
      </c>
      <c r="AO20" s="122">
        <v>1188.999999999864</v>
      </c>
      <c r="AP20" s="122">
        <v>340.98999999997505</v>
      </c>
      <c r="AQ20" s="122">
        <v>1350.0100000000286</v>
      </c>
      <c r="AR20" s="122">
        <v>7773.9999999991023</v>
      </c>
      <c r="AS20" s="122">
        <v>31248.028099180548</v>
      </c>
      <c r="AT20" s="122">
        <v>59530.921547760881</v>
      </c>
      <c r="AU20" s="122">
        <v>59715.227806422583</v>
      </c>
      <c r="AV20" s="122">
        <v>65060.109307614875</v>
      </c>
      <c r="AW20" s="122">
        <v>4644.9719008195216</v>
      </c>
      <c r="AX20" s="122">
        <v>16739.801354579744</v>
      </c>
      <c r="AY20" s="122">
        <v>1268.9999999998533</v>
      </c>
      <c r="AZ20" s="122">
        <v>285.1999999999685</v>
      </c>
      <c r="BA20" s="122">
        <v>713.97772908358309</v>
      </c>
      <c r="BB20" s="122">
        <v>1300.0000000005809</v>
      </c>
      <c r="BC20" s="122">
        <v>16199.99999897049</v>
      </c>
      <c r="BD20" s="122">
        <v>444.99999999994805</v>
      </c>
      <c r="BE20" s="122">
        <v>440.22091633461065</v>
      </c>
      <c r="BF20" s="122">
        <v>550.00999999974545</v>
      </c>
      <c r="BG20" s="122">
        <v>12296.800000006155</v>
      </c>
    </row>
    <row r="21" spans="1:59" x14ac:dyDescent="0.25">
      <c r="A21" s="1">
        <v>15706.999305555555</v>
      </c>
      <c r="B21" s="3">
        <v>1247.010000000537</v>
      </c>
      <c r="C21" s="3">
        <v>1746.8500000002621</v>
      </c>
      <c r="D21" s="3">
        <v>2261.1200000002882</v>
      </c>
      <c r="E21" s="3">
        <v>5370.3499999989081</v>
      </c>
      <c r="F21" s="3">
        <v>996.68000000011409</v>
      </c>
      <c r="G21" s="3">
        <v>2334.4100000015378</v>
      </c>
      <c r="H21" s="3">
        <v>270.99999999996874</v>
      </c>
      <c r="I21" s="3">
        <v>2499.9900000012822</v>
      </c>
      <c r="J21" s="3">
        <v>2499.9900000012672</v>
      </c>
      <c r="K21" s="3">
        <v>11932.999999998627</v>
      </c>
      <c r="L21" s="3">
        <v>899.99999999999977</v>
      </c>
      <c r="M21" s="3">
        <v>3659.1999999995969</v>
      </c>
      <c r="N21" s="3">
        <v>13916.560000015921</v>
      </c>
      <c r="O21" s="122">
        <v>11987.800000005504</v>
      </c>
      <c r="P21" s="122">
        <v>673.3700000003422</v>
      </c>
      <c r="Q21" s="122">
        <v>0</v>
      </c>
      <c r="R21" s="122">
        <v>2294.4700000004405</v>
      </c>
      <c r="S21" s="122">
        <v>1591.6899999993404</v>
      </c>
      <c r="T21" s="122">
        <v>504.47000000016385</v>
      </c>
      <c r="U21" s="122">
        <v>419.22999999996358</v>
      </c>
      <c r="V21" s="122">
        <v>5739.9700000027269</v>
      </c>
      <c r="W21" s="122">
        <v>899.98999999967975</v>
      </c>
      <c r="X21" s="122">
        <v>849.98999999941839</v>
      </c>
      <c r="Y21" s="122">
        <v>324.9999999999643</v>
      </c>
      <c r="Z21" s="122">
        <v>200.00000000007739</v>
      </c>
      <c r="AA21" s="122">
        <v>1000.0000000020067</v>
      </c>
      <c r="AB21" s="122">
        <v>1499.999999998952</v>
      </c>
      <c r="AC21" s="122">
        <v>1000.0000000020067</v>
      </c>
      <c r="AD21" s="122">
        <v>1499.999999998952</v>
      </c>
      <c r="AE21" s="122">
        <v>3858.9999999995575</v>
      </c>
      <c r="AF21" s="122">
        <v>262.57999999996917</v>
      </c>
      <c r="AG21" s="122">
        <v>10090.999999998841</v>
      </c>
      <c r="AH21" s="122">
        <v>2316.1925776139365</v>
      </c>
      <c r="AI21" s="122">
        <v>5000.0100000008242</v>
      </c>
      <c r="AJ21" s="122">
        <v>38999.999998983854</v>
      </c>
      <c r="AK21" s="122">
        <v>7970.0000000000036</v>
      </c>
      <c r="AL21" s="122">
        <v>10891.999999998739</v>
      </c>
      <c r="AM21" s="122">
        <v>12100.000000000007</v>
      </c>
      <c r="AN21" s="122">
        <v>3247.9999999996244</v>
      </c>
      <c r="AO21" s="122">
        <v>1316.9999999998477</v>
      </c>
      <c r="AP21" s="122">
        <v>340.98999999997505</v>
      </c>
      <c r="AQ21" s="122">
        <v>1350.0100000000286</v>
      </c>
      <c r="AR21" s="122">
        <v>11781.999999998647</v>
      </c>
      <c r="AS21" s="122">
        <v>31248.028099180548</v>
      </c>
      <c r="AT21" s="122">
        <v>83346.208145737633</v>
      </c>
      <c r="AU21" s="122">
        <v>83604.245941854446</v>
      </c>
      <c r="AV21" s="122">
        <v>91087.342029242936</v>
      </c>
      <c r="AW21" s="122">
        <v>4644.9719008195216</v>
      </c>
      <c r="AX21" s="122">
        <v>25671.000836650426</v>
      </c>
      <c r="AY21" s="122">
        <v>1641.9999999998108</v>
      </c>
      <c r="AZ21" s="122">
        <v>428.41999999995198</v>
      </c>
      <c r="BA21" s="122">
        <v>1094.9068326691968</v>
      </c>
      <c r="BB21" s="122">
        <v>1300.0000000005809</v>
      </c>
      <c r="BC21" s="122">
        <v>16199.99999897049</v>
      </c>
      <c r="BD21" s="122">
        <v>603.99999999993042</v>
      </c>
      <c r="BE21" s="122">
        <v>675.09233067721277</v>
      </c>
      <c r="BF21" s="122">
        <v>550.00999999974545</v>
      </c>
      <c r="BG21" s="122">
        <v>12296.800000006155</v>
      </c>
    </row>
    <row r="22" spans="1:59" x14ac:dyDescent="0.25">
      <c r="A22" s="1">
        <v>16071.999305555555</v>
      </c>
      <c r="B22" s="3">
        <v>1247.010000000537</v>
      </c>
      <c r="C22" s="3">
        <v>1746.8500000002621</v>
      </c>
      <c r="D22" s="3">
        <v>2261.1200000002882</v>
      </c>
      <c r="E22" s="3">
        <v>5370.3499999989081</v>
      </c>
      <c r="F22" s="3">
        <v>996.68000000011409</v>
      </c>
      <c r="G22" s="3">
        <v>2334.4100000015378</v>
      </c>
      <c r="H22" s="3">
        <v>269.99999999996891</v>
      </c>
      <c r="I22" s="3">
        <v>2499.9900000012822</v>
      </c>
      <c r="J22" s="3">
        <v>2499.9900000012672</v>
      </c>
      <c r="K22" s="3">
        <v>11871.999999998632</v>
      </c>
      <c r="L22" s="3">
        <v>899.99999999999977</v>
      </c>
      <c r="M22" s="3">
        <v>3659.1999999995969</v>
      </c>
      <c r="N22" s="3">
        <v>13916.560000015921</v>
      </c>
      <c r="O22" s="122">
        <v>11987.800000005504</v>
      </c>
      <c r="P22" s="122">
        <v>673.3700000003422</v>
      </c>
      <c r="Q22" s="122">
        <v>0</v>
      </c>
      <c r="R22" s="122">
        <v>2294.4700000004405</v>
      </c>
      <c r="S22" s="122">
        <v>1591.6899999993404</v>
      </c>
      <c r="T22" s="122">
        <v>504.47000000016385</v>
      </c>
      <c r="U22" s="122">
        <v>419.22999999996358</v>
      </c>
      <c r="V22" s="122">
        <v>5739.9700000027269</v>
      </c>
      <c r="W22" s="122">
        <v>899.98999999967975</v>
      </c>
      <c r="X22" s="122">
        <v>849.98999999941839</v>
      </c>
      <c r="Y22" s="122">
        <v>324.9999999999643</v>
      </c>
      <c r="Z22" s="122">
        <v>200.00000000007739</v>
      </c>
      <c r="AA22" s="122">
        <v>1000.0000000020067</v>
      </c>
      <c r="AB22" s="122">
        <v>1499.999999998952</v>
      </c>
      <c r="AC22" s="122">
        <v>1000.0000000020067</v>
      </c>
      <c r="AD22" s="122">
        <v>1499.999999998952</v>
      </c>
      <c r="AE22" s="122">
        <v>3968.9999999995453</v>
      </c>
      <c r="AF22" s="122">
        <v>262.959999999969</v>
      </c>
      <c r="AG22" s="122">
        <v>10230.999999998823</v>
      </c>
      <c r="AH22" s="122">
        <v>2401.1530033796798</v>
      </c>
      <c r="AI22" s="122">
        <v>5000.0100000008242</v>
      </c>
      <c r="AJ22" s="122">
        <v>38999.999998983854</v>
      </c>
      <c r="AK22" s="122">
        <v>7970.0000000000082</v>
      </c>
      <c r="AL22" s="122">
        <v>10873.999999998743</v>
      </c>
      <c r="AM22" s="122">
        <v>12099.999999999998</v>
      </c>
      <c r="AN22" s="122">
        <v>3271.9999999996244</v>
      </c>
      <c r="AO22" s="122">
        <v>1257.9999999998552</v>
      </c>
      <c r="AP22" s="122">
        <v>340.98999999997505</v>
      </c>
      <c r="AQ22" s="122">
        <v>1350.0100000000286</v>
      </c>
      <c r="AR22" s="122">
        <v>11750.99999999865</v>
      </c>
      <c r="AS22" s="122">
        <v>31248.028099180548</v>
      </c>
      <c r="AT22" s="122">
        <v>79467.121008324582</v>
      </c>
      <c r="AU22" s="122">
        <v>79713.149246740344</v>
      </c>
      <c r="AV22" s="122">
        <v>86847.968160800461</v>
      </c>
      <c r="AW22" s="122">
        <v>4644.9719008195216</v>
      </c>
      <c r="AX22" s="122">
        <v>25641.06490039545</v>
      </c>
      <c r="AY22" s="122">
        <v>1608.9999999998147</v>
      </c>
      <c r="AZ22" s="122">
        <v>429.03999999995295</v>
      </c>
      <c r="BA22" s="122">
        <v>1093.6300199201937</v>
      </c>
      <c r="BB22" s="122">
        <v>1300.0000000005809</v>
      </c>
      <c r="BC22" s="122">
        <v>16199.99999897049</v>
      </c>
      <c r="BD22" s="122">
        <v>602.99999999993088</v>
      </c>
      <c r="BE22" s="122">
        <v>674.30507968119775</v>
      </c>
      <c r="BF22" s="122">
        <v>550.00999999974545</v>
      </c>
      <c r="BG22" s="122">
        <v>12296.800000006155</v>
      </c>
    </row>
    <row r="23" spans="1:59" x14ac:dyDescent="0.25">
      <c r="A23" s="1">
        <v>16437.999305555557</v>
      </c>
      <c r="B23" s="3">
        <v>1247.010000000537</v>
      </c>
      <c r="C23" s="3">
        <v>1746.8500000002621</v>
      </c>
      <c r="D23" s="3">
        <v>2261.1200000002882</v>
      </c>
      <c r="E23" s="3">
        <v>5370.3499999989081</v>
      </c>
      <c r="F23" s="3">
        <v>996.68000000011409</v>
      </c>
      <c r="G23" s="3">
        <v>2334.4100000015383</v>
      </c>
      <c r="H23" s="3">
        <v>262.99999999996953</v>
      </c>
      <c r="I23" s="3">
        <v>2499.9900000012822</v>
      </c>
      <c r="J23" s="3">
        <v>2499.9900000012672</v>
      </c>
      <c r="K23" s="3">
        <v>11669.99999999865</v>
      </c>
      <c r="L23" s="3">
        <v>899.99999999999955</v>
      </c>
      <c r="M23" s="3">
        <v>3659.1999999995965</v>
      </c>
      <c r="N23" s="3">
        <v>13916.560000015921</v>
      </c>
      <c r="O23" s="122">
        <v>11987.800000005504</v>
      </c>
      <c r="P23" s="122">
        <v>673.3700000003422</v>
      </c>
      <c r="Q23" s="122">
        <v>0</v>
      </c>
      <c r="R23" s="122">
        <v>2294.4700000004405</v>
      </c>
      <c r="S23" s="122">
        <v>1591.6899999993404</v>
      </c>
      <c r="T23" s="122">
        <v>504.47000000016385</v>
      </c>
      <c r="U23" s="122">
        <v>419.22999999996358</v>
      </c>
      <c r="V23" s="122">
        <v>5739.970000002726</v>
      </c>
      <c r="W23" s="122">
        <v>899.98999999967964</v>
      </c>
      <c r="X23" s="122">
        <v>849.98999999941861</v>
      </c>
      <c r="Y23" s="122">
        <v>324.9999999999643</v>
      </c>
      <c r="Z23" s="122">
        <v>200.00000000007739</v>
      </c>
      <c r="AA23" s="122">
        <v>1000.0000000020035</v>
      </c>
      <c r="AB23" s="122">
        <v>1499.9999999989695</v>
      </c>
      <c r="AC23" s="122">
        <v>1000.0000000020035</v>
      </c>
      <c r="AD23" s="122">
        <v>1499.9999999989695</v>
      </c>
      <c r="AE23" s="122">
        <v>3815.9999999995644</v>
      </c>
      <c r="AF23" s="122">
        <v>238.25999999997248</v>
      </c>
      <c r="AG23" s="122">
        <v>9339.9999999989268</v>
      </c>
      <c r="AH23" s="122">
        <v>2316.779286044205</v>
      </c>
      <c r="AI23" s="122">
        <v>5000.0100000008242</v>
      </c>
      <c r="AJ23" s="122">
        <v>38999.999998983862</v>
      </c>
      <c r="AK23" s="122">
        <v>7969.9999999999973</v>
      </c>
      <c r="AL23" s="122">
        <v>10668.999999998772</v>
      </c>
      <c r="AM23" s="122">
        <v>12099.999999999998</v>
      </c>
      <c r="AN23" s="122">
        <v>3181.9999999996339</v>
      </c>
      <c r="AO23" s="122">
        <v>1092.999999999874</v>
      </c>
      <c r="AP23" s="122">
        <v>340.98999999997511</v>
      </c>
      <c r="AQ23" s="122">
        <v>1350.0100000000286</v>
      </c>
      <c r="AR23" s="122">
        <v>10700.999999998767</v>
      </c>
      <c r="AS23" s="122">
        <v>31235.302148767347</v>
      </c>
      <c r="AT23" s="122">
        <v>79082.621662721562</v>
      </c>
      <c r="AU23" s="122">
        <v>79327.459500686746</v>
      </c>
      <c r="AV23" s="122">
        <v>86427.756801673939</v>
      </c>
      <c r="AW23" s="122">
        <v>4657.697851232725</v>
      </c>
      <c r="AX23" s="122">
        <v>23326.642828682569</v>
      </c>
      <c r="AY23" s="122">
        <v>1477.9999999998295</v>
      </c>
      <c r="AZ23" s="122">
        <v>388.73999999995493</v>
      </c>
      <c r="BA23" s="122">
        <v>994.91643426283326</v>
      </c>
      <c r="BB23" s="122">
        <v>1300.0000000005807</v>
      </c>
      <c r="BC23" s="122">
        <v>16199.999998970494</v>
      </c>
      <c r="BD23" s="122">
        <v>591.99999999993179</v>
      </c>
      <c r="BE23" s="122">
        <v>613.44073705172207</v>
      </c>
      <c r="BF23" s="122">
        <v>550.00999999974533</v>
      </c>
      <c r="BG23" s="122">
        <v>12296.800000006155</v>
      </c>
    </row>
    <row r="24" spans="1:59" x14ac:dyDescent="0.25">
      <c r="A24" s="1">
        <v>16802.999305555557</v>
      </c>
      <c r="B24" s="3">
        <v>1247.010000000537</v>
      </c>
      <c r="C24" s="3">
        <v>1746.8500000002621</v>
      </c>
      <c r="D24" s="3">
        <v>2261.1200000002882</v>
      </c>
      <c r="E24" s="3">
        <v>5370.3499999989081</v>
      </c>
      <c r="F24" s="3">
        <v>996.68000000011409</v>
      </c>
      <c r="G24" s="3">
        <v>2334.4100000015378</v>
      </c>
      <c r="H24" s="3">
        <v>267.99999999996925</v>
      </c>
      <c r="I24" s="3">
        <v>2499.9900000012822</v>
      </c>
      <c r="J24" s="3">
        <v>2499.9900000012672</v>
      </c>
      <c r="K24" s="3">
        <v>11797.999999998643</v>
      </c>
      <c r="L24" s="3">
        <v>899.99999999999943</v>
      </c>
      <c r="M24" s="3">
        <v>3659.1999999995969</v>
      </c>
      <c r="N24" s="3">
        <v>13916.560000015921</v>
      </c>
      <c r="O24" s="122">
        <v>11987.800000005504</v>
      </c>
      <c r="P24" s="122">
        <v>673.3700000003422</v>
      </c>
      <c r="Q24" s="122">
        <v>62.103527487416677</v>
      </c>
      <c r="R24" s="122">
        <v>2294.4700000004405</v>
      </c>
      <c r="S24" s="122">
        <v>1591.6899999993404</v>
      </c>
      <c r="T24" s="122">
        <v>504.47000000016385</v>
      </c>
      <c r="U24" s="122">
        <v>419.22999999996358</v>
      </c>
      <c r="V24" s="122">
        <v>5739.9700000027269</v>
      </c>
      <c r="W24" s="122">
        <v>899.98999999967975</v>
      </c>
      <c r="X24" s="122">
        <v>849.98999999941839</v>
      </c>
      <c r="Y24" s="122">
        <v>324.9999999999643</v>
      </c>
      <c r="Z24" s="122">
        <v>200.00000000007739</v>
      </c>
      <c r="AA24" s="122">
        <v>1000.0000000020067</v>
      </c>
      <c r="AB24" s="122">
        <v>1499.999999998952</v>
      </c>
      <c r="AC24" s="122">
        <v>1000.0000000020067</v>
      </c>
      <c r="AD24" s="122">
        <v>1499.999999998952</v>
      </c>
      <c r="AE24" s="122">
        <v>3856.999999999553</v>
      </c>
      <c r="AF24" s="122">
        <v>245.85999999997156</v>
      </c>
      <c r="AG24" s="122">
        <v>9575.999999998905</v>
      </c>
      <c r="AH24" s="122">
        <v>2331.8178881898789</v>
      </c>
      <c r="AI24" s="122">
        <v>5000.0100000008242</v>
      </c>
      <c r="AJ24" s="122">
        <v>38999.999998983854</v>
      </c>
      <c r="AK24" s="122">
        <v>7969.9999999999927</v>
      </c>
      <c r="AL24" s="122">
        <v>10750.999999998761</v>
      </c>
      <c r="AM24" s="122">
        <v>12100.000000000009</v>
      </c>
      <c r="AN24" s="122">
        <v>3222.9999999996298</v>
      </c>
      <c r="AO24" s="122">
        <v>1093.9999999998738</v>
      </c>
      <c r="AP24" s="122">
        <v>340.98999999997505</v>
      </c>
      <c r="AQ24" s="122">
        <v>1350.0100000000286</v>
      </c>
      <c r="AR24" s="122">
        <v>11054.99999999873</v>
      </c>
      <c r="AS24" s="122">
        <v>31248.028099180548</v>
      </c>
      <c r="AT24" s="122">
        <v>84270.571232721661</v>
      </c>
      <c r="AU24" s="122">
        <v>84531.470834061096</v>
      </c>
      <c r="AV24" s="122">
        <v>92097.559272912287</v>
      </c>
      <c r="AW24" s="122">
        <v>4644.9719008195216</v>
      </c>
      <c r="AX24" s="122">
        <v>24038.556812746232</v>
      </c>
      <c r="AY24" s="122">
        <v>1509.9999999998265</v>
      </c>
      <c r="AZ24" s="122">
        <v>401.13999999995445</v>
      </c>
      <c r="BA24" s="122">
        <v>1025.2806374500815</v>
      </c>
      <c r="BB24" s="122">
        <v>1300.0000000005809</v>
      </c>
      <c r="BC24" s="122">
        <v>16199.99999897049</v>
      </c>
      <c r="BD24" s="122">
        <v>597.99999999993099</v>
      </c>
      <c r="BE24" s="122">
        <v>632.16254980072415</v>
      </c>
      <c r="BF24" s="122">
        <v>550.00999999974545</v>
      </c>
      <c r="BG24" s="122">
        <v>12296.800000006155</v>
      </c>
    </row>
    <row r="25" spans="1:59" x14ac:dyDescent="0.25">
      <c r="A25" s="1">
        <v>17167.999305555557</v>
      </c>
      <c r="B25" s="3">
        <v>1247.010000000537</v>
      </c>
      <c r="C25" s="3">
        <v>1746.8500000002621</v>
      </c>
      <c r="D25" s="3">
        <v>2261.1200000002882</v>
      </c>
      <c r="E25" s="3">
        <v>5370.3499999989081</v>
      </c>
      <c r="F25" s="3">
        <v>996.68000000011409</v>
      </c>
      <c r="G25" s="3">
        <v>2334.4100000015378</v>
      </c>
      <c r="H25" s="3">
        <v>282.9999999999672</v>
      </c>
      <c r="I25" s="3">
        <v>2499.9900000012822</v>
      </c>
      <c r="J25" s="3">
        <v>2499.9900000012672</v>
      </c>
      <c r="K25" s="3">
        <v>12515.99999999855</v>
      </c>
      <c r="L25" s="3">
        <v>900.00000000000011</v>
      </c>
      <c r="M25" s="3">
        <v>3659.1999999995969</v>
      </c>
      <c r="N25" s="3">
        <v>13916.560000015921</v>
      </c>
      <c r="O25" s="122">
        <v>11987.800000005504</v>
      </c>
      <c r="P25" s="122">
        <v>673.3700000003422</v>
      </c>
      <c r="Q25" s="122">
        <v>0</v>
      </c>
      <c r="R25" s="122">
        <v>2294.4700000004405</v>
      </c>
      <c r="S25" s="122">
        <v>1591.6899999993404</v>
      </c>
      <c r="T25" s="122">
        <v>504.47000000016385</v>
      </c>
      <c r="U25" s="122">
        <v>419.22999999996358</v>
      </c>
      <c r="V25" s="122">
        <v>5739.9700000027269</v>
      </c>
      <c r="W25" s="122">
        <v>899.98999999967975</v>
      </c>
      <c r="X25" s="122">
        <v>849.98999999941839</v>
      </c>
      <c r="Y25" s="122">
        <v>324.9999999999643</v>
      </c>
      <c r="Z25" s="122">
        <v>200.00000000007739</v>
      </c>
      <c r="AA25" s="122">
        <v>1000.0000000020067</v>
      </c>
      <c r="AB25" s="122">
        <v>1499.999999998952</v>
      </c>
      <c r="AC25" s="122">
        <v>1000.0000000020067</v>
      </c>
      <c r="AD25" s="122">
        <v>1499.999999998952</v>
      </c>
      <c r="AE25" s="122">
        <v>3730.9999999995739</v>
      </c>
      <c r="AF25" s="122">
        <v>256.87999999997083</v>
      </c>
      <c r="AG25" s="122">
        <v>9637.9999999988977</v>
      </c>
      <c r="AH25" s="122">
        <v>2275.9687893569358</v>
      </c>
      <c r="AI25" s="122">
        <v>5000.0100000008242</v>
      </c>
      <c r="AJ25" s="122">
        <v>38999.999998983854</v>
      </c>
      <c r="AK25" s="122">
        <v>7970</v>
      </c>
      <c r="AL25" s="122">
        <v>11326.99999999869</v>
      </c>
      <c r="AM25" s="122">
        <v>12100.000000000002</v>
      </c>
      <c r="AN25" s="122">
        <v>3262.9999999996244</v>
      </c>
      <c r="AO25" s="122">
        <v>1214.9999999998604</v>
      </c>
      <c r="AP25" s="122">
        <v>340.98999999997505</v>
      </c>
      <c r="AQ25" s="122">
        <v>1350.0100000000286</v>
      </c>
      <c r="AR25" s="122">
        <v>11501.999999998683</v>
      </c>
      <c r="AS25" s="122">
        <v>31248.028099180548</v>
      </c>
      <c r="AT25" s="122">
        <v>86483.756609304852</v>
      </c>
      <c r="AU25" s="122">
        <v>86751.508177754571</v>
      </c>
      <c r="AV25" s="122">
        <v>94516.303662800696</v>
      </c>
      <c r="AW25" s="122">
        <v>4644.9719008195216</v>
      </c>
      <c r="AX25" s="122">
        <v>25093.798565734171</v>
      </c>
      <c r="AY25" s="122">
        <v>1640.9999999998111</v>
      </c>
      <c r="AZ25" s="122">
        <v>419.11999999995288</v>
      </c>
      <c r="BA25" s="122">
        <v>1070.2882868524671</v>
      </c>
      <c r="BB25" s="122">
        <v>1300.0000000005809</v>
      </c>
      <c r="BC25" s="122">
        <v>16199.99999897049</v>
      </c>
      <c r="BD25" s="122">
        <v>632.99999999992747</v>
      </c>
      <c r="BE25" s="122">
        <v>659.91314741028282</v>
      </c>
      <c r="BF25" s="122">
        <v>550.00999999974545</v>
      </c>
      <c r="BG25" s="122">
        <v>12296.800000006155</v>
      </c>
    </row>
    <row r="26" spans="1:59" x14ac:dyDescent="0.25">
      <c r="A26" s="1">
        <v>17532.999305555557</v>
      </c>
      <c r="B26" s="3">
        <v>1247.010000000537</v>
      </c>
      <c r="C26" s="3">
        <v>1746.8500000002621</v>
      </c>
      <c r="D26" s="3">
        <v>2261.1200000002882</v>
      </c>
      <c r="E26" s="3">
        <v>5370.3499999989081</v>
      </c>
      <c r="F26" s="3">
        <v>996.68000000011409</v>
      </c>
      <c r="G26" s="3">
        <v>2334.4100000015378</v>
      </c>
      <c r="H26" s="3">
        <v>257.99999999997044</v>
      </c>
      <c r="I26" s="3">
        <v>2499.9900000012822</v>
      </c>
      <c r="J26" s="3">
        <v>2499.9900000012672</v>
      </c>
      <c r="K26" s="3">
        <v>11332.999999998692</v>
      </c>
      <c r="L26" s="3">
        <v>899.99999999999955</v>
      </c>
      <c r="M26" s="3">
        <v>3659.1999999995969</v>
      </c>
      <c r="N26" s="3">
        <v>13916.560000015921</v>
      </c>
      <c r="O26" s="122">
        <v>11987.800000005504</v>
      </c>
      <c r="P26" s="122">
        <v>673.3700000003422</v>
      </c>
      <c r="Q26" s="122">
        <v>0</v>
      </c>
      <c r="R26" s="122">
        <v>2294.4700000004405</v>
      </c>
      <c r="S26" s="122">
        <v>1591.6899999993404</v>
      </c>
      <c r="T26" s="122">
        <v>504.47000000016385</v>
      </c>
      <c r="U26" s="122">
        <v>419.22999999996358</v>
      </c>
      <c r="V26" s="122">
        <v>5739.9700000027269</v>
      </c>
      <c r="W26" s="122">
        <v>899.98999999967975</v>
      </c>
      <c r="X26" s="122">
        <v>849.98999999941839</v>
      </c>
      <c r="Y26" s="122">
        <v>324.9999999999643</v>
      </c>
      <c r="Z26" s="122">
        <v>200.00000000007739</v>
      </c>
      <c r="AA26" s="122">
        <v>1000.0000000020067</v>
      </c>
      <c r="AB26" s="122">
        <v>1499.999999998952</v>
      </c>
      <c r="AC26" s="122">
        <v>1000.0000000020067</v>
      </c>
      <c r="AD26" s="122">
        <v>1499.999999998952</v>
      </c>
      <c r="AE26" s="122">
        <v>3472.999999999603</v>
      </c>
      <c r="AF26" s="122">
        <v>226.47999999997396</v>
      </c>
      <c r="AG26" s="122">
        <v>9195.999999998945</v>
      </c>
      <c r="AH26" s="122">
        <v>2089.7753000604775</v>
      </c>
      <c r="AI26" s="122">
        <v>5000.0100000008242</v>
      </c>
      <c r="AJ26" s="122">
        <v>38999.999998983854</v>
      </c>
      <c r="AK26" s="122">
        <v>7969.9999999999991</v>
      </c>
      <c r="AL26" s="122">
        <v>10343.999999998809</v>
      </c>
      <c r="AM26" s="122">
        <v>12100.000000000005</v>
      </c>
      <c r="AN26" s="122">
        <v>3108.9999999996421</v>
      </c>
      <c r="AO26" s="122">
        <v>1202.9999999998615</v>
      </c>
      <c r="AP26" s="122">
        <v>340.98999999997505</v>
      </c>
      <c r="AQ26" s="122">
        <v>1350.0100000000286</v>
      </c>
      <c r="AR26" s="122">
        <v>10142.999999998832</v>
      </c>
      <c r="AS26" s="122">
        <v>31248.028099180548</v>
      </c>
      <c r="AT26" s="122">
        <v>81549.792436729535</v>
      </c>
      <c r="AU26" s="122">
        <v>81802.268574304631</v>
      </c>
      <c r="AV26" s="122">
        <v>89124.076563980154</v>
      </c>
      <c r="AW26" s="122">
        <v>4644.9719008195216</v>
      </c>
      <c r="AX26" s="122">
        <v>22075.881992029317</v>
      </c>
      <c r="AY26" s="122">
        <v>1504.9999999998265</v>
      </c>
      <c r="AZ26" s="122">
        <v>369.51999999995883</v>
      </c>
      <c r="BA26" s="122">
        <v>941.56960159351661</v>
      </c>
      <c r="BB26" s="122">
        <v>1300.0000000005809</v>
      </c>
      <c r="BC26" s="122">
        <v>16199.99999897049</v>
      </c>
      <c r="BD26" s="122">
        <v>572.99999999993429</v>
      </c>
      <c r="BE26" s="122">
        <v>580.54840637443499</v>
      </c>
      <c r="BF26" s="122">
        <v>550.00999999974545</v>
      </c>
      <c r="BG26" s="122">
        <v>12296.800000006155</v>
      </c>
    </row>
    <row r="27" spans="1:59" x14ac:dyDescent="0.25">
      <c r="A27" s="1">
        <v>17898.999305555557</v>
      </c>
      <c r="B27" s="3">
        <v>1247.010000000537</v>
      </c>
      <c r="C27" s="3">
        <v>1746.8500000002621</v>
      </c>
      <c r="D27" s="3">
        <v>2261.1200000002882</v>
      </c>
      <c r="E27" s="3">
        <v>5370.3499999989081</v>
      </c>
      <c r="F27" s="3">
        <v>996.68000000011409</v>
      </c>
      <c r="G27" s="3">
        <v>2334.4100000015383</v>
      </c>
      <c r="H27" s="3">
        <v>268.99999999996936</v>
      </c>
      <c r="I27" s="3">
        <v>2499.9900000012822</v>
      </c>
      <c r="J27" s="3">
        <v>2499.9900000012672</v>
      </c>
      <c r="K27" s="3">
        <v>11836.999999998641</v>
      </c>
      <c r="L27" s="3">
        <v>900</v>
      </c>
      <c r="M27" s="3">
        <v>3659.1999999995965</v>
      </c>
      <c r="N27" s="3">
        <v>13916.560000015921</v>
      </c>
      <c r="O27" s="122">
        <v>11987.800000005504</v>
      </c>
      <c r="P27" s="122">
        <v>673.3700000003422</v>
      </c>
      <c r="Q27" s="122">
        <v>2.3138555533793377</v>
      </c>
      <c r="R27" s="122">
        <v>2294.4700000004405</v>
      </c>
      <c r="S27" s="122">
        <v>1591.6899999993404</v>
      </c>
      <c r="T27" s="122">
        <v>504.47000000016385</v>
      </c>
      <c r="U27" s="122">
        <v>419.22999999996358</v>
      </c>
      <c r="V27" s="122">
        <v>5739.970000002726</v>
      </c>
      <c r="W27" s="122">
        <v>899.98999999967964</v>
      </c>
      <c r="X27" s="122">
        <v>849.98999999941861</v>
      </c>
      <c r="Y27" s="122">
        <v>324.9999999999643</v>
      </c>
      <c r="Z27" s="122">
        <v>200.00000000007739</v>
      </c>
      <c r="AA27" s="122">
        <v>1000.0000000020035</v>
      </c>
      <c r="AB27" s="122">
        <v>1499.9999999989695</v>
      </c>
      <c r="AC27" s="122">
        <v>1000.0000000020035</v>
      </c>
      <c r="AD27" s="122">
        <v>1499.9999999989695</v>
      </c>
      <c r="AE27" s="122">
        <v>3488.9999999995985</v>
      </c>
      <c r="AF27" s="122">
        <v>230.65999999997229</v>
      </c>
      <c r="AG27" s="122">
        <v>9093.9999999989632</v>
      </c>
      <c r="AH27" s="122">
        <v>2095.7553422469687</v>
      </c>
      <c r="AI27" s="122">
        <v>5000.0100000008242</v>
      </c>
      <c r="AJ27" s="122">
        <v>38999.999998983862</v>
      </c>
      <c r="AK27" s="122">
        <v>7970.0000000000045</v>
      </c>
      <c r="AL27" s="122">
        <v>10826.999999998756</v>
      </c>
      <c r="AM27" s="122">
        <v>12099.999999999991</v>
      </c>
      <c r="AN27" s="122">
        <v>2973.9999999996567</v>
      </c>
      <c r="AO27" s="122">
        <v>1212.9999999998604</v>
      </c>
      <c r="AP27" s="122">
        <v>340.98999999997511</v>
      </c>
      <c r="AQ27" s="122">
        <v>1350.0100000000286</v>
      </c>
      <c r="AR27" s="122">
        <v>10340.999999998809</v>
      </c>
      <c r="AS27" s="122">
        <v>31235.302148767347</v>
      </c>
      <c r="AT27" s="122">
        <v>80416.381955355027</v>
      </c>
      <c r="AU27" s="122">
        <v>80665.349082151617</v>
      </c>
      <c r="AV27" s="122">
        <v>87885.395759258157</v>
      </c>
      <c r="AW27" s="122">
        <v>4657.697851232725</v>
      </c>
      <c r="AX27" s="122">
        <v>22533.340517925688</v>
      </c>
      <c r="AY27" s="122">
        <v>1744.9999999997992</v>
      </c>
      <c r="AZ27" s="122">
        <v>376.33999999995638</v>
      </c>
      <c r="BA27" s="122">
        <v>961.08089641423157</v>
      </c>
      <c r="BB27" s="122">
        <v>1300.0000000005807</v>
      </c>
      <c r="BC27" s="122">
        <v>16199.999998970494</v>
      </c>
      <c r="BD27" s="122">
        <v>597.99999999993088</v>
      </c>
      <c r="BE27" s="122">
        <v>592.57858565730203</v>
      </c>
      <c r="BF27" s="122">
        <v>550.00999999974533</v>
      </c>
      <c r="BG27" s="122">
        <v>12296.800000006155</v>
      </c>
    </row>
    <row r="28" spans="1:59" x14ac:dyDescent="0.25">
      <c r="A28" s="1">
        <v>18263.999305555557</v>
      </c>
      <c r="B28" s="3">
        <v>1247.010000000537</v>
      </c>
      <c r="C28" s="3">
        <v>1746.8500000002621</v>
      </c>
      <c r="D28" s="3">
        <v>2261.1200000002882</v>
      </c>
      <c r="E28" s="3">
        <v>5370.3499999989081</v>
      </c>
      <c r="F28" s="3">
        <v>996.68000000011409</v>
      </c>
      <c r="G28" s="3">
        <v>2334.4100000015378</v>
      </c>
      <c r="H28" s="3">
        <v>254.99999999997047</v>
      </c>
      <c r="I28" s="3">
        <v>2499.9900000012822</v>
      </c>
      <c r="J28" s="3">
        <v>2499.9900000012672</v>
      </c>
      <c r="K28" s="3">
        <v>11364.99999999869</v>
      </c>
      <c r="L28" s="3">
        <v>899.99999999999841</v>
      </c>
      <c r="M28" s="3">
        <v>3659.1999999995969</v>
      </c>
      <c r="N28" s="3">
        <v>13916.560000015921</v>
      </c>
      <c r="O28" s="122">
        <v>11987.800000005504</v>
      </c>
      <c r="P28" s="122">
        <v>673.3700000003422</v>
      </c>
      <c r="Q28" s="122">
        <v>1.1546226518826208</v>
      </c>
      <c r="R28" s="122">
        <v>2294.4700000004405</v>
      </c>
      <c r="S28" s="122">
        <v>1591.6899999993404</v>
      </c>
      <c r="T28" s="122">
        <v>504.47000000016385</v>
      </c>
      <c r="U28" s="122">
        <v>419.22999999996358</v>
      </c>
      <c r="V28" s="122">
        <v>5739.9700000027269</v>
      </c>
      <c r="W28" s="122">
        <v>899.98999999967975</v>
      </c>
      <c r="X28" s="122">
        <v>849.98999999941839</v>
      </c>
      <c r="Y28" s="122">
        <v>324.9999999999643</v>
      </c>
      <c r="Z28" s="122">
        <v>200.00000000007739</v>
      </c>
      <c r="AA28" s="122">
        <v>1000.0000000020067</v>
      </c>
      <c r="AB28" s="122">
        <v>1499.999999998952</v>
      </c>
      <c r="AC28" s="122">
        <v>1000.0000000020067</v>
      </c>
      <c r="AD28" s="122">
        <v>1499.999999998952</v>
      </c>
      <c r="AE28" s="122">
        <v>3561.9999999995866</v>
      </c>
      <c r="AF28" s="122">
        <v>214.31999999997544</v>
      </c>
      <c r="AG28" s="122">
        <v>9244.9999999989323</v>
      </c>
      <c r="AH28" s="122">
        <v>2172.3183050423681</v>
      </c>
      <c r="AI28" s="122">
        <v>5000.0100000008242</v>
      </c>
      <c r="AJ28" s="122">
        <v>38999.999998983854</v>
      </c>
      <c r="AK28" s="122">
        <v>7969.9999999999991</v>
      </c>
      <c r="AL28" s="122">
        <v>10224.999999998825</v>
      </c>
      <c r="AM28" s="122">
        <v>12099.999999999998</v>
      </c>
      <c r="AN28" s="122">
        <v>2972.9999999996558</v>
      </c>
      <c r="AO28" s="122">
        <v>797.99999999990837</v>
      </c>
      <c r="AP28" s="122">
        <v>340.98999999997505</v>
      </c>
      <c r="AQ28" s="122">
        <v>1350.0100000000286</v>
      </c>
      <c r="AR28" s="122">
        <v>9629.9999999988959</v>
      </c>
      <c r="AS28" s="122">
        <v>31248.028099180548</v>
      </c>
      <c r="AT28" s="122">
        <v>76003.885866670535</v>
      </c>
      <c r="AU28" s="122">
        <v>76239.192014864981</v>
      </c>
      <c r="AV28" s="122">
        <v>83063.070312491662</v>
      </c>
      <c r="AW28" s="122">
        <v>4644.9719008195216</v>
      </c>
      <c r="AX28" s="122">
        <v>21054.318167328252</v>
      </c>
      <c r="AY28" s="122">
        <v>1694.9999999998063</v>
      </c>
      <c r="AZ28" s="122">
        <v>349.67999999995914</v>
      </c>
      <c r="BA28" s="122">
        <v>897.99836653376121</v>
      </c>
      <c r="BB28" s="122">
        <v>1300.0000000005809</v>
      </c>
      <c r="BC28" s="122">
        <v>16199.99999897049</v>
      </c>
      <c r="BD28" s="122">
        <v>573.99999999993429</v>
      </c>
      <c r="BE28" s="122">
        <v>553.68346613539461</v>
      </c>
      <c r="BF28" s="122">
        <v>550.00999999974545</v>
      </c>
      <c r="BG28" s="122">
        <v>12296.800000006155</v>
      </c>
    </row>
    <row r="29" spans="1:59" x14ac:dyDescent="0.25">
      <c r="A29" s="1">
        <v>18628.999305555557</v>
      </c>
      <c r="B29" s="3">
        <v>1247.010000000537</v>
      </c>
      <c r="C29" s="3">
        <v>1746.8500000002621</v>
      </c>
      <c r="D29" s="3">
        <v>2261.1200000002882</v>
      </c>
      <c r="E29" s="3">
        <v>5370.3499999989081</v>
      </c>
      <c r="F29" s="3">
        <v>996.68000000011409</v>
      </c>
      <c r="G29" s="3">
        <v>2334.4100000015378</v>
      </c>
      <c r="H29" s="3">
        <v>311.9999999999639</v>
      </c>
      <c r="I29" s="3">
        <v>2499.9900000012822</v>
      </c>
      <c r="J29" s="3">
        <v>2499.9900000012672</v>
      </c>
      <c r="K29" s="3">
        <v>13760.999999998412</v>
      </c>
      <c r="L29" s="3">
        <v>900.00000000000091</v>
      </c>
      <c r="M29" s="3">
        <v>3659.1999999995969</v>
      </c>
      <c r="N29" s="3">
        <v>13916.560000015921</v>
      </c>
      <c r="O29" s="122">
        <v>11987.800000005504</v>
      </c>
      <c r="P29" s="122">
        <v>673.3700000003422</v>
      </c>
      <c r="Q29" s="122">
        <v>231.26880164011473</v>
      </c>
      <c r="R29" s="122">
        <v>2294.4700000004405</v>
      </c>
      <c r="S29" s="122">
        <v>1591.6899999993404</v>
      </c>
      <c r="T29" s="122">
        <v>504.47000000016385</v>
      </c>
      <c r="U29" s="122">
        <v>419.22999999996358</v>
      </c>
      <c r="V29" s="122">
        <v>5739.9700000027269</v>
      </c>
      <c r="W29" s="122">
        <v>899.98999999967975</v>
      </c>
      <c r="X29" s="122">
        <v>849.98999999941839</v>
      </c>
      <c r="Y29" s="122">
        <v>324.9999999999643</v>
      </c>
      <c r="Z29" s="122">
        <v>200.00000000007739</v>
      </c>
      <c r="AA29" s="122">
        <v>1000.0000000020067</v>
      </c>
      <c r="AB29" s="122">
        <v>1499.999999998952</v>
      </c>
      <c r="AC29" s="122">
        <v>1000.0000000020067</v>
      </c>
      <c r="AD29" s="122">
        <v>1499.999999998952</v>
      </c>
      <c r="AE29" s="122">
        <v>3937.9999999995462</v>
      </c>
      <c r="AF29" s="122">
        <v>265.6199999999684</v>
      </c>
      <c r="AG29" s="122">
        <v>10075.999999998845</v>
      </c>
      <c r="AH29" s="122">
        <v>2401.9999999997249</v>
      </c>
      <c r="AI29" s="122">
        <v>5000.0100000008242</v>
      </c>
      <c r="AJ29" s="122">
        <v>38999.999998983854</v>
      </c>
      <c r="AK29" s="122">
        <v>7970</v>
      </c>
      <c r="AL29" s="122">
        <v>12506.999999998563</v>
      </c>
      <c r="AM29" s="122">
        <v>12099.999999999998</v>
      </c>
      <c r="AN29" s="122">
        <v>3417.9999999996039</v>
      </c>
      <c r="AO29" s="122">
        <v>1237.9999999998563</v>
      </c>
      <c r="AP29" s="122">
        <v>340.98999999997505</v>
      </c>
      <c r="AQ29" s="122">
        <v>1350.0100000000286</v>
      </c>
      <c r="AR29" s="122">
        <v>11907.99999999863</v>
      </c>
      <c r="AS29" s="122">
        <v>31248.028099180548</v>
      </c>
      <c r="AT29" s="122">
        <v>88324.560095998168</v>
      </c>
      <c r="AU29" s="122">
        <v>88598.010746450062</v>
      </c>
      <c r="AV29" s="122">
        <v>96528.079609558801</v>
      </c>
      <c r="AW29" s="122">
        <v>4644.9719008195216</v>
      </c>
      <c r="AX29" s="122">
        <v>25954.456733064737</v>
      </c>
      <c r="AY29" s="122">
        <v>1911.9999999997813</v>
      </c>
      <c r="AZ29" s="122">
        <v>433.37999999994844</v>
      </c>
      <c r="BA29" s="122">
        <v>1106.9966533863274</v>
      </c>
      <c r="BB29" s="122">
        <v>1300.0000000005809</v>
      </c>
      <c r="BC29" s="122">
        <v>16199.99999897049</v>
      </c>
      <c r="BD29" s="122">
        <v>696.99999999991951</v>
      </c>
      <c r="BE29" s="122">
        <v>682.54661354573807</v>
      </c>
      <c r="BF29" s="122">
        <v>550.00999999974545</v>
      </c>
      <c r="BG29" s="122">
        <v>12296.800000006155</v>
      </c>
    </row>
    <row r="30" spans="1:59" x14ac:dyDescent="0.25">
      <c r="A30" s="1">
        <v>18993.999305555557</v>
      </c>
      <c r="B30" s="3">
        <v>1247.010000000537</v>
      </c>
      <c r="C30" s="3">
        <v>1746.8500000002621</v>
      </c>
      <c r="D30" s="3">
        <v>2261.1200000002882</v>
      </c>
      <c r="E30" s="3">
        <v>5370.3499999989081</v>
      </c>
      <c r="F30" s="3">
        <v>996.68000000011409</v>
      </c>
      <c r="G30" s="3">
        <v>2334.4100000015378</v>
      </c>
      <c r="H30" s="3">
        <v>280.99999999996771</v>
      </c>
      <c r="I30" s="3">
        <v>2499.9900000012822</v>
      </c>
      <c r="J30" s="3">
        <v>2499.9900000012672</v>
      </c>
      <c r="K30" s="3">
        <v>12434.999999998567</v>
      </c>
      <c r="L30" s="3">
        <v>899.99999999999898</v>
      </c>
      <c r="M30" s="3">
        <v>3659.1999999995969</v>
      </c>
      <c r="N30" s="3">
        <v>13916.560000015921</v>
      </c>
      <c r="O30" s="122">
        <v>11987.800000005504</v>
      </c>
      <c r="P30" s="122">
        <v>673.3700000003422</v>
      </c>
      <c r="Q30" s="122">
        <v>130.12066666674357</v>
      </c>
      <c r="R30" s="122">
        <v>2294.4700000004405</v>
      </c>
      <c r="S30" s="122">
        <v>1591.6899999993404</v>
      </c>
      <c r="T30" s="122">
        <v>504.47000000016385</v>
      </c>
      <c r="U30" s="122">
        <v>419.22999999996358</v>
      </c>
      <c r="V30" s="122">
        <v>5739.9700000027269</v>
      </c>
      <c r="W30" s="122">
        <v>899.98999999967975</v>
      </c>
      <c r="X30" s="122">
        <v>849.98999999941839</v>
      </c>
      <c r="Y30" s="122">
        <v>324.9999999999643</v>
      </c>
      <c r="Z30" s="122">
        <v>200.00000000007739</v>
      </c>
      <c r="AA30" s="122">
        <v>1000.0000000020067</v>
      </c>
      <c r="AB30" s="122">
        <v>1499.999999998952</v>
      </c>
      <c r="AC30" s="122">
        <v>1000.0000000020067</v>
      </c>
      <c r="AD30" s="122">
        <v>1499.999999998952</v>
      </c>
      <c r="AE30" s="122">
        <v>3928.9999999995466</v>
      </c>
      <c r="AF30" s="122">
        <v>262.19999999996935</v>
      </c>
      <c r="AG30" s="122">
        <v>9531.9999999989013</v>
      </c>
      <c r="AH30" s="122">
        <v>2305.528011188339</v>
      </c>
      <c r="AI30" s="122">
        <v>5000.0100000008242</v>
      </c>
      <c r="AJ30" s="122">
        <v>38999.999998983854</v>
      </c>
      <c r="AK30" s="122">
        <v>7970.0000000000045</v>
      </c>
      <c r="AL30" s="122">
        <v>11304.999999998692</v>
      </c>
      <c r="AM30" s="122">
        <v>12100.000000000004</v>
      </c>
      <c r="AN30" s="122">
        <v>3178.9999999996326</v>
      </c>
      <c r="AO30" s="122">
        <v>1215.9999999998604</v>
      </c>
      <c r="AP30" s="122">
        <v>340.98999999997505</v>
      </c>
      <c r="AQ30" s="122">
        <v>1350.0100000000286</v>
      </c>
      <c r="AR30" s="122">
        <v>11802.999999998639</v>
      </c>
      <c r="AS30" s="122">
        <v>31248.028099180548</v>
      </c>
      <c r="AT30" s="122">
        <v>86938.457790346612</v>
      </c>
      <c r="AU30" s="122">
        <v>87207.617102390941</v>
      </c>
      <c r="AV30" s="122">
        <v>95013.237151679146</v>
      </c>
      <c r="AW30" s="122">
        <v>4644.9719008195216</v>
      </c>
      <c r="AX30" s="122">
        <v>25811.325537845634</v>
      </c>
      <c r="AY30" s="122">
        <v>1779.9999999997949</v>
      </c>
      <c r="AZ30" s="122">
        <v>427.79999999995044</v>
      </c>
      <c r="BA30" s="122">
        <v>1100.8918924301533</v>
      </c>
      <c r="BB30" s="122">
        <v>1300.0000000005809</v>
      </c>
      <c r="BC30" s="122">
        <v>16199.99999897049</v>
      </c>
      <c r="BD30" s="122">
        <v>629.99999999992735</v>
      </c>
      <c r="BE30" s="122">
        <v>678.78256972103759</v>
      </c>
      <c r="BF30" s="122">
        <v>550.00999999974545</v>
      </c>
      <c r="BG30" s="122">
        <v>12296.800000006155</v>
      </c>
    </row>
    <row r="31" spans="1:59" x14ac:dyDescent="0.25">
      <c r="A31" s="1">
        <v>19359.999305555557</v>
      </c>
      <c r="B31" s="3">
        <v>1247.010000000537</v>
      </c>
      <c r="C31" s="3">
        <v>1746.8500000002621</v>
      </c>
      <c r="D31" s="3">
        <v>2261.1200000002882</v>
      </c>
      <c r="E31" s="3">
        <v>5370.3499999989081</v>
      </c>
      <c r="F31" s="3">
        <v>996.68000000011409</v>
      </c>
      <c r="G31" s="3">
        <v>2334.4100000015383</v>
      </c>
      <c r="H31" s="3">
        <v>283.99999999996754</v>
      </c>
      <c r="I31" s="3">
        <v>2499.9900000012822</v>
      </c>
      <c r="J31" s="3">
        <v>2499.9900000012672</v>
      </c>
      <c r="K31" s="3">
        <v>12478.999999998563</v>
      </c>
      <c r="L31" s="3">
        <v>899.99999999999943</v>
      </c>
      <c r="M31" s="3">
        <v>3659.1999999995965</v>
      </c>
      <c r="N31" s="3">
        <v>13916.560000015921</v>
      </c>
      <c r="O31" s="122">
        <v>11987.800000005504</v>
      </c>
      <c r="P31" s="122">
        <v>673.3700000003422</v>
      </c>
      <c r="Q31" s="122">
        <v>0</v>
      </c>
      <c r="R31" s="122">
        <v>2294.4700000004405</v>
      </c>
      <c r="S31" s="122">
        <v>1591.6899999993404</v>
      </c>
      <c r="T31" s="122">
        <v>504.47000000016385</v>
      </c>
      <c r="U31" s="122">
        <v>419.22999999996358</v>
      </c>
      <c r="V31" s="122">
        <v>5739.970000002726</v>
      </c>
      <c r="W31" s="122">
        <v>899.98999999967964</v>
      </c>
      <c r="X31" s="122">
        <v>849.98999999941861</v>
      </c>
      <c r="Y31" s="122">
        <v>324.9999999999643</v>
      </c>
      <c r="Z31" s="122">
        <v>200.00000000007739</v>
      </c>
      <c r="AA31" s="122">
        <v>1000.0000000020035</v>
      </c>
      <c r="AB31" s="122">
        <v>1499.9999999989695</v>
      </c>
      <c r="AC31" s="122">
        <v>1000.0000000020035</v>
      </c>
      <c r="AD31" s="122">
        <v>1499.9999999989695</v>
      </c>
      <c r="AE31" s="122">
        <v>4080.9999999995307</v>
      </c>
      <c r="AF31" s="122">
        <v>263.339999999969</v>
      </c>
      <c r="AG31" s="122">
        <v>10208.999999998819</v>
      </c>
      <c r="AH31" s="122">
        <v>2500.677366821843</v>
      </c>
      <c r="AI31" s="122">
        <v>5000.0100000008242</v>
      </c>
      <c r="AJ31" s="122">
        <v>38999.999998983862</v>
      </c>
      <c r="AK31" s="122">
        <v>7970</v>
      </c>
      <c r="AL31" s="122">
        <v>11440.99999999869</v>
      </c>
      <c r="AM31" s="122">
        <v>12100</v>
      </c>
      <c r="AN31" s="122">
        <v>3304.9999999996203</v>
      </c>
      <c r="AO31" s="122">
        <v>1225.9999999998588</v>
      </c>
      <c r="AP31" s="122">
        <v>340.98999999997511</v>
      </c>
      <c r="AQ31" s="122">
        <v>1350.0100000000286</v>
      </c>
      <c r="AR31" s="122">
        <v>11808.99999999865</v>
      </c>
      <c r="AS31" s="122">
        <v>31235.302148767347</v>
      </c>
      <c r="AT31" s="122">
        <v>84780.331078511241</v>
      </c>
      <c r="AU31" s="122">
        <v>85042.808883708029</v>
      </c>
      <c r="AV31" s="122">
        <v>92654.665234410641</v>
      </c>
      <c r="AW31" s="122">
        <v>4657.697851232725</v>
      </c>
      <c r="AX31" s="122">
        <v>25742.098685255994</v>
      </c>
      <c r="AY31" s="122">
        <v>1853.9999999997867</v>
      </c>
      <c r="AZ31" s="122">
        <v>429.65999999995159</v>
      </c>
      <c r="BA31" s="122">
        <v>1097.939262948081</v>
      </c>
      <c r="BB31" s="122">
        <v>1300.0000000005807</v>
      </c>
      <c r="BC31" s="122">
        <v>16199.999998970494</v>
      </c>
      <c r="BD31" s="122">
        <v>632.99999999992735</v>
      </c>
      <c r="BE31" s="122">
        <v>676.96205179275057</v>
      </c>
      <c r="BF31" s="122">
        <v>550.00999999974533</v>
      </c>
      <c r="BG31" s="122">
        <v>12296.800000006155</v>
      </c>
    </row>
    <row r="32" spans="1:59" x14ac:dyDescent="0.25">
      <c r="A32" s="1">
        <v>19724.999305555557</v>
      </c>
      <c r="B32" s="3">
        <v>1247.010000000537</v>
      </c>
      <c r="C32" s="3">
        <v>1746.8500000002621</v>
      </c>
      <c r="D32" s="3">
        <v>2261.1200000002882</v>
      </c>
      <c r="E32" s="3">
        <v>5370.3499999989081</v>
      </c>
      <c r="F32" s="3">
        <v>996.68000000011409</v>
      </c>
      <c r="G32" s="3">
        <v>2334.4100000015378</v>
      </c>
      <c r="H32" s="3">
        <v>280.99999999996754</v>
      </c>
      <c r="I32" s="3">
        <v>2499.9900000012822</v>
      </c>
      <c r="J32" s="3">
        <v>2499.9900000012672</v>
      </c>
      <c r="K32" s="3">
        <v>12405.999999998568</v>
      </c>
      <c r="L32" s="3">
        <v>900.00000000000068</v>
      </c>
      <c r="M32" s="3">
        <v>3659.1999999995969</v>
      </c>
      <c r="N32" s="3">
        <v>13916.560000015921</v>
      </c>
      <c r="O32" s="122">
        <v>11987.800000005504</v>
      </c>
      <c r="P32" s="122">
        <v>673.3700000003422</v>
      </c>
      <c r="Q32" s="122">
        <v>127.40866666676429</v>
      </c>
      <c r="R32" s="122">
        <v>2294.4700000004405</v>
      </c>
      <c r="S32" s="122">
        <v>1591.6899999993404</v>
      </c>
      <c r="T32" s="122">
        <v>504.47000000016385</v>
      </c>
      <c r="U32" s="122">
        <v>419.22999999996358</v>
      </c>
      <c r="V32" s="122">
        <v>5739.9700000027269</v>
      </c>
      <c r="W32" s="122">
        <v>899.98999999967975</v>
      </c>
      <c r="X32" s="122">
        <v>849.98999999941839</v>
      </c>
      <c r="Y32" s="122">
        <v>324.9999999999643</v>
      </c>
      <c r="Z32" s="122">
        <v>200.00000000007739</v>
      </c>
      <c r="AA32" s="122">
        <v>1000.0000000020067</v>
      </c>
      <c r="AB32" s="122">
        <v>1499.999999998952</v>
      </c>
      <c r="AC32" s="122">
        <v>1000.0000000020067</v>
      </c>
      <c r="AD32" s="122">
        <v>1499.999999998952</v>
      </c>
      <c r="AE32" s="122">
        <v>3911.9999999995539</v>
      </c>
      <c r="AF32" s="122">
        <v>270.1799999999696</v>
      </c>
      <c r="AG32" s="122">
        <v>9695.9999999988886</v>
      </c>
      <c r="AH32" s="122">
        <v>2337.943603462872</v>
      </c>
      <c r="AI32" s="122">
        <v>5000.0100000008242</v>
      </c>
      <c r="AJ32" s="122">
        <v>38999.999998983854</v>
      </c>
      <c r="AK32" s="122">
        <v>7970.0000000000064</v>
      </c>
      <c r="AL32" s="122">
        <v>11256.999999998699</v>
      </c>
      <c r="AM32" s="122">
        <v>12100</v>
      </c>
      <c r="AN32" s="122">
        <v>3166.9999999996376</v>
      </c>
      <c r="AO32" s="122">
        <v>1311.9999999998493</v>
      </c>
      <c r="AP32" s="122">
        <v>340.98999999997505</v>
      </c>
      <c r="AQ32" s="122">
        <v>1350.0100000000286</v>
      </c>
      <c r="AR32" s="122">
        <v>12126.999999998601</v>
      </c>
      <c r="AS32" s="122">
        <v>31248.028099180548</v>
      </c>
      <c r="AT32" s="122">
        <v>87100.236991027705</v>
      </c>
      <c r="AU32" s="122">
        <v>87369.897167470263</v>
      </c>
      <c r="AV32" s="122">
        <v>95190.04228431209</v>
      </c>
      <c r="AW32" s="122">
        <v>4644.9719008195216</v>
      </c>
      <c r="AX32" s="122">
        <v>26452.141673303726</v>
      </c>
      <c r="AY32" s="122">
        <v>1711.9999999998035</v>
      </c>
      <c r="AZ32" s="122">
        <v>440.81999999994895</v>
      </c>
      <c r="BA32" s="122">
        <v>1128.223665338516</v>
      </c>
      <c r="BB32" s="122">
        <v>1300.0000000005809</v>
      </c>
      <c r="BC32" s="122">
        <v>16199.99999897049</v>
      </c>
      <c r="BD32" s="122">
        <v>628.99999999992781</v>
      </c>
      <c r="BE32" s="122">
        <v>695.63466135450165</v>
      </c>
      <c r="BF32" s="122">
        <v>550.00999999974545</v>
      </c>
      <c r="BG32" s="122">
        <v>12296.800000006155</v>
      </c>
    </row>
    <row r="33" spans="1:59" x14ac:dyDescent="0.25">
      <c r="A33" s="1">
        <v>20089.999305555557</v>
      </c>
      <c r="B33" s="3">
        <v>1247.010000000537</v>
      </c>
      <c r="C33" s="3">
        <v>1746.8500000002621</v>
      </c>
      <c r="D33" s="3">
        <v>2261.1200000002882</v>
      </c>
      <c r="E33" s="3">
        <v>5370.3499999989081</v>
      </c>
      <c r="F33" s="3">
        <v>996.68000000011409</v>
      </c>
      <c r="G33" s="3">
        <v>2334.4100000015378</v>
      </c>
      <c r="H33" s="3">
        <v>287.9999999999668</v>
      </c>
      <c r="I33" s="3">
        <v>2499.9900000012822</v>
      </c>
      <c r="J33" s="3">
        <v>2499.9900000012672</v>
      </c>
      <c r="K33" s="3">
        <v>12708.999999998541</v>
      </c>
      <c r="L33" s="3">
        <v>899.99999999999977</v>
      </c>
      <c r="M33" s="3">
        <v>3659.1999999995969</v>
      </c>
      <c r="N33" s="3">
        <v>13916.560000015921</v>
      </c>
      <c r="O33" s="122">
        <v>11987.800000005504</v>
      </c>
      <c r="P33" s="122">
        <v>673.3700000003422</v>
      </c>
      <c r="Q33" s="122">
        <v>1.5829999999991415</v>
      </c>
      <c r="R33" s="122">
        <v>2294.4700000004405</v>
      </c>
      <c r="S33" s="122">
        <v>1591.6899999993404</v>
      </c>
      <c r="T33" s="122">
        <v>504.47000000016385</v>
      </c>
      <c r="U33" s="122">
        <v>419.22999999996358</v>
      </c>
      <c r="V33" s="122">
        <v>5739.9700000027269</v>
      </c>
      <c r="W33" s="122">
        <v>899.98999999967975</v>
      </c>
      <c r="X33" s="122">
        <v>849.98999999941839</v>
      </c>
      <c r="Y33" s="122">
        <v>324.9999999999643</v>
      </c>
      <c r="Z33" s="122">
        <v>200.00000000007739</v>
      </c>
      <c r="AA33" s="122">
        <v>1000.0000000020067</v>
      </c>
      <c r="AB33" s="122">
        <v>1499.999999998952</v>
      </c>
      <c r="AC33" s="122">
        <v>1000.0000000020067</v>
      </c>
      <c r="AD33" s="122">
        <v>1499.999999998952</v>
      </c>
      <c r="AE33" s="122">
        <v>3823.9999999995575</v>
      </c>
      <c r="AF33" s="122">
        <v>275.11999999996885</v>
      </c>
      <c r="AG33" s="122">
        <v>9207.9999999989413</v>
      </c>
      <c r="AH33" s="122">
        <v>2353.9999999997322</v>
      </c>
      <c r="AI33" s="122">
        <v>5000.0100000008242</v>
      </c>
      <c r="AJ33" s="122">
        <v>38999.999998983854</v>
      </c>
      <c r="AK33" s="122">
        <v>7970.0000000000064</v>
      </c>
      <c r="AL33" s="122">
        <v>11567.999999998678</v>
      </c>
      <c r="AM33" s="122">
        <v>12100</v>
      </c>
      <c r="AN33" s="122">
        <v>3159.999999999638</v>
      </c>
      <c r="AO33" s="122">
        <v>1426.9999999998361</v>
      </c>
      <c r="AP33" s="122">
        <v>340.98999999997505</v>
      </c>
      <c r="AQ33" s="122">
        <v>1350.0100000000286</v>
      </c>
      <c r="AR33" s="122">
        <v>12310.999999998583</v>
      </c>
      <c r="AS33" s="122">
        <v>31248.028099180548</v>
      </c>
      <c r="AT33" s="122">
        <v>80833.233861201923</v>
      </c>
      <c r="AU33" s="122">
        <v>81083.491551174535</v>
      </c>
      <c r="AV33" s="122">
        <v>88340.964560384498</v>
      </c>
      <c r="AW33" s="122">
        <v>4644.9719008195216</v>
      </c>
      <c r="AX33" s="122">
        <v>26825.405378482956</v>
      </c>
      <c r="AY33" s="122">
        <v>1881.9999999997817</v>
      </c>
      <c r="AZ33" s="122">
        <v>448.87999999994605</v>
      </c>
      <c r="BA33" s="122">
        <v>1144.1439243026573</v>
      </c>
      <c r="BB33" s="122">
        <v>1300.0000000005809</v>
      </c>
      <c r="BC33" s="122">
        <v>16199.99999897049</v>
      </c>
      <c r="BD33" s="122">
        <v>643.99999999992588</v>
      </c>
      <c r="BE33" s="122">
        <v>705.45069721107473</v>
      </c>
      <c r="BF33" s="122">
        <v>550.00999999974545</v>
      </c>
      <c r="BG33" s="122">
        <v>12296.800000006155</v>
      </c>
    </row>
    <row r="34" spans="1:59" x14ac:dyDescent="0.25">
      <c r="A34" s="1">
        <v>20454.999305555557</v>
      </c>
      <c r="B34" s="3">
        <v>1247.010000000537</v>
      </c>
      <c r="C34" s="3">
        <v>1746.8500000002621</v>
      </c>
      <c r="D34" s="3">
        <v>2261.1200000002882</v>
      </c>
      <c r="E34" s="3">
        <v>5370.3499999989081</v>
      </c>
      <c r="F34" s="3">
        <v>996.68000000011409</v>
      </c>
      <c r="G34" s="3">
        <v>2334.4100000015378</v>
      </c>
      <c r="H34" s="3">
        <v>277.99999999996788</v>
      </c>
      <c r="I34" s="3">
        <v>2499.9900000012822</v>
      </c>
      <c r="J34" s="3">
        <v>2499.9900000012672</v>
      </c>
      <c r="K34" s="3">
        <v>12289.999999998583</v>
      </c>
      <c r="L34" s="3">
        <v>900.00000000000068</v>
      </c>
      <c r="M34" s="3">
        <v>3659.1999999995969</v>
      </c>
      <c r="N34" s="3">
        <v>13916.560000015921</v>
      </c>
      <c r="O34" s="122">
        <v>11987.800000005504</v>
      </c>
      <c r="P34" s="122">
        <v>673.3700000003422</v>
      </c>
      <c r="Q34" s="122">
        <v>65.355871650013313</v>
      </c>
      <c r="R34" s="122">
        <v>2294.4700000004405</v>
      </c>
      <c r="S34" s="122">
        <v>1591.6899999993404</v>
      </c>
      <c r="T34" s="122">
        <v>504.47000000016385</v>
      </c>
      <c r="U34" s="122">
        <v>419.22999999996358</v>
      </c>
      <c r="V34" s="122">
        <v>5739.9700000027269</v>
      </c>
      <c r="W34" s="122">
        <v>899.98999999967975</v>
      </c>
      <c r="X34" s="122">
        <v>849.98999999941839</v>
      </c>
      <c r="Y34" s="122">
        <v>324.9999999999643</v>
      </c>
      <c r="Z34" s="122">
        <v>200.00000000007739</v>
      </c>
      <c r="AA34" s="122">
        <v>1000.0000000020067</v>
      </c>
      <c r="AB34" s="122">
        <v>1499.999999998952</v>
      </c>
      <c r="AC34" s="122">
        <v>1000.0000000020067</v>
      </c>
      <c r="AD34" s="122">
        <v>1499.999999998952</v>
      </c>
      <c r="AE34" s="122">
        <v>3532.9999999995935</v>
      </c>
      <c r="AF34" s="122">
        <v>260.29999999996949</v>
      </c>
      <c r="AG34" s="122">
        <v>9413.9999999989141</v>
      </c>
      <c r="AH34" s="122">
        <v>2203.9999999997458</v>
      </c>
      <c r="AI34" s="122">
        <v>5000.0100000008242</v>
      </c>
      <c r="AJ34" s="122">
        <v>38999.999998983854</v>
      </c>
      <c r="AK34" s="122">
        <v>7969.9999999999973</v>
      </c>
      <c r="AL34" s="122">
        <v>11128.999999998714</v>
      </c>
      <c r="AM34" s="122">
        <v>12100.000000000011</v>
      </c>
      <c r="AN34" s="122">
        <v>3050.9999999996489</v>
      </c>
      <c r="AO34" s="122">
        <v>1064.9999999998781</v>
      </c>
      <c r="AP34" s="122">
        <v>340.98999999997505</v>
      </c>
      <c r="AQ34" s="122">
        <v>1350.0100000000286</v>
      </c>
      <c r="AR34" s="122">
        <v>11671.999999998661</v>
      </c>
      <c r="AS34" s="122">
        <v>31248.028099180548</v>
      </c>
      <c r="AT34" s="122">
        <v>78769.990168550707</v>
      </c>
      <c r="AU34" s="122">
        <v>79013.860107152927</v>
      </c>
      <c r="AV34" s="122">
        <v>86086.088326619996</v>
      </c>
      <c r="AW34" s="122">
        <v>4644.9719008195216</v>
      </c>
      <c r="AX34" s="122">
        <v>25460.513784857623</v>
      </c>
      <c r="AY34" s="122">
        <v>1684.9999999998061</v>
      </c>
      <c r="AZ34" s="122">
        <v>424.69999999994997</v>
      </c>
      <c r="BA34" s="122">
        <v>1085.9292430277626</v>
      </c>
      <c r="BB34" s="122">
        <v>1300.0000000005809</v>
      </c>
      <c r="BC34" s="122">
        <v>16199.99999897049</v>
      </c>
      <c r="BD34" s="122">
        <v>623.99999999992838</v>
      </c>
      <c r="BE34" s="122">
        <v>669.55697211147651</v>
      </c>
      <c r="BF34" s="122">
        <v>550.00999999974545</v>
      </c>
      <c r="BG34" s="122">
        <v>12296.800000006155</v>
      </c>
    </row>
    <row r="35" spans="1:59" x14ac:dyDescent="0.25">
      <c r="A35" s="1">
        <v>20820.999305555557</v>
      </c>
      <c r="B35" s="3">
        <v>1247.010000000537</v>
      </c>
      <c r="C35" s="3">
        <v>1746.8500000002621</v>
      </c>
      <c r="D35" s="3">
        <v>2261.1200000002882</v>
      </c>
      <c r="E35" s="3">
        <v>5370.3499999989081</v>
      </c>
      <c r="F35" s="3">
        <v>996.68000000011409</v>
      </c>
      <c r="G35" s="3">
        <v>2334.4100000015383</v>
      </c>
      <c r="H35" s="3">
        <v>305.99999999996487</v>
      </c>
      <c r="I35" s="3">
        <v>2499.9900000012822</v>
      </c>
      <c r="J35" s="3">
        <v>2499.9900000012672</v>
      </c>
      <c r="K35" s="3">
        <v>13524.999999998441</v>
      </c>
      <c r="L35" s="3">
        <v>899.99999999999955</v>
      </c>
      <c r="M35" s="3">
        <v>3659.1999999995965</v>
      </c>
      <c r="N35" s="3">
        <v>13916.560000015921</v>
      </c>
      <c r="O35" s="122">
        <v>11987.800000005504</v>
      </c>
      <c r="P35" s="122">
        <v>673.3700000003422</v>
      </c>
      <c r="Q35" s="122">
        <v>281.13838709699314</v>
      </c>
      <c r="R35" s="122">
        <v>2294.4700000004405</v>
      </c>
      <c r="S35" s="122">
        <v>1591.6899999993404</v>
      </c>
      <c r="T35" s="122">
        <v>504.47000000016385</v>
      </c>
      <c r="U35" s="122">
        <v>419.22999999996358</v>
      </c>
      <c r="V35" s="122">
        <v>5739.970000002726</v>
      </c>
      <c r="W35" s="122">
        <v>899.98999999967964</v>
      </c>
      <c r="X35" s="122">
        <v>849.98999999941861</v>
      </c>
      <c r="Y35" s="122">
        <v>324.9999999999643</v>
      </c>
      <c r="Z35" s="122">
        <v>200.00000000007739</v>
      </c>
      <c r="AA35" s="122">
        <v>1000.0000000020035</v>
      </c>
      <c r="AB35" s="122">
        <v>1499.9999999989695</v>
      </c>
      <c r="AC35" s="122">
        <v>1000.0000000020035</v>
      </c>
      <c r="AD35" s="122">
        <v>1499.9999999989695</v>
      </c>
      <c r="AE35" s="122">
        <v>3893.9999999995543</v>
      </c>
      <c r="AF35" s="122">
        <v>289.55999999996732</v>
      </c>
      <c r="AG35" s="122">
        <v>10181.999999998829</v>
      </c>
      <c r="AH35" s="122">
        <v>2389.7839222325961</v>
      </c>
      <c r="AI35" s="122">
        <v>5000.0100000008242</v>
      </c>
      <c r="AJ35" s="122">
        <v>38999.999998983862</v>
      </c>
      <c r="AK35" s="122">
        <v>7970.0000000000045</v>
      </c>
      <c r="AL35" s="122">
        <v>12267.999999998588</v>
      </c>
      <c r="AM35" s="122">
        <v>12099.999999999993</v>
      </c>
      <c r="AN35" s="122">
        <v>3384.9999999996103</v>
      </c>
      <c r="AO35" s="122">
        <v>1226.9999999998583</v>
      </c>
      <c r="AP35" s="122">
        <v>340.98999999997511</v>
      </c>
      <c r="AQ35" s="122">
        <v>1350.0100000000286</v>
      </c>
      <c r="AR35" s="122">
        <v>12992.999999998507</v>
      </c>
      <c r="AS35" s="122">
        <v>31235.302148767347</v>
      </c>
      <c r="AT35" s="122">
        <v>88359.591608343821</v>
      </c>
      <c r="AU35" s="122">
        <v>88633.150715490148</v>
      </c>
      <c r="AV35" s="122">
        <v>96566.364822741016</v>
      </c>
      <c r="AW35" s="122">
        <v>4657.697851232725</v>
      </c>
      <c r="AX35" s="122">
        <v>28359.62211155051</v>
      </c>
      <c r="AY35" s="122">
        <v>1929.999999999779</v>
      </c>
      <c r="AZ35" s="122">
        <v>472.43999999994304</v>
      </c>
      <c r="BA35" s="122">
        <v>1209.5805776891045</v>
      </c>
      <c r="BB35" s="122">
        <v>1300.0000000005807</v>
      </c>
      <c r="BC35" s="122">
        <v>16199.999998970494</v>
      </c>
      <c r="BD35" s="122">
        <v>684.99999999992122</v>
      </c>
      <c r="BE35" s="122">
        <v>745.79731075688619</v>
      </c>
      <c r="BF35" s="122">
        <v>550.00999999974533</v>
      </c>
      <c r="BG35" s="122">
        <v>12296.800000006155</v>
      </c>
    </row>
    <row r="36" spans="1:59" x14ac:dyDescent="0.25">
      <c r="A36" s="1">
        <v>21185.999305555557</v>
      </c>
      <c r="B36" s="3">
        <v>1247.010000000537</v>
      </c>
      <c r="C36" s="3">
        <v>1746.8500000002621</v>
      </c>
      <c r="D36" s="3">
        <v>2261.1200000002882</v>
      </c>
      <c r="E36" s="3">
        <v>5370.3499999989081</v>
      </c>
      <c r="F36" s="3">
        <v>996.68000000011409</v>
      </c>
      <c r="G36" s="3">
        <v>2334.4100000015378</v>
      </c>
      <c r="H36" s="3">
        <v>217.99999999997496</v>
      </c>
      <c r="I36" s="3">
        <v>2499.9900000012822</v>
      </c>
      <c r="J36" s="3">
        <v>2499.9900000012672</v>
      </c>
      <c r="K36" s="3">
        <v>9632.9999999988922</v>
      </c>
      <c r="L36" s="3">
        <v>900</v>
      </c>
      <c r="M36" s="3">
        <v>3659.1999999995969</v>
      </c>
      <c r="N36" s="3">
        <v>13916.560000015921</v>
      </c>
      <c r="O36" s="122">
        <v>11987.800000005504</v>
      </c>
      <c r="P36" s="122">
        <v>673.3700000003422</v>
      </c>
      <c r="Q36" s="122">
        <v>0</v>
      </c>
      <c r="R36" s="122">
        <v>2294.4700000004405</v>
      </c>
      <c r="S36" s="122">
        <v>1591.6899999993404</v>
      </c>
      <c r="T36" s="122">
        <v>504.47000000016385</v>
      </c>
      <c r="U36" s="122">
        <v>419.22999999996358</v>
      </c>
      <c r="V36" s="122">
        <v>5739.9700000027269</v>
      </c>
      <c r="W36" s="122">
        <v>899.98999999967975</v>
      </c>
      <c r="X36" s="122">
        <v>849.98999999941839</v>
      </c>
      <c r="Y36" s="122">
        <v>324.9999999999643</v>
      </c>
      <c r="Z36" s="122">
        <v>200.00000000007739</v>
      </c>
      <c r="AA36" s="122">
        <v>1000.0000000020067</v>
      </c>
      <c r="AB36" s="122">
        <v>1499.999999998952</v>
      </c>
      <c r="AC36" s="122">
        <v>1000.0000000020067</v>
      </c>
      <c r="AD36" s="122">
        <v>1499.999999998952</v>
      </c>
      <c r="AE36" s="122">
        <v>3277.9999999996235</v>
      </c>
      <c r="AF36" s="122">
        <v>213.17999999997608</v>
      </c>
      <c r="AG36" s="122">
        <v>7776.9999999991123</v>
      </c>
      <c r="AH36" s="122">
        <v>1994.9999999997722</v>
      </c>
      <c r="AI36" s="122">
        <v>5000.0100000008242</v>
      </c>
      <c r="AJ36" s="122">
        <v>38999.999998983854</v>
      </c>
      <c r="AK36" s="122">
        <v>7912.001213045849</v>
      </c>
      <c r="AL36" s="122">
        <v>8802.9999999989868</v>
      </c>
      <c r="AM36" s="122">
        <v>12100.000000000007</v>
      </c>
      <c r="AN36" s="122">
        <v>2615.999999999698</v>
      </c>
      <c r="AO36" s="122">
        <v>698.99999999991951</v>
      </c>
      <c r="AP36" s="122">
        <v>340.98999999997505</v>
      </c>
      <c r="AQ36" s="122">
        <v>1350.0100000000286</v>
      </c>
      <c r="AR36" s="122">
        <v>9526.9999999989031</v>
      </c>
      <c r="AS36" s="122">
        <v>31248.028099180548</v>
      </c>
      <c r="AT36" s="122">
        <v>72147.756296909429</v>
      </c>
      <c r="AU36" s="122">
        <v>72371.12396346312</v>
      </c>
      <c r="AV36" s="122">
        <v>78848.786293526209</v>
      </c>
      <c r="AW36" s="122">
        <v>4644.9719008195216</v>
      </c>
      <c r="AX36" s="122">
        <v>20705.377410356163</v>
      </c>
      <c r="AY36" s="122">
        <v>1394.9999999998392</v>
      </c>
      <c r="AZ36" s="122">
        <v>347.81999999995924</v>
      </c>
      <c r="BA36" s="122">
        <v>883.11551792818477</v>
      </c>
      <c r="BB36" s="122">
        <v>1300.0000000005809</v>
      </c>
      <c r="BC36" s="122">
        <v>16199.99999897049</v>
      </c>
      <c r="BD36" s="122">
        <v>488.99999999994401</v>
      </c>
      <c r="BE36" s="122">
        <v>544.50707171308488</v>
      </c>
      <c r="BF36" s="122">
        <v>550.00999999974545</v>
      </c>
      <c r="BG36" s="122">
        <v>12296.800000006155</v>
      </c>
    </row>
    <row r="37" spans="1:59" x14ac:dyDescent="0.25">
      <c r="A37" s="1">
        <v>21550.999305555557</v>
      </c>
      <c r="B37" s="3">
        <v>1247.010000000537</v>
      </c>
      <c r="C37" s="3">
        <v>1746.8500000002621</v>
      </c>
      <c r="D37" s="3">
        <v>2261.1200000002882</v>
      </c>
      <c r="E37" s="3">
        <v>5370.3499999989081</v>
      </c>
      <c r="F37" s="3">
        <v>996.68000000011409</v>
      </c>
      <c r="G37" s="3">
        <v>2334.4100000015378</v>
      </c>
      <c r="H37" s="3">
        <v>283.99999999996714</v>
      </c>
      <c r="I37" s="3">
        <v>2499.9900000012822</v>
      </c>
      <c r="J37" s="3">
        <v>2499.9900000012672</v>
      </c>
      <c r="K37" s="3">
        <v>12570.999999998554</v>
      </c>
      <c r="L37" s="3">
        <v>899.99999999999955</v>
      </c>
      <c r="M37" s="3">
        <v>3659.1999999995969</v>
      </c>
      <c r="N37" s="3">
        <v>13916.560000015921</v>
      </c>
      <c r="O37" s="122">
        <v>11987.800000005504</v>
      </c>
      <c r="P37" s="122">
        <v>673.3700000003422</v>
      </c>
      <c r="Q37" s="122">
        <v>0</v>
      </c>
      <c r="R37" s="122">
        <v>2294.4700000004405</v>
      </c>
      <c r="S37" s="122">
        <v>1591.6899999993404</v>
      </c>
      <c r="T37" s="122">
        <v>504.47000000016385</v>
      </c>
      <c r="U37" s="122">
        <v>419.22999999996358</v>
      </c>
      <c r="V37" s="122">
        <v>5739.9700000027269</v>
      </c>
      <c r="W37" s="122">
        <v>899.98999999967975</v>
      </c>
      <c r="X37" s="122">
        <v>849.98999999941839</v>
      </c>
      <c r="Y37" s="122">
        <v>324.9999999999643</v>
      </c>
      <c r="Z37" s="122">
        <v>200.00000000007739</v>
      </c>
      <c r="AA37" s="122">
        <v>1000.0000000020067</v>
      </c>
      <c r="AB37" s="122">
        <v>1499.999999998952</v>
      </c>
      <c r="AC37" s="122">
        <v>1000.0000000020067</v>
      </c>
      <c r="AD37" s="122">
        <v>1499.999999998952</v>
      </c>
      <c r="AE37" s="122">
        <v>4002.9999999995375</v>
      </c>
      <c r="AF37" s="122">
        <v>275.119999999968</v>
      </c>
      <c r="AG37" s="122">
        <v>9647.9999999988868</v>
      </c>
      <c r="AH37" s="122">
        <v>2404.9662928580715</v>
      </c>
      <c r="AI37" s="122">
        <v>5000.0100000008242</v>
      </c>
      <c r="AJ37" s="122">
        <v>38999.999998983854</v>
      </c>
      <c r="AK37" s="122">
        <v>7969.9999999999945</v>
      </c>
      <c r="AL37" s="122">
        <v>11424.99999999869</v>
      </c>
      <c r="AM37" s="122">
        <v>12100.000000000022</v>
      </c>
      <c r="AN37" s="122">
        <v>3202.9999999996312</v>
      </c>
      <c r="AO37" s="122">
        <v>1132.9999999998695</v>
      </c>
      <c r="AP37" s="122">
        <v>340.98999999997505</v>
      </c>
      <c r="AQ37" s="122">
        <v>1350.0100000000286</v>
      </c>
      <c r="AR37" s="122">
        <v>12306.999999998578</v>
      </c>
      <c r="AS37" s="122">
        <v>31248.028099180548</v>
      </c>
      <c r="AT37" s="122">
        <v>87933.140272959965</v>
      </c>
      <c r="AU37" s="122">
        <v>88205.379097334415</v>
      </c>
      <c r="AV37" s="122">
        <v>96100.305004194684</v>
      </c>
      <c r="AW37" s="122">
        <v>4644.9719008195216</v>
      </c>
      <c r="AX37" s="122">
        <v>26790.791952188145</v>
      </c>
      <c r="AY37" s="122">
        <v>1592.9999999998163</v>
      </c>
      <c r="AZ37" s="122">
        <v>448.87999999994975</v>
      </c>
      <c r="BA37" s="122">
        <v>1142.6676095616212</v>
      </c>
      <c r="BB37" s="122">
        <v>1300.0000000005809</v>
      </c>
      <c r="BC37" s="122">
        <v>16199.99999897049</v>
      </c>
      <c r="BD37" s="122">
        <v>636.99999999992679</v>
      </c>
      <c r="BE37" s="122">
        <v>704.54043824693133</v>
      </c>
      <c r="BF37" s="122">
        <v>550.00999999974545</v>
      </c>
      <c r="BG37" s="122">
        <v>12296.800000006155</v>
      </c>
    </row>
    <row r="38" spans="1:59" x14ac:dyDescent="0.25">
      <c r="A38" s="1">
        <v>21915.999305555557</v>
      </c>
      <c r="B38" s="3">
        <v>1247.010000000537</v>
      </c>
      <c r="C38" s="3">
        <v>1746.8500000002621</v>
      </c>
      <c r="D38" s="3">
        <v>2261.1200000002882</v>
      </c>
      <c r="E38" s="3">
        <v>5370.3499999989081</v>
      </c>
      <c r="F38" s="3">
        <v>996.68000000011409</v>
      </c>
      <c r="G38" s="3">
        <v>2334.4100000015378</v>
      </c>
      <c r="H38" s="3">
        <v>270.99999999996902</v>
      </c>
      <c r="I38" s="3">
        <v>2499.9900000012822</v>
      </c>
      <c r="J38" s="3">
        <v>2499.9900000012672</v>
      </c>
      <c r="K38" s="3">
        <v>11919.99999999863</v>
      </c>
      <c r="L38" s="3">
        <v>900</v>
      </c>
      <c r="M38" s="3">
        <v>3659.1999999995969</v>
      </c>
      <c r="N38" s="3">
        <v>13916.560000015921</v>
      </c>
      <c r="O38" s="122">
        <v>11987.800000005504</v>
      </c>
      <c r="P38" s="122">
        <v>673.3700000003422</v>
      </c>
      <c r="Q38" s="122">
        <v>243.45231673182818</v>
      </c>
      <c r="R38" s="122">
        <v>2294.4700000004405</v>
      </c>
      <c r="S38" s="122">
        <v>1591.6899999993404</v>
      </c>
      <c r="T38" s="122">
        <v>504.47000000016385</v>
      </c>
      <c r="U38" s="122">
        <v>419.22999999996358</v>
      </c>
      <c r="V38" s="122">
        <v>5739.9700000027269</v>
      </c>
      <c r="W38" s="122">
        <v>899.98999999967975</v>
      </c>
      <c r="X38" s="122">
        <v>849.98999999941839</v>
      </c>
      <c r="Y38" s="122">
        <v>324.9999999999643</v>
      </c>
      <c r="Z38" s="122">
        <v>200.00000000007739</v>
      </c>
      <c r="AA38" s="122">
        <v>1000.0000000020067</v>
      </c>
      <c r="AB38" s="122">
        <v>1499.999999998952</v>
      </c>
      <c r="AC38" s="122">
        <v>1000.0000000020067</v>
      </c>
      <c r="AD38" s="122">
        <v>1499.999999998952</v>
      </c>
      <c r="AE38" s="122">
        <v>3736.9999999995703</v>
      </c>
      <c r="AF38" s="122">
        <v>271.69999999996776</v>
      </c>
      <c r="AG38" s="122">
        <v>9215.9999999989377</v>
      </c>
      <c r="AH38" s="122">
        <v>2232.665166949721</v>
      </c>
      <c r="AI38" s="122">
        <v>5000.0100000008242</v>
      </c>
      <c r="AJ38" s="122">
        <v>38999.999998983854</v>
      </c>
      <c r="AK38" s="122">
        <v>7969.9999999999909</v>
      </c>
      <c r="AL38" s="122">
        <v>10926.999999998758</v>
      </c>
      <c r="AM38" s="122">
        <v>12099.999999999996</v>
      </c>
      <c r="AN38" s="122">
        <v>3270.9999999996239</v>
      </c>
      <c r="AO38" s="122">
        <v>1041.9999999998809</v>
      </c>
      <c r="AP38" s="122">
        <v>340.98999999997505</v>
      </c>
      <c r="AQ38" s="122">
        <v>1350.0100000000286</v>
      </c>
      <c r="AR38" s="122">
        <v>12133.999999998601</v>
      </c>
      <c r="AS38" s="122">
        <v>31248.028099180548</v>
      </c>
      <c r="AT38" s="122">
        <v>82220.491156040473</v>
      </c>
      <c r="AU38" s="122">
        <v>82475.043760238244</v>
      </c>
      <c r="AV38" s="122">
        <v>89857.069281987919</v>
      </c>
      <c r="AW38" s="122">
        <v>4644.9719008195216</v>
      </c>
      <c r="AX38" s="122">
        <v>26350.172390435215</v>
      </c>
      <c r="AY38" s="122">
        <v>1519.9999999998254</v>
      </c>
      <c r="AZ38" s="122">
        <v>443.29999999994811</v>
      </c>
      <c r="BA38" s="122">
        <v>1123.874521912222</v>
      </c>
      <c r="BB38" s="122">
        <v>1300.0000000005809</v>
      </c>
      <c r="BC38" s="122">
        <v>16199.99999897049</v>
      </c>
      <c r="BD38" s="122">
        <v>603.9999999999302</v>
      </c>
      <c r="BE38" s="122">
        <v>692.95308764932247</v>
      </c>
      <c r="BF38" s="122">
        <v>550.00999999974545</v>
      </c>
      <c r="BG38" s="122">
        <v>12296.800000006155</v>
      </c>
    </row>
    <row r="39" spans="1:59" x14ac:dyDescent="0.25">
      <c r="A39" s="1">
        <v>22281.999305555557</v>
      </c>
      <c r="B39" s="3">
        <v>1247.010000000537</v>
      </c>
      <c r="C39" s="3">
        <v>1746.8500000002621</v>
      </c>
      <c r="D39" s="3">
        <v>2261.1200000002882</v>
      </c>
      <c r="E39" s="3">
        <v>5370.3499999989081</v>
      </c>
      <c r="F39" s="3">
        <v>996.68000000011409</v>
      </c>
      <c r="G39" s="3">
        <v>2334.4100000015383</v>
      </c>
      <c r="H39" s="3">
        <v>307.9999999999647</v>
      </c>
      <c r="I39" s="3">
        <v>2499.9900000012822</v>
      </c>
      <c r="J39" s="3">
        <v>2499.9900000012672</v>
      </c>
      <c r="K39" s="3">
        <v>13597.999999998434</v>
      </c>
      <c r="L39" s="3">
        <v>899.99999999999977</v>
      </c>
      <c r="M39" s="3">
        <v>3659.1999999995965</v>
      </c>
      <c r="N39" s="3">
        <v>13916.560000015921</v>
      </c>
      <c r="O39" s="122">
        <v>11987.800000005504</v>
      </c>
      <c r="P39" s="122">
        <v>673.3700000003422</v>
      </c>
      <c r="Q39" s="122">
        <v>148.61686021520987</v>
      </c>
      <c r="R39" s="122">
        <v>2294.4700000004405</v>
      </c>
      <c r="S39" s="122">
        <v>1591.6899999993404</v>
      </c>
      <c r="T39" s="122">
        <v>504.47000000016385</v>
      </c>
      <c r="U39" s="122">
        <v>419.22999999996358</v>
      </c>
      <c r="V39" s="122">
        <v>5739.970000002726</v>
      </c>
      <c r="W39" s="122">
        <v>899.98999999967964</v>
      </c>
      <c r="X39" s="122">
        <v>849.98999999941861</v>
      </c>
      <c r="Y39" s="122">
        <v>324.9999999999643</v>
      </c>
      <c r="Z39" s="122">
        <v>200.00000000007739</v>
      </c>
      <c r="AA39" s="122">
        <v>1000.0000000020035</v>
      </c>
      <c r="AB39" s="122">
        <v>1499.9999999989695</v>
      </c>
      <c r="AC39" s="122">
        <v>1000.0000000020035</v>
      </c>
      <c r="AD39" s="122">
        <v>1499.9999999989695</v>
      </c>
      <c r="AE39" s="122">
        <v>3781.9999999995698</v>
      </c>
      <c r="AF39" s="122">
        <v>297.91999999996534</v>
      </c>
      <c r="AG39" s="122">
        <v>10217.999999998823</v>
      </c>
      <c r="AH39" s="122">
        <v>2316.4219158415435</v>
      </c>
      <c r="AI39" s="122">
        <v>5000.0100000008242</v>
      </c>
      <c r="AJ39" s="122">
        <v>38999.999998983862</v>
      </c>
      <c r="AK39" s="122">
        <v>7970.0000000000036</v>
      </c>
      <c r="AL39" s="122">
        <v>12363.999999998578</v>
      </c>
      <c r="AM39" s="122">
        <v>12099.999999999993</v>
      </c>
      <c r="AN39" s="122">
        <v>3440.9999999996053</v>
      </c>
      <c r="AO39" s="122">
        <v>1135.9999999998695</v>
      </c>
      <c r="AP39" s="122">
        <v>340.98999999997511</v>
      </c>
      <c r="AQ39" s="122">
        <v>1350.0100000000286</v>
      </c>
      <c r="AR39" s="122">
        <v>13327.999999998463</v>
      </c>
      <c r="AS39" s="122">
        <v>31235.302148767347</v>
      </c>
      <c r="AT39" s="122">
        <v>90474.149707685719</v>
      </c>
      <c r="AU39" s="122">
        <v>90754.255434334933</v>
      </c>
      <c r="AV39" s="122">
        <v>98877.321507161469</v>
      </c>
      <c r="AW39" s="122">
        <v>4657.697851232725</v>
      </c>
      <c r="AX39" s="122">
        <v>29061.245617526543</v>
      </c>
      <c r="AY39" s="122">
        <v>1631.9999999998129</v>
      </c>
      <c r="AZ39" s="122">
        <v>486.07999999994473</v>
      </c>
      <c r="BA39" s="122">
        <v>1239.5058764938806</v>
      </c>
      <c r="BB39" s="122">
        <v>1300.0000000005807</v>
      </c>
      <c r="BC39" s="122">
        <v>16199.999998970494</v>
      </c>
      <c r="BD39" s="122">
        <v>687.99999999992053</v>
      </c>
      <c r="BE39" s="122">
        <v>764.248505976008</v>
      </c>
      <c r="BF39" s="122">
        <v>550.00999999974533</v>
      </c>
      <c r="BG39" s="122">
        <v>12296.800000006155</v>
      </c>
    </row>
    <row r="40" spans="1:59" x14ac:dyDescent="0.25">
      <c r="A40" s="1">
        <v>22646.999305555557</v>
      </c>
      <c r="B40" s="3">
        <v>1247.010000000537</v>
      </c>
      <c r="C40" s="3">
        <v>1746.8500000002621</v>
      </c>
      <c r="D40" s="3">
        <v>2261.1200000002882</v>
      </c>
      <c r="E40" s="3">
        <v>5370.3499999989081</v>
      </c>
      <c r="F40" s="3">
        <v>996.68000000011409</v>
      </c>
      <c r="G40" s="3">
        <v>2334.4100000015378</v>
      </c>
      <c r="H40" s="3">
        <v>261.99999999996982</v>
      </c>
      <c r="I40" s="3">
        <v>2499.9900000012822</v>
      </c>
      <c r="J40" s="3">
        <v>2499.9900000012672</v>
      </c>
      <c r="K40" s="3">
        <v>11495.999999998678</v>
      </c>
      <c r="L40" s="3">
        <v>899.99999999999955</v>
      </c>
      <c r="M40" s="3">
        <v>3659.1999999995969</v>
      </c>
      <c r="N40" s="3">
        <v>13916.560000015921</v>
      </c>
      <c r="O40" s="122">
        <v>11987.800000005504</v>
      </c>
      <c r="P40" s="122">
        <v>673.3700000003422</v>
      </c>
      <c r="Q40" s="122">
        <v>0</v>
      </c>
      <c r="R40" s="122">
        <v>2294.4700000004405</v>
      </c>
      <c r="S40" s="122">
        <v>1591.6899999993404</v>
      </c>
      <c r="T40" s="122">
        <v>504.47000000016385</v>
      </c>
      <c r="U40" s="122">
        <v>419.22999999996358</v>
      </c>
      <c r="V40" s="122">
        <v>5739.9700000027269</v>
      </c>
      <c r="W40" s="122">
        <v>899.98999999967975</v>
      </c>
      <c r="X40" s="122">
        <v>849.98999999941839</v>
      </c>
      <c r="Y40" s="122">
        <v>324.9999999999643</v>
      </c>
      <c r="Z40" s="122">
        <v>200.00000000007739</v>
      </c>
      <c r="AA40" s="122">
        <v>1000.0000000020067</v>
      </c>
      <c r="AB40" s="122">
        <v>1499.999999998952</v>
      </c>
      <c r="AC40" s="122">
        <v>1000.0000000020067</v>
      </c>
      <c r="AD40" s="122">
        <v>1499.999999998952</v>
      </c>
      <c r="AE40" s="122">
        <v>3236.9999999996312</v>
      </c>
      <c r="AF40" s="122">
        <v>253.8399999999703</v>
      </c>
      <c r="AG40" s="122">
        <v>11255.999999998705</v>
      </c>
      <c r="AH40" s="122">
        <v>1980.5883402725794</v>
      </c>
      <c r="AI40" s="122">
        <v>5000.0100000008242</v>
      </c>
      <c r="AJ40" s="122">
        <v>38999.999998983854</v>
      </c>
      <c r="AK40" s="122">
        <v>7969.9999999999945</v>
      </c>
      <c r="AL40" s="122">
        <v>10520.999999998789</v>
      </c>
      <c r="AM40" s="122">
        <v>12099.999999999993</v>
      </c>
      <c r="AN40" s="122">
        <v>3451.999999999603</v>
      </c>
      <c r="AO40" s="122">
        <v>1051.9999999998793</v>
      </c>
      <c r="AP40" s="122">
        <v>340.98999999997505</v>
      </c>
      <c r="AQ40" s="122">
        <v>1350.0100000000286</v>
      </c>
      <c r="AR40" s="122">
        <v>11388.999999998699</v>
      </c>
      <c r="AS40" s="122">
        <v>31248.028099180548</v>
      </c>
      <c r="AT40" s="122">
        <v>73281.673350872064</v>
      </c>
      <c r="AU40" s="122">
        <v>73508.551596540929</v>
      </c>
      <c r="AV40" s="122">
        <v>80088.020720922272</v>
      </c>
      <c r="AW40" s="122">
        <v>4644.9719008195216</v>
      </c>
      <c r="AX40" s="122">
        <v>24789.761713144559</v>
      </c>
      <c r="AY40" s="122">
        <v>1496.9999999998277</v>
      </c>
      <c r="AZ40" s="122">
        <v>414.15999999995501</v>
      </c>
      <c r="BA40" s="122">
        <v>1057.3206573703967</v>
      </c>
      <c r="BB40" s="122">
        <v>1300.0000000005809</v>
      </c>
      <c r="BC40" s="122">
        <v>16199.99999897049</v>
      </c>
      <c r="BD40" s="122">
        <v>583.99999999993292</v>
      </c>
      <c r="BE40" s="122">
        <v>651.91762948199653</v>
      </c>
      <c r="BF40" s="122">
        <v>550.00999999974545</v>
      </c>
      <c r="BG40" s="122">
        <v>12296.800000006155</v>
      </c>
    </row>
    <row r="41" spans="1:59" x14ac:dyDescent="0.25">
      <c r="A41" s="1">
        <v>23011.999305555557</v>
      </c>
      <c r="B41" s="3">
        <v>1247.010000000537</v>
      </c>
      <c r="C41" s="3">
        <v>1746.8500000002621</v>
      </c>
      <c r="D41" s="3">
        <v>2261.1200000002882</v>
      </c>
      <c r="E41" s="3">
        <v>5370.3499999989081</v>
      </c>
      <c r="F41" s="3">
        <v>996.68000000011409</v>
      </c>
      <c r="G41" s="3">
        <v>2334.4100000015378</v>
      </c>
      <c r="H41" s="3">
        <v>293.99999999996618</v>
      </c>
      <c r="I41" s="3">
        <v>2499.9900000012822</v>
      </c>
      <c r="J41" s="3">
        <v>2499.9900000012672</v>
      </c>
      <c r="K41" s="3">
        <v>12899.999999998516</v>
      </c>
      <c r="L41" s="3">
        <v>900.00000000000114</v>
      </c>
      <c r="M41" s="3">
        <v>3659.1999999995969</v>
      </c>
      <c r="N41" s="3">
        <v>13916.560000015921</v>
      </c>
      <c r="O41" s="122">
        <v>11987.800000005504</v>
      </c>
      <c r="P41" s="122">
        <v>673.3700000003422</v>
      </c>
      <c r="Q41" s="122">
        <v>13.676774193564132</v>
      </c>
      <c r="R41" s="122">
        <v>2294.4700000004405</v>
      </c>
      <c r="S41" s="122">
        <v>1591.6899999993404</v>
      </c>
      <c r="T41" s="122">
        <v>504.47000000016385</v>
      </c>
      <c r="U41" s="122">
        <v>419.22999999996358</v>
      </c>
      <c r="V41" s="122">
        <v>5739.9700000027269</v>
      </c>
      <c r="W41" s="122">
        <v>899.98999999967975</v>
      </c>
      <c r="X41" s="122">
        <v>849.98999999941839</v>
      </c>
      <c r="Y41" s="122">
        <v>324.9999999999643</v>
      </c>
      <c r="Z41" s="122">
        <v>200.00000000007739</v>
      </c>
      <c r="AA41" s="122">
        <v>1000.0000000020067</v>
      </c>
      <c r="AB41" s="122">
        <v>1499.999999998952</v>
      </c>
      <c r="AC41" s="122">
        <v>1000.0000000020067</v>
      </c>
      <c r="AD41" s="122">
        <v>1499.999999998952</v>
      </c>
      <c r="AE41" s="122">
        <v>3807.9999999995616</v>
      </c>
      <c r="AF41" s="122">
        <v>270.93999999996902</v>
      </c>
      <c r="AG41" s="122">
        <v>10243.999999998818</v>
      </c>
      <c r="AH41" s="122">
        <v>2285.1469120937099</v>
      </c>
      <c r="AI41" s="122">
        <v>5000.0100000008242</v>
      </c>
      <c r="AJ41" s="122">
        <v>38999.999998983854</v>
      </c>
      <c r="AK41" s="122">
        <v>7970</v>
      </c>
      <c r="AL41" s="122">
        <v>11786.999999998641</v>
      </c>
      <c r="AM41" s="122">
        <v>12100.000000000007</v>
      </c>
      <c r="AN41" s="122">
        <v>3395.999999999608</v>
      </c>
      <c r="AO41" s="122">
        <v>902.99999999989632</v>
      </c>
      <c r="AP41" s="122">
        <v>340.98999999997505</v>
      </c>
      <c r="AQ41" s="122">
        <v>1350.0100000000286</v>
      </c>
      <c r="AR41" s="122">
        <v>12123.999999998605</v>
      </c>
      <c r="AS41" s="122">
        <v>31248.028099180548</v>
      </c>
      <c r="AT41" s="122">
        <v>87966.664710859783</v>
      </c>
      <c r="AU41" s="122">
        <v>88239.007326063831</v>
      </c>
      <c r="AV41" s="122">
        <v>96136.943166977188</v>
      </c>
      <c r="AW41" s="122">
        <v>4644.9719008195216</v>
      </c>
      <c r="AX41" s="122">
        <v>26352.043386451161</v>
      </c>
      <c r="AY41" s="122">
        <v>1608.9999999998154</v>
      </c>
      <c r="AZ41" s="122">
        <v>442.05999999995197</v>
      </c>
      <c r="BA41" s="122">
        <v>1123.9543227090348</v>
      </c>
      <c r="BB41" s="122">
        <v>1300.0000000005809</v>
      </c>
      <c r="BC41" s="122">
        <v>16199.99999897049</v>
      </c>
      <c r="BD41" s="122">
        <v>653.99999999992451</v>
      </c>
      <c r="BE41" s="122">
        <v>693.00229083657359</v>
      </c>
      <c r="BF41" s="122">
        <v>550.00999999974545</v>
      </c>
      <c r="BG41" s="122">
        <v>12296.800000006155</v>
      </c>
    </row>
    <row r="42" spans="1:59" x14ac:dyDescent="0.25">
      <c r="A42" s="1">
        <v>23376.999305555557</v>
      </c>
      <c r="B42" s="3">
        <v>1247.010000000537</v>
      </c>
      <c r="C42" s="3">
        <v>1746.8500000002621</v>
      </c>
      <c r="D42" s="3">
        <v>2261.1200000002882</v>
      </c>
      <c r="E42" s="3">
        <v>5370.3499999989081</v>
      </c>
      <c r="F42" s="3">
        <v>996.68000000011409</v>
      </c>
      <c r="G42" s="3">
        <v>2334.4100000015378</v>
      </c>
      <c r="H42" s="3">
        <v>297.99999999996601</v>
      </c>
      <c r="I42" s="3">
        <v>2499.9900000012822</v>
      </c>
      <c r="J42" s="3">
        <v>2499.9900000012672</v>
      </c>
      <c r="K42" s="3">
        <v>13091.999999998492</v>
      </c>
      <c r="L42" s="3">
        <v>899.99999999999977</v>
      </c>
      <c r="M42" s="3">
        <v>3659.1999999995969</v>
      </c>
      <c r="N42" s="3">
        <v>13916.560000015921</v>
      </c>
      <c r="O42" s="122">
        <v>11987.800000005504</v>
      </c>
      <c r="P42" s="122">
        <v>673.3700000003422</v>
      </c>
      <c r="Q42" s="122">
        <v>68.399032258074016</v>
      </c>
      <c r="R42" s="122">
        <v>2294.4700000004405</v>
      </c>
      <c r="S42" s="122">
        <v>1591.6899999993404</v>
      </c>
      <c r="T42" s="122">
        <v>504.47000000016385</v>
      </c>
      <c r="U42" s="122">
        <v>419.22999999996358</v>
      </c>
      <c r="V42" s="122">
        <v>5739.9700000027269</v>
      </c>
      <c r="W42" s="122">
        <v>899.98999999967975</v>
      </c>
      <c r="X42" s="122">
        <v>849.98999999941839</v>
      </c>
      <c r="Y42" s="122">
        <v>324.9999999999643</v>
      </c>
      <c r="Z42" s="122">
        <v>200.00000000007739</v>
      </c>
      <c r="AA42" s="122">
        <v>1000.0000000020067</v>
      </c>
      <c r="AB42" s="122">
        <v>1499.999999998952</v>
      </c>
      <c r="AC42" s="122">
        <v>1000.0000000020067</v>
      </c>
      <c r="AD42" s="122">
        <v>1499.999999998952</v>
      </c>
      <c r="AE42" s="122">
        <v>4025.999999999538</v>
      </c>
      <c r="AF42" s="122">
        <v>288.41999999996682</v>
      </c>
      <c r="AG42" s="122">
        <v>10629.999999998778</v>
      </c>
      <c r="AH42" s="122">
        <v>2373.3906459539917</v>
      </c>
      <c r="AI42" s="122">
        <v>5000.0100000008242</v>
      </c>
      <c r="AJ42" s="122">
        <v>38999.999998983854</v>
      </c>
      <c r="AK42" s="122">
        <v>7969.9999999999955</v>
      </c>
      <c r="AL42" s="122">
        <v>11962.999999998627</v>
      </c>
      <c r="AM42" s="122">
        <v>12100.000000000005</v>
      </c>
      <c r="AN42" s="122">
        <v>3535.9999999995971</v>
      </c>
      <c r="AO42" s="122">
        <v>1105.9999999998727</v>
      </c>
      <c r="AP42" s="122">
        <v>340.98999999997505</v>
      </c>
      <c r="AQ42" s="122">
        <v>1350.0100000000286</v>
      </c>
      <c r="AR42" s="122">
        <v>12891.999999998519</v>
      </c>
      <c r="AS42" s="122">
        <v>31248.028099180548</v>
      </c>
      <c r="AT42" s="122">
        <v>87176.112363623819</v>
      </c>
      <c r="AU42" s="122">
        <v>87446.00744834097</v>
      </c>
      <c r="AV42" s="122">
        <v>95272.964905136949</v>
      </c>
      <c r="AW42" s="122">
        <v>4644.9719008195216</v>
      </c>
      <c r="AX42" s="122">
        <v>28078.972709160105</v>
      </c>
      <c r="AY42" s="122">
        <v>1624.9999999998136</v>
      </c>
      <c r="AZ42" s="122">
        <v>470.57999999994644</v>
      </c>
      <c r="BA42" s="122">
        <v>1197.610458167193</v>
      </c>
      <c r="BB42" s="122">
        <v>1300.0000000005809</v>
      </c>
      <c r="BC42" s="122">
        <v>16199.99999897049</v>
      </c>
      <c r="BD42" s="122">
        <v>663.99999999992372</v>
      </c>
      <c r="BE42" s="122">
        <v>738.41683266923769</v>
      </c>
      <c r="BF42" s="122">
        <v>550.00999999974545</v>
      </c>
      <c r="BG42" s="122">
        <v>12296.800000006155</v>
      </c>
    </row>
    <row r="43" spans="1:59" x14ac:dyDescent="0.25">
      <c r="A43" s="1">
        <v>23742.999305555557</v>
      </c>
      <c r="B43" s="3">
        <v>1247.010000000537</v>
      </c>
      <c r="C43" s="3">
        <v>1746.8500000002621</v>
      </c>
      <c r="D43" s="3">
        <v>2261.1200000002882</v>
      </c>
      <c r="E43" s="3">
        <v>5370.3499999989081</v>
      </c>
      <c r="F43" s="3">
        <v>996.68000000011409</v>
      </c>
      <c r="G43" s="3">
        <v>2334.4100000015383</v>
      </c>
      <c r="H43" s="3">
        <v>263.99999999996976</v>
      </c>
      <c r="I43" s="3">
        <v>2499.9900000012822</v>
      </c>
      <c r="J43" s="3">
        <v>2499.9900000012672</v>
      </c>
      <c r="K43" s="3">
        <v>11678.999999998667</v>
      </c>
      <c r="L43" s="3">
        <v>900.00000000000011</v>
      </c>
      <c r="M43" s="3">
        <v>3659.1999999995965</v>
      </c>
      <c r="N43" s="3">
        <v>13916.560000015921</v>
      </c>
      <c r="O43" s="122">
        <v>11987.800000005504</v>
      </c>
      <c r="P43" s="122">
        <v>673.3700000003422</v>
      </c>
      <c r="Q43" s="122">
        <v>103.10596204385698</v>
      </c>
      <c r="R43" s="122">
        <v>2294.4700000004405</v>
      </c>
      <c r="S43" s="122">
        <v>1591.6899999993404</v>
      </c>
      <c r="T43" s="122">
        <v>504.47000000016385</v>
      </c>
      <c r="U43" s="122">
        <v>419.22999999996358</v>
      </c>
      <c r="V43" s="122">
        <v>5739.970000002726</v>
      </c>
      <c r="W43" s="122">
        <v>899.98999999967964</v>
      </c>
      <c r="X43" s="122">
        <v>849.98999999941861</v>
      </c>
      <c r="Y43" s="122">
        <v>324.9999999999643</v>
      </c>
      <c r="Z43" s="122">
        <v>200.00000000007739</v>
      </c>
      <c r="AA43" s="122">
        <v>1000.0000000020035</v>
      </c>
      <c r="AB43" s="122">
        <v>1499.9999999989695</v>
      </c>
      <c r="AC43" s="122">
        <v>1000.0000000020035</v>
      </c>
      <c r="AD43" s="122">
        <v>1499.9999999989695</v>
      </c>
      <c r="AE43" s="122">
        <v>3610.9999999995848</v>
      </c>
      <c r="AF43" s="122">
        <v>263.7199999999695</v>
      </c>
      <c r="AG43" s="122">
        <v>9463.9999999989104</v>
      </c>
      <c r="AH43" s="122">
        <v>2143.4347984998899</v>
      </c>
      <c r="AI43" s="122">
        <v>5000.0100000008242</v>
      </c>
      <c r="AJ43" s="122">
        <v>38999.999998983862</v>
      </c>
      <c r="AK43" s="122">
        <v>7970.0000000000091</v>
      </c>
      <c r="AL43" s="122">
        <v>10688.99999999877</v>
      </c>
      <c r="AM43" s="122">
        <v>12100.000000000004</v>
      </c>
      <c r="AN43" s="122">
        <v>3174.9999999996326</v>
      </c>
      <c r="AO43" s="122">
        <v>980.99999999988756</v>
      </c>
      <c r="AP43" s="122">
        <v>340.98999999997511</v>
      </c>
      <c r="AQ43" s="122">
        <v>1350.0100000000286</v>
      </c>
      <c r="AR43" s="122">
        <v>11836.999999998639</v>
      </c>
      <c r="AS43" s="122">
        <v>31235.302148767347</v>
      </c>
      <c r="AT43" s="122">
        <v>79316.125977855118</v>
      </c>
      <c r="AU43" s="122">
        <v>79561.68673939626</v>
      </c>
      <c r="AV43" s="122">
        <v>86682.948824095161</v>
      </c>
      <c r="AW43" s="122">
        <v>4657.697851232725</v>
      </c>
      <c r="AX43" s="122">
        <v>25753.324661351617</v>
      </c>
      <c r="AY43" s="122">
        <v>1513.9999999998258</v>
      </c>
      <c r="AZ43" s="122">
        <v>430.27999999995075</v>
      </c>
      <c r="BA43" s="122">
        <v>1098.4180677289573</v>
      </c>
      <c r="BB43" s="122">
        <v>1300.0000000005807</v>
      </c>
      <c r="BC43" s="122">
        <v>16199.999998970494</v>
      </c>
      <c r="BD43" s="122">
        <v>590.9999999999319</v>
      </c>
      <c r="BE43" s="122">
        <v>677.25727091625652</v>
      </c>
      <c r="BF43" s="122">
        <v>550.00999999974533</v>
      </c>
      <c r="BG43" s="122">
        <v>12296.800000006155</v>
      </c>
    </row>
    <row r="44" spans="1:59" x14ac:dyDescent="0.25">
      <c r="A44" s="1">
        <v>24107.999305555557</v>
      </c>
      <c r="B44" s="3">
        <v>1247.010000000537</v>
      </c>
      <c r="C44" s="3">
        <v>1746.8500000002621</v>
      </c>
      <c r="D44" s="3">
        <v>2261.1200000002882</v>
      </c>
      <c r="E44" s="3">
        <v>5370.3499999989081</v>
      </c>
      <c r="F44" s="3">
        <v>996.68000000011409</v>
      </c>
      <c r="G44" s="3">
        <v>2334.4100000015378</v>
      </c>
      <c r="H44" s="3">
        <v>220.99999999997456</v>
      </c>
      <c r="I44" s="3">
        <v>2499.9900000012822</v>
      </c>
      <c r="J44" s="3">
        <v>2499.9900000012672</v>
      </c>
      <c r="K44" s="3">
        <v>9744.9999999988868</v>
      </c>
      <c r="L44" s="3">
        <v>900</v>
      </c>
      <c r="M44" s="3">
        <v>3659.1999999995969</v>
      </c>
      <c r="N44" s="3">
        <v>13916.560000015921</v>
      </c>
      <c r="O44" s="122">
        <v>11987.800000005504</v>
      </c>
      <c r="P44" s="122">
        <v>673.3700000003422</v>
      </c>
      <c r="Q44" s="122">
        <v>0</v>
      </c>
      <c r="R44" s="122">
        <v>2294.4700000004405</v>
      </c>
      <c r="S44" s="122">
        <v>1591.6899999993404</v>
      </c>
      <c r="T44" s="122">
        <v>504.47000000016385</v>
      </c>
      <c r="U44" s="122">
        <v>419.22999999996358</v>
      </c>
      <c r="V44" s="122">
        <v>5739.9700000027269</v>
      </c>
      <c r="W44" s="122">
        <v>899.98999999967975</v>
      </c>
      <c r="X44" s="122">
        <v>849.98999999941839</v>
      </c>
      <c r="Y44" s="122">
        <v>324.9999999999643</v>
      </c>
      <c r="Z44" s="122">
        <v>200.00000000007739</v>
      </c>
      <c r="AA44" s="122">
        <v>1000.0000000020067</v>
      </c>
      <c r="AB44" s="122">
        <v>1499.999999998952</v>
      </c>
      <c r="AC44" s="122">
        <v>1000.0000000020067</v>
      </c>
      <c r="AD44" s="122">
        <v>1499.999999998952</v>
      </c>
      <c r="AE44" s="122">
        <v>2734.9999999996844</v>
      </c>
      <c r="AF44" s="122">
        <v>203.67999999997699</v>
      </c>
      <c r="AG44" s="122">
        <v>8950.9999999989632</v>
      </c>
      <c r="AH44" s="122">
        <v>1719.9999999998015</v>
      </c>
      <c r="AI44" s="122">
        <v>5000.0100000008242</v>
      </c>
      <c r="AJ44" s="122">
        <v>38999.999998983854</v>
      </c>
      <c r="AK44" s="122">
        <v>7969.9999999999882</v>
      </c>
      <c r="AL44" s="122">
        <v>8954.9999999989705</v>
      </c>
      <c r="AM44" s="122">
        <v>12100.000000000002</v>
      </c>
      <c r="AN44" s="122">
        <v>2921.9999999996639</v>
      </c>
      <c r="AO44" s="122">
        <v>767.99999999991132</v>
      </c>
      <c r="AP44" s="122">
        <v>340.98999999997505</v>
      </c>
      <c r="AQ44" s="122">
        <v>1350.0100000000286</v>
      </c>
      <c r="AR44" s="122">
        <v>9178.9999999989377</v>
      </c>
      <c r="AS44" s="122">
        <v>31248.028099180548</v>
      </c>
      <c r="AT44" s="122">
        <v>62555.895636283763</v>
      </c>
      <c r="AU44" s="122">
        <v>62749.567139801482</v>
      </c>
      <c r="AV44" s="122">
        <v>68366.040741820936</v>
      </c>
      <c r="AW44" s="122">
        <v>4644.9719008195216</v>
      </c>
      <c r="AX44" s="122">
        <v>20178.692031870167</v>
      </c>
      <c r="AY44" s="122">
        <v>1373.9999999998422</v>
      </c>
      <c r="AZ44" s="122">
        <v>332.3199999999631</v>
      </c>
      <c r="BA44" s="122">
        <v>860.65159362539907</v>
      </c>
      <c r="BB44" s="122">
        <v>1300.0000000005809</v>
      </c>
      <c r="BC44" s="122">
        <v>16199.99999897049</v>
      </c>
      <c r="BD44" s="122">
        <v>492.99999999994264</v>
      </c>
      <c r="BE44" s="122">
        <v>530.65637450193128</v>
      </c>
      <c r="BF44" s="122">
        <v>550.00999999974545</v>
      </c>
      <c r="BG44" s="122">
        <v>12296.800000006155</v>
      </c>
    </row>
    <row r="45" spans="1:59" x14ac:dyDescent="0.25">
      <c r="A45" s="1">
        <v>24472.999305555557</v>
      </c>
      <c r="B45" s="3">
        <v>1247.010000000537</v>
      </c>
      <c r="C45" s="3">
        <v>1746.8500000002621</v>
      </c>
      <c r="D45" s="3">
        <v>2261.1200000002882</v>
      </c>
      <c r="E45" s="3">
        <v>5370.3499999989081</v>
      </c>
      <c r="F45" s="3">
        <v>996.68000000011409</v>
      </c>
      <c r="G45" s="3">
        <v>2334.4100000015378</v>
      </c>
      <c r="H45" s="3">
        <v>284.99999999996709</v>
      </c>
      <c r="I45" s="3">
        <v>2499.9900000012822</v>
      </c>
      <c r="J45" s="3">
        <v>2499.9900000012672</v>
      </c>
      <c r="K45" s="3">
        <v>12726.999999998527</v>
      </c>
      <c r="L45" s="3">
        <v>900.00000000000034</v>
      </c>
      <c r="M45" s="3">
        <v>3659.1999999995969</v>
      </c>
      <c r="N45" s="3">
        <v>13916.560000015921</v>
      </c>
      <c r="O45" s="122">
        <v>11987.800000005504</v>
      </c>
      <c r="P45" s="122">
        <v>673.3700000003422</v>
      </c>
      <c r="Q45" s="122">
        <v>40.265633745388165</v>
      </c>
      <c r="R45" s="122">
        <v>2294.4700000004405</v>
      </c>
      <c r="S45" s="122">
        <v>1591.6899999993404</v>
      </c>
      <c r="T45" s="122">
        <v>504.47000000016385</v>
      </c>
      <c r="U45" s="122">
        <v>419.22999999996358</v>
      </c>
      <c r="V45" s="122">
        <v>5739.9700000027269</v>
      </c>
      <c r="W45" s="122">
        <v>899.98999999967975</v>
      </c>
      <c r="X45" s="122">
        <v>849.98999999941839</v>
      </c>
      <c r="Y45" s="122">
        <v>324.9999999999643</v>
      </c>
      <c r="Z45" s="122">
        <v>200.00000000007739</v>
      </c>
      <c r="AA45" s="122">
        <v>1000.0000000020067</v>
      </c>
      <c r="AB45" s="122">
        <v>1499.999999998952</v>
      </c>
      <c r="AC45" s="122">
        <v>1000.0000000020067</v>
      </c>
      <c r="AD45" s="122">
        <v>1499.999999998952</v>
      </c>
      <c r="AE45" s="122">
        <v>4180.9999999995161</v>
      </c>
      <c r="AF45" s="122">
        <v>288.03999999996768</v>
      </c>
      <c r="AG45" s="122">
        <v>11233.999999998718</v>
      </c>
      <c r="AH45" s="122">
        <v>2521.8491161103502</v>
      </c>
      <c r="AI45" s="122">
        <v>5000.0100000008242</v>
      </c>
      <c r="AJ45" s="122">
        <v>38999.999998983854</v>
      </c>
      <c r="AK45" s="122">
        <v>7969.9999999999927</v>
      </c>
      <c r="AL45" s="122">
        <v>11432.999999998685</v>
      </c>
      <c r="AM45" s="122">
        <v>12099.999999999998</v>
      </c>
      <c r="AN45" s="122">
        <v>3601.9999999995866</v>
      </c>
      <c r="AO45" s="122">
        <v>1105.9999999998727</v>
      </c>
      <c r="AP45" s="122">
        <v>340.98999999997505</v>
      </c>
      <c r="AQ45" s="122">
        <v>1350.0100000000286</v>
      </c>
      <c r="AR45" s="122">
        <v>12955.999999998512</v>
      </c>
      <c r="AS45" s="122">
        <v>31248.028099180548</v>
      </c>
      <c r="AT45" s="122">
        <v>88157.398686032844</v>
      </c>
      <c r="AU45" s="122">
        <v>88430.331808900024</v>
      </c>
      <c r="AV45" s="122">
        <v>96345.392372042101</v>
      </c>
      <c r="AW45" s="122">
        <v>4644.9719008195216</v>
      </c>
      <c r="AX45" s="122">
        <v>28409.2035059728</v>
      </c>
      <c r="AY45" s="122">
        <v>1802.9999999997924</v>
      </c>
      <c r="AZ45" s="122">
        <v>469.95999999994518</v>
      </c>
      <c r="BA45" s="122">
        <v>1211.6952988046401</v>
      </c>
      <c r="BB45" s="122">
        <v>1300.0000000005809</v>
      </c>
      <c r="BC45" s="122">
        <v>16199.99999897049</v>
      </c>
      <c r="BD45" s="122">
        <v>642.99999999992622</v>
      </c>
      <c r="BE45" s="122">
        <v>747.10119521903766</v>
      </c>
      <c r="BF45" s="122">
        <v>550.00999999974545</v>
      </c>
      <c r="BG45" s="122">
        <v>12296.800000006155</v>
      </c>
    </row>
    <row r="46" spans="1:59" x14ac:dyDescent="0.25">
      <c r="A46" s="1">
        <v>24837.999305555557</v>
      </c>
      <c r="B46" s="3">
        <v>1247.010000000537</v>
      </c>
      <c r="C46" s="3">
        <v>1746.8500000002621</v>
      </c>
      <c r="D46" s="3">
        <v>2261.1200000002882</v>
      </c>
      <c r="E46" s="3">
        <v>5370.3499999989081</v>
      </c>
      <c r="F46" s="3">
        <v>996.68000000011409</v>
      </c>
      <c r="G46" s="3">
        <v>2334.4100000015378</v>
      </c>
      <c r="H46" s="3">
        <v>272.99999999996874</v>
      </c>
      <c r="I46" s="3">
        <v>2499.9900000012822</v>
      </c>
      <c r="J46" s="3">
        <v>2499.9900000012672</v>
      </c>
      <c r="K46" s="3">
        <v>12107.999999998605</v>
      </c>
      <c r="L46" s="3">
        <v>900</v>
      </c>
      <c r="M46" s="3">
        <v>3659.1999999995969</v>
      </c>
      <c r="N46" s="3">
        <v>13916.560000015921</v>
      </c>
      <c r="O46" s="122">
        <v>11987.800000005504</v>
      </c>
      <c r="P46" s="122">
        <v>673.3700000003422</v>
      </c>
      <c r="Q46" s="122">
        <v>24.534908454679869</v>
      </c>
      <c r="R46" s="122">
        <v>2294.4700000004405</v>
      </c>
      <c r="S46" s="122">
        <v>1591.6899999993404</v>
      </c>
      <c r="T46" s="122">
        <v>504.47000000016385</v>
      </c>
      <c r="U46" s="122">
        <v>419.22999999996358</v>
      </c>
      <c r="V46" s="122">
        <v>5739.9700000027269</v>
      </c>
      <c r="W46" s="122">
        <v>899.98999999967975</v>
      </c>
      <c r="X46" s="122">
        <v>849.98999999941839</v>
      </c>
      <c r="Y46" s="122">
        <v>324.9999999999643</v>
      </c>
      <c r="Z46" s="122">
        <v>200.00000000007739</v>
      </c>
      <c r="AA46" s="122">
        <v>1000.0000000020067</v>
      </c>
      <c r="AB46" s="122">
        <v>1499.999999998952</v>
      </c>
      <c r="AC46" s="122">
        <v>1000.0000000020067</v>
      </c>
      <c r="AD46" s="122">
        <v>1499.999999998952</v>
      </c>
      <c r="AE46" s="122">
        <v>3752.9999999995644</v>
      </c>
      <c r="AF46" s="122">
        <v>255.35999999997173</v>
      </c>
      <c r="AG46" s="122">
        <v>8769.9999999989959</v>
      </c>
      <c r="AH46" s="122">
        <v>2283.5906241091138</v>
      </c>
      <c r="AI46" s="122">
        <v>5000.0100000008242</v>
      </c>
      <c r="AJ46" s="122">
        <v>38999.999998983854</v>
      </c>
      <c r="AK46" s="122">
        <v>7970</v>
      </c>
      <c r="AL46" s="122">
        <v>10930.999999998741</v>
      </c>
      <c r="AM46" s="122">
        <v>12100.000000000007</v>
      </c>
      <c r="AN46" s="122">
        <v>3056.9999999996485</v>
      </c>
      <c r="AO46" s="122">
        <v>903.99999999989586</v>
      </c>
      <c r="AP46" s="122">
        <v>340.98999999997505</v>
      </c>
      <c r="AQ46" s="122">
        <v>1350.0100000000286</v>
      </c>
      <c r="AR46" s="122">
        <v>11497.999999998685</v>
      </c>
      <c r="AS46" s="122">
        <v>31248.028099180548</v>
      </c>
      <c r="AT46" s="122">
        <v>79379.113385772158</v>
      </c>
      <c r="AU46" s="122">
        <v>79624.869154768166</v>
      </c>
      <c r="AV46" s="122">
        <v>86751.786455658046</v>
      </c>
      <c r="AW46" s="122">
        <v>4644.9719008195216</v>
      </c>
      <c r="AX46" s="122">
        <v>25324.866573702271</v>
      </c>
      <c r="AY46" s="122">
        <v>1567.9999999998192</v>
      </c>
      <c r="AZ46" s="122">
        <v>416.63999999995207</v>
      </c>
      <c r="BA46" s="122">
        <v>1080.1436852588402</v>
      </c>
      <c r="BB46" s="122">
        <v>1300.0000000005809</v>
      </c>
      <c r="BC46" s="122">
        <v>16199.99999897049</v>
      </c>
      <c r="BD46" s="122">
        <v>612.99999999992917</v>
      </c>
      <c r="BE46" s="122">
        <v>665.98974103578053</v>
      </c>
      <c r="BF46" s="122">
        <v>550.00999999974545</v>
      </c>
      <c r="BG46" s="122">
        <v>12296.800000006155</v>
      </c>
    </row>
    <row r="47" spans="1:59" x14ac:dyDescent="0.25">
      <c r="A47" s="1">
        <v>25203.999305555557</v>
      </c>
      <c r="B47" s="3">
        <v>1247.010000000537</v>
      </c>
      <c r="C47" s="3">
        <v>1746.8500000002621</v>
      </c>
      <c r="D47" s="3">
        <v>2261.1200000002882</v>
      </c>
      <c r="E47" s="3">
        <v>5370.3499999989081</v>
      </c>
      <c r="F47" s="3">
        <v>996.68000000011409</v>
      </c>
      <c r="G47" s="3">
        <v>2334.4100000015383</v>
      </c>
      <c r="H47" s="3">
        <v>272.99999999996885</v>
      </c>
      <c r="I47" s="3">
        <v>2499.9900000012822</v>
      </c>
      <c r="J47" s="3">
        <v>2499.9900000012672</v>
      </c>
      <c r="K47" s="3">
        <v>12111.999999998612</v>
      </c>
      <c r="L47" s="3">
        <v>899.99999999999864</v>
      </c>
      <c r="M47" s="3">
        <v>3659.1999999995965</v>
      </c>
      <c r="N47" s="3">
        <v>13916.560000015921</v>
      </c>
      <c r="O47" s="122">
        <v>11987.800000005504</v>
      </c>
      <c r="P47" s="122">
        <v>673.3700000003422</v>
      </c>
      <c r="Q47" s="122">
        <v>78.405333333393386</v>
      </c>
      <c r="R47" s="122">
        <v>2294.4700000004405</v>
      </c>
      <c r="S47" s="122">
        <v>1591.6899999993404</v>
      </c>
      <c r="T47" s="122">
        <v>504.47000000016385</v>
      </c>
      <c r="U47" s="122">
        <v>419.22999999996358</v>
      </c>
      <c r="V47" s="122">
        <v>5739.970000002726</v>
      </c>
      <c r="W47" s="122">
        <v>899.98999999967964</v>
      </c>
      <c r="X47" s="122">
        <v>849.98999999941861</v>
      </c>
      <c r="Y47" s="122">
        <v>324.9999999999643</v>
      </c>
      <c r="Z47" s="122">
        <v>200.00000000007739</v>
      </c>
      <c r="AA47" s="122">
        <v>1000.0000000020035</v>
      </c>
      <c r="AB47" s="122">
        <v>1499.9999999989695</v>
      </c>
      <c r="AC47" s="122">
        <v>1000.0000000020035</v>
      </c>
      <c r="AD47" s="122">
        <v>1499.9999999989695</v>
      </c>
      <c r="AE47" s="122">
        <v>3488.9999999995966</v>
      </c>
      <c r="AF47" s="122">
        <v>241.67999999997139</v>
      </c>
      <c r="AG47" s="122">
        <v>8011.9999999990832</v>
      </c>
      <c r="AH47" s="122">
        <v>2150.1468422281018</v>
      </c>
      <c r="AI47" s="122">
        <v>5000.0100000008242</v>
      </c>
      <c r="AJ47" s="122">
        <v>38999.999998983862</v>
      </c>
      <c r="AK47" s="122">
        <v>7969.99999999999</v>
      </c>
      <c r="AL47" s="122">
        <v>10951.999999998747</v>
      </c>
      <c r="AM47" s="122">
        <v>12100.000000000007</v>
      </c>
      <c r="AN47" s="122">
        <v>2791.9999999996776</v>
      </c>
      <c r="AO47" s="122">
        <v>826.99999999990428</v>
      </c>
      <c r="AP47" s="122">
        <v>340.98999999997511</v>
      </c>
      <c r="AQ47" s="122">
        <v>1350.0100000000286</v>
      </c>
      <c r="AR47" s="122">
        <v>10820.999999998752</v>
      </c>
      <c r="AS47" s="122">
        <v>31235.302148767347</v>
      </c>
      <c r="AT47" s="122">
        <v>77695.224359422253</v>
      </c>
      <c r="AU47" s="122">
        <v>77935.766849699081</v>
      </c>
      <c r="AV47" s="122">
        <v>84911.499067728015</v>
      </c>
      <c r="AW47" s="122">
        <v>4657.697851232725</v>
      </c>
      <c r="AX47" s="122">
        <v>23557.710836650684</v>
      </c>
      <c r="AY47" s="122">
        <v>1583.9999999998174</v>
      </c>
      <c r="AZ47" s="122">
        <v>394.31999999995622</v>
      </c>
      <c r="BA47" s="122">
        <v>1004.7718326692075</v>
      </c>
      <c r="BB47" s="122">
        <v>1300.0000000005807</v>
      </c>
      <c r="BC47" s="122">
        <v>16199.999998970494</v>
      </c>
      <c r="BD47" s="122">
        <v>611.9999999999294</v>
      </c>
      <c r="BE47" s="122">
        <v>619.51733067721989</v>
      </c>
      <c r="BF47" s="122">
        <v>550.00999999974533</v>
      </c>
      <c r="BG47" s="122">
        <v>12296.800000006155</v>
      </c>
    </row>
    <row r="48" spans="1:59" x14ac:dyDescent="0.25">
      <c r="A48" s="1">
        <v>25568.999305555557</v>
      </c>
      <c r="B48" s="3">
        <v>1247.010000000537</v>
      </c>
      <c r="C48" s="3">
        <v>1746.8500000002621</v>
      </c>
      <c r="D48" s="3">
        <v>2261.1200000002882</v>
      </c>
      <c r="E48" s="3">
        <v>5370.3499999989081</v>
      </c>
      <c r="F48" s="3">
        <v>996.68000000011409</v>
      </c>
      <c r="G48" s="3">
        <v>2334.4100000015378</v>
      </c>
      <c r="H48" s="3">
        <v>248.99999999997152</v>
      </c>
      <c r="I48" s="3">
        <v>2499.9900000012822</v>
      </c>
      <c r="J48" s="3">
        <v>2499.9900000012672</v>
      </c>
      <c r="K48" s="3">
        <v>10894.999999998752</v>
      </c>
      <c r="L48" s="3">
        <v>900</v>
      </c>
      <c r="M48" s="3">
        <v>3659.1999999995969</v>
      </c>
      <c r="N48" s="3">
        <v>13916.560000015921</v>
      </c>
      <c r="O48" s="122">
        <v>11987.800000005504</v>
      </c>
      <c r="P48" s="122">
        <v>673.3700000003422</v>
      </c>
      <c r="Q48" s="122">
        <v>0</v>
      </c>
      <c r="R48" s="122">
        <v>2294.4700000004405</v>
      </c>
      <c r="S48" s="122">
        <v>1591.6899999993404</v>
      </c>
      <c r="T48" s="122">
        <v>504.47000000016385</v>
      </c>
      <c r="U48" s="122">
        <v>419.22999999996358</v>
      </c>
      <c r="V48" s="122">
        <v>5739.9700000027269</v>
      </c>
      <c r="W48" s="122">
        <v>899.98999999967975</v>
      </c>
      <c r="X48" s="122">
        <v>849.98999999941839</v>
      </c>
      <c r="Y48" s="122">
        <v>324.9999999999643</v>
      </c>
      <c r="Z48" s="122">
        <v>200.00000000007739</v>
      </c>
      <c r="AA48" s="122">
        <v>1000.0000000020067</v>
      </c>
      <c r="AB48" s="122">
        <v>1499.999999998952</v>
      </c>
      <c r="AC48" s="122">
        <v>1000.0000000020067</v>
      </c>
      <c r="AD48" s="122">
        <v>1499.999999998952</v>
      </c>
      <c r="AE48" s="122">
        <v>3481.9999999995985</v>
      </c>
      <c r="AF48" s="122">
        <v>253.8399999999705</v>
      </c>
      <c r="AG48" s="122">
        <v>8241.9999999990523</v>
      </c>
      <c r="AH48" s="122">
        <v>2112.8254537794896</v>
      </c>
      <c r="AI48" s="122">
        <v>5000.0100000008242</v>
      </c>
      <c r="AJ48" s="122">
        <v>38999.999998983854</v>
      </c>
      <c r="AK48" s="122">
        <v>7970.0000000000091</v>
      </c>
      <c r="AL48" s="122">
        <v>10016.999999998845</v>
      </c>
      <c r="AM48" s="122">
        <v>12100.000000000007</v>
      </c>
      <c r="AN48" s="122">
        <v>2673.999999999693</v>
      </c>
      <c r="AO48" s="122">
        <v>957.9999999998895</v>
      </c>
      <c r="AP48" s="122">
        <v>340.98999999997505</v>
      </c>
      <c r="AQ48" s="122">
        <v>1350.0100000000286</v>
      </c>
      <c r="AR48" s="122">
        <v>11362.999999998692</v>
      </c>
      <c r="AS48" s="122">
        <v>31248.028099180548</v>
      </c>
      <c r="AT48" s="122">
        <v>76506.545326403706</v>
      </c>
      <c r="AU48" s="122">
        <v>76743.407695835107</v>
      </c>
      <c r="AV48" s="122">
        <v>83612.416409351514</v>
      </c>
      <c r="AW48" s="122">
        <v>4644.9719008195216</v>
      </c>
      <c r="AX48" s="122">
        <v>24688.727928284017</v>
      </c>
      <c r="AY48" s="122">
        <v>1404.9999999998377</v>
      </c>
      <c r="AZ48" s="122">
        <v>414.15999999995279</v>
      </c>
      <c r="BA48" s="122">
        <v>1053.011414342508</v>
      </c>
      <c r="BB48" s="122">
        <v>1300.0000000005809</v>
      </c>
      <c r="BC48" s="122">
        <v>16199.99999897049</v>
      </c>
      <c r="BD48" s="122">
        <v>551.99999999993634</v>
      </c>
      <c r="BE48" s="122">
        <v>649.26065737044303</v>
      </c>
      <c r="BF48" s="122">
        <v>550.00999999974545</v>
      </c>
      <c r="BG48" s="122">
        <v>12296.800000006155</v>
      </c>
    </row>
    <row r="49" spans="1:59" x14ac:dyDescent="0.25">
      <c r="A49" s="1">
        <v>25933.999305555557</v>
      </c>
      <c r="B49" s="3">
        <v>1247.010000000537</v>
      </c>
      <c r="C49" s="3">
        <v>1746.8500000002621</v>
      </c>
      <c r="D49" s="3">
        <v>2261.1200000002882</v>
      </c>
      <c r="E49" s="3">
        <v>5370.3499999989081</v>
      </c>
      <c r="F49" s="3">
        <v>996.68000000011409</v>
      </c>
      <c r="G49" s="3">
        <v>2334.4100000015378</v>
      </c>
      <c r="H49" s="3">
        <v>250.99999999997115</v>
      </c>
      <c r="I49" s="3">
        <v>2499.9900000012822</v>
      </c>
      <c r="J49" s="3">
        <v>2499.9900000012672</v>
      </c>
      <c r="K49" s="3">
        <v>11095.999999998723</v>
      </c>
      <c r="L49" s="3">
        <v>899.99999999999943</v>
      </c>
      <c r="M49" s="3">
        <v>3659.1999999995969</v>
      </c>
      <c r="N49" s="3">
        <v>13916.560000015921</v>
      </c>
      <c r="O49" s="122">
        <v>11987.800000005504</v>
      </c>
      <c r="P49" s="122">
        <v>673.3700000003422</v>
      </c>
      <c r="Q49" s="122">
        <v>9.4979999999948497</v>
      </c>
      <c r="R49" s="122">
        <v>2294.4700000004405</v>
      </c>
      <c r="S49" s="122">
        <v>1591.6899999993404</v>
      </c>
      <c r="T49" s="122">
        <v>504.47000000016385</v>
      </c>
      <c r="U49" s="122">
        <v>419.22999999996358</v>
      </c>
      <c r="V49" s="122">
        <v>5739.9700000027269</v>
      </c>
      <c r="W49" s="122">
        <v>899.98999999967975</v>
      </c>
      <c r="X49" s="122">
        <v>849.98999999941839</v>
      </c>
      <c r="Y49" s="122">
        <v>324.9999999999643</v>
      </c>
      <c r="Z49" s="122">
        <v>200.00000000007739</v>
      </c>
      <c r="AA49" s="122">
        <v>1000.0000000020067</v>
      </c>
      <c r="AB49" s="122">
        <v>1499.999999998952</v>
      </c>
      <c r="AC49" s="122">
        <v>1000.0000000020067</v>
      </c>
      <c r="AD49" s="122">
        <v>1499.999999998952</v>
      </c>
      <c r="AE49" s="122">
        <v>3519.9999999995935</v>
      </c>
      <c r="AF49" s="122">
        <v>240.91999999997248</v>
      </c>
      <c r="AG49" s="122">
        <v>8154.9999999990687</v>
      </c>
      <c r="AH49" s="122">
        <v>2091.8912780862497</v>
      </c>
      <c r="AI49" s="122">
        <v>5000.0100000008242</v>
      </c>
      <c r="AJ49" s="122">
        <v>38999.999998983854</v>
      </c>
      <c r="AK49" s="122">
        <v>7970.0000000000064</v>
      </c>
      <c r="AL49" s="122">
        <v>10070.999999998843</v>
      </c>
      <c r="AM49" s="122">
        <v>12099.999999999998</v>
      </c>
      <c r="AN49" s="122">
        <v>2892.9999999996676</v>
      </c>
      <c r="AO49" s="122">
        <v>900.9999999998962</v>
      </c>
      <c r="AP49" s="122">
        <v>340.98999999997505</v>
      </c>
      <c r="AQ49" s="122">
        <v>1350.0100000000286</v>
      </c>
      <c r="AR49" s="122">
        <v>10844.999999998749</v>
      </c>
      <c r="AS49" s="122">
        <v>31248.028099180548</v>
      </c>
      <c r="AT49" s="122">
        <v>78538.326802914875</v>
      </c>
      <c r="AU49" s="122">
        <v>78781.479517474829</v>
      </c>
      <c r="AV49" s="122">
        <v>85832.908239718075</v>
      </c>
      <c r="AW49" s="122">
        <v>4644.9719008195216</v>
      </c>
      <c r="AX49" s="122">
        <v>23553.033346610846</v>
      </c>
      <c r="AY49" s="122">
        <v>1340.9999999998452</v>
      </c>
      <c r="AZ49" s="122">
        <v>393.07999999995582</v>
      </c>
      <c r="BA49" s="122">
        <v>1004.5723306771758</v>
      </c>
      <c r="BB49" s="122">
        <v>1300.0000000005809</v>
      </c>
      <c r="BC49" s="122">
        <v>16199.99999897049</v>
      </c>
      <c r="BD49" s="122">
        <v>560.99999999993611</v>
      </c>
      <c r="BE49" s="122">
        <v>619.39432270909231</v>
      </c>
      <c r="BF49" s="122">
        <v>550.00999999974545</v>
      </c>
      <c r="BG49" s="122">
        <v>12296.800000006155</v>
      </c>
    </row>
    <row r="50" spans="1:59" x14ac:dyDescent="0.25">
      <c r="A50" s="1">
        <v>26298.999305555557</v>
      </c>
      <c r="B50" s="3">
        <v>1247.010000000537</v>
      </c>
      <c r="C50" s="3">
        <v>1746.8500000002621</v>
      </c>
      <c r="D50" s="3">
        <v>2261.1200000002882</v>
      </c>
      <c r="E50" s="3">
        <v>5370.3499999989081</v>
      </c>
      <c r="F50" s="3">
        <v>996.68000000011409</v>
      </c>
      <c r="G50" s="3">
        <v>2334.4100000015378</v>
      </c>
      <c r="H50" s="3">
        <v>250.99999999997135</v>
      </c>
      <c r="I50" s="3">
        <v>2499.9900000012822</v>
      </c>
      <c r="J50" s="3">
        <v>2499.9900000012672</v>
      </c>
      <c r="K50" s="3">
        <v>11188.999999998718</v>
      </c>
      <c r="L50" s="3">
        <v>900.00000000000068</v>
      </c>
      <c r="M50" s="3">
        <v>3659.1999999995969</v>
      </c>
      <c r="N50" s="3">
        <v>13916.560000015921</v>
      </c>
      <c r="O50" s="122">
        <v>11987.800000005504</v>
      </c>
      <c r="P50" s="122">
        <v>673.3700000003422</v>
      </c>
      <c r="Q50" s="122">
        <v>2.7964730286507438</v>
      </c>
      <c r="R50" s="122">
        <v>2294.4700000004405</v>
      </c>
      <c r="S50" s="122">
        <v>1591.6899999993404</v>
      </c>
      <c r="T50" s="122">
        <v>504.47000000016385</v>
      </c>
      <c r="U50" s="122">
        <v>419.22999999996358</v>
      </c>
      <c r="V50" s="122">
        <v>5739.9700000027269</v>
      </c>
      <c r="W50" s="122">
        <v>899.98999999967975</v>
      </c>
      <c r="X50" s="122">
        <v>849.98999999941839</v>
      </c>
      <c r="Y50" s="122">
        <v>324.9999999999643</v>
      </c>
      <c r="Z50" s="122">
        <v>200.00000000007739</v>
      </c>
      <c r="AA50" s="122">
        <v>1000.0000000020067</v>
      </c>
      <c r="AB50" s="122">
        <v>1499.999999998952</v>
      </c>
      <c r="AC50" s="122">
        <v>1000.0000000020067</v>
      </c>
      <c r="AD50" s="122">
        <v>1499.999999998952</v>
      </c>
      <c r="AE50" s="122">
        <v>3757.9999999995639</v>
      </c>
      <c r="AF50" s="122">
        <v>242.81999999997248</v>
      </c>
      <c r="AG50" s="122">
        <v>7854.9999999990923</v>
      </c>
      <c r="AH50" s="122">
        <v>2279.5611013298012</v>
      </c>
      <c r="AI50" s="122">
        <v>5000.0100000008242</v>
      </c>
      <c r="AJ50" s="122">
        <v>38999.999998983854</v>
      </c>
      <c r="AK50" s="122">
        <v>7824.0030788877229</v>
      </c>
      <c r="AL50" s="122">
        <v>10181.999999998827</v>
      </c>
      <c r="AM50" s="122">
        <v>12100</v>
      </c>
      <c r="AN50" s="122">
        <v>2617.9999999996985</v>
      </c>
      <c r="AO50" s="122">
        <v>891.9999999998978</v>
      </c>
      <c r="AP50" s="122">
        <v>340.98999999997505</v>
      </c>
      <c r="AQ50" s="122">
        <v>1350.0100000000286</v>
      </c>
      <c r="AR50" s="122">
        <v>10913.999999998745</v>
      </c>
      <c r="AS50" s="122">
        <v>31248.028099180548</v>
      </c>
      <c r="AT50" s="122">
        <v>81379.991290921636</v>
      </c>
      <c r="AU50" s="122">
        <v>81631.941728355043</v>
      </c>
      <c r="AV50" s="122">
        <v>88938.504413917792</v>
      </c>
      <c r="AW50" s="122">
        <v>4644.9719008195216</v>
      </c>
      <c r="AX50" s="122">
        <v>23746.681434260205</v>
      </c>
      <c r="AY50" s="122">
        <v>1375.9999999998415</v>
      </c>
      <c r="AZ50" s="122">
        <v>396.17999999995374</v>
      </c>
      <c r="BA50" s="122">
        <v>1012.8317131472938</v>
      </c>
      <c r="BB50" s="122">
        <v>1300.0000000005809</v>
      </c>
      <c r="BC50" s="122">
        <v>16199.99999897049</v>
      </c>
      <c r="BD50" s="122">
        <v>565.99999999993474</v>
      </c>
      <c r="BE50" s="122">
        <v>624.48685258956948</v>
      </c>
      <c r="BF50" s="122">
        <v>550.00999999974545</v>
      </c>
      <c r="BG50" s="122">
        <v>12296.800000006155</v>
      </c>
    </row>
    <row r="51" spans="1:59" x14ac:dyDescent="0.25">
      <c r="A51" s="1">
        <v>26664.999305555557</v>
      </c>
      <c r="B51" s="3">
        <v>1247.010000000537</v>
      </c>
      <c r="C51" s="3">
        <v>1746.8500000002621</v>
      </c>
      <c r="D51" s="3">
        <v>2261.1200000002882</v>
      </c>
      <c r="E51" s="3">
        <v>5370.3499999989081</v>
      </c>
      <c r="F51" s="3">
        <v>996.68000000011409</v>
      </c>
      <c r="G51" s="3">
        <v>2334.4100000015383</v>
      </c>
      <c r="H51" s="3">
        <v>283.99999999996732</v>
      </c>
      <c r="I51" s="3">
        <v>2499.9900000012822</v>
      </c>
      <c r="J51" s="3">
        <v>2499.9900000012672</v>
      </c>
      <c r="K51" s="3">
        <v>12534.999999998554</v>
      </c>
      <c r="L51" s="3">
        <v>900.00000000000125</v>
      </c>
      <c r="M51" s="3">
        <v>3659.1999999995965</v>
      </c>
      <c r="N51" s="3">
        <v>13916.560000015921</v>
      </c>
      <c r="O51" s="122">
        <v>11987.800000005504</v>
      </c>
      <c r="P51" s="122">
        <v>673.3700000003422</v>
      </c>
      <c r="Q51" s="122">
        <v>210.08226881730585</v>
      </c>
      <c r="R51" s="122">
        <v>2294.4700000004405</v>
      </c>
      <c r="S51" s="122">
        <v>1591.6899999993404</v>
      </c>
      <c r="T51" s="122">
        <v>504.47000000016385</v>
      </c>
      <c r="U51" s="122">
        <v>419.22999999996358</v>
      </c>
      <c r="V51" s="122">
        <v>5739.970000002726</v>
      </c>
      <c r="W51" s="122">
        <v>899.98999999967964</v>
      </c>
      <c r="X51" s="122">
        <v>849.98999999941861</v>
      </c>
      <c r="Y51" s="122">
        <v>324.9999999999643</v>
      </c>
      <c r="Z51" s="122">
        <v>200.00000000007739</v>
      </c>
      <c r="AA51" s="122">
        <v>1000.0000000020035</v>
      </c>
      <c r="AB51" s="122">
        <v>1499.9999999989695</v>
      </c>
      <c r="AC51" s="122">
        <v>1000.0000000020035</v>
      </c>
      <c r="AD51" s="122">
        <v>1499.9999999989695</v>
      </c>
      <c r="AE51" s="122">
        <v>3894.9999999995503</v>
      </c>
      <c r="AF51" s="122">
        <v>253.07999999997097</v>
      </c>
      <c r="AG51" s="122">
        <v>9217.9999999989341</v>
      </c>
      <c r="AH51" s="122">
        <v>2318.8543424976442</v>
      </c>
      <c r="AI51" s="122">
        <v>5000.0100000008242</v>
      </c>
      <c r="AJ51" s="122">
        <v>38999.999998983862</v>
      </c>
      <c r="AK51" s="122">
        <v>7970.0000000000082</v>
      </c>
      <c r="AL51" s="122">
        <v>11397.999999998687</v>
      </c>
      <c r="AM51" s="122">
        <v>12100.000000000016</v>
      </c>
      <c r="AN51" s="122">
        <v>3084.9999999996453</v>
      </c>
      <c r="AO51" s="122">
        <v>1201.999999999862</v>
      </c>
      <c r="AP51" s="122">
        <v>340.98999999997511</v>
      </c>
      <c r="AQ51" s="122">
        <v>1350.0100000000286</v>
      </c>
      <c r="AR51" s="122">
        <v>11405.999999998685</v>
      </c>
      <c r="AS51" s="122">
        <v>31235.302148767347</v>
      </c>
      <c r="AT51" s="122">
        <v>87250.233964676198</v>
      </c>
      <c r="AU51" s="122">
        <v>87520.35852803498</v>
      </c>
      <c r="AV51" s="122">
        <v>95353.970865420692</v>
      </c>
      <c r="AW51" s="122">
        <v>4657.697851232725</v>
      </c>
      <c r="AX51" s="122">
        <v>24982.47430278598</v>
      </c>
      <c r="AY51" s="122">
        <v>1648.9999999998106</v>
      </c>
      <c r="AZ51" s="122">
        <v>412.91999999995306</v>
      </c>
      <c r="BA51" s="122">
        <v>1065.5401394421087</v>
      </c>
      <c r="BB51" s="122">
        <v>1300.0000000005807</v>
      </c>
      <c r="BC51" s="122">
        <v>16199.999998970494</v>
      </c>
      <c r="BD51" s="122">
        <v>635.99999999992747</v>
      </c>
      <c r="BE51" s="122">
        <v>656.98555776884859</v>
      </c>
      <c r="BF51" s="122">
        <v>550.00999999974533</v>
      </c>
      <c r="BG51" s="122">
        <v>12296.800000006155</v>
      </c>
    </row>
    <row r="52" spans="1:59" x14ac:dyDescent="0.25">
      <c r="A52" s="1">
        <v>27029.999305555557</v>
      </c>
      <c r="B52" s="3">
        <v>1247.010000000537</v>
      </c>
      <c r="C52" s="3">
        <v>1746.8500000002621</v>
      </c>
      <c r="D52" s="3">
        <v>2261.1200000002882</v>
      </c>
      <c r="E52" s="3">
        <v>5370.3499999989081</v>
      </c>
      <c r="F52" s="3">
        <v>996.68000000011409</v>
      </c>
      <c r="G52" s="3">
        <v>2334.4100000015378</v>
      </c>
      <c r="H52" s="3">
        <v>251.99999999997112</v>
      </c>
      <c r="I52" s="3">
        <v>2499.9900000012822</v>
      </c>
      <c r="J52" s="3">
        <v>2499.9900000012672</v>
      </c>
      <c r="K52" s="3">
        <v>11054.999999998729</v>
      </c>
      <c r="L52" s="3">
        <v>900.00000000000057</v>
      </c>
      <c r="M52" s="3">
        <v>3659.1999999995969</v>
      </c>
      <c r="N52" s="3">
        <v>13916.560000015921</v>
      </c>
      <c r="O52" s="122">
        <v>11987.800000005504</v>
      </c>
      <c r="P52" s="122">
        <v>673.3700000003422</v>
      </c>
      <c r="Q52" s="122">
        <v>0</v>
      </c>
      <c r="R52" s="122">
        <v>2294.4700000004405</v>
      </c>
      <c r="S52" s="122">
        <v>1591.6899999993404</v>
      </c>
      <c r="T52" s="122">
        <v>504.47000000016385</v>
      </c>
      <c r="U52" s="122">
        <v>419.22999999996358</v>
      </c>
      <c r="V52" s="122">
        <v>5739.9700000027269</v>
      </c>
      <c r="W52" s="122">
        <v>899.98999999967975</v>
      </c>
      <c r="X52" s="122">
        <v>849.98999999941839</v>
      </c>
      <c r="Y52" s="122">
        <v>324.9999999999643</v>
      </c>
      <c r="Z52" s="122">
        <v>200.00000000007739</v>
      </c>
      <c r="AA52" s="122">
        <v>1000.0000000020067</v>
      </c>
      <c r="AB52" s="122">
        <v>1499.999999998952</v>
      </c>
      <c r="AC52" s="122">
        <v>1000.0000000020067</v>
      </c>
      <c r="AD52" s="122">
        <v>1499.999999998952</v>
      </c>
      <c r="AE52" s="122">
        <v>3364.9999999996153</v>
      </c>
      <c r="AF52" s="122">
        <v>216.21999999997468</v>
      </c>
      <c r="AG52" s="122">
        <v>7925.999999999086</v>
      </c>
      <c r="AH52" s="122">
        <v>2097.4874118175208</v>
      </c>
      <c r="AI52" s="122">
        <v>5000.0100000008242</v>
      </c>
      <c r="AJ52" s="122">
        <v>38999.999998983854</v>
      </c>
      <c r="AK52" s="122">
        <v>7970</v>
      </c>
      <c r="AL52" s="122">
        <v>10124.999999998838</v>
      </c>
      <c r="AM52" s="122">
        <v>12100.000000000007</v>
      </c>
      <c r="AN52" s="122">
        <v>2684.9999999996899</v>
      </c>
      <c r="AO52" s="122">
        <v>876.99999999989939</v>
      </c>
      <c r="AP52" s="122">
        <v>340.98999999997505</v>
      </c>
      <c r="AQ52" s="122">
        <v>1350.0100000000286</v>
      </c>
      <c r="AR52" s="122">
        <v>9798.9999999988722</v>
      </c>
      <c r="AS52" s="122">
        <v>31248.028099180548</v>
      </c>
      <c r="AT52" s="122">
        <v>75370.64056405508</v>
      </c>
      <c r="AU52" s="122">
        <v>75603.986200476487</v>
      </c>
      <c r="AV52" s="122">
        <v>82371.009656691924</v>
      </c>
      <c r="AW52" s="122">
        <v>4644.9719008195216</v>
      </c>
      <c r="AX52" s="122">
        <v>21491.195737049315</v>
      </c>
      <c r="AY52" s="122">
        <v>1405.9999999998388</v>
      </c>
      <c r="AZ52" s="122">
        <v>352.77999999995933</v>
      </c>
      <c r="BA52" s="122">
        <v>916.63185258953501</v>
      </c>
      <c r="BB52" s="122">
        <v>1300.0000000005809</v>
      </c>
      <c r="BC52" s="122">
        <v>16199.99999897049</v>
      </c>
      <c r="BD52" s="122">
        <v>558.99999999993565</v>
      </c>
      <c r="BE52" s="122">
        <v>565.17241035850054</v>
      </c>
      <c r="BF52" s="122">
        <v>550.00999999974545</v>
      </c>
      <c r="BG52" s="122">
        <v>12296.800000006155</v>
      </c>
    </row>
    <row r="53" spans="1:59" x14ac:dyDescent="0.25">
      <c r="A53" s="1">
        <v>27394.999305555557</v>
      </c>
      <c r="B53" s="3">
        <v>1247.010000000537</v>
      </c>
      <c r="C53" s="3">
        <v>1746.8500000002621</v>
      </c>
      <c r="D53" s="3">
        <v>2261.1200000002882</v>
      </c>
      <c r="E53" s="3">
        <v>5370.3499999989081</v>
      </c>
      <c r="F53" s="3">
        <v>996.68000000011409</v>
      </c>
      <c r="G53" s="3">
        <v>2334.4100000015378</v>
      </c>
      <c r="H53" s="3">
        <v>287.99999999996663</v>
      </c>
      <c r="I53" s="3">
        <v>2499.9900000012822</v>
      </c>
      <c r="J53" s="3">
        <v>2499.9900000012672</v>
      </c>
      <c r="K53" s="3">
        <v>12706.999999998538</v>
      </c>
      <c r="L53" s="3">
        <v>900.00000000000034</v>
      </c>
      <c r="M53" s="3">
        <v>3659.1999999995969</v>
      </c>
      <c r="N53" s="3">
        <v>13916.560000015921</v>
      </c>
      <c r="O53" s="122">
        <v>11987.800000005504</v>
      </c>
      <c r="P53" s="122">
        <v>673.3700000003422</v>
      </c>
      <c r="Q53" s="122">
        <v>270.10096774218988</v>
      </c>
      <c r="R53" s="122">
        <v>2294.4700000004405</v>
      </c>
      <c r="S53" s="122">
        <v>1591.6899999993404</v>
      </c>
      <c r="T53" s="122">
        <v>504.47000000016385</v>
      </c>
      <c r="U53" s="122">
        <v>419.22999999996358</v>
      </c>
      <c r="V53" s="122">
        <v>5739.9700000027269</v>
      </c>
      <c r="W53" s="122">
        <v>899.98999999967975</v>
      </c>
      <c r="X53" s="122">
        <v>849.98999999941839</v>
      </c>
      <c r="Y53" s="122">
        <v>324.9999999999643</v>
      </c>
      <c r="Z53" s="122">
        <v>200.00000000007739</v>
      </c>
      <c r="AA53" s="122">
        <v>1000.0000000020067</v>
      </c>
      <c r="AB53" s="122">
        <v>1499.999999998952</v>
      </c>
      <c r="AC53" s="122">
        <v>1000.0000000020067</v>
      </c>
      <c r="AD53" s="122">
        <v>1499.999999998952</v>
      </c>
      <c r="AE53" s="122">
        <v>3976.9999999995421</v>
      </c>
      <c r="AF53" s="122">
        <v>248.1399999999704</v>
      </c>
      <c r="AG53" s="122">
        <v>9326.9999999989213</v>
      </c>
      <c r="AH53" s="122">
        <v>2447.508856903888</v>
      </c>
      <c r="AI53" s="122">
        <v>5000.0100000008242</v>
      </c>
      <c r="AJ53" s="122">
        <v>38999.999998983854</v>
      </c>
      <c r="AK53" s="122">
        <v>7969.9999999999991</v>
      </c>
      <c r="AL53" s="122">
        <v>11576.999999998672</v>
      </c>
      <c r="AM53" s="122">
        <v>12100</v>
      </c>
      <c r="AN53" s="122">
        <v>3097.9999999996421</v>
      </c>
      <c r="AO53" s="122">
        <v>1274.9999999998533</v>
      </c>
      <c r="AP53" s="122">
        <v>340.98999999997505</v>
      </c>
      <c r="AQ53" s="122">
        <v>1350.0100000000286</v>
      </c>
      <c r="AR53" s="122">
        <v>11189.999999998716</v>
      </c>
      <c r="AS53" s="122">
        <v>31248.028099180548</v>
      </c>
      <c r="AT53" s="122">
        <v>88622.670372985682</v>
      </c>
      <c r="AU53" s="122">
        <v>88897.043965471836</v>
      </c>
      <c r="AV53" s="122">
        <v>96853.878147566778</v>
      </c>
      <c r="AW53" s="122">
        <v>4644.9719008195216</v>
      </c>
      <c r="AX53" s="122">
        <v>24543.72573704899</v>
      </c>
      <c r="AY53" s="122">
        <v>1550.9999999998211</v>
      </c>
      <c r="AZ53" s="122">
        <v>404.85999999995386</v>
      </c>
      <c r="BA53" s="122">
        <v>1046.8268525895216</v>
      </c>
      <c r="BB53" s="122">
        <v>1300.0000000005809</v>
      </c>
      <c r="BC53" s="122">
        <v>16199.99999897049</v>
      </c>
      <c r="BD53" s="122">
        <v>642.99999999992599</v>
      </c>
      <c r="BE53" s="122">
        <v>645.4474103584912</v>
      </c>
      <c r="BF53" s="122">
        <v>550.00999999974545</v>
      </c>
      <c r="BG53" s="122">
        <v>12296.800000006155</v>
      </c>
    </row>
    <row r="54" spans="1:59" x14ac:dyDescent="0.25">
      <c r="A54" s="1">
        <v>27759.999305555557</v>
      </c>
      <c r="B54" s="3">
        <v>1247.010000000537</v>
      </c>
      <c r="C54" s="3">
        <v>1746.8500000002621</v>
      </c>
      <c r="D54" s="3">
        <v>2261.1200000002882</v>
      </c>
      <c r="E54" s="3">
        <v>5370.3499999989081</v>
      </c>
      <c r="F54" s="3">
        <v>996.68000000011409</v>
      </c>
      <c r="G54" s="3">
        <v>2334.4100000015378</v>
      </c>
      <c r="H54" s="3">
        <v>251.99999999997095</v>
      </c>
      <c r="I54" s="3">
        <v>2499.9900000012822</v>
      </c>
      <c r="J54" s="3">
        <v>2499.9900000012672</v>
      </c>
      <c r="K54" s="3">
        <v>11097.999999998721</v>
      </c>
      <c r="L54" s="3">
        <v>899.99999999999977</v>
      </c>
      <c r="M54" s="3">
        <v>3659.1999999995969</v>
      </c>
      <c r="N54" s="3">
        <v>13916.560000015921</v>
      </c>
      <c r="O54" s="122">
        <v>11987.800000005504</v>
      </c>
      <c r="P54" s="122">
        <v>673.3700000003422</v>
      </c>
      <c r="Q54" s="122">
        <v>0</v>
      </c>
      <c r="R54" s="122">
        <v>2294.4700000004405</v>
      </c>
      <c r="S54" s="122">
        <v>1591.6899999993404</v>
      </c>
      <c r="T54" s="122">
        <v>504.47000000016385</v>
      </c>
      <c r="U54" s="122">
        <v>419.22999999996358</v>
      </c>
      <c r="V54" s="122">
        <v>5739.9700000027269</v>
      </c>
      <c r="W54" s="122">
        <v>899.98999999967975</v>
      </c>
      <c r="X54" s="122">
        <v>849.98999999941839</v>
      </c>
      <c r="Y54" s="122">
        <v>324.9999999999643</v>
      </c>
      <c r="Z54" s="122">
        <v>200.00000000007739</v>
      </c>
      <c r="AA54" s="122">
        <v>1000.0000000020067</v>
      </c>
      <c r="AB54" s="122">
        <v>1499.999999998952</v>
      </c>
      <c r="AC54" s="122">
        <v>1000.0000000020067</v>
      </c>
      <c r="AD54" s="122">
        <v>1499.999999998952</v>
      </c>
      <c r="AE54" s="122">
        <v>3402.9999999996085</v>
      </c>
      <c r="AF54" s="122">
        <v>227.61999999997354</v>
      </c>
      <c r="AG54" s="122">
        <v>6718.9999999992287</v>
      </c>
      <c r="AH54" s="122">
        <v>2105.9999999997576</v>
      </c>
      <c r="AI54" s="122">
        <v>5000.0100000008242</v>
      </c>
      <c r="AJ54" s="122">
        <v>38999.999998983854</v>
      </c>
      <c r="AK54" s="122">
        <v>6524.0049023243746</v>
      </c>
      <c r="AL54" s="122">
        <v>10116.999999998839</v>
      </c>
      <c r="AM54" s="122">
        <v>12099.999999999995</v>
      </c>
      <c r="AN54" s="122">
        <v>2270.9999999997381</v>
      </c>
      <c r="AO54" s="122">
        <v>959.99999999989029</v>
      </c>
      <c r="AP54" s="122">
        <v>340.98999999997505</v>
      </c>
      <c r="AQ54" s="122">
        <v>1350.0100000000286</v>
      </c>
      <c r="AR54" s="122">
        <v>10304.999999998818</v>
      </c>
      <c r="AS54" s="122">
        <v>31248.028099180548</v>
      </c>
      <c r="AT54" s="122">
        <v>76847.830618157503</v>
      </c>
      <c r="AU54" s="122">
        <v>77085.749598399518</v>
      </c>
      <c r="AV54" s="122">
        <v>83985.400025416937</v>
      </c>
      <c r="AW54" s="122">
        <v>4644.9719008195216</v>
      </c>
      <c r="AX54" s="122">
        <v>22481.888127487447</v>
      </c>
      <c r="AY54" s="122">
        <v>1365.9999999998438</v>
      </c>
      <c r="AZ54" s="122">
        <v>371.37999999995725</v>
      </c>
      <c r="BA54" s="122">
        <v>958.88637450188162</v>
      </c>
      <c r="BB54" s="122">
        <v>1300.0000000005809</v>
      </c>
      <c r="BC54" s="122">
        <v>16199.99999897049</v>
      </c>
      <c r="BD54" s="122">
        <v>561.99999999993497</v>
      </c>
      <c r="BE54" s="122">
        <v>591.22549800789989</v>
      </c>
      <c r="BF54" s="122">
        <v>550.00999999974545</v>
      </c>
      <c r="BG54" s="122">
        <v>12296.800000006155</v>
      </c>
    </row>
    <row r="55" spans="1:59" x14ac:dyDescent="0.25">
      <c r="A55" s="1">
        <v>28125.999305555557</v>
      </c>
      <c r="B55" s="3">
        <v>1247.010000000537</v>
      </c>
      <c r="C55" s="3">
        <v>1746.8500000002621</v>
      </c>
      <c r="D55" s="3">
        <v>2261.1200000002882</v>
      </c>
      <c r="E55" s="3">
        <v>5370.3499999989081</v>
      </c>
      <c r="F55" s="3">
        <v>996.68000000011409</v>
      </c>
      <c r="G55" s="3">
        <v>2334.4100000015383</v>
      </c>
      <c r="H55" s="3">
        <v>251.99999999997095</v>
      </c>
      <c r="I55" s="3">
        <v>2499.9900000012822</v>
      </c>
      <c r="J55" s="3">
        <v>2499.9900000012672</v>
      </c>
      <c r="K55" s="3">
        <v>11173.999999998712</v>
      </c>
      <c r="L55" s="3">
        <v>899.99999999999943</v>
      </c>
      <c r="M55" s="3">
        <v>3659.1999999995965</v>
      </c>
      <c r="N55" s="3">
        <v>13916.560000015921</v>
      </c>
      <c r="O55" s="122">
        <v>11987.800000005504</v>
      </c>
      <c r="P55" s="122">
        <v>673.3700000003422</v>
      </c>
      <c r="Q55" s="122">
        <v>0</v>
      </c>
      <c r="R55" s="122">
        <v>2294.4700000004405</v>
      </c>
      <c r="S55" s="122">
        <v>1591.6899999993404</v>
      </c>
      <c r="T55" s="122">
        <v>504.47000000016385</v>
      </c>
      <c r="U55" s="122">
        <v>419.22999999996358</v>
      </c>
      <c r="V55" s="122">
        <v>5739.970000002726</v>
      </c>
      <c r="W55" s="122">
        <v>899.98999999967964</v>
      </c>
      <c r="X55" s="122">
        <v>849.98999999941861</v>
      </c>
      <c r="Y55" s="122">
        <v>324.9999999999643</v>
      </c>
      <c r="Z55" s="122">
        <v>200.00000000007739</v>
      </c>
      <c r="AA55" s="122">
        <v>1000.0000000020035</v>
      </c>
      <c r="AB55" s="122">
        <v>1499.9999999989695</v>
      </c>
      <c r="AC55" s="122">
        <v>1000.0000000020035</v>
      </c>
      <c r="AD55" s="122">
        <v>1499.9999999989695</v>
      </c>
      <c r="AE55" s="122">
        <v>3754.9999999995689</v>
      </c>
      <c r="AF55" s="122">
        <v>239.39999999997269</v>
      </c>
      <c r="AG55" s="122">
        <v>9349.9999999989286</v>
      </c>
      <c r="AH55" s="122">
        <v>2321.0471157088768</v>
      </c>
      <c r="AI55" s="122">
        <v>5000.0100000008242</v>
      </c>
      <c r="AJ55" s="122">
        <v>38999.999998983862</v>
      </c>
      <c r="AK55" s="122">
        <v>7970</v>
      </c>
      <c r="AL55" s="122">
        <v>10122.999999998834</v>
      </c>
      <c r="AM55" s="122">
        <v>12100.000000000007</v>
      </c>
      <c r="AN55" s="122">
        <v>2921.999999999663</v>
      </c>
      <c r="AO55" s="122">
        <v>1107.9999999998727</v>
      </c>
      <c r="AP55" s="122">
        <v>340.98999999997511</v>
      </c>
      <c r="AQ55" s="122">
        <v>1350.0100000000286</v>
      </c>
      <c r="AR55" s="122">
        <v>10795.999999998759</v>
      </c>
      <c r="AS55" s="122">
        <v>31235.302148767347</v>
      </c>
      <c r="AT55" s="122">
        <v>80274.441972356275</v>
      </c>
      <c r="AU55" s="122">
        <v>80522.969656480695</v>
      </c>
      <c r="AV55" s="122">
        <v>87730.272496104531</v>
      </c>
      <c r="AW55" s="122">
        <v>4657.697851232725</v>
      </c>
      <c r="AX55" s="122">
        <v>23548.355856571001</v>
      </c>
      <c r="AY55" s="122">
        <v>1438.9999999998342</v>
      </c>
      <c r="AZ55" s="122">
        <v>390.59999999995478</v>
      </c>
      <c r="BA55" s="122">
        <v>1004.3728286851443</v>
      </c>
      <c r="BB55" s="122">
        <v>1300.0000000005807</v>
      </c>
      <c r="BC55" s="122">
        <v>16199.999998970494</v>
      </c>
      <c r="BD55" s="122">
        <v>566.99999999993497</v>
      </c>
      <c r="BE55" s="122">
        <v>619.2713147409645</v>
      </c>
      <c r="BF55" s="122">
        <v>550.00999999974533</v>
      </c>
      <c r="BG55" s="122">
        <v>12296.800000006155</v>
      </c>
    </row>
    <row r="56" spans="1:59" x14ac:dyDescent="0.25">
      <c r="A56" s="1">
        <v>28490.999305555557</v>
      </c>
      <c r="B56" s="3">
        <v>1247.010000000537</v>
      </c>
      <c r="C56" s="3">
        <v>1746.8500000002621</v>
      </c>
      <c r="D56" s="3">
        <v>2261.1200000002882</v>
      </c>
      <c r="E56" s="3">
        <v>5370.3499999989081</v>
      </c>
      <c r="F56" s="3">
        <v>996.68000000011409</v>
      </c>
      <c r="G56" s="3">
        <v>2334.4100000015378</v>
      </c>
      <c r="H56" s="3">
        <v>293.99999999996618</v>
      </c>
      <c r="I56" s="3">
        <v>2499.9900000012822</v>
      </c>
      <c r="J56" s="3">
        <v>2499.9900000012672</v>
      </c>
      <c r="K56" s="3">
        <v>12891.999999998521</v>
      </c>
      <c r="L56" s="3">
        <v>900</v>
      </c>
      <c r="M56" s="3">
        <v>3659.1999999995969</v>
      </c>
      <c r="N56" s="3">
        <v>13916.560000015921</v>
      </c>
      <c r="O56" s="122">
        <v>11987.800000005504</v>
      </c>
      <c r="P56" s="122">
        <v>673.3700000003422</v>
      </c>
      <c r="Q56" s="122">
        <v>293.02372571278198</v>
      </c>
      <c r="R56" s="122">
        <v>2294.4700000004405</v>
      </c>
      <c r="S56" s="122">
        <v>1591.6899999993404</v>
      </c>
      <c r="T56" s="122">
        <v>504.47000000016385</v>
      </c>
      <c r="U56" s="122">
        <v>419.22999999996358</v>
      </c>
      <c r="V56" s="122">
        <v>5739.9700000027269</v>
      </c>
      <c r="W56" s="122">
        <v>899.98999999967975</v>
      </c>
      <c r="X56" s="122">
        <v>849.98999999941839</v>
      </c>
      <c r="Y56" s="122">
        <v>324.9999999999643</v>
      </c>
      <c r="Z56" s="122">
        <v>200.00000000007739</v>
      </c>
      <c r="AA56" s="122">
        <v>1000.0000000020067</v>
      </c>
      <c r="AB56" s="122">
        <v>1499.999999998952</v>
      </c>
      <c r="AC56" s="122">
        <v>1000.0000000020067</v>
      </c>
      <c r="AD56" s="122">
        <v>1499.999999998952</v>
      </c>
      <c r="AE56" s="122">
        <v>4070.9999999995348</v>
      </c>
      <c r="AF56" s="122">
        <v>230.65999999997229</v>
      </c>
      <c r="AG56" s="122">
        <v>9571.9999999988959</v>
      </c>
      <c r="AH56" s="122">
        <v>2459.082176344094</v>
      </c>
      <c r="AI56" s="122">
        <v>5000.0100000008242</v>
      </c>
      <c r="AJ56" s="122">
        <v>38999.999998983854</v>
      </c>
      <c r="AK56" s="122">
        <v>7970.0000000000082</v>
      </c>
      <c r="AL56" s="122">
        <v>11754.999999998641</v>
      </c>
      <c r="AM56" s="122">
        <v>12100</v>
      </c>
      <c r="AN56" s="122">
        <v>3168.9999999996348</v>
      </c>
      <c r="AO56" s="122">
        <v>1016.999999999883</v>
      </c>
      <c r="AP56" s="122">
        <v>340.98999999997505</v>
      </c>
      <c r="AQ56" s="122">
        <v>1350.0100000000286</v>
      </c>
      <c r="AR56" s="122">
        <v>10513.999999998787</v>
      </c>
      <c r="AS56" s="122">
        <v>31248.028099180548</v>
      </c>
      <c r="AT56" s="122">
        <v>86948.000806866999</v>
      </c>
      <c r="AU56" s="122">
        <v>87217.189663854137</v>
      </c>
      <c r="AV56" s="122">
        <v>95023.666516483296</v>
      </c>
      <c r="AW56" s="122">
        <v>4644.9719008195216</v>
      </c>
      <c r="AX56" s="122">
        <v>23321.96533864272</v>
      </c>
      <c r="AY56" s="122">
        <v>1636.9999999998124</v>
      </c>
      <c r="AZ56" s="122">
        <v>376.33999999995444</v>
      </c>
      <c r="BA56" s="122">
        <v>994.71693227080198</v>
      </c>
      <c r="BB56" s="122">
        <v>1300.0000000005809</v>
      </c>
      <c r="BC56" s="122">
        <v>16199.99999897049</v>
      </c>
      <c r="BD56" s="122">
        <v>652.99999999992497</v>
      </c>
      <c r="BE56" s="122">
        <v>613.31772908359426</v>
      </c>
      <c r="BF56" s="122">
        <v>550.00999999974545</v>
      </c>
      <c r="BG56" s="122">
        <v>12296.800000006155</v>
      </c>
    </row>
    <row r="57" spans="1:59" x14ac:dyDescent="0.25">
      <c r="A57" s="1">
        <v>28855.999305555557</v>
      </c>
      <c r="B57" s="3">
        <v>1247.010000000537</v>
      </c>
      <c r="C57" s="3">
        <v>1746.8500000002621</v>
      </c>
      <c r="D57" s="3">
        <v>2261.1200000002882</v>
      </c>
      <c r="E57" s="3">
        <v>5370.3499999989081</v>
      </c>
      <c r="F57" s="3">
        <v>996.68000000011409</v>
      </c>
      <c r="G57" s="3">
        <v>2334.4100000015378</v>
      </c>
      <c r="H57" s="3">
        <v>269.99999999996896</v>
      </c>
      <c r="I57" s="3">
        <v>2499.9900000012822</v>
      </c>
      <c r="J57" s="3">
        <v>2499.9900000012672</v>
      </c>
      <c r="K57" s="3">
        <v>11801.999999998636</v>
      </c>
      <c r="L57" s="3">
        <v>899.99999999999886</v>
      </c>
      <c r="M57" s="3">
        <v>3659.1999999995969</v>
      </c>
      <c r="N57" s="3">
        <v>13916.560000015921</v>
      </c>
      <c r="O57" s="122">
        <v>11987.800000005504</v>
      </c>
      <c r="P57" s="122">
        <v>673.3700000003422</v>
      </c>
      <c r="Q57" s="122">
        <v>201.26891904279879</v>
      </c>
      <c r="R57" s="122">
        <v>2294.4700000004405</v>
      </c>
      <c r="S57" s="122">
        <v>1591.6899999993404</v>
      </c>
      <c r="T57" s="122">
        <v>504.47000000016385</v>
      </c>
      <c r="U57" s="122">
        <v>419.22999999996358</v>
      </c>
      <c r="V57" s="122">
        <v>5739.9700000027269</v>
      </c>
      <c r="W57" s="122">
        <v>899.98999999967975</v>
      </c>
      <c r="X57" s="122">
        <v>849.98999999941839</v>
      </c>
      <c r="Y57" s="122">
        <v>324.9999999999643</v>
      </c>
      <c r="Z57" s="122">
        <v>200.00000000007739</v>
      </c>
      <c r="AA57" s="122">
        <v>1000.0000000020067</v>
      </c>
      <c r="AB57" s="122">
        <v>1499.999999998952</v>
      </c>
      <c r="AC57" s="122">
        <v>1000.0000000020067</v>
      </c>
      <c r="AD57" s="122">
        <v>1499.999999998952</v>
      </c>
      <c r="AE57" s="122">
        <v>3844.9999999995598</v>
      </c>
      <c r="AF57" s="122">
        <v>231.41999999997316</v>
      </c>
      <c r="AG57" s="122">
        <v>8575.9999999990105</v>
      </c>
      <c r="AH57" s="122">
        <v>2260.5850337577299</v>
      </c>
      <c r="AI57" s="122">
        <v>5000.0100000008242</v>
      </c>
      <c r="AJ57" s="122">
        <v>38999.999998983854</v>
      </c>
      <c r="AK57" s="122">
        <v>7969.9999999999991</v>
      </c>
      <c r="AL57" s="122">
        <v>10803.999999998758</v>
      </c>
      <c r="AM57" s="122">
        <v>12100.000000000005</v>
      </c>
      <c r="AN57" s="122">
        <v>2938.9999999996626</v>
      </c>
      <c r="AO57" s="122">
        <v>1085.9999999998745</v>
      </c>
      <c r="AP57" s="122">
        <v>340.98999999997505</v>
      </c>
      <c r="AQ57" s="122">
        <v>1350.0100000000286</v>
      </c>
      <c r="AR57" s="122">
        <v>10485.999999998792</v>
      </c>
      <c r="AS57" s="122">
        <v>31248.028099180548</v>
      </c>
      <c r="AT57" s="122">
        <v>84418.225173938161</v>
      </c>
      <c r="AU57" s="122">
        <v>84679.581908223059</v>
      </c>
      <c r="AV57" s="122">
        <v>92258.92720247728</v>
      </c>
      <c r="AW57" s="122">
        <v>4644.9719008195216</v>
      </c>
      <c r="AX57" s="122">
        <v>23110.542788841965</v>
      </c>
      <c r="AY57" s="122">
        <v>1666.9999999998081</v>
      </c>
      <c r="AZ57" s="122">
        <v>377.57999999995758</v>
      </c>
      <c r="BA57" s="122">
        <v>985.69944223096206</v>
      </c>
      <c r="BB57" s="122">
        <v>1300.0000000005809</v>
      </c>
      <c r="BC57" s="122">
        <v>16199.99999897049</v>
      </c>
      <c r="BD57" s="122">
        <v>598.99999999993179</v>
      </c>
      <c r="BE57" s="122">
        <v>607.75776892423323</v>
      </c>
      <c r="BF57" s="122">
        <v>550.00999999974545</v>
      </c>
      <c r="BG57" s="122">
        <v>12296.800000006155</v>
      </c>
    </row>
    <row r="58" spans="1:59" x14ac:dyDescent="0.25">
      <c r="A58" s="1">
        <v>29220.999305555557</v>
      </c>
      <c r="B58" s="3">
        <v>1247.010000000537</v>
      </c>
      <c r="C58" s="3">
        <v>1746.8500000002621</v>
      </c>
      <c r="D58" s="3">
        <v>2261.1200000002882</v>
      </c>
      <c r="E58" s="3">
        <v>5370.3499999989081</v>
      </c>
      <c r="F58" s="3">
        <v>996.68000000011409</v>
      </c>
      <c r="G58" s="3">
        <v>2334.4100000015378</v>
      </c>
      <c r="H58" s="3">
        <v>246.99999999997169</v>
      </c>
      <c r="I58" s="3">
        <v>2499.9900000012822</v>
      </c>
      <c r="J58" s="3">
        <v>2499.9900000012672</v>
      </c>
      <c r="K58" s="3">
        <v>10940.999999998732</v>
      </c>
      <c r="L58" s="3">
        <v>899.99999999999886</v>
      </c>
      <c r="M58" s="3">
        <v>3659.1999999995969</v>
      </c>
      <c r="N58" s="3">
        <v>13916.560000015921</v>
      </c>
      <c r="O58" s="122">
        <v>11987.800000005504</v>
      </c>
      <c r="P58" s="122">
        <v>673.3700000003422</v>
      </c>
      <c r="Q58" s="122">
        <v>35.981896406015913</v>
      </c>
      <c r="R58" s="122">
        <v>2294.4700000004405</v>
      </c>
      <c r="S58" s="122">
        <v>1591.6899999993404</v>
      </c>
      <c r="T58" s="122">
        <v>504.47000000016385</v>
      </c>
      <c r="U58" s="122">
        <v>419.22999999996358</v>
      </c>
      <c r="V58" s="122">
        <v>5739.9700000027269</v>
      </c>
      <c r="W58" s="122">
        <v>899.98999999967975</v>
      </c>
      <c r="X58" s="122">
        <v>849.98999999941839</v>
      </c>
      <c r="Y58" s="122">
        <v>324.9999999999643</v>
      </c>
      <c r="Z58" s="122">
        <v>200.00000000007739</v>
      </c>
      <c r="AA58" s="122">
        <v>1000.0000000020067</v>
      </c>
      <c r="AB58" s="122">
        <v>1499.999999998952</v>
      </c>
      <c r="AC58" s="122">
        <v>1000.0000000020067</v>
      </c>
      <c r="AD58" s="122">
        <v>1499.999999998952</v>
      </c>
      <c r="AE58" s="122">
        <v>3772.9999999995675</v>
      </c>
      <c r="AF58" s="122">
        <v>258.77999999996928</v>
      </c>
      <c r="AG58" s="122">
        <v>9216.9999999989395</v>
      </c>
      <c r="AH58" s="122">
        <v>2300.9999999997372</v>
      </c>
      <c r="AI58" s="122">
        <v>5000.0100000008242</v>
      </c>
      <c r="AJ58" s="122">
        <v>38999.999998983854</v>
      </c>
      <c r="AK58" s="122">
        <v>7969.9999999999955</v>
      </c>
      <c r="AL58" s="122">
        <v>9951.9999999988559</v>
      </c>
      <c r="AM58" s="122">
        <v>12100.000000000009</v>
      </c>
      <c r="AN58" s="122">
        <v>2959.999999999658</v>
      </c>
      <c r="AO58" s="122">
        <v>1157.9999999998672</v>
      </c>
      <c r="AP58" s="122">
        <v>340.98999999997505</v>
      </c>
      <c r="AQ58" s="122">
        <v>1350.0100000000286</v>
      </c>
      <c r="AR58" s="122">
        <v>11592.999999998672</v>
      </c>
      <c r="AS58" s="122">
        <v>31248.028099180548</v>
      </c>
      <c r="AT58" s="122">
        <v>80834.936464155355</v>
      </c>
      <c r="AU58" s="122">
        <v>81085.199425344588</v>
      </c>
      <c r="AV58" s="122">
        <v>88342.825299834949</v>
      </c>
      <c r="AW58" s="122">
        <v>4644.9719008195216</v>
      </c>
      <c r="AX58" s="122">
        <v>25230.3812748975</v>
      </c>
      <c r="AY58" s="122">
        <v>1620.9999999998131</v>
      </c>
      <c r="AZ58" s="122">
        <v>422.21999999995074</v>
      </c>
      <c r="BA58" s="122">
        <v>1076.1137450197973</v>
      </c>
      <c r="BB58" s="122">
        <v>1300.0000000005809</v>
      </c>
      <c r="BC58" s="122">
        <v>16199.99999897049</v>
      </c>
      <c r="BD58" s="122">
        <v>553.99999999993634</v>
      </c>
      <c r="BE58" s="122">
        <v>663.50498007960425</v>
      </c>
      <c r="BF58" s="122">
        <v>550.00999999974545</v>
      </c>
      <c r="BG58" s="122">
        <v>12296.800000006155</v>
      </c>
    </row>
    <row r="59" spans="1:59" x14ac:dyDescent="0.25">
      <c r="A59" s="1">
        <v>29586.999305555557</v>
      </c>
      <c r="B59" s="3">
        <v>1247.010000000537</v>
      </c>
      <c r="C59" s="3">
        <v>1746.8500000002621</v>
      </c>
      <c r="D59" s="3">
        <v>2261.1200000002882</v>
      </c>
      <c r="E59" s="3">
        <v>5370.3499999989081</v>
      </c>
      <c r="F59" s="3">
        <v>996.68000000011409</v>
      </c>
      <c r="G59" s="3">
        <v>2334.4100000015383</v>
      </c>
      <c r="H59" s="3">
        <v>261.99999999996982</v>
      </c>
      <c r="I59" s="3">
        <v>2499.9900000012822</v>
      </c>
      <c r="J59" s="3">
        <v>2499.9900000012672</v>
      </c>
      <c r="K59" s="3">
        <v>11616.999999998659</v>
      </c>
      <c r="L59" s="3">
        <v>899.99999999999977</v>
      </c>
      <c r="M59" s="3">
        <v>3659.1999999995965</v>
      </c>
      <c r="N59" s="3">
        <v>13916.560000015921</v>
      </c>
      <c r="O59" s="122">
        <v>11987.800000005504</v>
      </c>
      <c r="P59" s="122">
        <v>673.3700000003422</v>
      </c>
      <c r="Q59" s="122">
        <v>0</v>
      </c>
      <c r="R59" s="122">
        <v>2294.4700000004405</v>
      </c>
      <c r="S59" s="122">
        <v>1591.6899999993404</v>
      </c>
      <c r="T59" s="122">
        <v>504.47000000016385</v>
      </c>
      <c r="U59" s="122">
        <v>419.22999999996358</v>
      </c>
      <c r="V59" s="122">
        <v>5739.970000002726</v>
      </c>
      <c r="W59" s="122">
        <v>899.98999999967964</v>
      </c>
      <c r="X59" s="122">
        <v>849.98999999941861</v>
      </c>
      <c r="Y59" s="122">
        <v>324.9999999999643</v>
      </c>
      <c r="Z59" s="122">
        <v>200.00000000007739</v>
      </c>
      <c r="AA59" s="122">
        <v>1000.0000000020035</v>
      </c>
      <c r="AB59" s="122">
        <v>1499.9999999989695</v>
      </c>
      <c r="AC59" s="122">
        <v>1000.0000000020035</v>
      </c>
      <c r="AD59" s="122">
        <v>1499.9999999989695</v>
      </c>
      <c r="AE59" s="122">
        <v>3826.9999999995607</v>
      </c>
      <c r="AF59" s="122">
        <v>257.25999999997043</v>
      </c>
      <c r="AG59" s="122">
        <v>9545.9999999988959</v>
      </c>
      <c r="AH59" s="122">
        <v>2265.8411560122827</v>
      </c>
      <c r="AI59" s="122">
        <v>5000.0100000008242</v>
      </c>
      <c r="AJ59" s="122">
        <v>38999.999998983862</v>
      </c>
      <c r="AK59" s="122">
        <v>7970.0000000000064</v>
      </c>
      <c r="AL59" s="122">
        <v>10536.999999998785</v>
      </c>
      <c r="AM59" s="122">
        <v>12099.999999999991</v>
      </c>
      <c r="AN59" s="122">
        <v>2854.9999999996699</v>
      </c>
      <c r="AO59" s="122">
        <v>1191.9999999998633</v>
      </c>
      <c r="AP59" s="122">
        <v>340.98999999997511</v>
      </c>
      <c r="AQ59" s="122">
        <v>1350.0100000000286</v>
      </c>
      <c r="AR59" s="122">
        <v>11547.99999999867</v>
      </c>
      <c r="AS59" s="122">
        <v>31235.302148767347</v>
      </c>
      <c r="AT59" s="122">
        <v>84275.483041783926</v>
      </c>
      <c r="AU59" s="122">
        <v>84536.397849963105</v>
      </c>
      <c r="AV59" s="122">
        <v>92102.927287150858</v>
      </c>
      <c r="AW59" s="122">
        <v>4657.697851232725</v>
      </c>
      <c r="AX59" s="122">
        <v>25133.089482068815</v>
      </c>
      <c r="AY59" s="122">
        <v>1555.9999999998213</v>
      </c>
      <c r="AZ59" s="122">
        <v>419.73999999994942</v>
      </c>
      <c r="BA59" s="122">
        <v>1071.9641035855336</v>
      </c>
      <c r="BB59" s="122">
        <v>1300.0000000005807</v>
      </c>
      <c r="BC59" s="122">
        <v>16199.999998970494</v>
      </c>
      <c r="BD59" s="122">
        <v>587.9999999999327</v>
      </c>
      <c r="BE59" s="122">
        <v>660.946414342553</v>
      </c>
      <c r="BF59" s="122">
        <v>550.00999999974533</v>
      </c>
      <c r="BG59" s="122">
        <v>12296.800000006155</v>
      </c>
    </row>
    <row r="60" spans="1:59" x14ac:dyDescent="0.25">
      <c r="A60" s="1">
        <v>29951.999305555557</v>
      </c>
      <c r="B60" s="3">
        <v>1247.010000000537</v>
      </c>
      <c r="C60" s="3">
        <v>1746.8500000002621</v>
      </c>
      <c r="D60" s="3">
        <v>2261.1200000002882</v>
      </c>
      <c r="E60" s="3">
        <v>5370.3499999989081</v>
      </c>
      <c r="F60" s="3">
        <v>996.68000000011409</v>
      </c>
      <c r="G60" s="3">
        <v>2334.4100000015378</v>
      </c>
      <c r="H60" s="3">
        <v>261.99999999996976</v>
      </c>
      <c r="I60" s="3">
        <v>2499.9900000012822</v>
      </c>
      <c r="J60" s="3">
        <v>2499.9900000012672</v>
      </c>
      <c r="K60" s="3">
        <v>11514.999999998687</v>
      </c>
      <c r="L60" s="3">
        <v>899.99999999999955</v>
      </c>
      <c r="M60" s="3">
        <v>3659.1999999995969</v>
      </c>
      <c r="N60" s="3">
        <v>13916.560000015921</v>
      </c>
      <c r="O60" s="122">
        <v>11987.800000005504</v>
      </c>
      <c r="P60" s="122">
        <v>673.3700000003422</v>
      </c>
      <c r="Q60" s="122">
        <v>14.246999999992273</v>
      </c>
      <c r="R60" s="122">
        <v>2294.4700000004405</v>
      </c>
      <c r="S60" s="122">
        <v>1591.6899999993404</v>
      </c>
      <c r="T60" s="122">
        <v>504.47000000016385</v>
      </c>
      <c r="U60" s="122">
        <v>419.22999999996358</v>
      </c>
      <c r="V60" s="122">
        <v>5739.9700000027269</v>
      </c>
      <c r="W60" s="122">
        <v>899.98999999967975</v>
      </c>
      <c r="X60" s="122">
        <v>849.98999999941839</v>
      </c>
      <c r="Y60" s="122">
        <v>324.9999999999643</v>
      </c>
      <c r="Z60" s="122">
        <v>200.00000000007739</v>
      </c>
      <c r="AA60" s="122">
        <v>1000.0000000020067</v>
      </c>
      <c r="AB60" s="122">
        <v>1499.999999998952</v>
      </c>
      <c r="AC60" s="122">
        <v>1000.0000000020067</v>
      </c>
      <c r="AD60" s="122">
        <v>1499.999999998952</v>
      </c>
      <c r="AE60" s="122">
        <v>3825.9999999995593</v>
      </c>
      <c r="AF60" s="122">
        <v>274.35999999996852</v>
      </c>
      <c r="AG60" s="122">
        <v>9500.999999998905</v>
      </c>
      <c r="AH60" s="122">
        <v>2321.4579377133987</v>
      </c>
      <c r="AI60" s="122">
        <v>5000.0100000008242</v>
      </c>
      <c r="AJ60" s="122">
        <v>38999.999998983854</v>
      </c>
      <c r="AK60" s="122">
        <v>7970.0000000000109</v>
      </c>
      <c r="AL60" s="122">
        <v>10522.99999999879</v>
      </c>
      <c r="AM60" s="122">
        <v>12100.000000000013</v>
      </c>
      <c r="AN60" s="122">
        <v>3184.9999999996312</v>
      </c>
      <c r="AO60" s="122">
        <v>986.99999999988597</v>
      </c>
      <c r="AP60" s="122">
        <v>340.98999999997505</v>
      </c>
      <c r="AQ60" s="122">
        <v>1350.0100000000286</v>
      </c>
      <c r="AR60" s="122">
        <v>12260.999999998588</v>
      </c>
      <c r="AS60" s="122">
        <v>31248.028099180548</v>
      </c>
      <c r="AT60" s="122">
        <v>81213.643674155421</v>
      </c>
      <c r="AU60" s="122">
        <v>81465.07910348718</v>
      </c>
      <c r="AV60" s="122">
        <v>88756.706554107775</v>
      </c>
      <c r="AW60" s="122">
        <v>4644.9719008195216</v>
      </c>
      <c r="AX60" s="122">
        <v>26667.306215136385</v>
      </c>
      <c r="AY60" s="122">
        <v>1608.9999999998145</v>
      </c>
      <c r="AZ60" s="122">
        <v>447.63999999994894</v>
      </c>
      <c r="BA60" s="122">
        <v>1137.4007569719818</v>
      </c>
      <c r="BB60" s="122">
        <v>1300.0000000005809</v>
      </c>
      <c r="BC60" s="122">
        <v>16199.99999897049</v>
      </c>
      <c r="BD60" s="122">
        <v>583.99999999993247</v>
      </c>
      <c r="BE60" s="122">
        <v>701.2930278883656</v>
      </c>
      <c r="BF60" s="122">
        <v>550.00999999974545</v>
      </c>
      <c r="BG60" s="122">
        <v>12296.800000006155</v>
      </c>
    </row>
    <row r="61" spans="1:59" x14ac:dyDescent="0.25">
      <c r="A61" s="1">
        <v>30316.999305555557</v>
      </c>
      <c r="B61" s="3">
        <v>1247.010000000537</v>
      </c>
      <c r="C61" s="3">
        <v>1746.8500000002621</v>
      </c>
      <c r="D61" s="3">
        <v>2261.1200000002882</v>
      </c>
      <c r="E61" s="3">
        <v>5370.3499999989081</v>
      </c>
      <c r="F61" s="3">
        <v>996.68000000011409</v>
      </c>
      <c r="G61" s="3">
        <v>2334.4100000015378</v>
      </c>
      <c r="H61" s="3">
        <v>232.99999999997291</v>
      </c>
      <c r="I61" s="3">
        <v>2499.9900000012822</v>
      </c>
      <c r="J61" s="3">
        <v>2499.9900000012672</v>
      </c>
      <c r="K61" s="3">
        <v>10359.999999998803</v>
      </c>
      <c r="L61" s="3">
        <v>900.00000000000057</v>
      </c>
      <c r="M61" s="3">
        <v>3659.1999999995969</v>
      </c>
      <c r="N61" s="3">
        <v>13916.560000015921</v>
      </c>
      <c r="O61" s="122">
        <v>11987.800000005504</v>
      </c>
      <c r="P61" s="122">
        <v>673.3700000003422</v>
      </c>
      <c r="Q61" s="122">
        <v>0</v>
      </c>
      <c r="R61" s="122">
        <v>2294.4700000004405</v>
      </c>
      <c r="S61" s="122">
        <v>1591.6899999993404</v>
      </c>
      <c r="T61" s="122">
        <v>504.47000000016385</v>
      </c>
      <c r="U61" s="122">
        <v>419.22999999996358</v>
      </c>
      <c r="V61" s="122">
        <v>5739.9700000027269</v>
      </c>
      <c r="W61" s="122">
        <v>899.98999999967975</v>
      </c>
      <c r="X61" s="122">
        <v>849.98999999941839</v>
      </c>
      <c r="Y61" s="122">
        <v>324.9999999999643</v>
      </c>
      <c r="Z61" s="122">
        <v>200.00000000007739</v>
      </c>
      <c r="AA61" s="122">
        <v>1000.0000000020067</v>
      </c>
      <c r="AB61" s="122">
        <v>1499.999999998952</v>
      </c>
      <c r="AC61" s="122">
        <v>1000.0000000020067</v>
      </c>
      <c r="AD61" s="122">
        <v>1499.999999998952</v>
      </c>
      <c r="AE61" s="122">
        <v>3223.9999999996276</v>
      </c>
      <c r="AF61" s="122">
        <v>251.17999999997105</v>
      </c>
      <c r="AG61" s="122">
        <v>8652.9999999990068</v>
      </c>
      <c r="AH61" s="122">
        <v>1993.9999999997701</v>
      </c>
      <c r="AI61" s="122">
        <v>5000.0100000008242</v>
      </c>
      <c r="AJ61" s="122">
        <v>38999.999998983854</v>
      </c>
      <c r="AK61" s="122">
        <v>7969.9999999999991</v>
      </c>
      <c r="AL61" s="122">
        <v>9360.9999999989268</v>
      </c>
      <c r="AM61" s="122">
        <v>12099.999999999991</v>
      </c>
      <c r="AN61" s="122">
        <v>2830.9999999996749</v>
      </c>
      <c r="AO61" s="122">
        <v>902.99999999989575</v>
      </c>
      <c r="AP61" s="122">
        <v>340.98999999997505</v>
      </c>
      <c r="AQ61" s="122">
        <v>1350.0100000000286</v>
      </c>
      <c r="AR61" s="122">
        <v>11313.999999998701</v>
      </c>
      <c r="AS61" s="122">
        <v>31248.028099180548</v>
      </c>
      <c r="AT61" s="122">
        <v>70305.33581543302</v>
      </c>
      <c r="AU61" s="122">
        <v>70522.99939380899</v>
      </c>
      <c r="AV61" s="122">
        <v>76835.243166711647</v>
      </c>
      <c r="AW61" s="122">
        <v>4644.9719008195216</v>
      </c>
      <c r="AX61" s="122">
        <v>24777.600239040974</v>
      </c>
      <c r="AY61" s="122">
        <v>1364.9999999998427</v>
      </c>
      <c r="AZ61" s="122">
        <v>409.81999999995242</v>
      </c>
      <c r="BA61" s="122">
        <v>1056.801952191114</v>
      </c>
      <c r="BB61" s="122">
        <v>1300.0000000005809</v>
      </c>
      <c r="BC61" s="122">
        <v>16199.99999897049</v>
      </c>
      <c r="BD61" s="122">
        <v>524.99999999993918</v>
      </c>
      <c r="BE61" s="122">
        <v>651.59780876486479</v>
      </c>
      <c r="BF61" s="122">
        <v>550.00999999974545</v>
      </c>
      <c r="BG61" s="122">
        <v>12296.800000006155</v>
      </c>
    </row>
    <row r="62" spans="1:59" x14ac:dyDescent="0.25">
      <c r="A62" s="1">
        <v>30681.999305555557</v>
      </c>
      <c r="B62" s="3">
        <v>1247.010000000537</v>
      </c>
      <c r="C62" s="3">
        <v>1746.8500000002621</v>
      </c>
      <c r="D62" s="3">
        <v>2261.1200000002882</v>
      </c>
      <c r="E62" s="3">
        <v>5370.3499999989081</v>
      </c>
      <c r="F62" s="3">
        <v>996.68000000011409</v>
      </c>
      <c r="G62" s="3">
        <v>2334.4100000015378</v>
      </c>
      <c r="H62" s="3">
        <v>243.99999999997189</v>
      </c>
      <c r="I62" s="3">
        <v>2499.9900000012822</v>
      </c>
      <c r="J62" s="3">
        <v>2499.9900000012672</v>
      </c>
      <c r="K62" s="3">
        <v>10710.999999998774</v>
      </c>
      <c r="L62" s="3">
        <v>900.00000000000011</v>
      </c>
      <c r="M62" s="3">
        <v>3659.1999999995969</v>
      </c>
      <c r="N62" s="3">
        <v>13916.560000015921</v>
      </c>
      <c r="O62" s="122">
        <v>11987.800000005504</v>
      </c>
      <c r="P62" s="122">
        <v>673.3700000003422</v>
      </c>
      <c r="Q62" s="122">
        <v>0</v>
      </c>
      <c r="R62" s="122">
        <v>2294.4700000004405</v>
      </c>
      <c r="S62" s="122">
        <v>1591.6899999993404</v>
      </c>
      <c r="T62" s="122">
        <v>504.47000000016385</v>
      </c>
      <c r="U62" s="122">
        <v>419.22999999996358</v>
      </c>
      <c r="V62" s="122">
        <v>5739.9700000027269</v>
      </c>
      <c r="W62" s="122">
        <v>899.98999999967975</v>
      </c>
      <c r="X62" s="122">
        <v>849.98999999941839</v>
      </c>
      <c r="Y62" s="122">
        <v>324.9999999999643</v>
      </c>
      <c r="Z62" s="122">
        <v>200.00000000007739</v>
      </c>
      <c r="AA62" s="122">
        <v>1000.0000000020067</v>
      </c>
      <c r="AB62" s="122">
        <v>1499.999999998952</v>
      </c>
      <c r="AC62" s="122">
        <v>1000.0000000020067</v>
      </c>
      <c r="AD62" s="122">
        <v>1499.999999998952</v>
      </c>
      <c r="AE62" s="122">
        <v>3622.999999999588</v>
      </c>
      <c r="AF62" s="122">
        <v>247.75999999997117</v>
      </c>
      <c r="AG62" s="122">
        <v>8879.9999999989814</v>
      </c>
      <c r="AH62" s="122">
        <v>2189.9999999997485</v>
      </c>
      <c r="AI62" s="122">
        <v>5000.0100000008242</v>
      </c>
      <c r="AJ62" s="122">
        <v>38999.999998983854</v>
      </c>
      <c r="AK62" s="122">
        <v>7969.9999999999927</v>
      </c>
      <c r="AL62" s="122">
        <v>9776.9999999988704</v>
      </c>
      <c r="AM62" s="122">
        <v>12099.999999999989</v>
      </c>
      <c r="AN62" s="122">
        <v>2966.9999999996594</v>
      </c>
      <c r="AO62" s="122">
        <v>875.99999999989916</v>
      </c>
      <c r="AP62" s="122">
        <v>340.98999999997505</v>
      </c>
      <c r="AQ62" s="122">
        <v>1350.0100000000286</v>
      </c>
      <c r="AR62" s="122">
        <v>11118.999999998721</v>
      </c>
      <c r="AS62" s="122">
        <v>31248.028099180548</v>
      </c>
      <c r="AT62" s="122">
        <v>78058.772771759657</v>
      </c>
      <c r="AU62" s="122">
        <v>78300.440798916825</v>
      </c>
      <c r="AV62" s="122">
        <v>85308.813586473829</v>
      </c>
      <c r="AW62" s="122">
        <v>4644.9719008195216</v>
      </c>
      <c r="AX62" s="122">
        <v>24079.718725096849</v>
      </c>
      <c r="AY62" s="122">
        <v>1476.9999999998306</v>
      </c>
      <c r="AZ62" s="122">
        <v>404.2399999999526</v>
      </c>
      <c r="BA62" s="122">
        <v>1027.0362549799609</v>
      </c>
      <c r="BB62" s="122">
        <v>1300.0000000005809</v>
      </c>
      <c r="BC62" s="122">
        <v>16199.99999897049</v>
      </c>
      <c r="BD62" s="122">
        <v>542.99999999993759</v>
      </c>
      <c r="BE62" s="122">
        <v>633.24501992024602</v>
      </c>
      <c r="BF62" s="122">
        <v>550.00999999974545</v>
      </c>
      <c r="BG62" s="122">
        <v>12296.800000006155</v>
      </c>
    </row>
    <row r="63" spans="1:59" x14ac:dyDescent="0.25">
      <c r="A63" s="1">
        <v>31047.999305555557</v>
      </c>
      <c r="B63" s="3">
        <v>1247.010000000537</v>
      </c>
      <c r="C63" s="3">
        <v>1746.8500000002621</v>
      </c>
      <c r="D63" s="3">
        <v>2261.1200000002882</v>
      </c>
      <c r="E63" s="3">
        <v>5370.3499999989081</v>
      </c>
      <c r="F63" s="3">
        <v>996.68000000011409</v>
      </c>
      <c r="G63" s="3">
        <v>2334.4100000015383</v>
      </c>
      <c r="H63" s="3">
        <v>254.99999999997075</v>
      </c>
      <c r="I63" s="3">
        <v>2499.9900000012822</v>
      </c>
      <c r="J63" s="3">
        <v>2499.9900000012672</v>
      </c>
      <c r="K63" s="3">
        <v>11244.999999998701</v>
      </c>
      <c r="L63" s="3">
        <v>900.00000000000011</v>
      </c>
      <c r="M63" s="3">
        <v>3659.1999999995965</v>
      </c>
      <c r="N63" s="3">
        <v>13916.560000015921</v>
      </c>
      <c r="O63" s="122">
        <v>11987.800000005504</v>
      </c>
      <c r="P63" s="122">
        <v>673.3700000003422</v>
      </c>
      <c r="Q63" s="122">
        <v>0</v>
      </c>
      <c r="R63" s="122">
        <v>2294.4700000004405</v>
      </c>
      <c r="S63" s="122">
        <v>1591.6899999993404</v>
      </c>
      <c r="T63" s="122">
        <v>504.47000000016385</v>
      </c>
      <c r="U63" s="122">
        <v>419.22999999996358</v>
      </c>
      <c r="V63" s="122">
        <v>5739.970000002726</v>
      </c>
      <c r="W63" s="122">
        <v>899.98999999967964</v>
      </c>
      <c r="X63" s="122">
        <v>849.98999999941861</v>
      </c>
      <c r="Y63" s="122">
        <v>324.9999999999643</v>
      </c>
      <c r="Z63" s="122">
        <v>200.00000000007739</v>
      </c>
      <c r="AA63" s="122">
        <v>1000.0000000020035</v>
      </c>
      <c r="AB63" s="122">
        <v>1499.9999999989695</v>
      </c>
      <c r="AC63" s="122">
        <v>1000.0000000020035</v>
      </c>
      <c r="AD63" s="122">
        <v>1499.9999999989695</v>
      </c>
      <c r="AE63" s="122">
        <v>3737.9999999995698</v>
      </c>
      <c r="AF63" s="122">
        <v>254.21999999997055</v>
      </c>
      <c r="AG63" s="122">
        <v>9282.9999999989268</v>
      </c>
      <c r="AH63" s="122">
        <v>2245.3183184549566</v>
      </c>
      <c r="AI63" s="122">
        <v>5000.0100000008242</v>
      </c>
      <c r="AJ63" s="122">
        <v>38999.999998983862</v>
      </c>
      <c r="AK63" s="122">
        <v>7969.9999999999945</v>
      </c>
      <c r="AL63" s="122">
        <v>10284.999999998819</v>
      </c>
      <c r="AM63" s="122">
        <v>12099.999999999998</v>
      </c>
      <c r="AN63" s="122">
        <v>3118.9999999996407</v>
      </c>
      <c r="AO63" s="122">
        <v>1102.9999999998734</v>
      </c>
      <c r="AP63" s="122">
        <v>340.98999999997511</v>
      </c>
      <c r="AQ63" s="122">
        <v>1350.0100000000286</v>
      </c>
      <c r="AR63" s="122">
        <v>11364.999999998699</v>
      </c>
      <c r="AS63" s="122">
        <v>31235.302148767347</v>
      </c>
      <c r="AT63" s="122">
        <v>70567.147501909596</v>
      </c>
      <c r="AU63" s="122">
        <v>70785.621642782382</v>
      </c>
      <c r="AV63" s="122">
        <v>77121.371728093567</v>
      </c>
      <c r="AW63" s="122">
        <v>4657.697851232725</v>
      </c>
      <c r="AX63" s="122">
        <v>24640.082031869686</v>
      </c>
      <c r="AY63" s="122">
        <v>1566.9999999998195</v>
      </c>
      <c r="AZ63" s="122">
        <v>414.77999999995279</v>
      </c>
      <c r="BA63" s="122">
        <v>1050.936593625378</v>
      </c>
      <c r="BB63" s="122">
        <v>1300.0000000005807</v>
      </c>
      <c r="BC63" s="122">
        <v>16199.999998970494</v>
      </c>
      <c r="BD63" s="122">
        <v>568.99999999993474</v>
      </c>
      <c r="BE63" s="122">
        <v>647.98137450191734</v>
      </c>
      <c r="BF63" s="122">
        <v>550.00999999974533</v>
      </c>
      <c r="BG63" s="122">
        <v>12296.800000006155</v>
      </c>
    </row>
    <row r="64" spans="1:59" x14ac:dyDescent="0.25">
      <c r="A64" s="1">
        <v>31412.999305555557</v>
      </c>
      <c r="B64" s="3">
        <v>1247.010000000537</v>
      </c>
      <c r="C64" s="3">
        <v>1746.8500000002621</v>
      </c>
      <c r="D64" s="3">
        <v>2261.1200000002882</v>
      </c>
      <c r="E64" s="3">
        <v>5370.3499999989081</v>
      </c>
      <c r="F64" s="3">
        <v>996.68000000011409</v>
      </c>
      <c r="G64" s="3">
        <v>2334.4100000015378</v>
      </c>
      <c r="H64" s="3">
        <v>258.99999999997033</v>
      </c>
      <c r="I64" s="3">
        <v>2499.9900000012822</v>
      </c>
      <c r="J64" s="3">
        <v>2499.9900000012672</v>
      </c>
      <c r="K64" s="3">
        <v>11398.999999998689</v>
      </c>
      <c r="L64" s="3">
        <v>899.99999999999955</v>
      </c>
      <c r="M64" s="3">
        <v>3659.1999999995969</v>
      </c>
      <c r="N64" s="3">
        <v>13916.560000015921</v>
      </c>
      <c r="O64" s="122">
        <v>11987.800000005504</v>
      </c>
      <c r="P64" s="122">
        <v>673.3700000003422</v>
      </c>
      <c r="Q64" s="122">
        <v>0</v>
      </c>
      <c r="R64" s="122">
        <v>2294.4700000004405</v>
      </c>
      <c r="S64" s="122">
        <v>1591.6899999993404</v>
      </c>
      <c r="T64" s="122">
        <v>504.47000000016385</v>
      </c>
      <c r="U64" s="122">
        <v>419.22999999996358</v>
      </c>
      <c r="V64" s="122">
        <v>5739.9700000027269</v>
      </c>
      <c r="W64" s="122">
        <v>899.98999999967975</v>
      </c>
      <c r="X64" s="122">
        <v>849.98999999941839</v>
      </c>
      <c r="Y64" s="122">
        <v>324.9999999999643</v>
      </c>
      <c r="Z64" s="122">
        <v>200.00000000007739</v>
      </c>
      <c r="AA64" s="122">
        <v>1000.0000000020067</v>
      </c>
      <c r="AB64" s="122">
        <v>1499.999999998952</v>
      </c>
      <c r="AC64" s="122">
        <v>1000.0000000020067</v>
      </c>
      <c r="AD64" s="122">
        <v>1499.999999998952</v>
      </c>
      <c r="AE64" s="122">
        <v>3786.9999999995616</v>
      </c>
      <c r="AF64" s="122">
        <v>254.21999999997033</v>
      </c>
      <c r="AG64" s="122">
        <v>9145.9999999989413</v>
      </c>
      <c r="AH64" s="122">
        <v>2286.5533784115296</v>
      </c>
      <c r="AI64" s="122">
        <v>5000.0100000008242</v>
      </c>
      <c r="AJ64" s="122">
        <v>38999.999998983854</v>
      </c>
      <c r="AK64" s="122">
        <v>7969.9999999999991</v>
      </c>
      <c r="AL64" s="122">
        <v>10487.99999999879</v>
      </c>
      <c r="AM64" s="122">
        <v>12099.999999999995</v>
      </c>
      <c r="AN64" s="122">
        <v>2941.9999999996603</v>
      </c>
      <c r="AO64" s="122">
        <v>950.99999999989006</v>
      </c>
      <c r="AP64" s="122">
        <v>340.98999999997505</v>
      </c>
      <c r="AQ64" s="122">
        <v>1350.0100000000286</v>
      </c>
      <c r="AR64" s="122">
        <v>11391.999999998699</v>
      </c>
      <c r="AS64" s="122">
        <v>31248.028099180548</v>
      </c>
      <c r="AT64" s="122">
        <v>80651.578058584448</v>
      </c>
      <c r="AU64" s="122">
        <v>80901.273346691785</v>
      </c>
      <c r="AV64" s="122">
        <v>88142.43670179644</v>
      </c>
      <c r="AW64" s="122">
        <v>4644.9719008195216</v>
      </c>
      <c r="AX64" s="122">
        <v>24883.311513941368</v>
      </c>
      <c r="AY64" s="122">
        <v>1558.9999999998204</v>
      </c>
      <c r="AZ64" s="122">
        <v>414.77999999995149</v>
      </c>
      <c r="BA64" s="122">
        <v>1061.3106972110336</v>
      </c>
      <c r="BB64" s="122">
        <v>1300.0000000005809</v>
      </c>
      <c r="BC64" s="122">
        <v>16199.99999897049</v>
      </c>
      <c r="BD64" s="122">
        <v>577.99999999993383</v>
      </c>
      <c r="BE64" s="122">
        <v>654.37778884454679</v>
      </c>
      <c r="BF64" s="122">
        <v>550.00999999974545</v>
      </c>
      <c r="BG64" s="122">
        <v>12296.800000006155</v>
      </c>
    </row>
    <row r="65" spans="1:59" x14ac:dyDescent="0.25">
      <c r="A65" s="1">
        <v>31777.999305555557</v>
      </c>
      <c r="B65" s="3">
        <v>1247.010000000537</v>
      </c>
      <c r="C65" s="3">
        <v>1746.8500000002621</v>
      </c>
      <c r="D65" s="3">
        <v>2261.1200000002882</v>
      </c>
      <c r="E65" s="3">
        <v>5370.3499999989081</v>
      </c>
      <c r="F65" s="3">
        <v>996.68000000011409</v>
      </c>
      <c r="G65" s="3">
        <v>2334.4100000015378</v>
      </c>
      <c r="H65" s="3">
        <v>223.99999999997419</v>
      </c>
      <c r="I65" s="3">
        <v>2499.9900000012822</v>
      </c>
      <c r="J65" s="3">
        <v>2499.9900000012672</v>
      </c>
      <c r="K65" s="3">
        <v>9848.9999999988577</v>
      </c>
      <c r="L65" s="3">
        <v>899.99999999999841</v>
      </c>
      <c r="M65" s="3">
        <v>3659.1999999995969</v>
      </c>
      <c r="N65" s="3">
        <v>13916.560000015921</v>
      </c>
      <c r="O65" s="122">
        <v>11987.800000005504</v>
      </c>
      <c r="P65" s="122">
        <v>673.3700000003422</v>
      </c>
      <c r="Q65" s="122">
        <v>0</v>
      </c>
      <c r="R65" s="122">
        <v>2294.4700000004405</v>
      </c>
      <c r="S65" s="122">
        <v>1591.6899999993404</v>
      </c>
      <c r="T65" s="122">
        <v>504.47000000016385</v>
      </c>
      <c r="U65" s="122">
        <v>419.22999999996358</v>
      </c>
      <c r="V65" s="122">
        <v>5739.9700000027269</v>
      </c>
      <c r="W65" s="122">
        <v>899.98999999967975</v>
      </c>
      <c r="X65" s="122">
        <v>849.98999999941839</v>
      </c>
      <c r="Y65" s="122">
        <v>324.9999999999643</v>
      </c>
      <c r="Z65" s="122">
        <v>200.00000000007739</v>
      </c>
      <c r="AA65" s="122">
        <v>1000.0000000020067</v>
      </c>
      <c r="AB65" s="122">
        <v>1499.999999998952</v>
      </c>
      <c r="AC65" s="122">
        <v>1000.0000000020067</v>
      </c>
      <c r="AD65" s="122">
        <v>1499.999999998952</v>
      </c>
      <c r="AE65" s="122">
        <v>3245.9999999996262</v>
      </c>
      <c r="AF65" s="122">
        <v>204.43999999997675</v>
      </c>
      <c r="AG65" s="122">
        <v>7793.9999999991051</v>
      </c>
      <c r="AH65" s="122">
        <v>2002.9999999997697</v>
      </c>
      <c r="AI65" s="122">
        <v>5000.0100000008242</v>
      </c>
      <c r="AJ65" s="122">
        <v>38999.999998983854</v>
      </c>
      <c r="AK65" s="122">
        <v>7820.0034710919263</v>
      </c>
      <c r="AL65" s="122">
        <v>9007.9999999989632</v>
      </c>
      <c r="AM65" s="122">
        <v>12099.999999999996</v>
      </c>
      <c r="AN65" s="122">
        <v>2645.9999999996958</v>
      </c>
      <c r="AO65" s="122">
        <v>1112.999999999872</v>
      </c>
      <c r="AP65" s="122">
        <v>340.98999999997505</v>
      </c>
      <c r="AQ65" s="122">
        <v>1350.0100000000286</v>
      </c>
      <c r="AR65" s="122">
        <v>9079.9999999989504</v>
      </c>
      <c r="AS65" s="122">
        <v>31248.028099180548</v>
      </c>
      <c r="AT65" s="122">
        <v>67118.440717654608</v>
      </c>
      <c r="AU65" s="122">
        <v>67326.237747740175</v>
      </c>
      <c r="AV65" s="122">
        <v>73352.351620223024</v>
      </c>
      <c r="AW65" s="122">
        <v>4644.9719008195216</v>
      </c>
      <c r="AX65" s="122">
        <v>19750.233944220814</v>
      </c>
      <c r="AY65" s="122">
        <v>1353.9999999998431</v>
      </c>
      <c r="AZ65" s="122">
        <v>333.55999999996095</v>
      </c>
      <c r="BA65" s="122">
        <v>842.3772111552812</v>
      </c>
      <c r="BB65" s="122">
        <v>1300.0000000005809</v>
      </c>
      <c r="BC65" s="122">
        <v>16199.99999897049</v>
      </c>
      <c r="BD65" s="122">
        <v>497.99999999994293</v>
      </c>
      <c r="BE65" s="122">
        <v>519.38884462145393</v>
      </c>
      <c r="BF65" s="122">
        <v>550.00999999974545</v>
      </c>
      <c r="BG65" s="122">
        <v>12296.800000006155</v>
      </c>
    </row>
    <row r="66" spans="1:59" x14ac:dyDescent="0.25">
      <c r="A66" s="1">
        <v>32142.999305555557</v>
      </c>
      <c r="B66" s="3">
        <v>1247.010000000537</v>
      </c>
      <c r="C66" s="3">
        <v>1746.8500000002621</v>
      </c>
      <c r="D66" s="3">
        <v>2261.1200000002882</v>
      </c>
      <c r="E66" s="3">
        <v>5370.3499999989081</v>
      </c>
      <c r="F66" s="3">
        <v>996.68000000011409</v>
      </c>
      <c r="G66" s="3">
        <v>2334.4100000015378</v>
      </c>
      <c r="H66" s="3">
        <v>258.99999999997038</v>
      </c>
      <c r="I66" s="3">
        <v>2499.9900000012822</v>
      </c>
      <c r="J66" s="3">
        <v>2499.9900000012672</v>
      </c>
      <c r="K66" s="3">
        <v>11415.999999998683</v>
      </c>
      <c r="L66" s="3">
        <v>899.99999999999898</v>
      </c>
      <c r="M66" s="3">
        <v>3659.1999999995969</v>
      </c>
      <c r="N66" s="3">
        <v>13916.560000015921</v>
      </c>
      <c r="O66" s="122">
        <v>11987.800000005504</v>
      </c>
      <c r="P66" s="122">
        <v>673.3700000003422</v>
      </c>
      <c r="Q66" s="122">
        <v>0</v>
      </c>
      <c r="R66" s="122">
        <v>2294.4700000004405</v>
      </c>
      <c r="S66" s="122">
        <v>1591.6899999993404</v>
      </c>
      <c r="T66" s="122">
        <v>504.47000000016385</v>
      </c>
      <c r="U66" s="122">
        <v>419.22999999996358</v>
      </c>
      <c r="V66" s="122">
        <v>5739.9700000027269</v>
      </c>
      <c r="W66" s="122">
        <v>899.98999999967975</v>
      </c>
      <c r="X66" s="122">
        <v>849.98999999941839</v>
      </c>
      <c r="Y66" s="122">
        <v>324.9999999999643</v>
      </c>
      <c r="Z66" s="122">
        <v>200.00000000007739</v>
      </c>
      <c r="AA66" s="122">
        <v>1000.0000000020067</v>
      </c>
      <c r="AB66" s="122">
        <v>1499.999999998952</v>
      </c>
      <c r="AC66" s="122">
        <v>1000.0000000020067</v>
      </c>
      <c r="AD66" s="122">
        <v>1499.999999998952</v>
      </c>
      <c r="AE66" s="122">
        <v>3937.9999999995503</v>
      </c>
      <c r="AF66" s="122">
        <v>253.07999999997153</v>
      </c>
      <c r="AG66" s="122">
        <v>8978.9999999989741</v>
      </c>
      <c r="AH66" s="122">
        <v>2359.0157835585696</v>
      </c>
      <c r="AI66" s="122">
        <v>5000.0100000008242</v>
      </c>
      <c r="AJ66" s="122">
        <v>38999.999998983854</v>
      </c>
      <c r="AK66" s="122">
        <v>7970.0000000000045</v>
      </c>
      <c r="AL66" s="122">
        <v>10445.999999998801</v>
      </c>
      <c r="AM66" s="122">
        <v>12099.999999999993</v>
      </c>
      <c r="AN66" s="122">
        <v>2935.999999999663</v>
      </c>
      <c r="AO66" s="122">
        <v>1262.9999999998547</v>
      </c>
      <c r="AP66" s="122">
        <v>340.98999999997505</v>
      </c>
      <c r="AQ66" s="122">
        <v>1350.0100000000286</v>
      </c>
      <c r="AR66" s="122">
        <v>11326.999999998699</v>
      </c>
      <c r="AS66" s="122">
        <v>31248.028099180548</v>
      </c>
      <c r="AT66" s="122">
        <v>82168.223915073933</v>
      </c>
      <c r="AU66" s="122">
        <v>82422.614701188548</v>
      </c>
      <c r="AV66" s="122">
        <v>89799.947498517213</v>
      </c>
      <c r="AW66" s="122">
        <v>4644.9719008195216</v>
      </c>
      <c r="AX66" s="122">
        <v>24686.856932268085</v>
      </c>
      <c r="AY66" s="122">
        <v>1773.9999999997951</v>
      </c>
      <c r="AZ66" s="122">
        <v>412.91999999994943</v>
      </c>
      <c r="BA66" s="122">
        <v>1052.9316135456945</v>
      </c>
      <c r="BB66" s="122">
        <v>1300.0000000005809</v>
      </c>
      <c r="BC66" s="122">
        <v>16199.99999897049</v>
      </c>
      <c r="BD66" s="122">
        <v>576.99999999993383</v>
      </c>
      <c r="BE66" s="122">
        <v>649.21145418319213</v>
      </c>
      <c r="BF66" s="122">
        <v>550.00999999974545</v>
      </c>
      <c r="BG66" s="122">
        <v>12296.800000006155</v>
      </c>
    </row>
    <row r="67" spans="1:59" x14ac:dyDescent="0.25">
      <c r="A67" s="1">
        <v>32508.999305555557</v>
      </c>
      <c r="B67" s="3">
        <v>1247.010000000537</v>
      </c>
      <c r="C67" s="3">
        <v>1746.8500000002621</v>
      </c>
      <c r="D67" s="3">
        <v>2261.1200000002882</v>
      </c>
      <c r="E67" s="3">
        <v>5370.3499999989081</v>
      </c>
      <c r="F67" s="3">
        <v>996.68000000011409</v>
      </c>
      <c r="G67" s="3">
        <v>2334.4100000015383</v>
      </c>
      <c r="H67" s="3">
        <v>263.99999999996953</v>
      </c>
      <c r="I67" s="3">
        <v>2499.9900000012822</v>
      </c>
      <c r="J67" s="3">
        <v>2499.9900000012672</v>
      </c>
      <c r="K67" s="3">
        <v>11656.999999998659</v>
      </c>
      <c r="L67" s="3">
        <v>900.00000000000011</v>
      </c>
      <c r="M67" s="3">
        <v>3659.1999999995965</v>
      </c>
      <c r="N67" s="3">
        <v>13916.560000015921</v>
      </c>
      <c r="O67" s="122">
        <v>11987.800000005504</v>
      </c>
      <c r="P67" s="122">
        <v>673.3700000003422</v>
      </c>
      <c r="Q67" s="122">
        <v>0</v>
      </c>
      <c r="R67" s="122">
        <v>2294.4700000004405</v>
      </c>
      <c r="S67" s="122">
        <v>1591.6899999993404</v>
      </c>
      <c r="T67" s="122">
        <v>504.47000000016385</v>
      </c>
      <c r="U67" s="122">
        <v>419.22999999996358</v>
      </c>
      <c r="V67" s="122">
        <v>5739.970000002726</v>
      </c>
      <c r="W67" s="122">
        <v>899.98999999967964</v>
      </c>
      <c r="X67" s="122">
        <v>849.98999999941861</v>
      </c>
      <c r="Y67" s="122">
        <v>324.9999999999643</v>
      </c>
      <c r="Z67" s="122">
        <v>200.00000000007739</v>
      </c>
      <c r="AA67" s="122">
        <v>1000.0000000020035</v>
      </c>
      <c r="AB67" s="122">
        <v>1499.9999999989695</v>
      </c>
      <c r="AC67" s="122">
        <v>1000.0000000020035</v>
      </c>
      <c r="AD67" s="122">
        <v>1499.9999999989695</v>
      </c>
      <c r="AE67" s="122">
        <v>3898.9999999995521</v>
      </c>
      <c r="AF67" s="122">
        <v>248.89999999997073</v>
      </c>
      <c r="AG67" s="122">
        <v>9820.999999998874</v>
      </c>
      <c r="AH67" s="122">
        <v>2300.6345140943977</v>
      </c>
      <c r="AI67" s="122">
        <v>5000.0100000008242</v>
      </c>
      <c r="AJ67" s="122">
        <v>38999.999998983862</v>
      </c>
      <c r="AK67" s="122">
        <v>7969.9999999999882</v>
      </c>
      <c r="AL67" s="122">
        <v>10629.999999998783</v>
      </c>
      <c r="AM67" s="122">
        <v>12099.999999999995</v>
      </c>
      <c r="AN67" s="122">
        <v>3358.9999999996144</v>
      </c>
      <c r="AO67" s="122">
        <v>1133.9999999998697</v>
      </c>
      <c r="AP67" s="122">
        <v>340.98999999997511</v>
      </c>
      <c r="AQ67" s="122">
        <v>1350.0100000000286</v>
      </c>
      <c r="AR67" s="122">
        <v>11100.999999998729</v>
      </c>
      <c r="AS67" s="122">
        <v>31235.302148767347</v>
      </c>
      <c r="AT67" s="122">
        <v>79753.969220310435</v>
      </c>
      <c r="AU67" s="122">
        <v>80000.88553368632</v>
      </c>
      <c r="AV67" s="122">
        <v>87161.458621577709</v>
      </c>
      <c r="AW67" s="122">
        <v>4657.697851232725</v>
      </c>
      <c r="AX67" s="122">
        <v>24123.687131471324</v>
      </c>
      <c r="AY67" s="122">
        <v>1646.9999999998106</v>
      </c>
      <c r="AZ67" s="122">
        <v>406.09999999995199</v>
      </c>
      <c r="BA67" s="122">
        <v>1028.9115737050604</v>
      </c>
      <c r="BB67" s="122">
        <v>1300.0000000005807</v>
      </c>
      <c r="BC67" s="122">
        <v>16199.999998970494</v>
      </c>
      <c r="BD67" s="122">
        <v>589.99999999993179</v>
      </c>
      <c r="BE67" s="122">
        <v>634.40129482064447</v>
      </c>
      <c r="BF67" s="122">
        <v>550.00999999974533</v>
      </c>
      <c r="BG67" s="122">
        <v>12296.800000006155</v>
      </c>
    </row>
    <row r="68" spans="1:59" x14ac:dyDescent="0.25">
      <c r="A68" s="1">
        <v>32873.999305555553</v>
      </c>
      <c r="B68" s="3">
        <v>1247.010000000537</v>
      </c>
      <c r="C68" s="3">
        <v>1746.8500000002621</v>
      </c>
      <c r="D68" s="3">
        <v>2261.1200000002882</v>
      </c>
      <c r="E68" s="3">
        <v>5370.3499999989081</v>
      </c>
      <c r="F68" s="3">
        <v>996.68000000011409</v>
      </c>
      <c r="G68" s="3">
        <v>2334.4100000015378</v>
      </c>
      <c r="H68" s="3">
        <v>304.99999999996493</v>
      </c>
      <c r="I68" s="3">
        <v>2499.9900000012822</v>
      </c>
      <c r="J68" s="3">
        <v>2499.9900000012672</v>
      </c>
      <c r="K68" s="3">
        <v>13489.999999998443</v>
      </c>
      <c r="L68" s="3">
        <v>899.99999999999898</v>
      </c>
      <c r="M68" s="3">
        <v>3659.1999999995969</v>
      </c>
      <c r="N68" s="3">
        <v>13916.560000015921</v>
      </c>
      <c r="O68" s="122">
        <v>11987.800000005504</v>
      </c>
      <c r="P68" s="122">
        <v>673.3700000003422</v>
      </c>
      <c r="Q68" s="122">
        <v>85.71901710098355</v>
      </c>
      <c r="R68" s="122">
        <v>2294.4700000004405</v>
      </c>
      <c r="S68" s="122">
        <v>1591.6899999993404</v>
      </c>
      <c r="T68" s="122">
        <v>504.47000000016385</v>
      </c>
      <c r="U68" s="122">
        <v>419.22999999996358</v>
      </c>
      <c r="V68" s="122">
        <v>5739.9700000027269</v>
      </c>
      <c r="W68" s="122">
        <v>899.98999999967975</v>
      </c>
      <c r="X68" s="122">
        <v>849.98999999941839</v>
      </c>
      <c r="Y68" s="122">
        <v>324.9999999999643</v>
      </c>
      <c r="Z68" s="122">
        <v>200.00000000007739</v>
      </c>
      <c r="AA68" s="122">
        <v>1000.0000000020067</v>
      </c>
      <c r="AB68" s="122">
        <v>1499.999999998952</v>
      </c>
      <c r="AC68" s="122">
        <v>1000.0000000020067</v>
      </c>
      <c r="AD68" s="122">
        <v>1499.999999998952</v>
      </c>
      <c r="AE68" s="122">
        <v>4406.9999999994916</v>
      </c>
      <c r="AF68" s="122">
        <v>277.39999999996752</v>
      </c>
      <c r="AG68" s="122">
        <v>10253.999999998827</v>
      </c>
      <c r="AH68" s="122">
        <v>2655.2379547515443</v>
      </c>
      <c r="AI68" s="122">
        <v>5000.0100000008242</v>
      </c>
      <c r="AJ68" s="122">
        <v>38999.999998983854</v>
      </c>
      <c r="AK68" s="122">
        <v>7970</v>
      </c>
      <c r="AL68" s="122">
        <v>12249.999999998585</v>
      </c>
      <c r="AM68" s="122">
        <v>12100.000000000005</v>
      </c>
      <c r="AN68" s="122">
        <v>3445.9999999996007</v>
      </c>
      <c r="AO68" s="122">
        <v>1245.9999999998579</v>
      </c>
      <c r="AP68" s="122">
        <v>340.98999999997505</v>
      </c>
      <c r="AQ68" s="122">
        <v>1350.0100000000286</v>
      </c>
      <c r="AR68" s="122">
        <v>12401.999999998574</v>
      </c>
      <c r="AS68" s="122">
        <v>31248.028099180548</v>
      </c>
      <c r="AT68" s="122">
        <v>90291.844226972724</v>
      </c>
      <c r="AU68" s="122">
        <v>90571.385540369432</v>
      </c>
      <c r="AV68" s="122">
        <v>98678.083628858862</v>
      </c>
      <c r="AW68" s="122">
        <v>4644.9719008195216</v>
      </c>
      <c r="AX68" s="122">
        <v>27034.021434259837</v>
      </c>
      <c r="AY68" s="122">
        <v>1989.9999999997706</v>
      </c>
      <c r="AZ68" s="122">
        <v>452.59999999994727</v>
      </c>
      <c r="BA68" s="122">
        <v>1153.0417131472771</v>
      </c>
      <c r="BB68" s="122">
        <v>1300.0000000005809</v>
      </c>
      <c r="BC68" s="122">
        <v>16199.99999897049</v>
      </c>
      <c r="BD68" s="122">
        <v>682.9999999999211</v>
      </c>
      <c r="BE68" s="122">
        <v>710.93685258955986</v>
      </c>
      <c r="BF68" s="122">
        <v>550.00999999974545</v>
      </c>
      <c r="BG68" s="122">
        <v>12296.800000006155</v>
      </c>
    </row>
    <row r="69" spans="1:59" x14ac:dyDescent="0.25">
      <c r="A69" s="1">
        <v>33238.999305555553</v>
      </c>
      <c r="B69" s="3">
        <v>1247.010000000537</v>
      </c>
      <c r="C69" s="3">
        <v>1746.8500000002621</v>
      </c>
      <c r="D69" s="3">
        <v>2261.1200000002882</v>
      </c>
      <c r="E69" s="3">
        <v>5370.3499999989081</v>
      </c>
      <c r="F69" s="3">
        <v>996.68000000011409</v>
      </c>
      <c r="G69" s="3">
        <v>2334.4100000015378</v>
      </c>
      <c r="H69" s="3">
        <v>270.99999999996879</v>
      </c>
      <c r="I69" s="3">
        <v>2499.9900000012822</v>
      </c>
      <c r="J69" s="3">
        <v>2499.9900000012672</v>
      </c>
      <c r="K69" s="3">
        <v>11935.999999998632</v>
      </c>
      <c r="L69" s="3">
        <v>900.00000000000125</v>
      </c>
      <c r="M69" s="3">
        <v>3659.1999999995969</v>
      </c>
      <c r="N69" s="3">
        <v>13916.560000015921</v>
      </c>
      <c r="O69" s="122">
        <v>11987.800000005504</v>
      </c>
      <c r="P69" s="122">
        <v>673.3700000003422</v>
      </c>
      <c r="Q69" s="122">
        <v>14.246999999992273</v>
      </c>
      <c r="R69" s="122">
        <v>2294.4700000004405</v>
      </c>
      <c r="S69" s="122">
        <v>1591.6899999993404</v>
      </c>
      <c r="T69" s="122">
        <v>504.47000000016385</v>
      </c>
      <c r="U69" s="122">
        <v>419.22999999996358</v>
      </c>
      <c r="V69" s="122">
        <v>5739.9700000027269</v>
      </c>
      <c r="W69" s="122">
        <v>899.98999999967975</v>
      </c>
      <c r="X69" s="122">
        <v>849.98999999941839</v>
      </c>
      <c r="Y69" s="122">
        <v>324.9999999999643</v>
      </c>
      <c r="Z69" s="122">
        <v>200.00000000007739</v>
      </c>
      <c r="AA69" s="122">
        <v>1000.0000000020067</v>
      </c>
      <c r="AB69" s="122">
        <v>1499.999999998952</v>
      </c>
      <c r="AC69" s="122">
        <v>1000.0000000020067</v>
      </c>
      <c r="AD69" s="122">
        <v>1499.999999998952</v>
      </c>
      <c r="AE69" s="122">
        <v>4001.9999999995371</v>
      </c>
      <c r="AF69" s="122">
        <v>248.89999999997269</v>
      </c>
      <c r="AG69" s="122">
        <v>9055.9999999989632</v>
      </c>
      <c r="AH69" s="122">
        <v>2308.1433283236752</v>
      </c>
      <c r="AI69" s="122">
        <v>5000.0100000008242</v>
      </c>
      <c r="AJ69" s="122">
        <v>38999.999998983854</v>
      </c>
      <c r="AK69" s="122">
        <v>7969.9999999999909</v>
      </c>
      <c r="AL69" s="122">
        <v>10871.999999998738</v>
      </c>
      <c r="AM69" s="122">
        <v>12100.000000000002</v>
      </c>
      <c r="AN69" s="122">
        <v>3114.9999999996426</v>
      </c>
      <c r="AO69" s="122">
        <v>990.9999999998862</v>
      </c>
      <c r="AP69" s="122">
        <v>340.98999999997505</v>
      </c>
      <c r="AQ69" s="122">
        <v>1350.0100000000286</v>
      </c>
      <c r="AR69" s="122">
        <v>11114.99999999873</v>
      </c>
      <c r="AS69" s="122">
        <v>31248.028099180548</v>
      </c>
      <c r="AT69" s="122">
        <v>84105.588350296355</v>
      </c>
      <c r="AU69" s="122">
        <v>84365.977168718397</v>
      </c>
      <c r="AV69" s="122">
        <v>91917.252902955341</v>
      </c>
      <c r="AW69" s="122">
        <v>4644.9719008195216</v>
      </c>
      <c r="AX69" s="122">
        <v>24291.141274897585</v>
      </c>
      <c r="AY69" s="122">
        <v>1490.9999999998283</v>
      </c>
      <c r="AZ69" s="122">
        <v>406.09999999995273</v>
      </c>
      <c r="BA69" s="122">
        <v>1036.0537450197999</v>
      </c>
      <c r="BB69" s="122">
        <v>1300.0000000005809</v>
      </c>
      <c r="BC69" s="122">
        <v>16199.99999897049</v>
      </c>
      <c r="BD69" s="122">
        <v>604.99999999993088</v>
      </c>
      <c r="BE69" s="122">
        <v>638.80498007960773</v>
      </c>
      <c r="BF69" s="122">
        <v>550.00999999974545</v>
      </c>
      <c r="BG69" s="122">
        <v>12296.800000006155</v>
      </c>
    </row>
    <row r="70" spans="1:59" x14ac:dyDescent="0.25">
      <c r="A70" s="1">
        <v>33603.999305555553</v>
      </c>
      <c r="B70" s="3">
        <v>1247.010000000537</v>
      </c>
      <c r="C70" s="3">
        <v>1746.8500000002621</v>
      </c>
      <c r="D70" s="3">
        <v>2261.1200000002882</v>
      </c>
      <c r="E70" s="3">
        <v>5370.3499999989081</v>
      </c>
      <c r="F70" s="3">
        <v>996.68000000011409</v>
      </c>
      <c r="G70" s="3">
        <v>2334.4100000015378</v>
      </c>
      <c r="H70" s="3">
        <v>271.99999999996885</v>
      </c>
      <c r="I70" s="3">
        <v>2499.9900000012822</v>
      </c>
      <c r="J70" s="3">
        <v>2499.9900000012672</v>
      </c>
      <c r="K70" s="3">
        <v>12065.99999999861</v>
      </c>
      <c r="L70" s="3">
        <v>900.00000000000034</v>
      </c>
      <c r="M70" s="3">
        <v>3659.1999999995969</v>
      </c>
      <c r="N70" s="3">
        <v>13916.560000015921</v>
      </c>
      <c r="O70" s="122">
        <v>11987.800000005504</v>
      </c>
      <c r="P70" s="122">
        <v>673.3700000003422</v>
      </c>
      <c r="Q70" s="122">
        <v>0</v>
      </c>
      <c r="R70" s="122">
        <v>2294.4700000004405</v>
      </c>
      <c r="S70" s="122">
        <v>1591.6899999993404</v>
      </c>
      <c r="T70" s="122">
        <v>504.47000000016385</v>
      </c>
      <c r="U70" s="122">
        <v>419.22999999996358</v>
      </c>
      <c r="V70" s="122">
        <v>5739.9700000027269</v>
      </c>
      <c r="W70" s="122">
        <v>899.98999999967975</v>
      </c>
      <c r="X70" s="122">
        <v>849.98999999941839</v>
      </c>
      <c r="Y70" s="122">
        <v>324.9999999999643</v>
      </c>
      <c r="Z70" s="122">
        <v>200.00000000007739</v>
      </c>
      <c r="AA70" s="122">
        <v>1000.0000000020067</v>
      </c>
      <c r="AB70" s="122">
        <v>1499.999999998952</v>
      </c>
      <c r="AC70" s="122">
        <v>1000.0000000020067</v>
      </c>
      <c r="AD70" s="122">
        <v>1499.999999998952</v>
      </c>
      <c r="AE70" s="122">
        <v>3858.9999999995566</v>
      </c>
      <c r="AF70" s="122">
        <v>254.21999999997075</v>
      </c>
      <c r="AG70" s="122">
        <v>8943.9999999989741</v>
      </c>
      <c r="AH70" s="122">
        <v>2331.2879849085175</v>
      </c>
      <c r="AI70" s="122">
        <v>5000.0100000008242</v>
      </c>
      <c r="AJ70" s="122">
        <v>38999.999998983854</v>
      </c>
      <c r="AK70" s="122">
        <v>7969.9999999999973</v>
      </c>
      <c r="AL70" s="122">
        <v>10960.999999998752</v>
      </c>
      <c r="AM70" s="122">
        <v>12100.000000000009</v>
      </c>
      <c r="AN70" s="122">
        <v>3199.999999999633</v>
      </c>
      <c r="AO70" s="122">
        <v>1010.9999999998829</v>
      </c>
      <c r="AP70" s="122">
        <v>340.98999999997505</v>
      </c>
      <c r="AQ70" s="122">
        <v>1350.0100000000286</v>
      </c>
      <c r="AR70" s="122">
        <v>11407.999999998683</v>
      </c>
      <c r="AS70" s="122">
        <v>31248.028099180548</v>
      </c>
      <c r="AT70" s="122">
        <v>82882.883902025147</v>
      </c>
      <c r="AU70" s="122">
        <v>83139.487257759203</v>
      </c>
      <c r="AV70" s="122">
        <v>90580.98457403986</v>
      </c>
      <c r="AW70" s="122">
        <v>4644.9719008195216</v>
      </c>
      <c r="AX70" s="122">
        <v>24844.020597606694</v>
      </c>
      <c r="AY70" s="122">
        <v>1564.9999999998206</v>
      </c>
      <c r="AZ70" s="122">
        <v>414.77999999995188</v>
      </c>
      <c r="BA70" s="122">
        <v>1059.6348804779655</v>
      </c>
      <c r="BB70" s="122">
        <v>1300.0000000005809</v>
      </c>
      <c r="BC70" s="122">
        <v>16199.99999897049</v>
      </c>
      <c r="BD70" s="122">
        <v>610.99999999992951</v>
      </c>
      <c r="BE70" s="122">
        <v>653.3445219122757</v>
      </c>
      <c r="BF70" s="122">
        <v>550.00999999974545</v>
      </c>
      <c r="BG70" s="122">
        <v>12296.800000006155</v>
      </c>
    </row>
    <row r="71" spans="1:59" x14ac:dyDescent="0.25">
      <c r="A71" s="1">
        <v>33969.999305555553</v>
      </c>
      <c r="B71" s="3">
        <v>1247.010000000537</v>
      </c>
      <c r="C71" s="3">
        <v>1746.8500000002621</v>
      </c>
      <c r="D71" s="3">
        <v>2261.1200000002882</v>
      </c>
      <c r="E71" s="3">
        <v>5370.3499999989081</v>
      </c>
      <c r="F71" s="3">
        <v>996.68000000011409</v>
      </c>
      <c r="G71" s="3">
        <v>2334.4100000015383</v>
      </c>
      <c r="H71" s="3">
        <v>267.99999999996891</v>
      </c>
      <c r="I71" s="3">
        <v>2499.9900000012822</v>
      </c>
      <c r="J71" s="3">
        <v>2499.9900000012672</v>
      </c>
      <c r="K71" s="3">
        <v>11811.999999998648</v>
      </c>
      <c r="L71" s="3">
        <v>900</v>
      </c>
      <c r="M71" s="3">
        <v>3659.1999999995965</v>
      </c>
      <c r="N71" s="3">
        <v>13916.560000015921</v>
      </c>
      <c r="O71" s="122">
        <v>11987.800000005504</v>
      </c>
      <c r="P71" s="122">
        <v>673.3700000003422</v>
      </c>
      <c r="Q71" s="122">
        <v>0</v>
      </c>
      <c r="R71" s="122">
        <v>2294.4700000004405</v>
      </c>
      <c r="S71" s="122">
        <v>1591.6899999993404</v>
      </c>
      <c r="T71" s="122">
        <v>504.47000000016385</v>
      </c>
      <c r="U71" s="122">
        <v>419.22999999996358</v>
      </c>
      <c r="V71" s="122">
        <v>5739.970000002726</v>
      </c>
      <c r="W71" s="122">
        <v>899.98999999967964</v>
      </c>
      <c r="X71" s="122">
        <v>849.98999999941861</v>
      </c>
      <c r="Y71" s="122">
        <v>324.9999999999643</v>
      </c>
      <c r="Z71" s="122">
        <v>200.00000000007739</v>
      </c>
      <c r="AA71" s="122">
        <v>1000.0000000020035</v>
      </c>
      <c r="AB71" s="122">
        <v>1499.9999999989695</v>
      </c>
      <c r="AC71" s="122">
        <v>1000.0000000020035</v>
      </c>
      <c r="AD71" s="122">
        <v>1499.9999999989695</v>
      </c>
      <c r="AE71" s="122">
        <v>3749.9999999995666</v>
      </c>
      <c r="AF71" s="122">
        <v>245.09999999997262</v>
      </c>
      <c r="AG71" s="122">
        <v>8438.9999999990341</v>
      </c>
      <c r="AH71" s="122">
        <v>2319.9999999997326</v>
      </c>
      <c r="AI71" s="122">
        <v>5000.0100000008242</v>
      </c>
      <c r="AJ71" s="122">
        <v>38999.999998983862</v>
      </c>
      <c r="AK71" s="122">
        <v>7969.9999999999955</v>
      </c>
      <c r="AL71" s="122">
        <v>10805.99999999875</v>
      </c>
      <c r="AM71" s="122">
        <v>12100.000000000011</v>
      </c>
      <c r="AN71" s="122">
        <v>2811.9999999996744</v>
      </c>
      <c r="AO71" s="122">
        <v>961.99999999988893</v>
      </c>
      <c r="AP71" s="122">
        <v>340.98999999997511</v>
      </c>
      <c r="AQ71" s="122">
        <v>1350.0100000000286</v>
      </c>
      <c r="AR71" s="122">
        <v>10971.999999998739</v>
      </c>
      <c r="AS71" s="122">
        <v>31235.302148767347</v>
      </c>
      <c r="AT71" s="122">
        <v>77987.071565512248</v>
      </c>
      <c r="AU71" s="122">
        <v>78228.517607510963</v>
      </c>
      <c r="AV71" s="122">
        <v>85230.452825466578</v>
      </c>
      <c r="AW71" s="122">
        <v>4657.697851232725</v>
      </c>
      <c r="AX71" s="122">
        <v>24023.588844618767</v>
      </c>
      <c r="AY71" s="122">
        <v>1636.9999999998129</v>
      </c>
      <c r="AZ71" s="122">
        <v>399.89999999995325</v>
      </c>
      <c r="BA71" s="122">
        <v>1024.6422310755788</v>
      </c>
      <c r="BB71" s="122">
        <v>1300.0000000005807</v>
      </c>
      <c r="BC71" s="122">
        <v>16199.999998970494</v>
      </c>
      <c r="BD71" s="122">
        <v>600.99999999993111</v>
      </c>
      <c r="BE71" s="122">
        <v>631.76892430271619</v>
      </c>
      <c r="BF71" s="122">
        <v>550.00999999974533</v>
      </c>
      <c r="BG71" s="122">
        <v>12296.800000006155</v>
      </c>
    </row>
    <row r="72" spans="1:59" x14ac:dyDescent="0.25">
      <c r="A72" s="1">
        <v>34334.999305555553</v>
      </c>
      <c r="B72" s="3">
        <v>1247.010000000537</v>
      </c>
      <c r="C72" s="3">
        <v>1746.8500000002621</v>
      </c>
      <c r="D72" s="3">
        <v>2261.1200000002882</v>
      </c>
      <c r="E72" s="3">
        <v>5370.3499999989081</v>
      </c>
      <c r="F72" s="3">
        <v>996.68000000011409</v>
      </c>
      <c r="G72" s="3">
        <v>2334.4100000015378</v>
      </c>
      <c r="H72" s="3">
        <v>272.99999999996845</v>
      </c>
      <c r="I72" s="3">
        <v>2499.9900000012822</v>
      </c>
      <c r="J72" s="3">
        <v>2499.9900000012672</v>
      </c>
      <c r="K72" s="3">
        <v>12057.999999998612</v>
      </c>
      <c r="L72" s="3">
        <v>900.00000000000011</v>
      </c>
      <c r="M72" s="3">
        <v>3659.1999999995969</v>
      </c>
      <c r="N72" s="3">
        <v>13916.560000015921</v>
      </c>
      <c r="O72" s="122">
        <v>11987.800000005504</v>
      </c>
      <c r="P72" s="122">
        <v>673.3700000003422</v>
      </c>
      <c r="Q72" s="122">
        <v>0</v>
      </c>
      <c r="R72" s="122">
        <v>2294.4700000004405</v>
      </c>
      <c r="S72" s="122">
        <v>1591.6899999993404</v>
      </c>
      <c r="T72" s="122">
        <v>504.47000000016385</v>
      </c>
      <c r="U72" s="122">
        <v>419.22999999996358</v>
      </c>
      <c r="V72" s="122">
        <v>5739.9700000027269</v>
      </c>
      <c r="W72" s="122">
        <v>899.98999999967975</v>
      </c>
      <c r="X72" s="122">
        <v>849.98999999941839</v>
      </c>
      <c r="Y72" s="122">
        <v>324.9999999999643</v>
      </c>
      <c r="Z72" s="122">
        <v>200.00000000007739</v>
      </c>
      <c r="AA72" s="122">
        <v>1000.0000000020067</v>
      </c>
      <c r="AB72" s="122">
        <v>1499.999999998952</v>
      </c>
      <c r="AC72" s="122">
        <v>1000.0000000020067</v>
      </c>
      <c r="AD72" s="122">
        <v>1499.999999998952</v>
      </c>
      <c r="AE72" s="122">
        <v>3717.9999999995698</v>
      </c>
      <c r="AF72" s="122">
        <v>250.4199999999712</v>
      </c>
      <c r="AG72" s="122">
        <v>8262.9999999990559</v>
      </c>
      <c r="AH72" s="122">
        <v>2230.1232574710684</v>
      </c>
      <c r="AI72" s="122">
        <v>5000.0100000008242</v>
      </c>
      <c r="AJ72" s="122">
        <v>38999.999998983854</v>
      </c>
      <c r="AK72" s="122">
        <v>7969.9999999999973</v>
      </c>
      <c r="AL72" s="122">
        <v>10972.999999998732</v>
      </c>
      <c r="AM72" s="122">
        <v>12100</v>
      </c>
      <c r="AN72" s="122">
        <v>2986.9999999996567</v>
      </c>
      <c r="AO72" s="122">
        <v>982.99999999988734</v>
      </c>
      <c r="AP72" s="122">
        <v>340.98999999997505</v>
      </c>
      <c r="AQ72" s="122">
        <v>1350.0100000000286</v>
      </c>
      <c r="AR72" s="122">
        <v>11206.99999999871</v>
      </c>
      <c r="AS72" s="122">
        <v>31248.028099180548</v>
      </c>
      <c r="AT72" s="122">
        <v>81595.069460023529</v>
      </c>
      <c r="AU72" s="122">
        <v>81847.685774141253</v>
      </c>
      <c r="AV72" s="122">
        <v>89173.558883554913</v>
      </c>
      <c r="AW72" s="122">
        <v>4644.9719008195216</v>
      </c>
      <c r="AX72" s="122">
        <v>24408.078525893605</v>
      </c>
      <c r="AY72" s="122">
        <v>1681.9999999998063</v>
      </c>
      <c r="AZ72" s="122">
        <v>408.57999999995286</v>
      </c>
      <c r="BA72" s="122">
        <v>1041.041294820596</v>
      </c>
      <c r="BB72" s="122">
        <v>1300.0000000005809</v>
      </c>
      <c r="BC72" s="122">
        <v>16199.99999897049</v>
      </c>
      <c r="BD72" s="122">
        <v>609.99999999992917</v>
      </c>
      <c r="BE72" s="122">
        <v>641.88017928279442</v>
      </c>
      <c r="BF72" s="122">
        <v>550.00999999974545</v>
      </c>
      <c r="BG72" s="122">
        <v>12296.800000006155</v>
      </c>
    </row>
    <row r="73" spans="1:59" x14ac:dyDescent="0.25">
      <c r="A73" s="1">
        <v>34699.999305555553</v>
      </c>
      <c r="B73" s="3">
        <v>1247.010000000537</v>
      </c>
      <c r="C73" s="3">
        <v>1746.8500000002621</v>
      </c>
      <c r="D73" s="3">
        <v>2261.1200000002882</v>
      </c>
      <c r="E73" s="3">
        <v>5370.3499999989081</v>
      </c>
      <c r="F73" s="3">
        <v>996.68000000011409</v>
      </c>
      <c r="G73" s="3">
        <v>2334.4100000015378</v>
      </c>
      <c r="H73" s="3">
        <v>307.99999999996453</v>
      </c>
      <c r="I73" s="3">
        <v>2499.9900000012822</v>
      </c>
      <c r="J73" s="3">
        <v>2499.9900000012672</v>
      </c>
      <c r="K73" s="3">
        <v>13615.999999998428</v>
      </c>
      <c r="L73" s="3">
        <v>899.99999999999977</v>
      </c>
      <c r="M73" s="3">
        <v>3659.1999999995969</v>
      </c>
      <c r="N73" s="3">
        <v>13916.560000015921</v>
      </c>
      <c r="O73" s="122">
        <v>11987.800000005504</v>
      </c>
      <c r="P73" s="122">
        <v>673.3700000003422</v>
      </c>
      <c r="Q73" s="122">
        <v>27.353548387128264</v>
      </c>
      <c r="R73" s="122">
        <v>2294.4700000004405</v>
      </c>
      <c r="S73" s="122">
        <v>1591.6899999993404</v>
      </c>
      <c r="T73" s="122">
        <v>504.47000000016385</v>
      </c>
      <c r="U73" s="122">
        <v>419.22999999996358</v>
      </c>
      <c r="V73" s="122">
        <v>5739.9700000027269</v>
      </c>
      <c r="W73" s="122">
        <v>899.98999999967975</v>
      </c>
      <c r="X73" s="122">
        <v>849.98999999941839</v>
      </c>
      <c r="Y73" s="122">
        <v>324.9999999999643</v>
      </c>
      <c r="Z73" s="122">
        <v>200.00000000007739</v>
      </c>
      <c r="AA73" s="122">
        <v>1000.0000000020067</v>
      </c>
      <c r="AB73" s="122">
        <v>1499.999999998952</v>
      </c>
      <c r="AC73" s="122">
        <v>1000.0000000020067</v>
      </c>
      <c r="AD73" s="122">
        <v>1499.999999998952</v>
      </c>
      <c r="AE73" s="122">
        <v>4167.9999999995225</v>
      </c>
      <c r="AF73" s="122">
        <v>276.63999999996889</v>
      </c>
      <c r="AG73" s="122">
        <v>9888.9999999988631</v>
      </c>
      <c r="AH73" s="122">
        <v>2404.1592711597809</v>
      </c>
      <c r="AI73" s="122">
        <v>5000.0100000008242</v>
      </c>
      <c r="AJ73" s="122">
        <v>38999.999998983854</v>
      </c>
      <c r="AK73" s="122">
        <v>7970.0000000000045</v>
      </c>
      <c r="AL73" s="122">
        <v>12410.999999998563</v>
      </c>
      <c r="AM73" s="122">
        <v>12100</v>
      </c>
      <c r="AN73" s="122">
        <v>3420.9999999996053</v>
      </c>
      <c r="AO73" s="122">
        <v>1222.9999999998597</v>
      </c>
      <c r="AP73" s="122">
        <v>340.98999999997505</v>
      </c>
      <c r="AQ73" s="122">
        <v>1350.0100000000286</v>
      </c>
      <c r="AR73" s="122">
        <v>12359.999999998579</v>
      </c>
      <c r="AS73" s="122">
        <v>31248.028099180548</v>
      </c>
      <c r="AT73" s="122">
        <v>93164.046565574143</v>
      </c>
      <c r="AU73" s="122">
        <v>93452.480146272515</v>
      </c>
      <c r="AV73" s="122">
        <v>101817.05398652544</v>
      </c>
      <c r="AW73" s="122">
        <v>4644.9719008195216</v>
      </c>
      <c r="AX73" s="122">
        <v>26913.342191231957</v>
      </c>
      <c r="AY73" s="122">
        <v>2157.9999999997526</v>
      </c>
      <c r="AZ73" s="122">
        <v>451.35999999994726</v>
      </c>
      <c r="BA73" s="122">
        <v>1147.8945617528564</v>
      </c>
      <c r="BB73" s="122">
        <v>1300.0000000005809</v>
      </c>
      <c r="BC73" s="122">
        <v>16199.99999897049</v>
      </c>
      <c r="BD73" s="122">
        <v>689.99999999992031</v>
      </c>
      <c r="BE73" s="122">
        <v>707.76324701187048</v>
      </c>
      <c r="BF73" s="122">
        <v>550.00999999974545</v>
      </c>
      <c r="BG73" s="122">
        <v>12296.800000006155</v>
      </c>
    </row>
    <row r="74" spans="1:59" x14ac:dyDescent="0.25">
      <c r="A74" s="1">
        <v>35064.999305555553</v>
      </c>
      <c r="B74" s="3">
        <v>1247.010000000537</v>
      </c>
      <c r="C74" s="3">
        <v>1746.8500000002621</v>
      </c>
      <c r="D74" s="3">
        <v>2261.1200000002882</v>
      </c>
      <c r="E74" s="3">
        <v>5370.3499999989081</v>
      </c>
      <c r="F74" s="3">
        <v>996.68000000011409</v>
      </c>
      <c r="G74" s="3">
        <v>2334.4100000015378</v>
      </c>
      <c r="H74" s="3">
        <v>273.99999999996828</v>
      </c>
      <c r="I74" s="3">
        <v>2499.9900000012822</v>
      </c>
      <c r="J74" s="3">
        <v>2499.9900000012672</v>
      </c>
      <c r="K74" s="3">
        <v>12137.999999998598</v>
      </c>
      <c r="L74" s="3">
        <v>900.00000000000057</v>
      </c>
      <c r="M74" s="3">
        <v>3659.1999999995969</v>
      </c>
      <c r="N74" s="3">
        <v>13916.560000015921</v>
      </c>
      <c r="O74" s="122">
        <v>11987.800000005504</v>
      </c>
      <c r="P74" s="122">
        <v>673.3700000003422</v>
      </c>
      <c r="Q74" s="122">
        <v>0</v>
      </c>
      <c r="R74" s="122">
        <v>2294.4700000004405</v>
      </c>
      <c r="S74" s="122">
        <v>1591.6899999993404</v>
      </c>
      <c r="T74" s="122">
        <v>504.47000000016385</v>
      </c>
      <c r="U74" s="122">
        <v>419.22999999996358</v>
      </c>
      <c r="V74" s="122">
        <v>5739.9700000027269</v>
      </c>
      <c r="W74" s="122">
        <v>899.98999999967975</v>
      </c>
      <c r="X74" s="122">
        <v>849.98999999941839</v>
      </c>
      <c r="Y74" s="122">
        <v>324.9999999999643</v>
      </c>
      <c r="Z74" s="122">
        <v>200.00000000007739</v>
      </c>
      <c r="AA74" s="122">
        <v>1000.0000000020067</v>
      </c>
      <c r="AB74" s="122">
        <v>1499.999999998952</v>
      </c>
      <c r="AC74" s="122">
        <v>1000.0000000020067</v>
      </c>
      <c r="AD74" s="122">
        <v>1499.999999998952</v>
      </c>
      <c r="AE74" s="122">
        <v>3503.999999999598</v>
      </c>
      <c r="AF74" s="122">
        <v>247.37999999997163</v>
      </c>
      <c r="AG74" s="122">
        <v>9017.9999999989632</v>
      </c>
      <c r="AH74" s="122">
        <v>2165.062082601532</v>
      </c>
      <c r="AI74" s="122">
        <v>5000.0100000008242</v>
      </c>
      <c r="AJ74" s="122">
        <v>38999.999998983854</v>
      </c>
      <c r="AK74" s="122">
        <v>7969.9999999999927</v>
      </c>
      <c r="AL74" s="122">
        <v>10903.999999998739</v>
      </c>
      <c r="AM74" s="122">
        <v>12099.999999999998</v>
      </c>
      <c r="AN74" s="122">
        <v>3100.9999999996453</v>
      </c>
      <c r="AO74" s="122">
        <v>1115.9999999998715</v>
      </c>
      <c r="AP74" s="122">
        <v>340.98999999997505</v>
      </c>
      <c r="AQ74" s="122">
        <v>1350.0100000000286</v>
      </c>
      <c r="AR74" s="122">
        <v>11147.999999998712</v>
      </c>
      <c r="AS74" s="122">
        <v>31248.028099180548</v>
      </c>
      <c r="AT74" s="122">
        <v>79640.970273532861</v>
      </c>
      <c r="AU74" s="122">
        <v>79887.536744968136</v>
      </c>
      <c r="AV74" s="122">
        <v>87037.964416585834</v>
      </c>
      <c r="AW74" s="122">
        <v>4644.9719008195216</v>
      </c>
      <c r="AX74" s="122">
        <v>24501.628326690407</v>
      </c>
      <c r="AY74" s="122">
        <v>1841.9999999997888</v>
      </c>
      <c r="AZ74" s="122">
        <v>403.61999999995322</v>
      </c>
      <c r="BA74" s="122">
        <v>1045.0313346612354</v>
      </c>
      <c r="BB74" s="122">
        <v>1300.0000000005809</v>
      </c>
      <c r="BC74" s="122">
        <v>16199.99999897049</v>
      </c>
      <c r="BD74" s="122">
        <v>614.9999999999294</v>
      </c>
      <c r="BE74" s="122">
        <v>644.34033864534399</v>
      </c>
      <c r="BF74" s="122">
        <v>550.00999999974545</v>
      </c>
      <c r="BG74" s="122">
        <v>12296.800000006155</v>
      </c>
    </row>
    <row r="75" spans="1:59" x14ac:dyDescent="0.25">
      <c r="A75" s="1">
        <v>35430.999305555553</v>
      </c>
      <c r="B75" s="3">
        <v>1247.010000000537</v>
      </c>
      <c r="C75" s="3">
        <v>1746.8500000002621</v>
      </c>
      <c r="D75" s="3">
        <v>2261.1200000002882</v>
      </c>
      <c r="E75" s="3">
        <v>5370.3499999989081</v>
      </c>
      <c r="F75" s="3">
        <v>996.68000000011409</v>
      </c>
      <c r="G75" s="3">
        <v>2334.4100000015383</v>
      </c>
      <c r="H75" s="3">
        <v>301.99999999996567</v>
      </c>
      <c r="I75" s="3">
        <v>2499.9900000012822</v>
      </c>
      <c r="J75" s="3">
        <v>2499.9900000012672</v>
      </c>
      <c r="K75" s="3">
        <v>13380.999999998465</v>
      </c>
      <c r="L75" s="3">
        <v>899.99999999999898</v>
      </c>
      <c r="M75" s="3">
        <v>3659.1999999995965</v>
      </c>
      <c r="N75" s="3">
        <v>13916.560000015921</v>
      </c>
      <c r="O75" s="122">
        <v>11987.800000005504</v>
      </c>
      <c r="P75" s="122">
        <v>673.3700000003422</v>
      </c>
      <c r="Q75" s="122">
        <v>291.90076344107854</v>
      </c>
      <c r="R75" s="122">
        <v>2294.4700000004405</v>
      </c>
      <c r="S75" s="122">
        <v>1591.6899999993404</v>
      </c>
      <c r="T75" s="122">
        <v>504.47000000016385</v>
      </c>
      <c r="U75" s="122">
        <v>419.22999999996358</v>
      </c>
      <c r="V75" s="122">
        <v>5739.970000002726</v>
      </c>
      <c r="W75" s="122">
        <v>899.98999999967964</v>
      </c>
      <c r="X75" s="122">
        <v>849.98999999941861</v>
      </c>
      <c r="Y75" s="122">
        <v>324.9999999999643</v>
      </c>
      <c r="Z75" s="122">
        <v>200.00000000007739</v>
      </c>
      <c r="AA75" s="122">
        <v>1000.0000000020035</v>
      </c>
      <c r="AB75" s="122">
        <v>1499.9999999989695</v>
      </c>
      <c r="AC75" s="122">
        <v>1000.0000000020035</v>
      </c>
      <c r="AD75" s="122">
        <v>1499.9999999989695</v>
      </c>
      <c r="AE75" s="122">
        <v>3930.9999999995457</v>
      </c>
      <c r="AF75" s="122">
        <v>280.05999999996828</v>
      </c>
      <c r="AG75" s="122">
        <v>10336.999999998805</v>
      </c>
      <c r="AH75" s="122">
        <v>2356.8743027802311</v>
      </c>
      <c r="AI75" s="122">
        <v>5000.0100000008242</v>
      </c>
      <c r="AJ75" s="122">
        <v>38999.999998983862</v>
      </c>
      <c r="AK75" s="122">
        <v>7970.0000000000045</v>
      </c>
      <c r="AL75" s="122">
        <v>12141.999999998601</v>
      </c>
      <c r="AM75" s="122">
        <v>12100.000000000007</v>
      </c>
      <c r="AN75" s="122">
        <v>3468.9999999995989</v>
      </c>
      <c r="AO75" s="122">
        <v>1297.9999999998495</v>
      </c>
      <c r="AP75" s="122">
        <v>340.98999999997511</v>
      </c>
      <c r="AQ75" s="122">
        <v>1350.0100000000286</v>
      </c>
      <c r="AR75" s="122">
        <v>12511.999999998563</v>
      </c>
      <c r="AS75" s="122">
        <v>31235.302148767347</v>
      </c>
      <c r="AT75" s="122">
        <v>87533.857864480058</v>
      </c>
      <c r="AU75" s="122">
        <v>87804.860520406815</v>
      </c>
      <c r="AV75" s="122">
        <v>95663.937542295185</v>
      </c>
      <c r="AW75" s="122">
        <v>4657.697851232725</v>
      </c>
      <c r="AX75" s="122">
        <v>27262.282948204029</v>
      </c>
      <c r="AY75" s="122">
        <v>1985.9999999997713</v>
      </c>
      <c r="AZ75" s="122">
        <v>456.93999999994855</v>
      </c>
      <c r="BA75" s="122">
        <v>1162.7774103584311</v>
      </c>
      <c r="BB75" s="122">
        <v>1300.0000000005807</v>
      </c>
      <c r="BC75" s="122">
        <v>16199.999998970494</v>
      </c>
      <c r="BD75" s="122">
        <v>675.99999999992247</v>
      </c>
      <c r="BE75" s="122">
        <v>716.93964143418009</v>
      </c>
      <c r="BF75" s="122">
        <v>550.00999999974533</v>
      </c>
      <c r="BG75" s="122">
        <v>12296.800000006155</v>
      </c>
    </row>
    <row r="76" spans="1:59" x14ac:dyDescent="0.25">
      <c r="A76" s="1">
        <v>35795.999305555553</v>
      </c>
      <c r="B76" s="3">
        <v>1247.010000000537</v>
      </c>
      <c r="C76" s="3">
        <v>1746.8500000002621</v>
      </c>
      <c r="D76" s="3">
        <v>2261.1200000002882</v>
      </c>
      <c r="E76" s="3">
        <v>5370.3499999989081</v>
      </c>
      <c r="F76" s="3">
        <v>996.68000000011409</v>
      </c>
      <c r="G76" s="3">
        <v>2334.4100000015378</v>
      </c>
      <c r="H76" s="3">
        <v>237.9999999999726</v>
      </c>
      <c r="I76" s="3">
        <v>2499.9900000012822</v>
      </c>
      <c r="J76" s="3">
        <v>2499.9900000012672</v>
      </c>
      <c r="K76" s="3">
        <v>10627.999999998781</v>
      </c>
      <c r="L76" s="3">
        <v>900.00000000000011</v>
      </c>
      <c r="M76" s="3">
        <v>3659.1999999995969</v>
      </c>
      <c r="N76" s="3">
        <v>13916.560000015921</v>
      </c>
      <c r="O76" s="122">
        <v>11987.800000005504</v>
      </c>
      <c r="P76" s="122">
        <v>673.3700000003422</v>
      </c>
      <c r="Q76" s="122">
        <v>0</v>
      </c>
      <c r="R76" s="122">
        <v>2294.4700000004405</v>
      </c>
      <c r="S76" s="122">
        <v>1591.6899999993404</v>
      </c>
      <c r="T76" s="122">
        <v>504.47000000016385</v>
      </c>
      <c r="U76" s="122">
        <v>419.22999999996358</v>
      </c>
      <c r="V76" s="122">
        <v>5739.9700000027269</v>
      </c>
      <c r="W76" s="122">
        <v>899.98999999967975</v>
      </c>
      <c r="X76" s="122">
        <v>849.98999999941839</v>
      </c>
      <c r="Y76" s="122">
        <v>324.9999999999643</v>
      </c>
      <c r="Z76" s="122">
        <v>200.00000000007739</v>
      </c>
      <c r="AA76" s="122">
        <v>1000.0000000020067</v>
      </c>
      <c r="AB76" s="122">
        <v>1499.999999998952</v>
      </c>
      <c r="AC76" s="122">
        <v>1000.0000000020067</v>
      </c>
      <c r="AD76" s="122">
        <v>1499.999999998952</v>
      </c>
      <c r="AE76" s="122">
        <v>3403.9999999996076</v>
      </c>
      <c r="AF76" s="122">
        <v>213.93999999997621</v>
      </c>
      <c r="AG76" s="122">
        <v>8870.9999999989705</v>
      </c>
      <c r="AH76" s="122">
        <v>2095.999999999759</v>
      </c>
      <c r="AI76" s="122">
        <v>5000.0100000008242</v>
      </c>
      <c r="AJ76" s="122">
        <v>38999.999998983854</v>
      </c>
      <c r="AK76" s="122">
        <v>7969.9999999999973</v>
      </c>
      <c r="AL76" s="122">
        <v>9570.9999999988995</v>
      </c>
      <c r="AM76" s="122">
        <v>12099.999999999995</v>
      </c>
      <c r="AN76" s="122">
        <v>2984.9999999996553</v>
      </c>
      <c r="AO76" s="122">
        <v>1004.9999999998837</v>
      </c>
      <c r="AP76" s="122">
        <v>340.98999999997505</v>
      </c>
      <c r="AQ76" s="122">
        <v>1350.0100000000286</v>
      </c>
      <c r="AR76" s="122">
        <v>9540.9999999989068</v>
      </c>
      <c r="AS76" s="122">
        <v>31248.028099180548</v>
      </c>
      <c r="AT76" s="122">
        <v>73531.966009639189</v>
      </c>
      <c r="AU76" s="122">
        <v>73759.619155180044</v>
      </c>
      <c r="AV76" s="122">
        <v>80361.560375859714</v>
      </c>
      <c r="AW76" s="122">
        <v>4644.9719008195216</v>
      </c>
      <c r="AX76" s="122">
        <v>20853.186095615132</v>
      </c>
      <c r="AY76" s="122">
        <v>1603.9999999998165</v>
      </c>
      <c r="AZ76" s="122">
        <v>349.05999999995919</v>
      </c>
      <c r="BA76" s="122">
        <v>889.41978087639222</v>
      </c>
      <c r="BB76" s="122">
        <v>1300.0000000005809</v>
      </c>
      <c r="BC76" s="122">
        <v>16199.99999897049</v>
      </c>
      <c r="BD76" s="122">
        <v>535.99999999993827</v>
      </c>
      <c r="BE76" s="122">
        <v>548.39412350591306</v>
      </c>
      <c r="BF76" s="122">
        <v>550.00999999974545</v>
      </c>
      <c r="BG76" s="122">
        <v>12296.800000006155</v>
      </c>
    </row>
    <row r="77" spans="1:59" x14ac:dyDescent="0.25">
      <c r="A77" s="1">
        <v>36160.999305555553</v>
      </c>
      <c r="B77" s="3">
        <v>1247.010000000537</v>
      </c>
      <c r="C77" s="3">
        <v>1746.8500000002621</v>
      </c>
      <c r="D77" s="3">
        <v>2261.1200000002882</v>
      </c>
      <c r="E77" s="3">
        <v>5370.3499999989081</v>
      </c>
      <c r="F77" s="3">
        <v>996.68000000011409</v>
      </c>
      <c r="G77" s="3">
        <v>2334.4100000015378</v>
      </c>
      <c r="H77" s="3">
        <v>263.99999999996976</v>
      </c>
      <c r="I77" s="3">
        <v>2499.9900000012822</v>
      </c>
      <c r="J77" s="3">
        <v>2499.9900000012672</v>
      </c>
      <c r="K77" s="3">
        <v>11706.999999998661</v>
      </c>
      <c r="L77" s="3">
        <v>899.99999999999943</v>
      </c>
      <c r="M77" s="3">
        <v>3659.1999999995969</v>
      </c>
      <c r="N77" s="3">
        <v>13916.560000015921</v>
      </c>
      <c r="O77" s="122">
        <v>11987.800000005504</v>
      </c>
      <c r="P77" s="122">
        <v>673.3700000003422</v>
      </c>
      <c r="Q77" s="122">
        <v>0</v>
      </c>
      <c r="R77" s="122">
        <v>2294.4700000004405</v>
      </c>
      <c r="S77" s="122">
        <v>1591.6899999993404</v>
      </c>
      <c r="T77" s="122">
        <v>504.47000000016385</v>
      </c>
      <c r="U77" s="122">
        <v>419.22999999996358</v>
      </c>
      <c r="V77" s="122">
        <v>5739.9700000027269</v>
      </c>
      <c r="W77" s="122">
        <v>899.98999999967975</v>
      </c>
      <c r="X77" s="122">
        <v>849.98999999941839</v>
      </c>
      <c r="Y77" s="122">
        <v>324.9999999999643</v>
      </c>
      <c r="Z77" s="122">
        <v>200.00000000007739</v>
      </c>
      <c r="AA77" s="122">
        <v>1000.0000000020067</v>
      </c>
      <c r="AB77" s="122">
        <v>1499.999999998952</v>
      </c>
      <c r="AC77" s="122">
        <v>1000.0000000020067</v>
      </c>
      <c r="AD77" s="122">
        <v>1499.999999998952</v>
      </c>
      <c r="AE77" s="122">
        <v>3727.9999999995703</v>
      </c>
      <c r="AF77" s="122">
        <v>248.1399999999712</v>
      </c>
      <c r="AG77" s="122">
        <v>9284.999999998925</v>
      </c>
      <c r="AH77" s="122">
        <v>2290.4007619768008</v>
      </c>
      <c r="AI77" s="122">
        <v>5000.0100000008242</v>
      </c>
      <c r="AJ77" s="122">
        <v>38999.999998983854</v>
      </c>
      <c r="AK77" s="122">
        <v>7970.0000000000036</v>
      </c>
      <c r="AL77" s="122">
        <v>10662.99999999877</v>
      </c>
      <c r="AM77" s="122">
        <v>12100.000000000009</v>
      </c>
      <c r="AN77" s="122">
        <v>3225.9999999996289</v>
      </c>
      <c r="AO77" s="122">
        <v>1219.9999999998595</v>
      </c>
      <c r="AP77" s="122">
        <v>340.98999999997505</v>
      </c>
      <c r="AQ77" s="122">
        <v>1350.0100000000286</v>
      </c>
      <c r="AR77" s="122">
        <v>11108.999999998727</v>
      </c>
      <c r="AS77" s="122">
        <v>31248.028099180548</v>
      </c>
      <c r="AT77" s="122">
        <v>83585.34659750534</v>
      </c>
      <c r="AU77" s="122">
        <v>83844.124760345716</v>
      </c>
      <c r="AV77" s="122">
        <v>91348.691482722352</v>
      </c>
      <c r="AW77" s="122">
        <v>4644.9719008195216</v>
      </c>
      <c r="AX77" s="122">
        <v>24161.107051790033</v>
      </c>
      <c r="AY77" s="122">
        <v>1757.9999999997974</v>
      </c>
      <c r="AZ77" s="122">
        <v>404.85999999995369</v>
      </c>
      <c r="BA77" s="122">
        <v>1030.507589641315</v>
      </c>
      <c r="BB77" s="122">
        <v>1300.0000000005809</v>
      </c>
      <c r="BC77" s="122">
        <v>16199.99999897049</v>
      </c>
      <c r="BD77" s="122">
        <v>591.9999999999319</v>
      </c>
      <c r="BE77" s="122">
        <v>635.38535856566409</v>
      </c>
      <c r="BF77" s="122">
        <v>550.00999999974545</v>
      </c>
      <c r="BG77" s="122">
        <v>12296.800000006155</v>
      </c>
    </row>
    <row r="78" spans="1:59" x14ac:dyDescent="0.25">
      <c r="A78" s="1">
        <v>36525.999305555553</v>
      </c>
      <c r="B78" s="3">
        <v>1247.010000000537</v>
      </c>
      <c r="C78" s="3">
        <v>1746.8500000002621</v>
      </c>
      <c r="D78" s="3">
        <v>2261.1200000002882</v>
      </c>
      <c r="E78" s="3">
        <v>5370.3499999989081</v>
      </c>
      <c r="F78" s="3">
        <v>996.68000000011409</v>
      </c>
      <c r="G78" s="3">
        <v>2334.4100000015378</v>
      </c>
      <c r="H78" s="3">
        <v>250.99999999997135</v>
      </c>
      <c r="I78" s="3">
        <v>2499.9900000012822</v>
      </c>
      <c r="J78" s="3">
        <v>2499.9900000012672</v>
      </c>
      <c r="K78" s="3">
        <v>11107.999999998727</v>
      </c>
      <c r="L78" s="3">
        <v>900.00000000000125</v>
      </c>
      <c r="M78" s="3">
        <v>3659.1999999995969</v>
      </c>
      <c r="N78" s="3">
        <v>13916.560000015921</v>
      </c>
      <c r="O78" s="122">
        <v>11987.800000005504</v>
      </c>
      <c r="P78" s="122">
        <v>673.3700000003422</v>
      </c>
      <c r="Q78" s="122">
        <v>0</v>
      </c>
      <c r="R78" s="122">
        <v>2294.4700000004405</v>
      </c>
      <c r="S78" s="122">
        <v>1591.6899999993404</v>
      </c>
      <c r="T78" s="122">
        <v>504.47000000016385</v>
      </c>
      <c r="U78" s="122">
        <v>419.22999999996358</v>
      </c>
      <c r="V78" s="122">
        <v>5739.9700000027269</v>
      </c>
      <c r="W78" s="122">
        <v>899.98999999967975</v>
      </c>
      <c r="X78" s="122">
        <v>849.98999999941839</v>
      </c>
      <c r="Y78" s="122">
        <v>324.9999999999643</v>
      </c>
      <c r="Z78" s="122">
        <v>200.00000000007739</v>
      </c>
      <c r="AA78" s="122">
        <v>1000.0000000020067</v>
      </c>
      <c r="AB78" s="122">
        <v>1499.999999998952</v>
      </c>
      <c r="AC78" s="122">
        <v>1000.0000000020067</v>
      </c>
      <c r="AD78" s="122">
        <v>1499.999999998952</v>
      </c>
      <c r="AE78" s="122">
        <v>3151.9999999996389</v>
      </c>
      <c r="AF78" s="122">
        <v>204.81999999997598</v>
      </c>
      <c r="AG78" s="122">
        <v>9039.9999999989559</v>
      </c>
      <c r="AH78" s="122">
        <v>2040.9999999997649</v>
      </c>
      <c r="AI78" s="122">
        <v>5000.0100000008242</v>
      </c>
      <c r="AJ78" s="122">
        <v>38999.999998983854</v>
      </c>
      <c r="AK78" s="122">
        <v>7970.0000000000064</v>
      </c>
      <c r="AL78" s="122">
        <v>10068.999999998838</v>
      </c>
      <c r="AM78" s="122">
        <v>12100.000000000002</v>
      </c>
      <c r="AN78" s="122">
        <v>2993.9999999996562</v>
      </c>
      <c r="AO78" s="122">
        <v>900.99999999989541</v>
      </c>
      <c r="AP78" s="122">
        <v>340.98999999997505</v>
      </c>
      <c r="AQ78" s="122">
        <v>1350.0100000000286</v>
      </c>
      <c r="AR78" s="122">
        <v>9338.9999999989232</v>
      </c>
      <c r="AS78" s="122">
        <v>31248.028099180548</v>
      </c>
      <c r="AT78" s="122">
        <v>66859.719805387518</v>
      </c>
      <c r="AU78" s="122">
        <v>67066.71584193669</v>
      </c>
      <c r="AV78" s="122">
        <v>73069.600901862854</v>
      </c>
      <c r="AW78" s="122">
        <v>4644.9719008195216</v>
      </c>
      <c r="AX78" s="122">
        <v>20811.088685256575</v>
      </c>
      <c r="AY78" s="122">
        <v>1537.999999999824</v>
      </c>
      <c r="AZ78" s="122">
        <v>334.17999999996152</v>
      </c>
      <c r="BA78" s="122">
        <v>887.62426294810541</v>
      </c>
      <c r="BB78" s="122">
        <v>1300.0000000005809</v>
      </c>
      <c r="BC78" s="122">
        <v>16199.99999897049</v>
      </c>
      <c r="BD78" s="122">
        <v>561.99999999993508</v>
      </c>
      <c r="BE78" s="122">
        <v>547.28705179276608</v>
      </c>
      <c r="BF78" s="122">
        <v>550.00999999974545</v>
      </c>
      <c r="BG78" s="122">
        <v>12296.800000006155</v>
      </c>
    </row>
    <row r="79" spans="1:59" x14ac:dyDescent="0.25">
      <c r="A79" s="1">
        <v>36891.999305555553</v>
      </c>
      <c r="B79" s="3">
        <v>1247.010000000537</v>
      </c>
      <c r="C79" s="3">
        <v>1746.8500000002621</v>
      </c>
      <c r="D79" s="3">
        <v>2261.1200000002882</v>
      </c>
      <c r="E79" s="3">
        <v>5370.3499999989081</v>
      </c>
      <c r="F79" s="3">
        <v>996.68000000011409</v>
      </c>
      <c r="G79" s="3">
        <v>2334.4100000015383</v>
      </c>
      <c r="H79" s="3">
        <v>318.99999999996288</v>
      </c>
      <c r="I79" s="3">
        <v>2499.9900000012822</v>
      </c>
      <c r="J79" s="3">
        <v>2499.9900000012672</v>
      </c>
      <c r="K79" s="3">
        <v>13979.999999998399</v>
      </c>
      <c r="L79" s="3">
        <v>899.99999999999955</v>
      </c>
      <c r="M79" s="3">
        <v>3659.1999999995965</v>
      </c>
      <c r="N79" s="3">
        <v>13916.560000015921</v>
      </c>
      <c r="O79" s="122">
        <v>11987.800000005504</v>
      </c>
      <c r="P79" s="122">
        <v>673.3700000003422</v>
      </c>
      <c r="Q79" s="122">
        <v>207.15257198616123</v>
      </c>
      <c r="R79" s="122">
        <v>2294.4700000004405</v>
      </c>
      <c r="S79" s="122">
        <v>1591.6899999993404</v>
      </c>
      <c r="T79" s="122">
        <v>504.47000000016385</v>
      </c>
      <c r="U79" s="122">
        <v>419.22999999996358</v>
      </c>
      <c r="V79" s="122">
        <v>5739.970000002726</v>
      </c>
      <c r="W79" s="122">
        <v>899.98999999967964</v>
      </c>
      <c r="X79" s="122">
        <v>849.98999999941861</v>
      </c>
      <c r="Y79" s="122">
        <v>324.9999999999643</v>
      </c>
      <c r="Z79" s="122">
        <v>200.00000000007739</v>
      </c>
      <c r="AA79" s="122">
        <v>1000.0000000020035</v>
      </c>
      <c r="AB79" s="122">
        <v>1499.9999999989695</v>
      </c>
      <c r="AC79" s="122">
        <v>1000.0000000020035</v>
      </c>
      <c r="AD79" s="122">
        <v>1499.9999999989695</v>
      </c>
      <c r="AE79" s="122">
        <v>4149.999999999518</v>
      </c>
      <c r="AF79" s="122">
        <v>296.77999999996541</v>
      </c>
      <c r="AG79" s="122">
        <v>10685.999999998763</v>
      </c>
      <c r="AH79" s="122">
        <v>2485.6175956189509</v>
      </c>
      <c r="AI79" s="122">
        <v>5000.0100000008242</v>
      </c>
      <c r="AJ79" s="122">
        <v>38999.999998983862</v>
      </c>
      <c r="AK79" s="122">
        <v>7970.0000000000036</v>
      </c>
      <c r="AL79" s="122">
        <v>12812.99999999853</v>
      </c>
      <c r="AM79" s="122">
        <v>12100.000000000002</v>
      </c>
      <c r="AN79" s="122">
        <v>3538.9999999995921</v>
      </c>
      <c r="AO79" s="122">
        <v>1628.9999999998124</v>
      </c>
      <c r="AP79" s="122">
        <v>340.98999999997511</v>
      </c>
      <c r="AQ79" s="122">
        <v>1350.0100000000286</v>
      </c>
      <c r="AR79" s="122">
        <v>13232.999999998478</v>
      </c>
      <c r="AS79" s="122">
        <v>31235.302148767347</v>
      </c>
      <c r="AT79" s="122">
        <v>93598.508669787931</v>
      </c>
      <c r="AU79" s="122">
        <v>93888.287334399618</v>
      </c>
      <c r="AV79" s="122">
        <v>102291.86860815766</v>
      </c>
      <c r="AW79" s="122">
        <v>4657.697851232725</v>
      </c>
      <c r="AX79" s="122">
        <v>28748.789282865229</v>
      </c>
      <c r="AY79" s="122">
        <v>2141.9999999997558</v>
      </c>
      <c r="AZ79" s="122">
        <v>484.21999999994341</v>
      </c>
      <c r="BA79" s="122">
        <v>1226.1791434261545</v>
      </c>
      <c r="BB79" s="122">
        <v>1300.0000000005807</v>
      </c>
      <c r="BC79" s="122">
        <v>16199.999998970494</v>
      </c>
      <c r="BD79" s="122">
        <v>707.99999999991837</v>
      </c>
      <c r="BE79" s="122">
        <v>756.03157370509211</v>
      </c>
      <c r="BF79" s="122">
        <v>550.00999999974533</v>
      </c>
      <c r="BG79" s="122">
        <v>12296.800000006155</v>
      </c>
    </row>
    <row r="80" spans="1:59" x14ac:dyDescent="0.25">
      <c r="A80" s="1">
        <v>37256.999305555553</v>
      </c>
      <c r="B80" s="3">
        <v>1247.010000000537</v>
      </c>
      <c r="C80" s="3">
        <v>1746.8500000002621</v>
      </c>
      <c r="D80" s="3">
        <v>2261.1200000002882</v>
      </c>
      <c r="E80" s="3">
        <v>5370.3499999989081</v>
      </c>
      <c r="F80" s="3">
        <v>996.68000000011409</v>
      </c>
      <c r="G80" s="3">
        <v>2334.4100000015378</v>
      </c>
      <c r="H80" s="3">
        <v>297.99999999996595</v>
      </c>
      <c r="I80" s="3">
        <v>2499.9900000012822</v>
      </c>
      <c r="J80" s="3">
        <v>2499.9900000012672</v>
      </c>
      <c r="K80" s="3">
        <v>13164.99999999849</v>
      </c>
      <c r="L80" s="3">
        <v>900.00000000000034</v>
      </c>
      <c r="M80" s="3">
        <v>3659.1999999995969</v>
      </c>
      <c r="N80" s="3">
        <v>13916.560000015921</v>
      </c>
      <c r="O80" s="122">
        <v>11987.800000005504</v>
      </c>
      <c r="P80" s="122">
        <v>673.3700000003422</v>
      </c>
      <c r="Q80" s="122">
        <v>112.707666666753</v>
      </c>
      <c r="R80" s="122">
        <v>2294.4700000004405</v>
      </c>
      <c r="S80" s="122">
        <v>1591.6899999993404</v>
      </c>
      <c r="T80" s="122">
        <v>504.47000000016385</v>
      </c>
      <c r="U80" s="122">
        <v>419.22999999996358</v>
      </c>
      <c r="V80" s="122">
        <v>5739.9700000027269</v>
      </c>
      <c r="W80" s="122">
        <v>899.98999999967975</v>
      </c>
      <c r="X80" s="122">
        <v>849.98999999941839</v>
      </c>
      <c r="Y80" s="122">
        <v>324.9999999999643</v>
      </c>
      <c r="Z80" s="122">
        <v>200.00000000007739</v>
      </c>
      <c r="AA80" s="122">
        <v>1000.0000000020067</v>
      </c>
      <c r="AB80" s="122">
        <v>1499.999999998952</v>
      </c>
      <c r="AC80" s="122">
        <v>1000.0000000020067</v>
      </c>
      <c r="AD80" s="122">
        <v>1499.999999998952</v>
      </c>
      <c r="AE80" s="122">
        <v>4308.9999999995061</v>
      </c>
      <c r="AF80" s="122">
        <v>283.47999999996739</v>
      </c>
      <c r="AG80" s="122">
        <v>9934.9999999988559</v>
      </c>
      <c r="AH80" s="122">
        <v>2600.6144476117815</v>
      </c>
      <c r="AI80" s="122">
        <v>5000.0100000008242</v>
      </c>
      <c r="AJ80" s="122">
        <v>38999.999998983854</v>
      </c>
      <c r="AK80" s="122">
        <v>7970.0000000000064</v>
      </c>
      <c r="AL80" s="122">
        <v>11934.99999999863</v>
      </c>
      <c r="AM80" s="122">
        <v>12099.999999999995</v>
      </c>
      <c r="AN80" s="122">
        <v>3508.9999999995925</v>
      </c>
      <c r="AO80" s="122">
        <v>1210.9999999998608</v>
      </c>
      <c r="AP80" s="122">
        <v>340.98999999997505</v>
      </c>
      <c r="AQ80" s="122">
        <v>1350.0100000000286</v>
      </c>
      <c r="AR80" s="122">
        <v>12717.999999998525</v>
      </c>
      <c r="AS80" s="122">
        <v>31248.028099180548</v>
      </c>
      <c r="AT80" s="122">
        <v>87725.178038930404</v>
      </c>
      <c r="AU80" s="122">
        <v>87996.773017378917</v>
      </c>
      <c r="AV80" s="122">
        <v>95873.027392391363</v>
      </c>
      <c r="AW80" s="122">
        <v>4644.9719008195216</v>
      </c>
      <c r="AX80" s="122">
        <v>27882.518127486823</v>
      </c>
      <c r="AY80" s="122">
        <v>1809.9999999997915</v>
      </c>
      <c r="AZ80" s="122">
        <v>462.51999999994592</v>
      </c>
      <c r="BA80" s="122">
        <v>1189.2313745018548</v>
      </c>
      <c r="BB80" s="122">
        <v>1300.0000000005809</v>
      </c>
      <c r="BC80" s="122">
        <v>16199.99999897049</v>
      </c>
      <c r="BD80" s="122">
        <v>666.99999999992315</v>
      </c>
      <c r="BE80" s="122">
        <v>733.25049800788349</v>
      </c>
      <c r="BF80" s="122">
        <v>550.00999999974545</v>
      </c>
      <c r="BG80" s="122">
        <v>12296.800000006155</v>
      </c>
    </row>
    <row r="81" spans="1:59" x14ac:dyDescent="0.25">
      <c r="A81" s="1">
        <v>37621.999305555553</v>
      </c>
      <c r="B81" s="3">
        <v>1247.010000000537</v>
      </c>
      <c r="C81" s="3">
        <v>1746.8500000002621</v>
      </c>
      <c r="D81" s="3">
        <v>2261.1200000002882</v>
      </c>
      <c r="E81" s="3">
        <v>5370.3499999989081</v>
      </c>
      <c r="F81" s="3">
        <v>996.68000000011409</v>
      </c>
      <c r="G81" s="3">
        <v>2334.4100000015378</v>
      </c>
      <c r="H81" s="3">
        <v>300.99999999996527</v>
      </c>
      <c r="I81" s="3">
        <v>2499.9900000012822</v>
      </c>
      <c r="J81" s="3">
        <v>2499.9900000012672</v>
      </c>
      <c r="K81" s="3">
        <v>13273.999999998476</v>
      </c>
      <c r="L81" s="3">
        <v>899.99999999999977</v>
      </c>
      <c r="M81" s="3">
        <v>3659.1999999995969</v>
      </c>
      <c r="N81" s="3">
        <v>13916.560000015921</v>
      </c>
      <c r="O81" s="122">
        <v>11987.800000005504</v>
      </c>
      <c r="P81" s="122">
        <v>673.3700000003422</v>
      </c>
      <c r="Q81" s="122">
        <v>706.48233333360884</v>
      </c>
      <c r="R81" s="122">
        <v>2294.4700000004405</v>
      </c>
      <c r="S81" s="122">
        <v>1591.6899999993404</v>
      </c>
      <c r="T81" s="122">
        <v>504.47000000016385</v>
      </c>
      <c r="U81" s="122">
        <v>419.22999999996358</v>
      </c>
      <c r="V81" s="122">
        <v>5739.9700000027269</v>
      </c>
      <c r="W81" s="122">
        <v>899.98999999967975</v>
      </c>
      <c r="X81" s="122">
        <v>849.98999999941839</v>
      </c>
      <c r="Y81" s="122">
        <v>324.9999999999643</v>
      </c>
      <c r="Z81" s="122">
        <v>200.00000000007739</v>
      </c>
      <c r="AA81" s="122">
        <v>1000.0000000020067</v>
      </c>
      <c r="AB81" s="122">
        <v>1499.999999998952</v>
      </c>
      <c r="AC81" s="122">
        <v>1000.0000000020067</v>
      </c>
      <c r="AD81" s="122">
        <v>1499.999999998952</v>
      </c>
      <c r="AE81" s="122">
        <v>4243.999999999508</v>
      </c>
      <c r="AF81" s="122">
        <v>284.23999999996693</v>
      </c>
      <c r="AG81" s="122">
        <v>10790.999999998759</v>
      </c>
      <c r="AH81" s="122">
        <v>2409.2508957526993</v>
      </c>
      <c r="AI81" s="122">
        <v>5000.0100000008242</v>
      </c>
      <c r="AJ81" s="122">
        <v>38999.999998983854</v>
      </c>
      <c r="AK81" s="122">
        <v>7970.0000000000091</v>
      </c>
      <c r="AL81" s="122">
        <v>12147.999999998594</v>
      </c>
      <c r="AM81" s="122">
        <v>12099.999999999998</v>
      </c>
      <c r="AN81" s="122">
        <v>3362.999999999613</v>
      </c>
      <c r="AO81" s="122">
        <v>1516.9999999998263</v>
      </c>
      <c r="AP81" s="122">
        <v>340.98999999997505</v>
      </c>
      <c r="AQ81" s="122">
        <v>1350.0100000000286</v>
      </c>
      <c r="AR81" s="122">
        <v>12706.999999998538</v>
      </c>
      <c r="AS81" s="122">
        <v>31248.028099180548</v>
      </c>
      <c r="AT81" s="122">
        <v>80971.193583422384</v>
      </c>
      <c r="AU81" s="122">
        <v>81221.878393278006</v>
      </c>
      <c r="AV81" s="122">
        <v>88491.737879096312</v>
      </c>
      <c r="AW81" s="122">
        <v>4644.9719008195216</v>
      </c>
      <c r="AX81" s="122">
        <v>27615.901195215956</v>
      </c>
      <c r="AY81" s="122">
        <v>1860.9999999997851</v>
      </c>
      <c r="AZ81" s="122">
        <v>463.75999999994593</v>
      </c>
      <c r="BA81" s="122">
        <v>1177.8597609560391</v>
      </c>
      <c r="BB81" s="122">
        <v>1300.0000000005809</v>
      </c>
      <c r="BC81" s="122">
        <v>16199.99999897049</v>
      </c>
      <c r="BD81" s="122">
        <v>671.99999999992247</v>
      </c>
      <c r="BE81" s="122">
        <v>726.23904382461774</v>
      </c>
      <c r="BF81" s="122">
        <v>550.00999999974545</v>
      </c>
      <c r="BG81" s="122">
        <v>12296.800000006155</v>
      </c>
    </row>
    <row r="82" spans="1:59" x14ac:dyDescent="0.25">
      <c r="A82" s="1">
        <v>37986.999305555553</v>
      </c>
      <c r="B82" s="3">
        <v>1247.010000000537</v>
      </c>
      <c r="C82" s="3">
        <v>1746.8500000002621</v>
      </c>
      <c r="D82" s="3">
        <v>2261.1200000002882</v>
      </c>
      <c r="E82" s="3">
        <v>5370.3499999989081</v>
      </c>
      <c r="F82" s="3">
        <v>996.68000000011409</v>
      </c>
      <c r="G82" s="3">
        <v>2334.4100000015378</v>
      </c>
      <c r="H82" s="3">
        <v>303.99999999996521</v>
      </c>
      <c r="I82" s="3">
        <v>2499.9900000012822</v>
      </c>
      <c r="J82" s="3">
        <v>2499.9900000012672</v>
      </c>
      <c r="K82" s="3">
        <v>13420.999999998445</v>
      </c>
      <c r="L82" s="3">
        <v>899.99999999999955</v>
      </c>
      <c r="M82" s="3">
        <v>3659.1999999995969</v>
      </c>
      <c r="N82" s="3">
        <v>13916.560000015921</v>
      </c>
      <c r="O82" s="122">
        <v>11987.800000005504</v>
      </c>
      <c r="P82" s="122">
        <v>673.3700000003422</v>
      </c>
      <c r="Q82" s="122">
        <v>275.85483870968716</v>
      </c>
      <c r="R82" s="122">
        <v>2294.4700000004405</v>
      </c>
      <c r="S82" s="122">
        <v>1591.6899999993404</v>
      </c>
      <c r="T82" s="122">
        <v>504.47000000016385</v>
      </c>
      <c r="U82" s="122">
        <v>419.22999999996358</v>
      </c>
      <c r="V82" s="122">
        <v>5739.9700000027269</v>
      </c>
      <c r="W82" s="122">
        <v>899.98999999967975</v>
      </c>
      <c r="X82" s="122">
        <v>849.98999999941839</v>
      </c>
      <c r="Y82" s="122">
        <v>324.9999999999643</v>
      </c>
      <c r="Z82" s="122">
        <v>200.00000000007739</v>
      </c>
      <c r="AA82" s="122">
        <v>1000.0000000020067</v>
      </c>
      <c r="AB82" s="122">
        <v>1499.999999998952</v>
      </c>
      <c r="AC82" s="122">
        <v>1000.0000000020067</v>
      </c>
      <c r="AD82" s="122">
        <v>1499.999999998952</v>
      </c>
      <c r="AE82" s="122">
        <v>4461.9999999994798</v>
      </c>
      <c r="AF82" s="122">
        <v>271.69999999996799</v>
      </c>
      <c r="AG82" s="122">
        <v>10631.999999998769</v>
      </c>
      <c r="AH82" s="122">
        <v>2554.9441287467912</v>
      </c>
      <c r="AI82" s="122">
        <v>5000.0100000008242</v>
      </c>
      <c r="AJ82" s="122">
        <v>38999.999998983854</v>
      </c>
      <c r="AK82" s="122">
        <v>7970.0000000000018</v>
      </c>
      <c r="AL82" s="122">
        <v>12246.999999998599</v>
      </c>
      <c r="AM82" s="122">
        <v>12100.000000000005</v>
      </c>
      <c r="AN82" s="122">
        <v>3563.9999999995903</v>
      </c>
      <c r="AO82" s="122">
        <v>1400.9999999998392</v>
      </c>
      <c r="AP82" s="122">
        <v>340.98999999997505</v>
      </c>
      <c r="AQ82" s="122">
        <v>1350.0100000000286</v>
      </c>
      <c r="AR82" s="122">
        <v>12190.999999998612</v>
      </c>
      <c r="AS82" s="122">
        <v>31248.028099180548</v>
      </c>
      <c r="AT82" s="122">
        <v>93725.576888236639</v>
      </c>
      <c r="AU82" s="122">
        <v>94015.74895290623</v>
      </c>
      <c r="AV82" s="122">
        <v>102430.73882832074</v>
      </c>
      <c r="AW82" s="122">
        <v>4644.9719008195216</v>
      </c>
      <c r="AX82" s="122">
        <v>26568.143426291786</v>
      </c>
      <c r="AY82" s="122">
        <v>1834.9999999997888</v>
      </c>
      <c r="AZ82" s="122">
        <v>443.29999999994902</v>
      </c>
      <c r="BA82" s="122">
        <v>1133.171314740905</v>
      </c>
      <c r="BB82" s="122">
        <v>1300.0000000005809</v>
      </c>
      <c r="BC82" s="122">
        <v>16199.99999897049</v>
      </c>
      <c r="BD82" s="122">
        <v>680.99999999992133</v>
      </c>
      <c r="BE82" s="122">
        <v>698.68525896406288</v>
      </c>
      <c r="BF82" s="122">
        <v>550.00999999974545</v>
      </c>
      <c r="BG82" s="122">
        <v>12296.800000006155</v>
      </c>
    </row>
    <row r="83" spans="1:59" x14ac:dyDescent="0.25">
      <c r="A83" s="1">
        <v>38352.999305555553</v>
      </c>
      <c r="B83" s="3">
        <v>1247.010000000537</v>
      </c>
      <c r="C83" s="3">
        <v>1746.8500000002621</v>
      </c>
      <c r="D83" s="3">
        <v>2261.1200000002882</v>
      </c>
      <c r="E83" s="3">
        <v>5370.3499999989081</v>
      </c>
      <c r="F83" s="3">
        <v>996.68000000011409</v>
      </c>
      <c r="G83" s="3">
        <v>2334.4100000015383</v>
      </c>
      <c r="H83" s="3">
        <v>283.99999999996737</v>
      </c>
      <c r="I83" s="3">
        <v>2499.9900000012822</v>
      </c>
      <c r="J83" s="3">
        <v>2499.9900000012672</v>
      </c>
      <c r="K83" s="3">
        <v>12490.999999998565</v>
      </c>
      <c r="L83" s="3">
        <v>900.00000000000034</v>
      </c>
      <c r="M83" s="3">
        <v>3659.1999999995965</v>
      </c>
      <c r="N83" s="3">
        <v>13916.560000015921</v>
      </c>
      <c r="O83" s="122">
        <v>11987.800000005504</v>
      </c>
      <c r="P83" s="122">
        <v>673.3700000003422</v>
      </c>
      <c r="Q83" s="122">
        <v>121.15291397863227</v>
      </c>
      <c r="R83" s="122">
        <v>2294.4700000004405</v>
      </c>
      <c r="S83" s="122">
        <v>1591.6899999993404</v>
      </c>
      <c r="T83" s="122">
        <v>504.47000000016385</v>
      </c>
      <c r="U83" s="122">
        <v>419.22999999996358</v>
      </c>
      <c r="V83" s="122">
        <v>5739.970000002726</v>
      </c>
      <c r="W83" s="122">
        <v>899.98999999967964</v>
      </c>
      <c r="X83" s="122">
        <v>849.98999999941861</v>
      </c>
      <c r="Y83" s="122">
        <v>324.9999999999643</v>
      </c>
      <c r="Z83" s="122">
        <v>200.00000000007739</v>
      </c>
      <c r="AA83" s="122">
        <v>1000.0000000020035</v>
      </c>
      <c r="AB83" s="122">
        <v>1499.9999999989695</v>
      </c>
      <c r="AC83" s="122">
        <v>1000.0000000020035</v>
      </c>
      <c r="AD83" s="122">
        <v>1499.9999999989695</v>
      </c>
      <c r="AE83" s="122">
        <v>4092.9999999995316</v>
      </c>
      <c r="AF83" s="122">
        <v>262.57999999997031</v>
      </c>
      <c r="AG83" s="122">
        <v>9132.9999999989413</v>
      </c>
      <c r="AH83" s="122">
        <v>2436.0352671645906</v>
      </c>
      <c r="AI83" s="122">
        <v>5000.0100000008242</v>
      </c>
      <c r="AJ83" s="122">
        <v>38999.999998983862</v>
      </c>
      <c r="AK83" s="122">
        <v>7970.0000000000127</v>
      </c>
      <c r="AL83" s="122">
        <v>11421.999999998685</v>
      </c>
      <c r="AM83" s="122">
        <v>12100.000000000007</v>
      </c>
      <c r="AN83" s="122">
        <v>3205.9999999996321</v>
      </c>
      <c r="AO83" s="122">
        <v>1277.9999999998536</v>
      </c>
      <c r="AP83" s="122">
        <v>340.98999999997511</v>
      </c>
      <c r="AQ83" s="122">
        <v>1350.0100000000286</v>
      </c>
      <c r="AR83" s="122">
        <v>11798.999999998641</v>
      </c>
      <c r="AS83" s="122">
        <v>31235.302148767347</v>
      </c>
      <c r="AT83" s="122">
        <v>86579.461571808948</v>
      </c>
      <c r="AU83" s="122">
        <v>86847.50944045253</v>
      </c>
      <c r="AV83" s="122">
        <v>94620.897631110318</v>
      </c>
      <c r="AW83" s="122">
        <v>4657.697851232725</v>
      </c>
      <c r="AX83" s="122">
        <v>25877.745896411368</v>
      </c>
      <c r="AY83" s="122">
        <v>1528.9999999998242</v>
      </c>
      <c r="AZ83" s="122">
        <v>428.41999999995073</v>
      </c>
      <c r="BA83" s="122">
        <v>1103.7248207170044</v>
      </c>
      <c r="BB83" s="122">
        <v>1300.0000000005807</v>
      </c>
      <c r="BC83" s="122">
        <v>16199.999998970494</v>
      </c>
      <c r="BD83" s="122">
        <v>633.9999999999269</v>
      </c>
      <c r="BE83" s="122">
        <v>680.52928286844724</v>
      </c>
      <c r="BF83" s="122">
        <v>550.00999999974533</v>
      </c>
      <c r="BG83" s="122">
        <v>12296.800000006155</v>
      </c>
    </row>
    <row r="84" spans="1:59" x14ac:dyDescent="0.25">
      <c r="A84" s="1">
        <v>38717.999305555553</v>
      </c>
      <c r="B84" s="3">
        <v>1247.010000000537</v>
      </c>
      <c r="C84" s="3">
        <v>1746.8500000002621</v>
      </c>
      <c r="D84" s="3">
        <v>2261.1200000002882</v>
      </c>
      <c r="E84" s="3">
        <v>5370.3499999989081</v>
      </c>
      <c r="F84" s="3">
        <v>996.68000000011409</v>
      </c>
      <c r="G84" s="3">
        <v>2334.4100000015378</v>
      </c>
      <c r="H84" s="3">
        <v>283.99999999996743</v>
      </c>
      <c r="I84" s="3">
        <v>2499.9900000012822</v>
      </c>
      <c r="J84" s="3">
        <v>2499.9900000012672</v>
      </c>
      <c r="K84" s="3">
        <v>12489.999999998568</v>
      </c>
      <c r="L84" s="3">
        <v>900.00000000000034</v>
      </c>
      <c r="M84" s="3">
        <v>3659.1999999995969</v>
      </c>
      <c r="N84" s="3">
        <v>13916.560000015921</v>
      </c>
      <c r="O84" s="122">
        <v>11987.800000005504</v>
      </c>
      <c r="P84" s="122">
        <v>673.3700000003422</v>
      </c>
      <c r="Q84" s="122">
        <v>0</v>
      </c>
      <c r="R84" s="122">
        <v>2294.4700000004405</v>
      </c>
      <c r="S84" s="122">
        <v>1591.6899999993404</v>
      </c>
      <c r="T84" s="122">
        <v>504.47000000016385</v>
      </c>
      <c r="U84" s="122">
        <v>419.22999999996358</v>
      </c>
      <c r="V84" s="122">
        <v>5739.9700000027269</v>
      </c>
      <c r="W84" s="122">
        <v>899.98999999967975</v>
      </c>
      <c r="X84" s="122">
        <v>849.98999999941839</v>
      </c>
      <c r="Y84" s="122">
        <v>324.9999999999643</v>
      </c>
      <c r="Z84" s="122">
        <v>200.00000000007739</v>
      </c>
      <c r="AA84" s="122">
        <v>1000.0000000020067</v>
      </c>
      <c r="AB84" s="122">
        <v>1499.999999998952</v>
      </c>
      <c r="AC84" s="122">
        <v>1000.0000000020067</v>
      </c>
      <c r="AD84" s="122">
        <v>1499.999999998952</v>
      </c>
      <c r="AE84" s="122">
        <v>4185.9999999995171</v>
      </c>
      <c r="AF84" s="122">
        <v>261.05999999997044</v>
      </c>
      <c r="AG84" s="122">
        <v>9351.9999999989232</v>
      </c>
      <c r="AH84" s="122">
        <v>2426.1376266416155</v>
      </c>
      <c r="AI84" s="122">
        <v>5000.0100000008242</v>
      </c>
      <c r="AJ84" s="122">
        <v>38999.999998983854</v>
      </c>
      <c r="AK84" s="122">
        <v>7970</v>
      </c>
      <c r="AL84" s="122">
        <v>11450.999999998678</v>
      </c>
      <c r="AM84" s="122">
        <v>12099.999999999998</v>
      </c>
      <c r="AN84" s="122">
        <v>3336.9999999996157</v>
      </c>
      <c r="AO84" s="122">
        <v>1312.9999999998493</v>
      </c>
      <c r="AP84" s="122">
        <v>340.98999999997505</v>
      </c>
      <c r="AQ84" s="122">
        <v>1350.0100000000286</v>
      </c>
      <c r="AR84" s="122">
        <v>11673.999999998652</v>
      </c>
      <c r="AS84" s="122">
        <v>31248.028099180548</v>
      </c>
      <c r="AT84" s="122">
        <v>88245.68076925003</v>
      </c>
      <c r="AU84" s="122">
        <v>88518.887211259818</v>
      </c>
      <c r="AV84" s="122">
        <v>96441.874029551749</v>
      </c>
      <c r="AW84" s="122">
        <v>4644.9719008195216</v>
      </c>
      <c r="AX84" s="122">
        <v>25391.286932268005</v>
      </c>
      <c r="AY84" s="122">
        <v>1647.9999999998106</v>
      </c>
      <c r="AZ84" s="122">
        <v>425.9399999999514</v>
      </c>
      <c r="BA84" s="122">
        <v>1082.976613545691</v>
      </c>
      <c r="BB84" s="122">
        <v>1300.0000000005809</v>
      </c>
      <c r="BC84" s="122">
        <v>16199.99999897049</v>
      </c>
      <c r="BD84" s="122">
        <v>633.99999999992679</v>
      </c>
      <c r="BE84" s="122">
        <v>667.7364541831904</v>
      </c>
      <c r="BF84" s="122">
        <v>550.00999999974545</v>
      </c>
      <c r="BG84" s="122">
        <v>12296.800000006155</v>
      </c>
    </row>
    <row r="85" spans="1:59" x14ac:dyDescent="0.25">
      <c r="A85" s="1">
        <v>39082.999305555553</v>
      </c>
      <c r="B85" s="3">
        <v>1247.010000000537</v>
      </c>
      <c r="C85" s="3">
        <v>1746.8500000002621</v>
      </c>
      <c r="D85" s="3">
        <v>2261.1200000002882</v>
      </c>
      <c r="E85" s="3">
        <v>5370.3499999989081</v>
      </c>
      <c r="F85" s="3">
        <v>996.68000000011409</v>
      </c>
      <c r="G85" s="3">
        <v>2334.4100000015378</v>
      </c>
      <c r="H85" s="3">
        <v>274.99999999996851</v>
      </c>
      <c r="I85" s="3">
        <v>2499.9900000012822</v>
      </c>
      <c r="J85" s="3">
        <v>2499.9900000012672</v>
      </c>
      <c r="K85" s="3">
        <v>12038.99999999861</v>
      </c>
      <c r="L85" s="3">
        <v>899.99999999999955</v>
      </c>
      <c r="M85" s="3">
        <v>3659.1999999995969</v>
      </c>
      <c r="N85" s="3">
        <v>13916.560000015921</v>
      </c>
      <c r="O85" s="122">
        <v>11987.800000005504</v>
      </c>
      <c r="P85" s="122">
        <v>673.3700000003422</v>
      </c>
      <c r="Q85" s="122">
        <v>0</v>
      </c>
      <c r="R85" s="122">
        <v>2294.4700000004405</v>
      </c>
      <c r="S85" s="122">
        <v>1591.6899999993404</v>
      </c>
      <c r="T85" s="122">
        <v>504.47000000016385</v>
      </c>
      <c r="U85" s="122">
        <v>419.22999999996358</v>
      </c>
      <c r="V85" s="122">
        <v>5739.9700000027269</v>
      </c>
      <c r="W85" s="122">
        <v>899.98999999967975</v>
      </c>
      <c r="X85" s="122">
        <v>849.98999999941839</v>
      </c>
      <c r="Y85" s="122">
        <v>324.9999999999643</v>
      </c>
      <c r="Z85" s="122">
        <v>200.00000000007739</v>
      </c>
      <c r="AA85" s="122">
        <v>1000.0000000020067</v>
      </c>
      <c r="AB85" s="122">
        <v>1499.999999998952</v>
      </c>
      <c r="AC85" s="122">
        <v>1000.0000000020067</v>
      </c>
      <c r="AD85" s="122">
        <v>1499.999999998952</v>
      </c>
      <c r="AE85" s="122">
        <v>4011.9999999995352</v>
      </c>
      <c r="AF85" s="122">
        <v>266.37999999996993</v>
      </c>
      <c r="AG85" s="122">
        <v>8948.9999999989705</v>
      </c>
      <c r="AH85" s="122">
        <v>2398.3426755289756</v>
      </c>
      <c r="AI85" s="122">
        <v>5000.0100000008242</v>
      </c>
      <c r="AJ85" s="122">
        <v>38999.999998983854</v>
      </c>
      <c r="AK85" s="122">
        <v>7969.9999999999955</v>
      </c>
      <c r="AL85" s="122">
        <v>11033.999999998741</v>
      </c>
      <c r="AM85" s="122">
        <v>12099.999999999995</v>
      </c>
      <c r="AN85" s="122">
        <v>3221.9999999996267</v>
      </c>
      <c r="AO85" s="122">
        <v>1073.9999999998765</v>
      </c>
      <c r="AP85" s="122">
        <v>340.98999999997505</v>
      </c>
      <c r="AQ85" s="122">
        <v>1350.0100000000286</v>
      </c>
      <c r="AR85" s="122">
        <v>12001.999999998619</v>
      </c>
      <c r="AS85" s="122">
        <v>31248.028099180548</v>
      </c>
      <c r="AT85" s="122">
        <v>84071.163175116308</v>
      </c>
      <c r="AU85" s="122">
        <v>84331.445414048358</v>
      </c>
      <c r="AV85" s="122">
        <v>91879.630343083467</v>
      </c>
      <c r="AW85" s="122">
        <v>4644.9719008195216</v>
      </c>
      <c r="AX85" s="122">
        <v>26326.784940236012</v>
      </c>
      <c r="AY85" s="122">
        <v>1524.9999999998251</v>
      </c>
      <c r="AZ85" s="122">
        <v>434.61999999994879</v>
      </c>
      <c r="BA85" s="122">
        <v>1122.8770119520623</v>
      </c>
      <c r="BB85" s="122">
        <v>1300.0000000005809</v>
      </c>
      <c r="BC85" s="122">
        <v>16199.99999897049</v>
      </c>
      <c r="BD85" s="122">
        <v>608.99999999993008</v>
      </c>
      <c r="BE85" s="122">
        <v>692.33804780868513</v>
      </c>
      <c r="BF85" s="122">
        <v>550.00999999974545</v>
      </c>
      <c r="BG85" s="122">
        <v>12296.800000006155</v>
      </c>
    </row>
    <row r="86" spans="1:59" x14ac:dyDescent="0.25">
      <c r="A86" s="1">
        <v>39447.999305555553</v>
      </c>
      <c r="B86" s="3">
        <v>1247.010000000537</v>
      </c>
      <c r="C86" s="3">
        <v>1746.8500000002621</v>
      </c>
      <c r="D86" s="3">
        <v>2261.1200000002882</v>
      </c>
      <c r="E86" s="3">
        <v>5370.3499999989081</v>
      </c>
      <c r="F86" s="3">
        <v>996.68000000011409</v>
      </c>
      <c r="G86" s="3">
        <v>2334.4100000015378</v>
      </c>
      <c r="H86" s="3">
        <v>287.99999999996692</v>
      </c>
      <c r="I86" s="3">
        <v>2499.9900000012822</v>
      </c>
      <c r="J86" s="3">
        <v>2499.9900000012672</v>
      </c>
      <c r="K86" s="3">
        <v>12759.999999998538</v>
      </c>
      <c r="L86" s="3">
        <v>899.99999999999943</v>
      </c>
      <c r="M86" s="3">
        <v>3659.1999999995969</v>
      </c>
      <c r="N86" s="3">
        <v>13916.560000015921</v>
      </c>
      <c r="O86" s="122">
        <v>11987.800000005504</v>
      </c>
      <c r="P86" s="122">
        <v>673.3700000003422</v>
      </c>
      <c r="Q86" s="122">
        <v>0</v>
      </c>
      <c r="R86" s="122">
        <v>2294.4700000004405</v>
      </c>
      <c r="S86" s="122">
        <v>1591.6899999993404</v>
      </c>
      <c r="T86" s="122">
        <v>504.47000000016385</v>
      </c>
      <c r="U86" s="122">
        <v>419.22999999996358</v>
      </c>
      <c r="V86" s="122">
        <v>5739.9700000027269</v>
      </c>
      <c r="W86" s="122">
        <v>899.98999999967975</v>
      </c>
      <c r="X86" s="122">
        <v>849.98999999941839</v>
      </c>
      <c r="Y86" s="122">
        <v>324.9999999999643</v>
      </c>
      <c r="Z86" s="122">
        <v>200.00000000007739</v>
      </c>
      <c r="AA86" s="122">
        <v>1000.0000000020067</v>
      </c>
      <c r="AB86" s="122">
        <v>1499.999999998952</v>
      </c>
      <c r="AC86" s="122">
        <v>1000.0000000020067</v>
      </c>
      <c r="AD86" s="122">
        <v>1499.999999998952</v>
      </c>
      <c r="AE86" s="122">
        <v>4162.9999999995207</v>
      </c>
      <c r="AF86" s="122">
        <v>268.65999999996939</v>
      </c>
      <c r="AG86" s="122">
        <v>9353.9999999989213</v>
      </c>
      <c r="AH86" s="122">
        <v>2498.8629016973605</v>
      </c>
      <c r="AI86" s="122">
        <v>5000.0100000008242</v>
      </c>
      <c r="AJ86" s="122">
        <v>38999.999998983854</v>
      </c>
      <c r="AK86" s="122">
        <v>7970.0000000000127</v>
      </c>
      <c r="AL86" s="122">
        <v>11562.999999998672</v>
      </c>
      <c r="AM86" s="122">
        <v>12099.999999999989</v>
      </c>
      <c r="AN86" s="122">
        <v>3433.9999999996076</v>
      </c>
      <c r="AO86" s="122">
        <v>1299.9999999998502</v>
      </c>
      <c r="AP86" s="122">
        <v>340.98999999997505</v>
      </c>
      <c r="AQ86" s="122">
        <v>1350.0100000000286</v>
      </c>
      <c r="AR86" s="122">
        <v>12072.999999998616</v>
      </c>
      <c r="AS86" s="122">
        <v>31248.028099180548</v>
      </c>
      <c r="AT86" s="122">
        <v>85666.114157472723</v>
      </c>
      <c r="AU86" s="122">
        <v>85931.334325142947</v>
      </c>
      <c r="AV86" s="122">
        <v>93622.719187578448</v>
      </c>
      <c r="AW86" s="122">
        <v>4644.9719008195216</v>
      </c>
      <c r="AX86" s="122">
        <v>26529.788007965068</v>
      </c>
      <c r="AY86" s="122">
        <v>1735.9999999998001</v>
      </c>
      <c r="AZ86" s="122">
        <v>438.33999999995012</v>
      </c>
      <c r="BA86" s="122">
        <v>1131.5353984062442</v>
      </c>
      <c r="BB86" s="122">
        <v>1300.0000000005809</v>
      </c>
      <c r="BC86" s="122">
        <v>16199.99999897049</v>
      </c>
      <c r="BD86" s="122">
        <v>643.99999999992644</v>
      </c>
      <c r="BE86" s="122">
        <v>697.6765936254169</v>
      </c>
      <c r="BF86" s="122">
        <v>550.00999999974545</v>
      </c>
      <c r="BG86" s="122">
        <v>12296.800000006155</v>
      </c>
    </row>
    <row r="87" spans="1:59" x14ac:dyDescent="0.25">
      <c r="A87" s="1">
        <v>39813.999305555553</v>
      </c>
      <c r="B87" s="3">
        <v>1247.010000000537</v>
      </c>
      <c r="C87" s="3">
        <v>1746.8500000002621</v>
      </c>
      <c r="D87" s="3">
        <v>2261.1200000002882</v>
      </c>
      <c r="E87" s="3">
        <v>5370.3499999989081</v>
      </c>
      <c r="F87" s="3">
        <v>996.68000000011409</v>
      </c>
      <c r="G87" s="3">
        <v>2334.4100000015383</v>
      </c>
      <c r="H87" s="3">
        <v>254.99999999997075</v>
      </c>
      <c r="I87" s="3">
        <v>2499.9900000012822</v>
      </c>
      <c r="J87" s="3">
        <v>2499.9900000012672</v>
      </c>
      <c r="K87" s="3">
        <v>11309.999999998698</v>
      </c>
      <c r="L87" s="3">
        <v>899.99999999999977</v>
      </c>
      <c r="M87" s="3">
        <v>3659.1999999995965</v>
      </c>
      <c r="N87" s="3">
        <v>13916.560000015921</v>
      </c>
      <c r="O87" s="122">
        <v>11987.800000005504</v>
      </c>
      <c r="P87" s="122">
        <v>673.3700000003422</v>
      </c>
      <c r="Q87" s="122">
        <v>0</v>
      </c>
      <c r="R87" s="122">
        <v>2294.4700000004405</v>
      </c>
      <c r="S87" s="122">
        <v>1591.6899999993404</v>
      </c>
      <c r="T87" s="122">
        <v>504.47000000016385</v>
      </c>
      <c r="U87" s="122">
        <v>419.22999999996358</v>
      </c>
      <c r="V87" s="122">
        <v>5739.970000002726</v>
      </c>
      <c r="W87" s="122">
        <v>899.98999999967964</v>
      </c>
      <c r="X87" s="122">
        <v>849.98999999941861</v>
      </c>
      <c r="Y87" s="122">
        <v>324.9999999999643</v>
      </c>
      <c r="Z87" s="122">
        <v>200.00000000007739</v>
      </c>
      <c r="AA87" s="122">
        <v>1000.0000000020035</v>
      </c>
      <c r="AB87" s="122">
        <v>1499.9999999989695</v>
      </c>
      <c r="AC87" s="122">
        <v>1000.0000000020035</v>
      </c>
      <c r="AD87" s="122">
        <v>1499.9999999989695</v>
      </c>
      <c r="AE87" s="122">
        <v>3903.9999999995503</v>
      </c>
      <c r="AF87" s="122">
        <v>265.23999999997011</v>
      </c>
      <c r="AG87" s="122">
        <v>8945.9999999989632</v>
      </c>
      <c r="AH87" s="122">
        <v>2407.8462152426387</v>
      </c>
      <c r="AI87" s="122">
        <v>5000.0100000008242</v>
      </c>
      <c r="AJ87" s="122">
        <v>38999.999998983862</v>
      </c>
      <c r="AK87" s="122">
        <v>7969.9999999999991</v>
      </c>
      <c r="AL87" s="122">
        <v>10202.999999998818</v>
      </c>
      <c r="AM87" s="122">
        <v>12100.000000000007</v>
      </c>
      <c r="AN87" s="122">
        <v>3049.9999999996498</v>
      </c>
      <c r="AO87" s="122">
        <v>1266.9999999998538</v>
      </c>
      <c r="AP87" s="122">
        <v>340.98999999997511</v>
      </c>
      <c r="AQ87" s="122">
        <v>1350.0100000000286</v>
      </c>
      <c r="AR87" s="122">
        <v>11939.999999998623</v>
      </c>
      <c r="AS87" s="122">
        <v>31235.302148767347</v>
      </c>
      <c r="AT87" s="122">
        <v>76473.072567362353</v>
      </c>
      <c r="AU87" s="122">
        <v>76709.831305961721</v>
      </c>
      <c r="AV87" s="122">
        <v>83575.83472532194</v>
      </c>
      <c r="AW87" s="122">
        <v>4657.697851232725</v>
      </c>
      <c r="AX87" s="122">
        <v>26096.65243027587</v>
      </c>
      <c r="AY87" s="122">
        <v>1731.9999999998022</v>
      </c>
      <c r="AZ87" s="122">
        <v>432.75999999994934</v>
      </c>
      <c r="BA87" s="122">
        <v>1113.0615139440952</v>
      </c>
      <c r="BB87" s="122">
        <v>1300.0000000005807</v>
      </c>
      <c r="BC87" s="122">
        <v>16199.999998970494</v>
      </c>
      <c r="BD87" s="122">
        <v>570.99999999993429</v>
      </c>
      <c r="BE87" s="122">
        <v>686.28605577681367</v>
      </c>
      <c r="BF87" s="122">
        <v>550.00999999974533</v>
      </c>
      <c r="BG87" s="122">
        <v>12296.800000006155</v>
      </c>
    </row>
    <row r="88" spans="1:59" x14ac:dyDescent="0.25">
      <c r="A88" s="1">
        <v>40178.999305555553</v>
      </c>
      <c r="B88" s="3">
        <v>1247.010000000537</v>
      </c>
      <c r="C88" s="3">
        <v>1746.8500000002621</v>
      </c>
      <c r="D88" s="3">
        <v>2261.1200000002882</v>
      </c>
      <c r="E88" s="3">
        <v>5370.3499999989081</v>
      </c>
      <c r="F88" s="3">
        <v>996.68000000011409</v>
      </c>
      <c r="G88" s="3">
        <v>2334.4100000015378</v>
      </c>
      <c r="H88" s="3">
        <v>282.99999999996754</v>
      </c>
      <c r="I88" s="3">
        <v>2499.9900000012822</v>
      </c>
      <c r="J88" s="3">
        <v>2499.9900000012672</v>
      </c>
      <c r="K88" s="3">
        <v>12496.999999998572</v>
      </c>
      <c r="L88" s="3">
        <v>899.99999999999977</v>
      </c>
      <c r="M88" s="3">
        <v>3659.1999999995969</v>
      </c>
      <c r="N88" s="3">
        <v>13916.560000015921</v>
      </c>
      <c r="O88" s="122">
        <v>11987.800000005504</v>
      </c>
      <c r="P88" s="122">
        <v>673.3700000003422</v>
      </c>
      <c r="Q88" s="122">
        <v>271.04580519297861</v>
      </c>
      <c r="R88" s="122">
        <v>2294.4700000004405</v>
      </c>
      <c r="S88" s="122">
        <v>1591.6899999993404</v>
      </c>
      <c r="T88" s="122">
        <v>504.47000000016385</v>
      </c>
      <c r="U88" s="122">
        <v>419.22999999996358</v>
      </c>
      <c r="V88" s="122">
        <v>5739.9700000027269</v>
      </c>
      <c r="W88" s="122">
        <v>899.98999999967975</v>
      </c>
      <c r="X88" s="122">
        <v>849.98999999941839</v>
      </c>
      <c r="Y88" s="122">
        <v>324.9999999999643</v>
      </c>
      <c r="Z88" s="122">
        <v>200.00000000007739</v>
      </c>
      <c r="AA88" s="122">
        <v>1000.0000000020067</v>
      </c>
      <c r="AB88" s="122">
        <v>1499.999999998952</v>
      </c>
      <c r="AC88" s="122">
        <v>1000.0000000020067</v>
      </c>
      <c r="AD88" s="122">
        <v>1499.999999998952</v>
      </c>
      <c r="AE88" s="122">
        <v>4135.9999999995225</v>
      </c>
      <c r="AF88" s="122">
        <v>268.65999999996933</v>
      </c>
      <c r="AG88" s="122">
        <v>9019.9999999989577</v>
      </c>
      <c r="AH88" s="122">
        <v>2495.9298800432625</v>
      </c>
      <c r="AI88" s="122">
        <v>5000.0100000008242</v>
      </c>
      <c r="AJ88" s="122">
        <v>38999.999998983854</v>
      </c>
      <c r="AK88" s="122">
        <v>7970.0000000000091</v>
      </c>
      <c r="AL88" s="122">
        <v>11359.999999998685</v>
      </c>
      <c r="AM88" s="122">
        <v>12099.999999999998</v>
      </c>
      <c r="AN88" s="122">
        <v>3051.9999999996476</v>
      </c>
      <c r="AO88" s="122">
        <v>1123.9999999998715</v>
      </c>
      <c r="AP88" s="122">
        <v>340.98999999997505</v>
      </c>
      <c r="AQ88" s="122">
        <v>1350.0100000000286</v>
      </c>
      <c r="AR88" s="122">
        <v>12112.999999998607</v>
      </c>
      <c r="AS88" s="122">
        <v>31248.028099180548</v>
      </c>
      <c r="AT88" s="122">
        <v>84293.917508027211</v>
      </c>
      <c r="AU88" s="122">
        <v>84554.889388857293</v>
      </c>
      <c r="AV88" s="122">
        <v>92123.073932921121</v>
      </c>
      <c r="AW88" s="122">
        <v>4644.9719008195216</v>
      </c>
      <c r="AX88" s="122">
        <v>26586.853386451134</v>
      </c>
      <c r="AY88" s="122">
        <v>1675.9999999998079</v>
      </c>
      <c r="AZ88" s="122">
        <v>438.33999999994847</v>
      </c>
      <c r="BA88" s="122">
        <v>1133.9693227090322</v>
      </c>
      <c r="BB88" s="122">
        <v>1300.0000000005809</v>
      </c>
      <c r="BC88" s="122">
        <v>16199.99999897049</v>
      </c>
      <c r="BD88" s="122">
        <v>633.99999999992735</v>
      </c>
      <c r="BE88" s="122">
        <v>699.17729083657309</v>
      </c>
      <c r="BF88" s="122">
        <v>550.00999999974545</v>
      </c>
      <c r="BG88" s="122">
        <v>12296.800000006155</v>
      </c>
    </row>
    <row r="89" spans="1:59" x14ac:dyDescent="0.25">
      <c r="A89" s="1">
        <v>40543.999305555553</v>
      </c>
      <c r="B89" s="3">
        <v>1247.010000000537</v>
      </c>
      <c r="C89" s="3">
        <v>1746.8500000002621</v>
      </c>
      <c r="D89" s="3">
        <v>2261.1200000002882</v>
      </c>
      <c r="E89" s="3">
        <v>5370.3499999989081</v>
      </c>
      <c r="F89" s="3">
        <v>996.68000000011409</v>
      </c>
      <c r="G89" s="3">
        <v>2334.4100000015378</v>
      </c>
      <c r="H89" s="3">
        <v>265.99999999996942</v>
      </c>
      <c r="I89" s="3">
        <v>2499.9900000012822</v>
      </c>
      <c r="J89" s="3">
        <v>2499.9900000012672</v>
      </c>
      <c r="K89" s="3">
        <v>11718.99999999865</v>
      </c>
      <c r="L89" s="3">
        <v>899.99999999999977</v>
      </c>
      <c r="M89" s="3">
        <v>3659.1999999995969</v>
      </c>
      <c r="N89" s="3">
        <v>13916.560000015921</v>
      </c>
      <c r="O89" s="122">
        <v>11987.800000005504</v>
      </c>
      <c r="P89" s="122">
        <v>673.3700000003422</v>
      </c>
      <c r="Q89" s="122">
        <v>67.037419354818937</v>
      </c>
      <c r="R89" s="122">
        <v>2294.4700000004405</v>
      </c>
      <c r="S89" s="122">
        <v>1591.6899999993404</v>
      </c>
      <c r="T89" s="122">
        <v>504.47000000016385</v>
      </c>
      <c r="U89" s="122">
        <v>419.22999999996358</v>
      </c>
      <c r="V89" s="122">
        <v>5739.9700000027269</v>
      </c>
      <c r="W89" s="122">
        <v>899.98999999967975</v>
      </c>
      <c r="X89" s="122">
        <v>849.98999999941839</v>
      </c>
      <c r="Y89" s="122">
        <v>324.9999999999643</v>
      </c>
      <c r="Z89" s="122">
        <v>200.00000000007739</v>
      </c>
      <c r="AA89" s="122">
        <v>1000.0000000020067</v>
      </c>
      <c r="AB89" s="122">
        <v>1499.999999998952</v>
      </c>
      <c r="AC89" s="122">
        <v>1000.0000000020067</v>
      </c>
      <c r="AD89" s="122">
        <v>1499.999999998952</v>
      </c>
      <c r="AE89" s="122">
        <v>3842.9999999995562</v>
      </c>
      <c r="AF89" s="122">
        <v>278.91999999996739</v>
      </c>
      <c r="AG89" s="122">
        <v>9198.9999999989468</v>
      </c>
      <c r="AH89" s="122">
        <v>2277.2703181653965</v>
      </c>
      <c r="AI89" s="122">
        <v>5000.0100000008242</v>
      </c>
      <c r="AJ89" s="122">
        <v>38999.999998983854</v>
      </c>
      <c r="AK89" s="122">
        <v>7970.0000000000064</v>
      </c>
      <c r="AL89" s="122">
        <v>10698.999999998774</v>
      </c>
      <c r="AM89" s="122">
        <v>12099.999999999998</v>
      </c>
      <c r="AN89" s="122">
        <v>3094.9999999996417</v>
      </c>
      <c r="AO89" s="122">
        <v>1175.9999999998647</v>
      </c>
      <c r="AP89" s="122">
        <v>340.98999999997505</v>
      </c>
      <c r="AQ89" s="122">
        <v>1350.0100000000286</v>
      </c>
      <c r="AR89" s="122">
        <v>12514.999999998563</v>
      </c>
      <c r="AS89" s="122">
        <v>31248.028099180548</v>
      </c>
      <c r="AT89" s="122">
        <v>79825.82890744695</v>
      </c>
      <c r="AU89" s="122">
        <v>80072.967696634078</v>
      </c>
      <c r="AV89" s="122">
        <v>87239.992583061379</v>
      </c>
      <c r="AW89" s="122">
        <v>4644.9719008195216</v>
      </c>
      <c r="AX89" s="122">
        <v>27246.379482068591</v>
      </c>
      <c r="AY89" s="122">
        <v>1563.9999999998197</v>
      </c>
      <c r="AZ89" s="122">
        <v>455.07999999994701</v>
      </c>
      <c r="BA89" s="122">
        <v>1162.0991035855232</v>
      </c>
      <c r="BB89" s="122">
        <v>1300.0000000005809</v>
      </c>
      <c r="BC89" s="122">
        <v>16199.99999897049</v>
      </c>
      <c r="BD89" s="122">
        <v>593.99999999993145</v>
      </c>
      <c r="BE89" s="122">
        <v>716.52141434254679</v>
      </c>
      <c r="BF89" s="122">
        <v>550.00999999974545</v>
      </c>
      <c r="BG89" s="122">
        <v>12296.800000006155</v>
      </c>
    </row>
    <row r="90" spans="1:59" x14ac:dyDescent="0.25">
      <c r="A90" s="1">
        <v>40908.999305555553</v>
      </c>
      <c r="B90" s="3">
        <v>1247.010000000537</v>
      </c>
      <c r="C90" s="3">
        <v>1746.8500000002621</v>
      </c>
      <c r="D90" s="3">
        <v>2261.1200000002882</v>
      </c>
      <c r="E90" s="3">
        <v>5370.3499999989081</v>
      </c>
      <c r="F90" s="3">
        <v>996.68000000011409</v>
      </c>
      <c r="G90" s="3">
        <v>2334.4100000015378</v>
      </c>
      <c r="H90" s="3">
        <v>281.99999999996743</v>
      </c>
      <c r="I90" s="3">
        <v>2499.9900000012822</v>
      </c>
      <c r="J90" s="3">
        <v>2499.9900000012672</v>
      </c>
      <c r="K90" s="3">
        <v>12430.99999999857</v>
      </c>
      <c r="L90" s="3">
        <v>899.99999999999977</v>
      </c>
      <c r="M90" s="3">
        <v>3659.1999999995969</v>
      </c>
      <c r="N90" s="3">
        <v>13916.560000015921</v>
      </c>
      <c r="O90" s="122">
        <v>11987.800000005504</v>
      </c>
      <c r="P90" s="122">
        <v>673.3700000003422</v>
      </c>
      <c r="Q90" s="122">
        <v>82.060645161384812</v>
      </c>
      <c r="R90" s="122">
        <v>2294.4700000004405</v>
      </c>
      <c r="S90" s="122">
        <v>1591.6899999993404</v>
      </c>
      <c r="T90" s="122">
        <v>504.47000000016385</v>
      </c>
      <c r="U90" s="122">
        <v>419.22999999996358</v>
      </c>
      <c r="V90" s="122">
        <v>5739.9700000027269</v>
      </c>
      <c r="W90" s="122">
        <v>899.98999999967975</v>
      </c>
      <c r="X90" s="122">
        <v>849.98999999941839</v>
      </c>
      <c r="Y90" s="122">
        <v>324.9999999999643</v>
      </c>
      <c r="Z90" s="122">
        <v>200.00000000007739</v>
      </c>
      <c r="AA90" s="122">
        <v>1000.0000000020067</v>
      </c>
      <c r="AB90" s="122">
        <v>1499.999999998952</v>
      </c>
      <c r="AC90" s="122">
        <v>1000.0000000020067</v>
      </c>
      <c r="AD90" s="122">
        <v>1499.999999998952</v>
      </c>
      <c r="AE90" s="122">
        <v>3914.9999999995503</v>
      </c>
      <c r="AF90" s="122">
        <v>276.25999999996804</v>
      </c>
      <c r="AG90" s="122">
        <v>9366.9999999989268</v>
      </c>
      <c r="AH90" s="122">
        <v>2338.5248407584609</v>
      </c>
      <c r="AI90" s="122">
        <v>5000.0100000008242</v>
      </c>
      <c r="AJ90" s="122">
        <v>38999.999998983854</v>
      </c>
      <c r="AK90" s="122">
        <v>7970.0000000000045</v>
      </c>
      <c r="AL90" s="122">
        <v>11339.999999998698</v>
      </c>
      <c r="AM90" s="122">
        <v>12099.999999999998</v>
      </c>
      <c r="AN90" s="122">
        <v>3129.9999999996385</v>
      </c>
      <c r="AO90" s="122">
        <v>1170.9999999998661</v>
      </c>
      <c r="AP90" s="122">
        <v>340.98999999997505</v>
      </c>
      <c r="AQ90" s="122">
        <v>1350.0100000000286</v>
      </c>
      <c r="AR90" s="122">
        <v>12333.999999998579</v>
      </c>
      <c r="AS90" s="122">
        <v>31248.028099180548</v>
      </c>
      <c r="AT90" s="122">
        <v>84158.725719520386</v>
      </c>
      <c r="AU90" s="122">
        <v>84419.279049921519</v>
      </c>
      <c r="AV90" s="122">
        <v>91975.325631549989</v>
      </c>
      <c r="AW90" s="122">
        <v>4644.9719008195216</v>
      </c>
      <c r="AX90" s="122">
        <v>26885.27725099292</v>
      </c>
      <c r="AY90" s="122">
        <v>1595.9999999998154</v>
      </c>
      <c r="AZ90" s="122">
        <v>450.73999999994669</v>
      </c>
      <c r="BA90" s="122">
        <v>1146.6975498006639</v>
      </c>
      <c r="BB90" s="122">
        <v>1300.0000000005809</v>
      </c>
      <c r="BC90" s="122">
        <v>16199.99999897049</v>
      </c>
      <c r="BD90" s="122">
        <v>630.99999999992815</v>
      </c>
      <c r="BE90" s="122">
        <v>707.0251992031059</v>
      </c>
      <c r="BF90" s="122">
        <v>550.00999999974545</v>
      </c>
      <c r="BG90" s="122">
        <v>12296.800000006155</v>
      </c>
    </row>
    <row r="91" spans="1:59" x14ac:dyDescent="0.25">
      <c r="A91" s="1">
        <v>41274.999305555553</v>
      </c>
      <c r="B91" s="3">
        <v>1247.010000000537</v>
      </c>
      <c r="C91" s="3">
        <v>1746.8500000002621</v>
      </c>
      <c r="D91" s="3">
        <v>2261.1200000002882</v>
      </c>
      <c r="E91" s="3">
        <v>5370.3499999989081</v>
      </c>
      <c r="F91" s="3">
        <v>996.68000000011409</v>
      </c>
      <c r="G91" s="3">
        <v>2334.4100000015383</v>
      </c>
      <c r="H91" s="3">
        <v>301.9999999999651</v>
      </c>
      <c r="I91" s="3">
        <v>2499.9900000012822</v>
      </c>
      <c r="J91" s="3">
        <v>2499.9900000012672</v>
      </c>
      <c r="K91" s="3">
        <v>13401.999999998467</v>
      </c>
      <c r="L91" s="3">
        <v>899.99999999999977</v>
      </c>
      <c r="M91" s="3">
        <v>3659.1999999995965</v>
      </c>
      <c r="N91" s="3">
        <v>13916.560000015921</v>
      </c>
      <c r="O91" s="122">
        <v>11987.800000005504</v>
      </c>
      <c r="P91" s="122">
        <v>673.3700000003422</v>
      </c>
      <c r="Q91" s="122">
        <v>502.92034869900488</v>
      </c>
      <c r="R91" s="122">
        <v>2294.4700000004405</v>
      </c>
      <c r="S91" s="122">
        <v>1591.6899999993404</v>
      </c>
      <c r="T91" s="122">
        <v>504.47000000016385</v>
      </c>
      <c r="U91" s="122">
        <v>419.22999999996358</v>
      </c>
      <c r="V91" s="122">
        <v>5739.970000002726</v>
      </c>
      <c r="W91" s="122">
        <v>899.98999999967964</v>
      </c>
      <c r="X91" s="122">
        <v>849.98999999941861</v>
      </c>
      <c r="Y91" s="122">
        <v>324.9999999999643</v>
      </c>
      <c r="Z91" s="122">
        <v>200.00000000007739</v>
      </c>
      <c r="AA91" s="122">
        <v>1000.0000000020035</v>
      </c>
      <c r="AB91" s="122">
        <v>1499.9999999989695</v>
      </c>
      <c r="AC91" s="122">
        <v>1000.0000000020035</v>
      </c>
      <c r="AD91" s="122">
        <v>1499.9999999989695</v>
      </c>
      <c r="AE91" s="122">
        <v>4569.9999999994716</v>
      </c>
      <c r="AF91" s="122">
        <v>299.81999999996515</v>
      </c>
      <c r="AG91" s="122">
        <v>10895.999999998747</v>
      </c>
      <c r="AH91" s="122">
        <v>2740.9311423240415</v>
      </c>
      <c r="AI91" s="122">
        <v>5000.0100000008242</v>
      </c>
      <c r="AJ91" s="122">
        <v>38999.999998983862</v>
      </c>
      <c r="AK91" s="122">
        <v>7970.0000000000018</v>
      </c>
      <c r="AL91" s="122">
        <v>12169.999999998592</v>
      </c>
      <c r="AM91" s="122">
        <v>12100.000000000007</v>
      </c>
      <c r="AN91" s="122">
        <v>3372.9999999996107</v>
      </c>
      <c r="AO91" s="122">
        <v>1514.9999999998254</v>
      </c>
      <c r="AP91" s="122">
        <v>340.98999999997511</v>
      </c>
      <c r="AQ91" s="122">
        <v>1350.0100000000286</v>
      </c>
      <c r="AR91" s="122">
        <v>13498.999999998439</v>
      </c>
      <c r="AS91" s="122">
        <v>31235.302148767347</v>
      </c>
      <c r="AT91" s="122">
        <v>89769.184931919619</v>
      </c>
      <c r="AU91" s="122">
        <v>90047.108105083375</v>
      </c>
      <c r="AV91" s="122">
        <v>98106.880126834832</v>
      </c>
      <c r="AW91" s="122">
        <v>4657.697851232725</v>
      </c>
      <c r="AX91" s="122">
        <v>29612.253944219698</v>
      </c>
      <c r="AY91" s="122">
        <v>1875.9999999997838</v>
      </c>
      <c r="AZ91" s="122">
        <v>489.17999999994237</v>
      </c>
      <c r="BA91" s="122">
        <v>1263.007211155234</v>
      </c>
      <c r="BB91" s="122">
        <v>1300.0000000005807</v>
      </c>
      <c r="BC91" s="122">
        <v>16199.999998970494</v>
      </c>
      <c r="BD91" s="122">
        <v>677.99999999992201</v>
      </c>
      <c r="BE91" s="122">
        <v>778.73884462142507</v>
      </c>
      <c r="BF91" s="122">
        <v>550.00999999974533</v>
      </c>
      <c r="BG91" s="122">
        <v>12296.800000006155</v>
      </c>
    </row>
    <row r="92" spans="1:59" x14ac:dyDescent="0.25">
      <c r="A92" s="1">
        <v>41639.999305555553</v>
      </c>
      <c r="B92" s="493" t="s">
        <v>678</v>
      </c>
      <c r="C92" s="493" t="s">
        <v>678</v>
      </c>
      <c r="D92" s="493" t="s">
        <v>678</v>
      </c>
      <c r="E92" s="493" t="s">
        <v>678</v>
      </c>
      <c r="F92" s="493" t="s">
        <v>678</v>
      </c>
      <c r="G92" s="493" t="s">
        <v>678</v>
      </c>
      <c r="H92" s="493" t="s">
        <v>678</v>
      </c>
      <c r="I92" s="493" t="s">
        <v>678</v>
      </c>
      <c r="J92" s="493" t="s">
        <v>678</v>
      </c>
      <c r="K92" s="493" t="s">
        <v>678</v>
      </c>
      <c r="L92" s="493" t="s">
        <v>678</v>
      </c>
      <c r="M92" s="493" t="s">
        <v>678</v>
      </c>
      <c r="N92" s="493" t="s">
        <v>678</v>
      </c>
      <c r="O92" s="493" t="s">
        <v>678</v>
      </c>
      <c r="P92" s="493" t="s">
        <v>678</v>
      </c>
      <c r="Q92" s="493" t="s">
        <v>678</v>
      </c>
      <c r="R92" s="493" t="s">
        <v>678</v>
      </c>
      <c r="S92" s="493" t="s">
        <v>678</v>
      </c>
      <c r="T92" s="493" t="s">
        <v>678</v>
      </c>
      <c r="U92" s="493" t="s">
        <v>678</v>
      </c>
      <c r="V92" s="493" t="s">
        <v>678</v>
      </c>
      <c r="W92" s="493" t="s">
        <v>678</v>
      </c>
      <c r="X92" s="493" t="s">
        <v>678</v>
      </c>
      <c r="Y92" s="493" t="s">
        <v>678</v>
      </c>
      <c r="Z92" s="493" t="s">
        <v>678</v>
      </c>
      <c r="AA92" s="493" t="s">
        <v>678</v>
      </c>
      <c r="AB92" s="493" t="s">
        <v>678</v>
      </c>
      <c r="AC92" s="493" t="s">
        <v>678</v>
      </c>
      <c r="AD92" s="493" t="s">
        <v>678</v>
      </c>
      <c r="AE92" s="493" t="s">
        <v>678</v>
      </c>
      <c r="AF92" s="493" t="s">
        <v>678</v>
      </c>
      <c r="AG92" s="493" t="s">
        <v>678</v>
      </c>
      <c r="AH92" s="493" t="s">
        <v>678</v>
      </c>
      <c r="AI92" s="493" t="s">
        <v>678</v>
      </c>
      <c r="AJ92" s="493" t="s">
        <v>678</v>
      </c>
      <c r="AK92" s="493" t="s">
        <v>678</v>
      </c>
      <c r="AL92" s="493" t="s">
        <v>678</v>
      </c>
      <c r="AM92" s="493" t="s">
        <v>678</v>
      </c>
      <c r="AN92" s="493" t="s">
        <v>678</v>
      </c>
      <c r="AO92" s="493" t="s">
        <v>678</v>
      </c>
      <c r="AP92" s="493" t="s">
        <v>678</v>
      </c>
      <c r="AQ92" s="493" t="s">
        <v>678</v>
      </c>
      <c r="AR92" s="493" t="s">
        <v>678</v>
      </c>
      <c r="AS92" s="493" t="s">
        <v>678</v>
      </c>
      <c r="AT92" s="493" t="s">
        <v>678</v>
      </c>
      <c r="AU92" s="493" t="s">
        <v>678</v>
      </c>
      <c r="AV92" s="493" t="s">
        <v>678</v>
      </c>
      <c r="AW92" s="493" t="s">
        <v>678</v>
      </c>
      <c r="AX92" s="493" t="s">
        <v>678</v>
      </c>
      <c r="AY92" s="493" t="s">
        <v>678</v>
      </c>
      <c r="AZ92" s="493" t="s">
        <v>678</v>
      </c>
      <c r="BA92" s="493" t="s">
        <v>678</v>
      </c>
      <c r="BB92" s="493" t="s">
        <v>678</v>
      </c>
      <c r="BC92" s="493" t="s">
        <v>678</v>
      </c>
      <c r="BD92" s="493" t="s">
        <v>678</v>
      </c>
      <c r="BE92" s="493" t="s">
        <v>678</v>
      </c>
      <c r="BF92" s="493" t="s">
        <v>678</v>
      </c>
      <c r="BG92" s="493" t="s">
        <v>678</v>
      </c>
    </row>
    <row r="93" spans="1:59" x14ac:dyDescent="0.25">
      <c r="A93" s="1">
        <v>42004.999305555553</v>
      </c>
    </row>
    <row r="94" spans="1:59" x14ac:dyDescent="0.25">
      <c r="A94" s="1">
        <v>42369.999305555553</v>
      </c>
    </row>
    <row r="95" spans="1:59" x14ac:dyDescent="0.25">
      <c r="A95" s="1">
        <v>42735.999305555553</v>
      </c>
    </row>
    <row r="96" spans="1:59" x14ac:dyDescent="0.25">
      <c r="A96" s="1">
        <v>43100.999305555553</v>
      </c>
    </row>
    <row r="97" spans="1:1" x14ac:dyDescent="0.25">
      <c r="A97" s="1">
        <v>43465.999305555553</v>
      </c>
    </row>
    <row r="98" spans="1:1" x14ac:dyDescent="0.25">
      <c r="A98" s="1">
        <v>43830.999305555553</v>
      </c>
    </row>
    <row r="99" spans="1:1" x14ac:dyDescent="0.25">
      <c r="A99" s="1">
        <v>44196.999305555553</v>
      </c>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FB829-720A-42FD-ABB6-EE4F08D9DC7D}">
  <sheetPr codeName="Sheet11">
    <tabColor theme="9" tint="0.59996337778862885"/>
  </sheetPr>
  <dimension ref="A1:BG99"/>
  <sheetViews>
    <sheetView zoomScale="70" zoomScaleNormal="70" workbookViewId="0">
      <selection activeCell="B2" sqref="B2"/>
    </sheetView>
  </sheetViews>
  <sheetFormatPr defaultRowHeight="15" x14ac:dyDescent="0.25"/>
  <cols>
    <col min="1" max="1" width="18.140625" bestFit="1" customWidth="1"/>
    <col min="2" max="59" width="12.7109375" style="122" customWidth="1"/>
  </cols>
  <sheetData>
    <row r="1" spans="1:59" x14ac:dyDescent="0.25">
      <c r="A1" s="124" t="s">
        <v>290</v>
      </c>
      <c r="B1" s="125">
        <f t="shared" ref="B1:AG1" ca="1" si="0">AVERAGE(OFFSET(B$8,0,0,NumRunYears-1))</f>
        <v>2333.6753619925489</v>
      </c>
      <c r="C1" s="125">
        <f t="shared" ca="1" si="0"/>
        <v>3493.7000000005291</v>
      </c>
      <c r="D1" s="125">
        <f t="shared" ca="1" si="0"/>
        <v>4521.5601344665711</v>
      </c>
      <c r="E1" s="125">
        <f t="shared" ca="1" si="0"/>
        <v>10740.699999997831</v>
      </c>
      <c r="F1" s="125">
        <f t="shared" ca="1" si="0"/>
        <v>1993.2986143866644</v>
      </c>
      <c r="G1" s="125">
        <f t="shared" ca="1" si="0"/>
        <v>4668.8200000030774</v>
      </c>
      <c r="H1" s="125">
        <f t="shared" ca="1" si="0"/>
        <v>537.02380952374756</v>
      </c>
      <c r="I1" s="125">
        <f t="shared" ca="1" si="0"/>
        <v>4166.6500000021242</v>
      </c>
      <c r="J1" s="125">
        <f t="shared" ca="1" si="0"/>
        <v>4166.6500000021206</v>
      </c>
      <c r="K1" s="125">
        <f t="shared" ca="1" si="0"/>
        <v>17747.134994186632</v>
      </c>
      <c r="L1" s="125">
        <f t="shared" ca="1" si="0"/>
        <v>1794.1177659937696</v>
      </c>
      <c r="M1" s="125">
        <f t="shared" ca="1" si="0"/>
        <v>7318.3999999992011</v>
      </c>
      <c r="N1" s="125">
        <f t="shared" ca="1" si="0"/>
        <v>27833.120000031817</v>
      </c>
      <c r="O1" s="125">
        <f t="shared" ca="1" si="0"/>
        <v>23975.600000011029</v>
      </c>
      <c r="P1" s="125">
        <f t="shared" ca="1" si="0"/>
        <v>1346.740000000686</v>
      </c>
      <c r="Q1" s="125">
        <f t="shared" ca="1" si="0"/>
        <v>160.34463800852541</v>
      </c>
      <c r="R1" s="125">
        <f t="shared" ca="1" si="0"/>
        <v>4588.9400000008764</v>
      </c>
      <c r="S1" s="125">
        <f t="shared" ca="1" si="0"/>
        <v>3183.3799999986873</v>
      </c>
      <c r="T1" s="125">
        <f t="shared" ca="1" si="0"/>
        <v>1008.940000000327</v>
      </c>
      <c r="U1" s="125">
        <f t="shared" ca="1" si="0"/>
        <v>419.22999999996347</v>
      </c>
      <c r="V1" s="125">
        <f t="shared" ca="1" si="0"/>
        <v>11479.940000005441</v>
      </c>
      <c r="W1" s="125">
        <f t="shared" ca="1" si="0"/>
        <v>1499.9833333327997</v>
      </c>
      <c r="X1" s="125">
        <f t="shared" ca="1" si="0"/>
        <v>1416.6499999990297</v>
      </c>
      <c r="Y1" s="125">
        <f t="shared" ca="1" si="0"/>
        <v>541.6666666666066</v>
      </c>
      <c r="Z1" s="125">
        <f t="shared" ca="1" si="0"/>
        <v>333.33333333346332</v>
      </c>
      <c r="AA1" s="125">
        <f t="shared" ca="1" si="0"/>
        <v>998.01963990982131</v>
      </c>
      <c r="AB1" s="125">
        <f t="shared" ca="1" si="0"/>
        <v>1499.9999999989561</v>
      </c>
      <c r="AC1" s="125">
        <f t="shared" ca="1" si="0"/>
        <v>1000.0000000020068</v>
      </c>
      <c r="AD1" s="125">
        <f t="shared" ca="1" si="0"/>
        <v>1499.9999999989561</v>
      </c>
      <c r="AE1" s="125">
        <f t="shared" ca="1" si="0"/>
        <v>5408.8215613994007</v>
      </c>
      <c r="AF1" s="125">
        <f t="shared" ca="1" si="0"/>
        <v>487.19634478716648</v>
      </c>
      <c r="AG1" s="125">
        <f t="shared" ca="1" si="0"/>
        <v>17479.296533036166</v>
      </c>
      <c r="AH1" s="125">
        <f t="shared" ref="AH1:BG1" ca="1" si="1">AVERAGE(OFFSET(AH$8,0,0,NumRunYears-1))</f>
        <v>4582.6202883387659</v>
      </c>
      <c r="AI1" s="125">
        <f t="shared" ca="1" si="1"/>
        <v>8293.430261133155</v>
      </c>
      <c r="AJ1" s="125">
        <f t="shared" ca="1" si="1"/>
        <v>38813.175994733545</v>
      </c>
      <c r="AK1" s="125">
        <f t="shared" ca="1" si="1"/>
        <v>15769.750384368472</v>
      </c>
      <c r="AL1" s="125">
        <f t="shared" ca="1" si="1"/>
        <v>12756.385166437351</v>
      </c>
      <c r="AM1" s="125">
        <f t="shared" ca="1" si="1"/>
        <v>24081.925153203782</v>
      </c>
      <c r="AN1" s="125">
        <f t="shared" ca="1" si="1"/>
        <v>5852.0050596089477</v>
      </c>
      <c r="AO1" s="125">
        <f t="shared" ca="1" si="1"/>
        <v>2243.4761904759325</v>
      </c>
      <c r="AP1" s="125">
        <f t="shared" ca="1" si="1"/>
        <v>378.87777777775051</v>
      </c>
      <c r="AQ1" s="125">
        <f t="shared" ca="1" si="1"/>
        <v>1822.5776588466344</v>
      </c>
      <c r="AR1" s="125">
        <f t="shared" ca="1" si="1"/>
        <v>6648.8891364136043</v>
      </c>
      <c r="AS1" s="125">
        <f t="shared" ca="1" si="1"/>
        <v>32957.241479949</v>
      </c>
      <c r="AT1" s="125">
        <f t="shared" ca="1" si="1"/>
        <v>100020.84633569513</v>
      </c>
      <c r="AU1" s="125">
        <f t="shared" ca="1" si="1"/>
        <v>100330.50839865398</v>
      </c>
      <c r="AV1" s="125">
        <f t="shared" ca="1" si="1"/>
        <v>109310.70822445938</v>
      </c>
      <c r="AW1" s="125">
        <f t="shared" ca="1" si="1"/>
        <v>4625.9023050852666</v>
      </c>
      <c r="AX1" s="125">
        <f t="shared" ca="1" si="1"/>
        <v>41721.309156339223</v>
      </c>
      <c r="AY1" s="125">
        <f t="shared" ca="1" si="1"/>
        <v>2915.5354449468746</v>
      </c>
      <c r="AZ1" s="125">
        <f t="shared" ca="1" si="1"/>
        <v>669.15943795655392</v>
      </c>
      <c r="BA1" s="125">
        <f t="shared" ca="1" si="1"/>
        <v>1779.5981573493091</v>
      </c>
      <c r="BB1" s="125">
        <f t="shared" ca="1" si="1"/>
        <v>2166.6666666676492</v>
      </c>
      <c r="BC1" s="125">
        <f t="shared" ca="1" si="1"/>
        <v>16122.396181823256</v>
      </c>
      <c r="BD1" s="125">
        <f t="shared" ca="1" si="1"/>
        <v>1154.7355743911776</v>
      </c>
      <c r="BE1" s="125">
        <f t="shared" ca="1" si="1"/>
        <v>1097.2559781959044</v>
      </c>
      <c r="BF1" s="125">
        <f t="shared" ca="1" si="1"/>
        <v>916.6833333329123</v>
      </c>
      <c r="BG1" s="125">
        <f t="shared" ca="1" si="1"/>
        <v>12296.800000006129</v>
      </c>
    </row>
    <row r="2" spans="1:59" x14ac:dyDescent="0.25">
      <c r="A2" s="124" t="s">
        <v>291</v>
      </c>
      <c r="B2" s="125">
        <f t="shared" ref="B2:AG2" ca="1" si="2">MIN(OFFSET(B$8,0,0,NumRunYears-1))</f>
        <v>1081.0553333338607</v>
      </c>
      <c r="C2" s="125">
        <f t="shared" ca="1" si="2"/>
        <v>3493.7000000005241</v>
      </c>
      <c r="D2" s="125">
        <f t="shared" ca="1" si="2"/>
        <v>4466.9647201261723</v>
      </c>
      <c r="E2" s="125">
        <f t="shared" ca="1" si="2"/>
        <v>10740.699999997816</v>
      </c>
      <c r="F2" s="125">
        <f t="shared" ca="1" si="2"/>
        <v>1988.2036084608958</v>
      </c>
      <c r="G2" s="125">
        <f t="shared" ca="1" si="2"/>
        <v>4668.8200000030756</v>
      </c>
      <c r="H2" s="125">
        <f t="shared" ca="1" si="2"/>
        <v>403.99999999995333</v>
      </c>
      <c r="I2" s="125">
        <f t="shared" ca="1" si="2"/>
        <v>4166.6500000021297</v>
      </c>
      <c r="J2" s="125">
        <f t="shared" ca="1" si="2"/>
        <v>4166.6500000021233</v>
      </c>
      <c r="K2" s="125">
        <f t="shared" ca="1" si="2"/>
        <v>13160.543911049497</v>
      </c>
      <c r="L2" s="125">
        <f t="shared" ca="1" si="2"/>
        <v>1305.8923434766398</v>
      </c>
      <c r="M2" s="125">
        <f t="shared" ca="1" si="2"/>
        <v>7318.3999999991929</v>
      </c>
      <c r="N2" s="125">
        <f t="shared" ca="1" si="2"/>
        <v>27833.120000031842</v>
      </c>
      <c r="O2" s="125">
        <f t="shared" ca="1" si="2"/>
        <v>23975.600000011007</v>
      </c>
      <c r="P2" s="125">
        <f t="shared" ca="1" si="2"/>
        <v>1346.7400000006844</v>
      </c>
      <c r="Q2" s="125">
        <f t="shared" ca="1" si="2"/>
        <v>0</v>
      </c>
      <c r="R2" s="125">
        <f t="shared" ca="1" si="2"/>
        <v>4588.9400000008773</v>
      </c>
      <c r="S2" s="125">
        <f t="shared" ca="1" si="2"/>
        <v>3183.3799999986809</v>
      </c>
      <c r="T2" s="125">
        <f t="shared" ca="1" si="2"/>
        <v>1008.9400000003277</v>
      </c>
      <c r="U2" s="125">
        <f t="shared" ca="1" si="2"/>
        <v>419.22999999996358</v>
      </c>
      <c r="V2" s="125">
        <f t="shared" ca="1" si="2"/>
        <v>11479.940000005452</v>
      </c>
      <c r="W2" s="125">
        <f t="shared" ca="1" si="2"/>
        <v>1499.983333332802</v>
      </c>
      <c r="X2" s="125">
        <f t="shared" ca="1" si="2"/>
        <v>1416.6499999990265</v>
      </c>
      <c r="Y2" s="125">
        <f t="shared" ca="1" si="2"/>
        <v>541.66666666660728</v>
      </c>
      <c r="Z2" s="125">
        <f t="shared" ca="1" si="2"/>
        <v>333.33333333346354</v>
      </c>
      <c r="AA2" s="125">
        <f t="shared" ca="1" si="2"/>
        <v>908.39537485009691</v>
      </c>
      <c r="AB2" s="125">
        <f t="shared" ca="1" si="2"/>
        <v>1499.999999998952</v>
      </c>
      <c r="AC2" s="125">
        <f t="shared" ca="1" si="2"/>
        <v>1000.0000000020035</v>
      </c>
      <c r="AD2" s="125">
        <f t="shared" ca="1" si="2"/>
        <v>1499.999999998952</v>
      </c>
      <c r="AE2" s="125">
        <f t="shared" ca="1" si="2"/>
        <v>3898.2326111740108</v>
      </c>
      <c r="AF2" s="125">
        <f t="shared" ca="1" si="2"/>
        <v>18.000000000000007</v>
      </c>
      <c r="AG2" s="125">
        <f t="shared" ca="1" si="2"/>
        <v>12733.819766889465</v>
      </c>
      <c r="AH2" s="125">
        <f t="shared" ref="AH2:BG2" ca="1" si="3">MIN(OFFSET(AH$8,0,0,NumRunYears-1))</f>
        <v>3439.999999999603</v>
      </c>
      <c r="AI2" s="125">
        <f t="shared" ca="1" si="3"/>
        <v>4980.0919350710965</v>
      </c>
      <c r="AJ2" s="125">
        <f t="shared" ca="1" si="3"/>
        <v>23306.78364195428</v>
      </c>
      <c r="AK2" s="125">
        <f t="shared" ca="1" si="3"/>
        <v>11509.443316338855</v>
      </c>
      <c r="AL2" s="125">
        <f t="shared" ca="1" si="3"/>
        <v>9587.1886120985455</v>
      </c>
      <c r="AM2" s="125">
        <f t="shared" ca="1" si="3"/>
        <v>17528.616164350231</v>
      </c>
      <c r="AN2" s="125">
        <f t="shared" ca="1" si="3"/>
        <v>4270.0009401141979</v>
      </c>
      <c r="AO2" s="125">
        <f t="shared" ca="1" si="3"/>
        <v>1397.999999999839</v>
      </c>
      <c r="AP2" s="125">
        <f t="shared" ca="1" si="3"/>
        <v>378.87777777775057</v>
      </c>
      <c r="AQ2" s="125">
        <f t="shared" ca="1" si="3"/>
        <v>971.44691961292142</v>
      </c>
      <c r="AR2" s="125">
        <f t="shared" ca="1" si="3"/>
        <v>929.77487701855841</v>
      </c>
      <c r="AS2" s="125">
        <f t="shared" ca="1" si="3"/>
        <v>19792.399553334766</v>
      </c>
      <c r="AT2" s="125">
        <f t="shared" ca="1" si="3"/>
        <v>70014.158407320225</v>
      </c>
      <c r="AU2" s="125">
        <f t="shared" ca="1" si="3"/>
        <v>70230.920507652743</v>
      </c>
      <c r="AV2" s="125">
        <f t="shared" ca="1" si="3"/>
        <v>76517.02141728843</v>
      </c>
      <c r="AW2" s="125">
        <f t="shared" ca="1" si="3"/>
        <v>2775.8809004660984</v>
      </c>
      <c r="AX2" s="125">
        <f t="shared" ca="1" si="3"/>
        <v>28240.91329325984</v>
      </c>
      <c r="AY2" s="125">
        <f t="shared" ca="1" si="3"/>
        <v>2228.0542986422779</v>
      </c>
      <c r="AZ2" s="125">
        <f t="shared" ca="1" si="3"/>
        <v>106.99999999999999</v>
      </c>
      <c r="BA2" s="125">
        <f t="shared" ca="1" si="3"/>
        <v>1204.5174678761418</v>
      </c>
      <c r="BB2" s="125">
        <f t="shared" ca="1" si="3"/>
        <v>2166.6666666676529</v>
      </c>
      <c r="BC2" s="125">
        <f t="shared" ca="1" si="3"/>
        <v>9681.2793586026637</v>
      </c>
      <c r="BD2" s="125">
        <f t="shared" ca="1" si="3"/>
        <v>855.85152418491987</v>
      </c>
      <c r="BE2" s="125">
        <f t="shared" ca="1" si="3"/>
        <v>742.67552312882458</v>
      </c>
      <c r="BF2" s="125">
        <f t="shared" ca="1" si="3"/>
        <v>916.68333333291218</v>
      </c>
      <c r="BG2" s="125">
        <f t="shared" ca="1" si="3"/>
        <v>12296.800000006155</v>
      </c>
    </row>
    <row r="3" spans="1:59" x14ac:dyDescent="0.25">
      <c r="A3" s="124" t="s">
        <v>292</v>
      </c>
      <c r="B3" s="125">
        <f t="shared" ref="B3:AG3" ca="1" si="4">MAX(OFFSET(B$8,0,0,NumRunYears-1))</f>
        <v>2494.0200000010741</v>
      </c>
      <c r="C3" s="125">
        <f t="shared" ca="1" si="4"/>
        <v>3493.7000000005241</v>
      </c>
      <c r="D3" s="125">
        <f t="shared" ca="1" si="4"/>
        <v>4522.2400000005764</v>
      </c>
      <c r="E3" s="125">
        <f t="shared" ca="1" si="4"/>
        <v>10740.699999997816</v>
      </c>
      <c r="F3" s="125">
        <f t="shared" ca="1" si="4"/>
        <v>1993.3600000002282</v>
      </c>
      <c r="G3" s="125">
        <f t="shared" ca="1" si="4"/>
        <v>4668.8200000030765</v>
      </c>
      <c r="H3" s="125">
        <f t="shared" ca="1" si="4"/>
        <v>637.99999999992576</v>
      </c>
      <c r="I3" s="125">
        <f t="shared" ca="1" si="4"/>
        <v>4166.6500000021306</v>
      </c>
      <c r="J3" s="125">
        <f t="shared" ca="1" si="4"/>
        <v>4166.6500000021233</v>
      </c>
      <c r="K3" s="125">
        <f t="shared" ca="1" si="4"/>
        <v>21005.183682666073</v>
      </c>
      <c r="L3" s="125">
        <f t="shared" ca="1" si="4"/>
        <v>1800.0000000000025</v>
      </c>
      <c r="M3" s="125">
        <f t="shared" ca="1" si="4"/>
        <v>7318.3999999991938</v>
      </c>
      <c r="N3" s="125">
        <f t="shared" ca="1" si="4"/>
        <v>27833.120000031842</v>
      </c>
      <c r="O3" s="125">
        <f t="shared" ca="1" si="4"/>
        <v>23975.600000011007</v>
      </c>
      <c r="P3" s="125">
        <f t="shared" ca="1" si="4"/>
        <v>1346.7400000006844</v>
      </c>
      <c r="Q3" s="125">
        <f t="shared" ca="1" si="4"/>
        <v>1412.9646666672172</v>
      </c>
      <c r="R3" s="125">
        <f t="shared" ca="1" si="4"/>
        <v>4588.9400000008782</v>
      </c>
      <c r="S3" s="125">
        <f t="shared" ca="1" si="4"/>
        <v>3183.3799999986809</v>
      </c>
      <c r="T3" s="125">
        <f t="shared" ca="1" si="4"/>
        <v>1008.9400000003277</v>
      </c>
      <c r="U3" s="125">
        <f t="shared" ca="1" si="4"/>
        <v>419.22999999996358</v>
      </c>
      <c r="V3" s="125">
        <f t="shared" ca="1" si="4"/>
        <v>11479.940000005454</v>
      </c>
      <c r="W3" s="125">
        <f t="shared" ca="1" si="4"/>
        <v>1499.9833333328022</v>
      </c>
      <c r="X3" s="125">
        <f t="shared" ca="1" si="4"/>
        <v>1416.6499999990267</v>
      </c>
      <c r="Y3" s="125">
        <f t="shared" ca="1" si="4"/>
        <v>541.6666666666074</v>
      </c>
      <c r="Z3" s="125">
        <f t="shared" ca="1" si="4"/>
        <v>333.3333333334636</v>
      </c>
      <c r="AA3" s="125">
        <f t="shared" ca="1" si="4"/>
        <v>1000.0000000020067</v>
      </c>
      <c r="AB3" s="125">
        <f t="shared" ca="1" si="4"/>
        <v>1499.9999999989695</v>
      </c>
      <c r="AC3" s="125">
        <f t="shared" ca="1" si="4"/>
        <v>1000.0000000020067</v>
      </c>
      <c r="AD3" s="125">
        <f t="shared" ca="1" si="4"/>
        <v>1499.9999999989695</v>
      </c>
      <c r="AE3" s="125">
        <f t="shared" ca="1" si="4"/>
        <v>6513.6830102615122</v>
      </c>
      <c r="AF3" s="125">
        <f t="shared" ca="1" si="4"/>
        <v>1039.0000076293925</v>
      </c>
      <c r="AG3" s="125">
        <f t="shared" ca="1" si="4"/>
        <v>21332.322562302106</v>
      </c>
      <c r="AH3" s="125">
        <f t="shared" ref="AH3:BG3" ca="1" si="5">MAX(OFFSET(AH$8,0,0,NumRunYears-1))</f>
        <v>5481.862284648083</v>
      </c>
      <c r="AI3" s="125">
        <f t="shared" ca="1" si="5"/>
        <v>8333.3500000013719</v>
      </c>
      <c r="AJ3" s="125">
        <f t="shared" ca="1" si="5"/>
        <v>38999.999998983862</v>
      </c>
      <c r="AK3" s="125">
        <f t="shared" ca="1" si="5"/>
        <v>15864.24644642276</v>
      </c>
      <c r="AL3" s="125">
        <f t="shared" ca="1" si="5"/>
        <v>15199.288256226017</v>
      </c>
      <c r="AM3" s="125">
        <f t="shared" ca="1" si="5"/>
        <v>24160.880683190033</v>
      </c>
      <c r="AN3" s="125">
        <f t="shared" ca="1" si="5"/>
        <v>6772.586255522393</v>
      </c>
      <c r="AO3" s="125">
        <f t="shared" ca="1" si="5"/>
        <v>3257.9999999996248</v>
      </c>
      <c r="AP3" s="125">
        <f t="shared" ca="1" si="5"/>
        <v>378.87777777775057</v>
      </c>
      <c r="AQ3" s="125">
        <f t="shared" ca="1" si="5"/>
        <v>2250.0166666667183</v>
      </c>
      <c r="AR3" s="125">
        <f t="shared" ca="1" si="5"/>
        <v>15324.172124543189</v>
      </c>
      <c r="AS3" s="125">
        <f t="shared" ca="1" si="5"/>
        <v>33119.26666579811</v>
      </c>
      <c r="AT3" s="125">
        <f t="shared" ca="1" si="5"/>
        <v>116998.13583723376</v>
      </c>
      <c r="AU3" s="125">
        <f t="shared" ca="1" si="5"/>
        <v>117360.3591680004</v>
      </c>
      <c r="AV3" s="125">
        <f t="shared" ca="1" si="5"/>
        <v>127864.83576019747</v>
      </c>
      <c r="AW3" s="125">
        <f t="shared" ca="1" si="5"/>
        <v>4657.697851232725</v>
      </c>
      <c r="AX3" s="125">
        <f t="shared" ca="1" si="5"/>
        <v>49957.408594212888</v>
      </c>
      <c r="AY3" s="125">
        <f t="shared" ca="1" si="5"/>
        <v>3905.8823529407277</v>
      </c>
      <c r="AZ3" s="125">
        <f t="shared" ca="1" si="5"/>
        <v>1541.9999771118123</v>
      </c>
      <c r="BA3" s="125">
        <f t="shared" ca="1" si="5"/>
        <v>2130.7586860484739</v>
      </c>
      <c r="BB3" s="125">
        <f t="shared" ca="1" si="5"/>
        <v>2166.6666666676529</v>
      </c>
      <c r="BC3" s="125">
        <f t="shared" ca="1" si="5"/>
        <v>16199.999998970494</v>
      </c>
      <c r="BD3" s="125">
        <f t="shared" ca="1" si="5"/>
        <v>1361.6693912874671</v>
      </c>
      <c r="BE3" s="125">
        <f t="shared" ca="1" si="5"/>
        <v>1313.7728293908463</v>
      </c>
      <c r="BF3" s="125">
        <f t="shared" ca="1" si="5"/>
        <v>916.6833333329123</v>
      </c>
      <c r="BG3" s="125">
        <f t="shared" ca="1" si="5"/>
        <v>12296.800000006155</v>
      </c>
    </row>
    <row r="5" spans="1:59" ht="60" x14ac:dyDescent="0.25">
      <c r="A5" s="2" t="s">
        <v>539</v>
      </c>
      <c r="B5" s="122" t="str">
        <f t="shared" ref="B5:BG5" si="6">RIGHT(B$6,LEN(B$6)-FIND(".",B$6))</f>
        <v>ALPDurango</v>
      </c>
      <c r="C5" s="122" t="str">
        <f t="shared" si="6"/>
        <v>ALPNMSupplyFromAnimas__ALPAztec</v>
      </c>
      <c r="D5" s="122" t="str">
        <f t="shared" si="6"/>
        <v>ALPNMSupplyFromAnimas__ALPBloomfield</v>
      </c>
      <c r="E5" s="122" t="str">
        <f t="shared" si="6"/>
        <v>ALPNMSupplyFromAnimas__ALPFarmington</v>
      </c>
      <c r="F5" s="122" t="str">
        <f t="shared" si="6"/>
        <v>ALPNMSupplyFromAnimas__ALPKirkland</v>
      </c>
      <c r="G5" s="122" t="str">
        <f t="shared" si="6"/>
        <v>ALPNMSupplyFromAnimas__ALPShiprock</v>
      </c>
      <c r="H5" s="122" t="str">
        <f t="shared" si="6"/>
        <v>ArchuletaDitch</v>
      </c>
      <c r="I5" s="122" t="str">
        <f t="shared" si="6"/>
        <v>AztecMI</v>
      </c>
      <c r="J5" s="122" t="str">
        <f t="shared" si="6"/>
        <v>BloomfieldMI</v>
      </c>
      <c r="K5" s="122" t="str">
        <f t="shared" si="6"/>
        <v>CitizenDitch</v>
      </c>
      <c r="L5" s="122" t="str">
        <f t="shared" si="6"/>
        <v>CudeiCanal</v>
      </c>
      <c r="M5" s="122" t="str">
        <f t="shared" si="6"/>
        <v>DemandsOnRBR__AnimasFloridaMI</v>
      </c>
      <c r="N5" s="122" t="str">
        <f t="shared" si="6"/>
        <v>DemandsOnRBR__Coal</v>
      </c>
      <c r="O5" s="122" t="str">
        <f t="shared" si="6"/>
        <v>DemandsOnRBR__ColoradoBalance</v>
      </c>
      <c r="P5" s="122" t="str">
        <f t="shared" si="6"/>
        <v>DemandsOnRBR__DgoRuralMI</v>
      </c>
      <c r="Q5" s="122" t="str">
        <f t="shared" si="6"/>
        <v>DemandsOnRBR__DurangoMI</v>
      </c>
      <c r="R5" s="122" t="str">
        <f t="shared" si="6"/>
        <v>DemandsOnRBR__GasPowerPlant</v>
      </c>
      <c r="S5" s="122" t="str">
        <f t="shared" si="6"/>
        <v>DemandsOnRBR__LaPlataRuralMI</v>
      </c>
      <c r="T5" s="122" t="str">
        <f t="shared" si="6"/>
        <v>DemandsOnRBR__MancosResort</v>
      </c>
      <c r="U5" s="122" t="str">
        <f t="shared" si="6"/>
        <v>DemandsOnRBR__RidgesBasinResort</v>
      </c>
      <c r="V5" s="122" t="str">
        <f t="shared" si="6"/>
        <v>DemandsOnRBR__UteDurango</v>
      </c>
      <c r="W5" s="122" t="str">
        <f t="shared" si="6"/>
        <v>DEP_NMU2NonIr</v>
      </c>
      <c r="X5" s="122" t="str">
        <f t="shared" si="6"/>
        <v>DEP_NMU3NonIr</v>
      </c>
      <c r="Y5" s="122" t="str">
        <f t="shared" si="6"/>
        <v>DEP_NMU6NonIr</v>
      </c>
      <c r="Z5" s="122" t="str">
        <f t="shared" si="6"/>
        <v>DEP_NMU7NonIr</v>
      </c>
      <c r="AA5" s="122" t="str">
        <f t="shared" si="6"/>
        <v>DEP_Unspecified1</v>
      </c>
      <c r="AB5" s="122" t="str">
        <f t="shared" si="6"/>
        <v>DEP_Unspecified2</v>
      </c>
      <c r="AC5" s="122" t="str">
        <f t="shared" si="6"/>
        <v>DEP_Unspecified3</v>
      </c>
      <c r="AD5" s="122" t="str">
        <f t="shared" si="6"/>
        <v>DEP_Unspecified4</v>
      </c>
      <c r="AE5" s="122" t="str">
        <f t="shared" si="6"/>
        <v>EchoDitch</v>
      </c>
      <c r="AF5" s="122" t="str">
        <f t="shared" si="6"/>
        <v>Enterprise</v>
      </c>
      <c r="AG5" s="122" t="str">
        <f t="shared" si="6"/>
        <v>FarmersMutual</v>
      </c>
      <c r="AH5" s="122" t="str">
        <f t="shared" si="6"/>
        <v>FarmingtonGlade</v>
      </c>
      <c r="AI5" s="122" t="str">
        <f t="shared" si="6"/>
        <v>FarmingtonMI</v>
      </c>
      <c r="AJ5" s="122" t="str">
        <f t="shared" si="6"/>
        <v>FourCornersPP</v>
      </c>
      <c r="AK5" s="122" t="str">
        <f t="shared" si="6"/>
        <v>FruitlandAndCambridge</v>
      </c>
      <c r="AL5" s="122" t="str">
        <f t="shared" si="6"/>
        <v>Hammond</v>
      </c>
      <c r="AM5" s="122" t="str">
        <f t="shared" si="6"/>
        <v>Hogback</v>
      </c>
      <c r="AN5" s="122" t="str">
        <f t="shared" si="6"/>
        <v>JewettValley</v>
      </c>
      <c r="AO5" s="122" t="str">
        <f t="shared" si="6"/>
        <v>JicarillaIrr</v>
      </c>
      <c r="AP5" s="122" t="str">
        <f t="shared" si="6"/>
        <v>JicarillaNonIr</v>
      </c>
      <c r="AQ5" s="122" t="str">
        <f t="shared" si="6"/>
        <v>LaPlataNonIr</v>
      </c>
      <c r="AR5" s="122" t="str">
        <f t="shared" si="6"/>
        <v>LowerLaPlataIrr</v>
      </c>
      <c r="AS5" s="122" t="str">
        <f t="shared" si="6"/>
        <v>NavajoGallupBalance</v>
      </c>
      <c r="AT5" s="122" t="str">
        <f t="shared" si="6"/>
        <v>NIIP__DEP_NIIPUnit3</v>
      </c>
      <c r="AU5" s="122" t="str">
        <f t="shared" si="6"/>
        <v>NIIP__DEP_NIIPUnit5</v>
      </c>
      <c r="AV5" s="122" t="str">
        <f t="shared" si="6"/>
        <v>NIIP__DEP_NIIPUnit6</v>
      </c>
      <c r="AW5" s="122" t="str">
        <f t="shared" si="6"/>
        <v>NIIP__NavajoGallupNIIP</v>
      </c>
      <c r="AX5" s="122" t="str">
        <f t="shared" si="6"/>
        <v>NMAnimasIrr</v>
      </c>
      <c r="AY5" s="122" t="str">
        <f t="shared" si="6"/>
        <v>NMPineRiverAreaIrr</v>
      </c>
      <c r="AZ5" s="122" t="str">
        <f t="shared" si="6"/>
        <v>Pioneer</v>
      </c>
      <c r="BA5" s="122" t="str">
        <f t="shared" si="6"/>
        <v>Ralston</v>
      </c>
      <c r="BB5" s="122" t="str">
        <f t="shared" si="6"/>
        <v>ShiprockMI</v>
      </c>
      <c r="BC5" s="122" t="str">
        <f t="shared" si="6"/>
        <v>SJGeneratingStation</v>
      </c>
      <c r="BD5" s="122" t="str">
        <f t="shared" si="6"/>
        <v>TurleyDitch</v>
      </c>
      <c r="BE5" s="122" t="str">
        <f t="shared" si="6"/>
        <v>TwinRocks</v>
      </c>
      <c r="BF5" s="122" t="str">
        <f t="shared" si="6"/>
        <v>USNavajoNonIr</v>
      </c>
      <c r="BG5" s="122" t="str">
        <f t="shared" si="6"/>
        <v>UtahIrr</v>
      </c>
    </row>
    <row r="6" spans="1:59" s="2" customFormat="1" ht="105" x14ac:dyDescent="0.25">
      <c r="A6" s="2" t="s">
        <v>538</v>
      </c>
      <c r="B6" s="2" t="s">
        <v>422</v>
      </c>
      <c r="C6" s="2" t="s">
        <v>423</v>
      </c>
      <c r="D6" s="2" t="s">
        <v>424</v>
      </c>
      <c r="E6" s="2" t="s">
        <v>425</v>
      </c>
      <c r="F6" s="2" t="s">
        <v>426</v>
      </c>
      <c r="G6" s="2" t="s">
        <v>427</v>
      </c>
      <c r="H6" s="2" t="s">
        <v>428</v>
      </c>
      <c r="I6" s="2" t="s">
        <v>429</v>
      </c>
      <c r="J6" s="2" t="s">
        <v>430</v>
      </c>
      <c r="K6" s="2" t="s">
        <v>431</v>
      </c>
      <c r="L6" s="2" t="s">
        <v>432</v>
      </c>
      <c r="M6" s="2" t="s">
        <v>433</v>
      </c>
      <c r="N6" s="2" t="s">
        <v>434</v>
      </c>
      <c r="O6" s="2" t="s">
        <v>435</v>
      </c>
      <c r="P6" s="2" t="s">
        <v>436</v>
      </c>
      <c r="Q6" s="2" t="s">
        <v>437</v>
      </c>
      <c r="R6" s="2" t="s">
        <v>438</v>
      </c>
      <c r="S6" s="2" t="s">
        <v>439</v>
      </c>
      <c r="T6" s="2" t="s">
        <v>440</v>
      </c>
      <c r="U6" s="2" t="s">
        <v>441</v>
      </c>
      <c r="V6" s="2" t="s">
        <v>442</v>
      </c>
      <c r="W6" s="2" t="s">
        <v>443</v>
      </c>
      <c r="X6" s="2" t="s">
        <v>444</v>
      </c>
      <c r="Y6" s="2" t="s">
        <v>445</v>
      </c>
      <c r="Z6" s="2" t="s">
        <v>446</v>
      </c>
      <c r="AA6" s="2" t="s">
        <v>447</v>
      </c>
      <c r="AB6" s="2" t="s">
        <v>448</v>
      </c>
      <c r="AC6" s="2" t="s">
        <v>449</v>
      </c>
      <c r="AD6" s="2" t="s">
        <v>450</v>
      </c>
      <c r="AE6" s="2" t="s">
        <v>451</v>
      </c>
      <c r="AF6" s="2" t="s">
        <v>452</v>
      </c>
      <c r="AG6" s="2" t="s">
        <v>453</v>
      </c>
      <c r="AH6" s="2" t="s">
        <v>454</v>
      </c>
      <c r="AI6" s="2" t="s">
        <v>455</v>
      </c>
      <c r="AJ6" s="2" t="s">
        <v>456</v>
      </c>
      <c r="AK6" s="2" t="s">
        <v>457</v>
      </c>
      <c r="AL6" s="2" t="s">
        <v>458</v>
      </c>
      <c r="AM6" s="2" t="s">
        <v>459</v>
      </c>
      <c r="AN6" s="2" t="s">
        <v>460</v>
      </c>
      <c r="AO6" s="2" t="s">
        <v>461</v>
      </c>
      <c r="AP6" s="2" t="s">
        <v>462</v>
      </c>
      <c r="AQ6" s="2" t="s">
        <v>463</v>
      </c>
      <c r="AR6" s="2" t="s">
        <v>464</v>
      </c>
      <c r="AS6" s="2" t="s">
        <v>465</v>
      </c>
      <c r="AT6" s="2" t="s">
        <v>466</v>
      </c>
      <c r="AU6" s="2" t="s">
        <v>467</v>
      </c>
      <c r="AV6" s="2" t="s">
        <v>468</v>
      </c>
      <c r="AW6" s="2" t="s">
        <v>469</v>
      </c>
      <c r="AX6" s="2" t="s">
        <v>470</v>
      </c>
      <c r="AY6" s="2" t="s">
        <v>471</v>
      </c>
      <c r="AZ6" s="2" t="s">
        <v>472</v>
      </c>
      <c r="BA6" s="2" t="s">
        <v>473</v>
      </c>
      <c r="BB6" s="2" t="s">
        <v>474</v>
      </c>
      <c r="BC6" s="2" t="s">
        <v>475</v>
      </c>
      <c r="BD6" s="2" t="s">
        <v>476</v>
      </c>
      <c r="BE6" s="2" t="s">
        <v>477</v>
      </c>
      <c r="BF6" s="2" t="s">
        <v>478</v>
      </c>
      <c r="BG6" s="2" t="s">
        <v>479</v>
      </c>
    </row>
    <row r="7" spans="1:59" x14ac:dyDescent="0.25">
      <c r="A7" s="1">
        <v>10593.999305555555</v>
      </c>
      <c r="B7" s="493" t="s">
        <v>678</v>
      </c>
      <c r="C7" s="493" t="s">
        <v>678</v>
      </c>
      <c r="D7" s="493" t="s">
        <v>678</v>
      </c>
      <c r="E7" s="493" t="s">
        <v>678</v>
      </c>
      <c r="F7" s="493" t="s">
        <v>678</v>
      </c>
      <c r="G7" s="493" t="s">
        <v>678</v>
      </c>
      <c r="H7" s="493" t="s">
        <v>678</v>
      </c>
      <c r="I7" s="493" t="s">
        <v>678</v>
      </c>
      <c r="J7" s="493" t="s">
        <v>678</v>
      </c>
      <c r="K7" s="493" t="s">
        <v>678</v>
      </c>
      <c r="L7" s="493" t="s">
        <v>678</v>
      </c>
      <c r="M7" s="493" t="s">
        <v>678</v>
      </c>
      <c r="N7" s="493" t="s">
        <v>678</v>
      </c>
      <c r="O7" s="493" t="s">
        <v>678</v>
      </c>
      <c r="P7" s="493" t="s">
        <v>678</v>
      </c>
      <c r="Q7" s="493" t="s">
        <v>678</v>
      </c>
      <c r="R7" s="493" t="s">
        <v>678</v>
      </c>
      <c r="S7" s="493" t="s">
        <v>678</v>
      </c>
      <c r="T7" s="493" t="s">
        <v>678</v>
      </c>
      <c r="U7" s="493" t="s">
        <v>678</v>
      </c>
      <c r="V7" s="493" t="s">
        <v>678</v>
      </c>
      <c r="W7" s="493" t="s">
        <v>678</v>
      </c>
      <c r="X7" s="493" t="s">
        <v>678</v>
      </c>
      <c r="Y7" s="493" t="s">
        <v>678</v>
      </c>
      <c r="Z7" s="493" t="s">
        <v>678</v>
      </c>
      <c r="AA7" s="493" t="s">
        <v>678</v>
      </c>
      <c r="AB7" s="493" t="s">
        <v>678</v>
      </c>
      <c r="AC7" s="493" t="s">
        <v>678</v>
      </c>
      <c r="AD7" s="493" t="s">
        <v>678</v>
      </c>
      <c r="AE7" s="493" t="s">
        <v>678</v>
      </c>
      <c r="AF7" s="493" t="s">
        <v>678</v>
      </c>
      <c r="AG7" s="493" t="s">
        <v>678</v>
      </c>
      <c r="AH7" s="493" t="s">
        <v>678</v>
      </c>
      <c r="AI7" s="493" t="s">
        <v>678</v>
      </c>
      <c r="AJ7" s="493" t="s">
        <v>678</v>
      </c>
      <c r="AK7" s="493" t="s">
        <v>678</v>
      </c>
      <c r="AL7" s="493" t="s">
        <v>678</v>
      </c>
      <c r="AM7" s="493" t="s">
        <v>678</v>
      </c>
      <c r="AN7" s="493" t="s">
        <v>678</v>
      </c>
      <c r="AO7" s="493" t="s">
        <v>678</v>
      </c>
      <c r="AP7" s="493" t="s">
        <v>678</v>
      </c>
      <c r="AQ7" s="493" t="s">
        <v>678</v>
      </c>
      <c r="AR7" s="493" t="s">
        <v>678</v>
      </c>
      <c r="AS7" s="493" t="s">
        <v>678</v>
      </c>
      <c r="AT7" s="493" t="s">
        <v>678</v>
      </c>
      <c r="AU7" s="493" t="s">
        <v>678</v>
      </c>
      <c r="AV7" s="493" t="s">
        <v>678</v>
      </c>
      <c r="AW7" s="493" t="s">
        <v>678</v>
      </c>
      <c r="AX7" s="493" t="s">
        <v>678</v>
      </c>
      <c r="AY7" s="493" t="s">
        <v>678</v>
      </c>
      <c r="AZ7" s="493" t="s">
        <v>678</v>
      </c>
      <c r="BA7" s="493" t="s">
        <v>678</v>
      </c>
      <c r="BB7" s="493" t="s">
        <v>678</v>
      </c>
      <c r="BC7" s="493" t="s">
        <v>678</v>
      </c>
      <c r="BD7" s="493" t="s">
        <v>678</v>
      </c>
      <c r="BE7" s="493" t="s">
        <v>678</v>
      </c>
      <c r="BF7" s="493" t="s">
        <v>678</v>
      </c>
      <c r="BG7" s="493" t="s">
        <v>678</v>
      </c>
    </row>
    <row r="8" spans="1:59" x14ac:dyDescent="0.25">
      <c r="A8" s="1">
        <v>10958.999305555555</v>
      </c>
      <c r="B8" s="3">
        <v>2494.0200000010741</v>
      </c>
      <c r="C8" s="3">
        <v>3493.7000000005241</v>
      </c>
      <c r="D8" s="3">
        <v>4522.2400000005764</v>
      </c>
      <c r="E8" s="3">
        <v>10740.699999997816</v>
      </c>
      <c r="F8" s="3">
        <v>1993.3600000002282</v>
      </c>
      <c r="G8" s="3">
        <v>4668.8200000030756</v>
      </c>
      <c r="H8" s="3">
        <v>469.99999999994594</v>
      </c>
      <c r="I8" s="3">
        <v>4166.6500000021297</v>
      </c>
      <c r="J8" s="3">
        <v>4166.6500000021233</v>
      </c>
      <c r="K8" s="3">
        <v>15644.204041768166</v>
      </c>
      <c r="L8" s="3">
        <v>1799.9999999999995</v>
      </c>
      <c r="M8" s="3">
        <v>7318.3999999991938</v>
      </c>
      <c r="N8" s="3">
        <v>27833.120000031842</v>
      </c>
      <c r="O8" s="122">
        <v>23975.600000011007</v>
      </c>
      <c r="P8" s="122">
        <v>1346.7400000006844</v>
      </c>
      <c r="Q8" s="122">
        <v>0</v>
      </c>
      <c r="R8" s="122">
        <v>4588.9400000008773</v>
      </c>
      <c r="S8" s="122">
        <v>3183.3799999986809</v>
      </c>
      <c r="T8" s="122">
        <v>1008.9400000003277</v>
      </c>
      <c r="U8" s="122">
        <v>419.22999999996358</v>
      </c>
      <c r="V8" s="122">
        <v>11479.940000005454</v>
      </c>
      <c r="W8" s="122">
        <v>1499.983333332802</v>
      </c>
      <c r="X8" s="122">
        <v>1416.6499999990267</v>
      </c>
      <c r="Y8" s="122">
        <v>541.66666666660728</v>
      </c>
      <c r="Z8" s="122">
        <v>333.3333333334636</v>
      </c>
      <c r="AA8" s="122">
        <v>1000.0000000020067</v>
      </c>
      <c r="AB8" s="122">
        <v>1499.999999998952</v>
      </c>
      <c r="AC8" s="122">
        <v>1000.0000000020067</v>
      </c>
      <c r="AD8" s="122">
        <v>1499.999999998952</v>
      </c>
      <c r="AE8" s="122">
        <v>4776.2257696687775</v>
      </c>
      <c r="AF8" s="122">
        <v>650.99997991323607</v>
      </c>
      <c r="AG8" s="122">
        <v>15885.530180989357</v>
      </c>
      <c r="AH8" s="122">
        <v>4108.2160496331144</v>
      </c>
      <c r="AI8" s="122">
        <v>8333.3500000013701</v>
      </c>
      <c r="AJ8" s="122">
        <v>38999.999998983854</v>
      </c>
      <c r="AK8" s="122">
        <v>15864.246446422736</v>
      </c>
      <c r="AL8" s="122">
        <v>11226.571767495747</v>
      </c>
      <c r="AM8" s="122">
        <v>24160.880683190011</v>
      </c>
      <c r="AN8" s="122">
        <v>5228.917927986613</v>
      </c>
      <c r="AO8" s="122">
        <v>1841.9999999997899</v>
      </c>
      <c r="AP8" s="122">
        <v>378.87777777775057</v>
      </c>
      <c r="AQ8" s="122">
        <v>2223.8322359224203</v>
      </c>
      <c r="AR8" s="122">
        <v>12644.975168707357</v>
      </c>
      <c r="AS8" s="122">
        <v>33119.26666579811</v>
      </c>
      <c r="AT8" s="122">
        <v>82786.857807006527</v>
      </c>
      <c r="AU8" s="122">
        <v>83043.163868329299</v>
      </c>
      <c r="AV8" s="122">
        <v>90476.039646667443</v>
      </c>
      <c r="AW8" s="122">
        <v>4644.9719008195007</v>
      </c>
      <c r="AX8" s="122">
        <v>34856.868838433889</v>
      </c>
      <c r="AY8" s="122">
        <v>2320.3619909499589</v>
      </c>
      <c r="AZ8" s="122">
        <v>846.00001043080897</v>
      </c>
      <c r="BA8" s="122">
        <v>1486.6979320170149</v>
      </c>
      <c r="BB8" s="122">
        <v>2166.6666666676529</v>
      </c>
      <c r="BC8" s="122">
        <v>16199.99999897049</v>
      </c>
      <c r="BD8" s="122">
        <v>1013.5589960571969</v>
      </c>
      <c r="BE8" s="122">
        <v>916.66098154818371</v>
      </c>
      <c r="BF8" s="122">
        <v>916.6833333329123</v>
      </c>
      <c r="BG8" s="122">
        <v>12296.800000006155</v>
      </c>
    </row>
    <row r="9" spans="1:59" x14ac:dyDescent="0.25">
      <c r="A9" s="1">
        <v>11323.999305555555</v>
      </c>
      <c r="B9" s="3">
        <v>2494.0200000010741</v>
      </c>
      <c r="C9" s="3">
        <v>3493.7000000005241</v>
      </c>
      <c r="D9" s="3">
        <v>4522.2400000005764</v>
      </c>
      <c r="E9" s="3">
        <v>10740.699999997816</v>
      </c>
      <c r="F9" s="3">
        <v>1993.3600000002282</v>
      </c>
      <c r="G9" s="3">
        <v>4668.8200000030756</v>
      </c>
      <c r="H9" s="3">
        <v>533.99999999993895</v>
      </c>
      <c r="I9" s="3">
        <v>4166.6500000021297</v>
      </c>
      <c r="J9" s="3">
        <v>4166.6500000021233</v>
      </c>
      <c r="K9" s="3">
        <v>17702.651942000819</v>
      </c>
      <c r="L9" s="3">
        <v>1799.9999999999995</v>
      </c>
      <c r="M9" s="3">
        <v>7318.3999999991938</v>
      </c>
      <c r="N9" s="3">
        <v>27833.120000031842</v>
      </c>
      <c r="O9" s="122">
        <v>23975.600000011007</v>
      </c>
      <c r="P9" s="122">
        <v>1346.7400000006844</v>
      </c>
      <c r="Q9" s="122">
        <v>0</v>
      </c>
      <c r="R9" s="122">
        <v>4588.9400000008773</v>
      </c>
      <c r="S9" s="122">
        <v>3183.3799999986809</v>
      </c>
      <c r="T9" s="122">
        <v>1008.9400000003277</v>
      </c>
      <c r="U9" s="122">
        <v>419.22999999996358</v>
      </c>
      <c r="V9" s="122">
        <v>11479.940000005454</v>
      </c>
      <c r="W9" s="122">
        <v>1499.983333332802</v>
      </c>
      <c r="X9" s="122">
        <v>1416.6499999990267</v>
      </c>
      <c r="Y9" s="122">
        <v>541.66666666660728</v>
      </c>
      <c r="Z9" s="122">
        <v>333.3333333334636</v>
      </c>
      <c r="AA9" s="122">
        <v>1000.0000000020067</v>
      </c>
      <c r="AB9" s="122">
        <v>1499.999999998952</v>
      </c>
      <c r="AC9" s="122">
        <v>1000.0000000020067</v>
      </c>
      <c r="AD9" s="122">
        <v>1499.999999998952</v>
      </c>
      <c r="AE9" s="122">
        <v>5461.8015963505713</v>
      </c>
      <c r="AF9" s="122">
        <v>482.99999135732855</v>
      </c>
      <c r="AG9" s="122">
        <v>17521.084051926337</v>
      </c>
      <c r="AH9" s="122">
        <v>4717.9999999994525</v>
      </c>
      <c r="AI9" s="122">
        <v>8333.3500000013701</v>
      </c>
      <c r="AJ9" s="122">
        <v>38999.999998983854</v>
      </c>
      <c r="AK9" s="122">
        <v>15864.246446422736</v>
      </c>
      <c r="AL9" s="122">
        <v>12710.557532620132</v>
      </c>
      <c r="AM9" s="122">
        <v>24160.880683189975</v>
      </c>
      <c r="AN9" s="122">
        <v>5539.1557770041591</v>
      </c>
      <c r="AO9" s="122">
        <v>2021.9999999997676</v>
      </c>
      <c r="AP9" s="122">
        <v>378.87777777775057</v>
      </c>
      <c r="AQ9" s="122">
        <v>2149.7841679994822</v>
      </c>
      <c r="AR9" s="122">
        <v>9188.5134857231315</v>
      </c>
      <c r="AS9" s="122">
        <v>33119.26666579811</v>
      </c>
      <c r="AT9" s="122">
        <v>91290.502355801436</v>
      </c>
      <c r="AU9" s="122">
        <v>91573.135490029759</v>
      </c>
      <c r="AV9" s="122">
        <v>99769.49638265559</v>
      </c>
      <c r="AW9" s="122">
        <v>4644.9719008195034</v>
      </c>
      <c r="AX9" s="122">
        <v>41106.674172138395</v>
      </c>
      <c r="AY9" s="122">
        <v>2671.4932126693757</v>
      </c>
      <c r="AZ9" s="122">
        <v>597.00000852346227</v>
      </c>
      <c r="BA9" s="122">
        <v>1753.2615384096348</v>
      </c>
      <c r="BB9" s="122">
        <v>2166.6666666676529</v>
      </c>
      <c r="BC9" s="122">
        <v>16199.99999897049</v>
      </c>
      <c r="BD9" s="122">
        <v>1148.1873257042628</v>
      </c>
      <c r="BE9" s="122">
        <v>1081.0174737573129</v>
      </c>
      <c r="BF9" s="122">
        <v>916.6833333329123</v>
      </c>
      <c r="BG9" s="122">
        <v>12296.800000006155</v>
      </c>
    </row>
    <row r="10" spans="1:59" x14ac:dyDescent="0.25">
      <c r="A10" s="1">
        <v>11688.999305555555</v>
      </c>
      <c r="B10" s="3">
        <v>2271.3595996504405</v>
      </c>
      <c r="C10" s="3">
        <v>3493.7000000005241</v>
      </c>
      <c r="D10" s="3">
        <v>4522.2400000005764</v>
      </c>
      <c r="E10" s="3">
        <v>10740.699999997816</v>
      </c>
      <c r="F10" s="3">
        <v>1993.3600000002282</v>
      </c>
      <c r="G10" s="3">
        <v>4668.8200000030756</v>
      </c>
      <c r="H10" s="3">
        <v>529.99999999993918</v>
      </c>
      <c r="I10" s="3">
        <v>4166.6500000021297</v>
      </c>
      <c r="J10" s="3">
        <v>4166.6500000021233</v>
      </c>
      <c r="K10" s="3">
        <v>17543.385170157999</v>
      </c>
      <c r="L10" s="3">
        <v>1800.0000000000025</v>
      </c>
      <c r="M10" s="3">
        <v>7318.3999999991938</v>
      </c>
      <c r="N10" s="3">
        <v>27833.120000031842</v>
      </c>
      <c r="O10" s="122">
        <v>23975.600000011007</v>
      </c>
      <c r="P10" s="122">
        <v>1346.7400000006844</v>
      </c>
      <c r="Q10" s="122">
        <v>222.66040035063602</v>
      </c>
      <c r="R10" s="122">
        <v>4588.9400000008773</v>
      </c>
      <c r="S10" s="122">
        <v>3183.3799999986809</v>
      </c>
      <c r="T10" s="122">
        <v>1008.9400000003277</v>
      </c>
      <c r="U10" s="122">
        <v>419.22999999996358</v>
      </c>
      <c r="V10" s="122">
        <v>11479.940000005454</v>
      </c>
      <c r="W10" s="122">
        <v>1499.983333332802</v>
      </c>
      <c r="X10" s="122">
        <v>1416.6499999990267</v>
      </c>
      <c r="Y10" s="122">
        <v>541.66666666660728</v>
      </c>
      <c r="Z10" s="122">
        <v>333.3333333334636</v>
      </c>
      <c r="AA10" s="122">
        <v>1000.0000000020067</v>
      </c>
      <c r="AB10" s="122">
        <v>1499.999999998952</v>
      </c>
      <c r="AC10" s="122">
        <v>1000.0000000020067</v>
      </c>
      <c r="AD10" s="122">
        <v>1499.999999998952</v>
      </c>
      <c r="AE10" s="122">
        <v>5344.9258836937988</v>
      </c>
      <c r="AF10" s="122">
        <v>466.01065444946482</v>
      </c>
      <c r="AG10" s="122">
        <v>17439.590637731333</v>
      </c>
      <c r="AH10" s="122">
        <v>4584.7011415020752</v>
      </c>
      <c r="AI10" s="122">
        <v>8333.3500000013701</v>
      </c>
      <c r="AJ10" s="122">
        <v>38999.999998983854</v>
      </c>
      <c r="AK10" s="122">
        <v>15864.246446422751</v>
      </c>
      <c r="AL10" s="122">
        <v>12650.05931197957</v>
      </c>
      <c r="AM10" s="122">
        <v>24160.880683189986</v>
      </c>
      <c r="AN10" s="122">
        <v>5721.5380276387141</v>
      </c>
      <c r="AO10" s="122">
        <v>2195.999999999749</v>
      </c>
      <c r="AP10" s="122">
        <v>378.87777777775057</v>
      </c>
      <c r="AQ10" s="122">
        <v>2016.27810083496</v>
      </c>
      <c r="AR10" s="122">
        <v>4265.4569824075825</v>
      </c>
      <c r="AS10" s="122">
        <v>33119.26666579811</v>
      </c>
      <c r="AT10" s="122">
        <v>90758.019923657674</v>
      </c>
      <c r="AU10" s="122">
        <v>91039.004505464676</v>
      </c>
      <c r="AV10" s="122">
        <v>99187.55737786692</v>
      </c>
      <c r="AW10" s="122">
        <v>4644.9719008195216</v>
      </c>
      <c r="AX10" s="122">
        <v>39171.759692562213</v>
      </c>
      <c r="AY10" s="122">
        <v>2624.4343891399699</v>
      </c>
      <c r="AZ10" s="122">
        <v>651.73663425445238</v>
      </c>
      <c r="BA10" s="122">
        <v>1670.734522895151</v>
      </c>
      <c r="BB10" s="122">
        <v>2166.6666666676529</v>
      </c>
      <c r="BC10" s="122">
        <v>16199.99999897049</v>
      </c>
      <c r="BD10" s="122">
        <v>1136.6477545916568</v>
      </c>
      <c r="BE10" s="122">
        <v>1030.1333678360022</v>
      </c>
      <c r="BF10" s="122">
        <v>916.6833333329123</v>
      </c>
      <c r="BG10" s="122">
        <v>12296.800000006155</v>
      </c>
    </row>
    <row r="11" spans="1:59" x14ac:dyDescent="0.25">
      <c r="A11" s="1">
        <v>12054.999305555555</v>
      </c>
      <c r="B11" s="3">
        <v>2494.0200000010741</v>
      </c>
      <c r="C11" s="3">
        <v>3493.7000000005241</v>
      </c>
      <c r="D11" s="3">
        <v>4522.2400000005764</v>
      </c>
      <c r="E11" s="3">
        <v>10740.699999997816</v>
      </c>
      <c r="F11" s="3">
        <v>1993.3600000002282</v>
      </c>
      <c r="G11" s="3">
        <v>4668.8200000030765</v>
      </c>
      <c r="H11" s="3">
        <v>465.99999999994628</v>
      </c>
      <c r="I11" s="3">
        <v>4166.6500000021306</v>
      </c>
      <c r="J11" s="3">
        <v>4166.6500000021233</v>
      </c>
      <c r="K11" s="3">
        <v>15551.04800540727</v>
      </c>
      <c r="L11" s="3">
        <v>1799.9999999999989</v>
      </c>
      <c r="M11" s="3">
        <v>7318.3999999991929</v>
      </c>
      <c r="N11" s="3">
        <v>27833.120000031842</v>
      </c>
      <c r="O11" s="122">
        <v>23975.600000011007</v>
      </c>
      <c r="P11" s="122">
        <v>1346.7400000006844</v>
      </c>
      <c r="Q11" s="122">
        <v>0</v>
      </c>
      <c r="R11" s="122">
        <v>4588.9400000008773</v>
      </c>
      <c r="S11" s="122">
        <v>3183.3799999986809</v>
      </c>
      <c r="T11" s="122">
        <v>1008.9400000003277</v>
      </c>
      <c r="U11" s="122">
        <v>419.22999999996358</v>
      </c>
      <c r="V11" s="122">
        <v>11479.940000005452</v>
      </c>
      <c r="W11" s="122">
        <v>1499.9833333328022</v>
      </c>
      <c r="X11" s="122">
        <v>1416.6499999990265</v>
      </c>
      <c r="Y11" s="122">
        <v>541.6666666666074</v>
      </c>
      <c r="Z11" s="122">
        <v>333.33333333346354</v>
      </c>
      <c r="AA11" s="122">
        <v>1000.0000000020035</v>
      </c>
      <c r="AB11" s="122">
        <v>1499.9999999989695</v>
      </c>
      <c r="AC11" s="122">
        <v>1000.0000000020035</v>
      </c>
      <c r="AD11" s="122">
        <v>1499.9999999989695</v>
      </c>
      <c r="AE11" s="122">
        <v>5437.5712656778242</v>
      </c>
      <c r="AF11" s="122">
        <v>644.9999923110006</v>
      </c>
      <c r="AG11" s="122">
        <v>17953.188666727783</v>
      </c>
      <c r="AH11" s="122">
        <v>4645.3059076151303</v>
      </c>
      <c r="AI11" s="122">
        <v>8333.3500000013719</v>
      </c>
      <c r="AJ11" s="122">
        <v>38999.999998983862</v>
      </c>
      <c r="AK11" s="122">
        <v>15864.246446422727</v>
      </c>
      <c r="AL11" s="122">
        <v>11112.692763937039</v>
      </c>
      <c r="AM11" s="122">
        <v>24160.880683190015</v>
      </c>
      <c r="AN11" s="122">
        <v>5606.8440349716193</v>
      </c>
      <c r="AO11" s="122">
        <v>2117.9999999997567</v>
      </c>
      <c r="AP11" s="122">
        <v>378.87777777775057</v>
      </c>
      <c r="AQ11" s="122">
        <v>2113.7968510799219</v>
      </c>
      <c r="AR11" s="122">
        <v>12446.919078928309</v>
      </c>
      <c r="AS11" s="122">
        <v>33105.778642042722</v>
      </c>
      <c r="AT11" s="122">
        <v>87132.080930521974</v>
      </c>
      <c r="AU11" s="122">
        <v>87401.839695013012</v>
      </c>
      <c r="AV11" s="122">
        <v>95224.843865245464</v>
      </c>
      <c r="AW11" s="122">
        <v>4657.697851232705</v>
      </c>
      <c r="AX11" s="122">
        <v>39599.461017166723</v>
      </c>
      <c r="AY11" s="122">
        <v>2517.6470588232396</v>
      </c>
      <c r="AZ11" s="122">
        <v>805.00000953674078</v>
      </c>
      <c r="BA11" s="122">
        <v>1688.9766282821211</v>
      </c>
      <c r="BB11" s="122">
        <v>2166.6666666676529</v>
      </c>
      <c r="BC11" s="122">
        <v>16199.999998970494</v>
      </c>
      <c r="BD11" s="122">
        <v>1007.7892105008949</v>
      </c>
      <c r="BE11" s="122">
        <v>1041.3809964695056</v>
      </c>
      <c r="BF11" s="122">
        <v>916.68333333291218</v>
      </c>
      <c r="BG11" s="122">
        <v>12296.800000006155</v>
      </c>
    </row>
    <row r="12" spans="1:59" x14ac:dyDescent="0.25">
      <c r="A12" s="1">
        <v>12419.999305555555</v>
      </c>
      <c r="B12" s="3">
        <v>2456.6707203915284</v>
      </c>
      <c r="C12" s="3">
        <v>3493.7000000005241</v>
      </c>
      <c r="D12" s="3">
        <v>4522.2400000005764</v>
      </c>
      <c r="E12" s="3">
        <v>10740.699999997816</v>
      </c>
      <c r="F12" s="3">
        <v>1993.3600000002282</v>
      </c>
      <c r="G12" s="3">
        <v>4668.8200000030756</v>
      </c>
      <c r="H12" s="3">
        <v>453.99999999994793</v>
      </c>
      <c r="I12" s="3">
        <v>4166.6500000021297</v>
      </c>
      <c r="J12" s="3">
        <v>4166.6500000021233</v>
      </c>
      <c r="K12" s="3">
        <v>15037.187288706864</v>
      </c>
      <c r="L12" s="3">
        <v>1800.0000000000002</v>
      </c>
      <c r="M12" s="3">
        <v>7318.3999999991938</v>
      </c>
      <c r="N12" s="3">
        <v>27833.120000031842</v>
      </c>
      <c r="O12" s="122">
        <v>23975.600000011007</v>
      </c>
      <c r="P12" s="122">
        <v>1346.7400000006844</v>
      </c>
      <c r="Q12" s="122">
        <v>37.349279609546279</v>
      </c>
      <c r="R12" s="122">
        <v>4588.9400000008773</v>
      </c>
      <c r="S12" s="122">
        <v>3183.3799999986809</v>
      </c>
      <c r="T12" s="122">
        <v>1008.9400000003277</v>
      </c>
      <c r="U12" s="122">
        <v>419.22999999996358</v>
      </c>
      <c r="V12" s="122">
        <v>11479.940000005454</v>
      </c>
      <c r="W12" s="122">
        <v>1499.983333332802</v>
      </c>
      <c r="X12" s="122">
        <v>1416.6499999990267</v>
      </c>
      <c r="Y12" s="122">
        <v>541.66666666660728</v>
      </c>
      <c r="Z12" s="122">
        <v>333.3333333334636</v>
      </c>
      <c r="AA12" s="122">
        <v>978.08219178278523</v>
      </c>
      <c r="AB12" s="122">
        <v>1499.999999998952</v>
      </c>
      <c r="AC12" s="122">
        <v>1000.0000000020067</v>
      </c>
      <c r="AD12" s="122">
        <v>1499.999999998952</v>
      </c>
      <c r="AE12" s="122">
        <v>5434.7206385398549</v>
      </c>
      <c r="AF12" s="122">
        <v>510.99999141693132</v>
      </c>
      <c r="AG12" s="122">
        <v>18226.096844497079</v>
      </c>
      <c r="AH12" s="122">
        <v>4590.4612639770403</v>
      </c>
      <c r="AI12" s="122">
        <v>8333.3500000013701</v>
      </c>
      <c r="AJ12" s="122">
        <v>38999.999998983854</v>
      </c>
      <c r="AK12" s="122">
        <v>15864.246446422741</v>
      </c>
      <c r="AL12" s="122">
        <v>10814.946619215834</v>
      </c>
      <c r="AM12" s="122">
        <v>24160.880683189978</v>
      </c>
      <c r="AN12" s="122">
        <v>6131.4280342194725</v>
      </c>
      <c r="AO12" s="122">
        <v>2483.999999999714</v>
      </c>
      <c r="AP12" s="122">
        <v>378.87777777775057</v>
      </c>
      <c r="AQ12" s="122">
        <v>1836.6639283399138</v>
      </c>
      <c r="AR12" s="122">
        <v>8139.7417015455094</v>
      </c>
      <c r="AS12" s="122">
        <v>33119.26666579811</v>
      </c>
      <c r="AT12" s="122">
        <v>86071.730244367398</v>
      </c>
      <c r="AU12" s="122">
        <v>86338.206189396704</v>
      </c>
      <c r="AV12" s="122">
        <v>94066.008595237538</v>
      </c>
      <c r="AW12" s="122">
        <v>4644.9719008195007</v>
      </c>
      <c r="AX12" s="122">
        <v>39515.814632649992</v>
      </c>
      <c r="AY12" s="122">
        <v>2586.4253393662198</v>
      </c>
      <c r="AZ12" s="122">
        <v>682.00001138448579</v>
      </c>
      <c r="BA12" s="122">
        <v>1685.4089840551485</v>
      </c>
      <c r="BB12" s="122">
        <v>2166.6666666676529</v>
      </c>
      <c r="BC12" s="122">
        <v>16199.99999897049</v>
      </c>
      <c r="BD12" s="122">
        <v>975.09375901517706</v>
      </c>
      <c r="BE12" s="122">
        <v>1039.1812757404439</v>
      </c>
      <c r="BF12" s="122">
        <v>916.6833333329123</v>
      </c>
      <c r="BG12" s="122">
        <v>12296.800000006155</v>
      </c>
    </row>
    <row r="13" spans="1:59" x14ac:dyDescent="0.25">
      <c r="A13" s="1">
        <v>12784.999305555555</v>
      </c>
      <c r="B13" s="3">
        <v>1186.7453667617413</v>
      </c>
      <c r="C13" s="3">
        <v>3493.7000000005241</v>
      </c>
      <c r="D13" s="3">
        <v>4522.2400000005764</v>
      </c>
      <c r="E13" s="3">
        <v>10740.699999997816</v>
      </c>
      <c r="F13" s="3">
        <v>1993.3600000002282</v>
      </c>
      <c r="G13" s="3">
        <v>4668.8200000030756</v>
      </c>
      <c r="H13" s="3">
        <v>501.99999999994259</v>
      </c>
      <c r="I13" s="3">
        <v>4166.6500000021297</v>
      </c>
      <c r="J13" s="3">
        <v>4166.6500000021233</v>
      </c>
      <c r="K13" s="3">
        <v>16859.740064606282</v>
      </c>
      <c r="L13" s="3">
        <v>1799.9999999999995</v>
      </c>
      <c r="M13" s="3">
        <v>7318.3999999991938</v>
      </c>
      <c r="N13" s="3">
        <v>27833.120000031842</v>
      </c>
      <c r="O13" s="122">
        <v>23975.600000011007</v>
      </c>
      <c r="P13" s="122">
        <v>1346.7400000006844</v>
      </c>
      <c r="Q13" s="122">
        <v>1307.2746332393374</v>
      </c>
      <c r="R13" s="122">
        <v>4588.9400000008773</v>
      </c>
      <c r="S13" s="122">
        <v>3183.3799999986809</v>
      </c>
      <c r="T13" s="122">
        <v>1008.9400000003277</v>
      </c>
      <c r="U13" s="122">
        <v>419.22999999996358</v>
      </c>
      <c r="V13" s="122">
        <v>11479.940000005454</v>
      </c>
      <c r="W13" s="122">
        <v>1499.983333332802</v>
      </c>
      <c r="X13" s="122">
        <v>1416.6499999990267</v>
      </c>
      <c r="Y13" s="122">
        <v>541.66666666660728</v>
      </c>
      <c r="Z13" s="122">
        <v>333.3333333334636</v>
      </c>
      <c r="AA13" s="122">
        <v>1000.0000000020067</v>
      </c>
      <c r="AB13" s="122">
        <v>1499.999999998952</v>
      </c>
      <c r="AC13" s="122">
        <v>1000.0000000020067</v>
      </c>
      <c r="AD13" s="122">
        <v>1499.999999998952</v>
      </c>
      <c r="AE13" s="122">
        <v>5669.8973774223823</v>
      </c>
      <c r="AF13" s="122">
        <v>230.99999898672101</v>
      </c>
      <c r="AG13" s="122">
        <v>17932.17093573614</v>
      </c>
      <c r="AH13" s="122">
        <v>4824.139235312723</v>
      </c>
      <c r="AI13" s="122">
        <v>8333.3500000013701</v>
      </c>
      <c r="AJ13" s="122">
        <v>38999.999998983854</v>
      </c>
      <c r="AK13" s="122">
        <v>15864.246446422745</v>
      </c>
      <c r="AL13" s="122">
        <v>12021.352313165868</v>
      </c>
      <c r="AM13" s="122">
        <v>24160.880683189996</v>
      </c>
      <c r="AN13" s="122">
        <v>6116.3861991155864</v>
      </c>
      <c r="AO13" s="122">
        <v>2815.9999999996735</v>
      </c>
      <c r="AP13" s="122">
        <v>378.87777777775057</v>
      </c>
      <c r="AQ13" s="122">
        <v>1104.8503039786619</v>
      </c>
      <c r="AR13" s="122">
        <v>4646.371213125567</v>
      </c>
      <c r="AS13" s="122">
        <v>33119.26666579811</v>
      </c>
      <c r="AT13" s="122">
        <v>83641.299383760794</v>
      </c>
      <c r="AU13" s="122">
        <v>83900.250775042252</v>
      </c>
      <c r="AV13" s="122">
        <v>91409.841122190628</v>
      </c>
      <c r="AW13" s="122">
        <v>4644.9719008195152</v>
      </c>
      <c r="AX13" s="122">
        <v>43840.174888799076</v>
      </c>
      <c r="AY13" s="122">
        <v>2941.1764705878977</v>
      </c>
      <c r="AZ13" s="122">
        <v>319.00000184774387</v>
      </c>
      <c r="BA13" s="122">
        <v>1869.8494591853964</v>
      </c>
      <c r="BB13" s="122">
        <v>2166.6666666676529</v>
      </c>
      <c r="BC13" s="122">
        <v>16199.99999897049</v>
      </c>
      <c r="BD13" s="122">
        <v>1090.4894701412341</v>
      </c>
      <c r="BE13" s="122">
        <v>1152.9026870164562</v>
      </c>
      <c r="BF13" s="122">
        <v>916.6833333329123</v>
      </c>
      <c r="BG13" s="122">
        <v>12296.800000006155</v>
      </c>
    </row>
    <row r="14" spans="1:59" x14ac:dyDescent="0.25">
      <c r="A14" s="1">
        <v>13149.999305555555</v>
      </c>
      <c r="B14" s="3">
        <v>2494.0200000010741</v>
      </c>
      <c r="C14" s="3">
        <v>3493.7000000005241</v>
      </c>
      <c r="D14" s="3">
        <v>4522.2400000005764</v>
      </c>
      <c r="E14" s="3">
        <v>10740.699999997816</v>
      </c>
      <c r="F14" s="3">
        <v>1993.3600000002282</v>
      </c>
      <c r="G14" s="3">
        <v>4668.8200000030756</v>
      </c>
      <c r="H14" s="3">
        <v>431.99999999995032</v>
      </c>
      <c r="I14" s="3">
        <v>4166.6500000021297</v>
      </c>
      <c r="J14" s="3">
        <v>4166.6500000021233</v>
      </c>
      <c r="K14" s="3">
        <v>14288.933964388718</v>
      </c>
      <c r="L14" s="3">
        <v>1799.9999999999995</v>
      </c>
      <c r="M14" s="3">
        <v>7318.3999999991938</v>
      </c>
      <c r="N14" s="3">
        <v>27833.120000031842</v>
      </c>
      <c r="O14" s="122">
        <v>23975.600000011007</v>
      </c>
      <c r="P14" s="122">
        <v>1346.7400000006844</v>
      </c>
      <c r="Q14" s="122">
        <v>0</v>
      </c>
      <c r="R14" s="122">
        <v>4588.9400000008773</v>
      </c>
      <c r="S14" s="122">
        <v>3183.3799999986809</v>
      </c>
      <c r="T14" s="122">
        <v>1008.9400000003277</v>
      </c>
      <c r="U14" s="122">
        <v>419.22999999996358</v>
      </c>
      <c r="V14" s="122">
        <v>11479.940000005454</v>
      </c>
      <c r="W14" s="122">
        <v>1499.983333332802</v>
      </c>
      <c r="X14" s="122">
        <v>1416.6499999990267</v>
      </c>
      <c r="Y14" s="122">
        <v>541.66666666660728</v>
      </c>
      <c r="Z14" s="122">
        <v>333.3333333334636</v>
      </c>
      <c r="AA14" s="122">
        <v>1000.0000000020067</v>
      </c>
      <c r="AB14" s="122">
        <v>1499.999999998952</v>
      </c>
      <c r="AC14" s="122">
        <v>1000.0000000020067</v>
      </c>
      <c r="AD14" s="122">
        <v>1499.999999998952</v>
      </c>
      <c r="AE14" s="122">
        <v>5417.616875712034</v>
      </c>
      <c r="AF14" s="122">
        <v>527.99999898672081</v>
      </c>
      <c r="AG14" s="122">
        <v>17706.813228463812</v>
      </c>
      <c r="AH14" s="122">
        <v>4633.5193717380416</v>
      </c>
      <c r="AI14" s="122">
        <v>8333.3500000013701</v>
      </c>
      <c r="AJ14" s="122">
        <v>38999.999998983854</v>
      </c>
      <c r="AK14" s="122">
        <v>15864.246446422751</v>
      </c>
      <c r="AL14" s="122">
        <v>10232.502965597865</v>
      </c>
      <c r="AM14" s="122">
        <v>24160.880683189982</v>
      </c>
      <c r="AN14" s="122">
        <v>5871.9563786775225</v>
      </c>
      <c r="AO14" s="122">
        <v>2013.9999999997674</v>
      </c>
      <c r="AP14" s="122">
        <v>378.87777777775057</v>
      </c>
      <c r="AQ14" s="122">
        <v>1896.3148037006683</v>
      </c>
      <c r="AR14" s="122">
        <v>10171.475831978869</v>
      </c>
      <c r="AS14" s="122">
        <v>33119.26666579811</v>
      </c>
      <c r="AT14" s="122">
        <v>81564.443292229495</v>
      </c>
      <c r="AU14" s="122">
        <v>81816.964788490091</v>
      </c>
      <c r="AV14" s="122">
        <v>89140.088180052466</v>
      </c>
      <c r="AW14" s="122">
        <v>4644.9719008195034</v>
      </c>
      <c r="AX14" s="122">
        <v>36465.088948293698</v>
      </c>
      <c r="AY14" s="122">
        <v>2228.0542986422779</v>
      </c>
      <c r="AZ14" s="122">
        <v>839.70798772573653</v>
      </c>
      <c r="BA14" s="122">
        <v>1555.290940833703</v>
      </c>
      <c r="BB14" s="122">
        <v>2166.6666666676529</v>
      </c>
      <c r="BC14" s="122">
        <v>16199.99999897049</v>
      </c>
      <c r="BD14" s="122">
        <v>923.16568900845198</v>
      </c>
      <c r="BE14" s="122">
        <v>958.9537253767453</v>
      </c>
      <c r="BF14" s="122">
        <v>916.6833333329123</v>
      </c>
      <c r="BG14" s="122">
        <v>12296.800000006155</v>
      </c>
    </row>
    <row r="15" spans="1:59" x14ac:dyDescent="0.25">
      <c r="A15" s="1">
        <v>13515.999305555555</v>
      </c>
      <c r="B15" s="3">
        <v>2494.0200000010741</v>
      </c>
      <c r="C15" s="3">
        <v>3493.7000000005241</v>
      </c>
      <c r="D15" s="3">
        <v>4522.2400000005764</v>
      </c>
      <c r="E15" s="3">
        <v>10740.699999997816</v>
      </c>
      <c r="F15" s="3">
        <v>1993.3600000002282</v>
      </c>
      <c r="G15" s="3">
        <v>4668.8200000030765</v>
      </c>
      <c r="H15" s="3">
        <v>513.99999999994111</v>
      </c>
      <c r="I15" s="3">
        <v>4166.6500000021306</v>
      </c>
      <c r="J15" s="3">
        <v>4166.6500000021233</v>
      </c>
      <c r="K15" s="3">
        <v>16991.961535570143</v>
      </c>
      <c r="L15" s="3">
        <v>1799.9999999999991</v>
      </c>
      <c r="M15" s="3">
        <v>7318.3999999991929</v>
      </c>
      <c r="N15" s="3">
        <v>27833.120000031842</v>
      </c>
      <c r="O15" s="122">
        <v>23975.600000011007</v>
      </c>
      <c r="P15" s="122">
        <v>1346.7400000006844</v>
      </c>
      <c r="Q15" s="122">
        <v>0</v>
      </c>
      <c r="R15" s="122">
        <v>4588.9400000008773</v>
      </c>
      <c r="S15" s="122">
        <v>3183.3799999986809</v>
      </c>
      <c r="T15" s="122">
        <v>1008.9400000003277</v>
      </c>
      <c r="U15" s="122">
        <v>419.22999999996358</v>
      </c>
      <c r="V15" s="122">
        <v>11479.940000005452</v>
      </c>
      <c r="W15" s="122">
        <v>1499.9833333328022</v>
      </c>
      <c r="X15" s="122">
        <v>1416.6499999990265</v>
      </c>
      <c r="Y15" s="122">
        <v>541.6666666666074</v>
      </c>
      <c r="Z15" s="122">
        <v>333.33333333346354</v>
      </c>
      <c r="AA15" s="122">
        <v>983.60655737901993</v>
      </c>
      <c r="AB15" s="122">
        <v>1499.9999999989695</v>
      </c>
      <c r="AC15" s="122">
        <v>1000.0000000020035</v>
      </c>
      <c r="AD15" s="122">
        <v>1499.9999999989695</v>
      </c>
      <c r="AE15" s="122">
        <v>5399.087799315228</v>
      </c>
      <c r="AF15" s="122">
        <v>477.99998468160612</v>
      </c>
      <c r="AG15" s="122">
        <v>17788.306642658827</v>
      </c>
      <c r="AH15" s="122">
        <v>4549.0121770912901</v>
      </c>
      <c r="AI15" s="122">
        <v>8333.3500000013719</v>
      </c>
      <c r="AJ15" s="122">
        <v>38999.999998983862</v>
      </c>
      <c r="AK15" s="122">
        <v>15864.246446422729</v>
      </c>
      <c r="AL15" s="122">
        <v>12224.199288254822</v>
      </c>
      <c r="AM15" s="122">
        <v>24160.880683189946</v>
      </c>
      <c r="AN15" s="122">
        <v>5875.7168374534858</v>
      </c>
      <c r="AO15" s="122">
        <v>2145.999999999754</v>
      </c>
      <c r="AP15" s="122">
        <v>378.87777777775057</v>
      </c>
      <c r="AQ15" s="122">
        <v>1927.0178127169909</v>
      </c>
      <c r="AR15" s="122">
        <v>8136.581795329349</v>
      </c>
      <c r="AS15" s="122">
        <v>33105.778642042722</v>
      </c>
      <c r="AT15" s="122">
        <v>100455.52873871477</v>
      </c>
      <c r="AU15" s="122">
        <v>100766.53656762696</v>
      </c>
      <c r="AV15" s="122">
        <v>109785.76360608754</v>
      </c>
      <c r="AW15" s="122">
        <v>4657.6978512326941</v>
      </c>
      <c r="AX15" s="122">
        <v>40660.034043492342</v>
      </c>
      <c r="AY15" s="122">
        <v>2620.814479637706</v>
      </c>
      <c r="AZ15" s="122">
        <v>612.99999523162683</v>
      </c>
      <c r="BA15" s="122">
        <v>1734.2116645184444</v>
      </c>
      <c r="BB15" s="122">
        <v>2166.6666666676529</v>
      </c>
      <c r="BC15" s="122">
        <v>16199.999998970494</v>
      </c>
      <c r="BD15" s="122">
        <v>1102.0290412538398</v>
      </c>
      <c r="BE15" s="122">
        <v>1069.2717951474192</v>
      </c>
      <c r="BF15" s="122">
        <v>916.68333333291218</v>
      </c>
      <c r="BG15" s="122">
        <v>12296.800000006155</v>
      </c>
    </row>
    <row r="16" spans="1:59" x14ac:dyDescent="0.25">
      <c r="A16" s="1">
        <v>13880.999305555555</v>
      </c>
      <c r="B16" s="3">
        <v>2427.0349204553395</v>
      </c>
      <c r="C16" s="3">
        <v>3493.7000000005241</v>
      </c>
      <c r="D16" s="3">
        <v>4522.2400000005764</v>
      </c>
      <c r="E16" s="3">
        <v>10740.699999997816</v>
      </c>
      <c r="F16" s="3">
        <v>1993.3600000002282</v>
      </c>
      <c r="G16" s="3">
        <v>4668.8200000030756</v>
      </c>
      <c r="H16" s="3">
        <v>545.99999999993747</v>
      </c>
      <c r="I16" s="3">
        <v>4166.6500000021297</v>
      </c>
      <c r="J16" s="3">
        <v>4166.6500000021233</v>
      </c>
      <c r="K16" s="3">
        <v>18145.894373072802</v>
      </c>
      <c r="L16" s="3">
        <v>1800.0000000000023</v>
      </c>
      <c r="M16" s="3">
        <v>7318.3999999991938</v>
      </c>
      <c r="N16" s="3">
        <v>27833.120000031842</v>
      </c>
      <c r="O16" s="122">
        <v>23975.600000011007</v>
      </c>
      <c r="P16" s="122">
        <v>1346.7400000006844</v>
      </c>
      <c r="Q16" s="122">
        <v>66.985079545736241</v>
      </c>
      <c r="R16" s="122">
        <v>4588.9400000008773</v>
      </c>
      <c r="S16" s="122">
        <v>3183.3799999986809</v>
      </c>
      <c r="T16" s="122">
        <v>1008.9400000003277</v>
      </c>
      <c r="U16" s="122">
        <v>419.22999999996358</v>
      </c>
      <c r="V16" s="122">
        <v>11479.940000005454</v>
      </c>
      <c r="W16" s="122">
        <v>1499.983333332802</v>
      </c>
      <c r="X16" s="122">
        <v>1416.6499999990267</v>
      </c>
      <c r="Y16" s="122">
        <v>541.66666666660728</v>
      </c>
      <c r="Z16" s="122">
        <v>333.3333333334636</v>
      </c>
      <c r="AA16" s="122">
        <v>1000.0000000020067</v>
      </c>
      <c r="AB16" s="122">
        <v>1499.999999998952</v>
      </c>
      <c r="AC16" s="122">
        <v>1000.0000000020067</v>
      </c>
      <c r="AD16" s="122">
        <v>1499.999999998952</v>
      </c>
      <c r="AE16" s="122">
        <v>5417.616875712034</v>
      </c>
      <c r="AF16" s="122">
        <v>577.99999898672149</v>
      </c>
      <c r="AG16" s="122">
        <v>17771.249881548221</v>
      </c>
      <c r="AH16" s="122">
        <v>4671.9642063309084</v>
      </c>
      <c r="AI16" s="122">
        <v>8333.3500000013701</v>
      </c>
      <c r="AJ16" s="122">
        <v>38999.999998983854</v>
      </c>
      <c r="AK16" s="122">
        <v>15864.24644642276</v>
      </c>
      <c r="AL16" s="122">
        <v>13002.372479239311</v>
      </c>
      <c r="AM16" s="122">
        <v>24160.880683190011</v>
      </c>
      <c r="AN16" s="122">
        <v>6076.9013819678967</v>
      </c>
      <c r="AO16" s="122">
        <v>2373.9999999997262</v>
      </c>
      <c r="AP16" s="122">
        <v>378.87777777775057</v>
      </c>
      <c r="AQ16" s="122">
        <v>1775.6081024184389</v>
      </c>
      <c r="AR16" s="122">
        <v>11152.474133576223</v>
      </c>
      <c r="AS16" s="122">
        <v>33119.26666579811</v>
      </c>
      <c r="AT16" s="122">
        <v>90980.338727350987</v>
      </c>
      <c r="AU16" s="122">
        <v>91262.011602667946</v>
      </c>
      <c r="AV16" s="122">
        <v>99430.524986857316</v>
      </c>
      <c r="AW16" s="122">
        <v>4644.9719008195125</v>
      </c>
      <c r="AX16" s="122">
        <v>38382.642857498511</v>
      </c>
      <c r="AY16" s="122">
        <v>2856.1085972847386</v>
      </c>
      <c r="AZ16" s="122">
        <v>729.00002187490202</v>
      </c>
      <c r="BA16" s="122">
        <v>1637.077501885982</v>
      </c>
      <c r="BB16" s="122">
        <v>2166.6666666676529</v>
      </c>
      <c r="BC16" s="122">
        <v>16199.99999897049</v>
      </c>
      <c r="BD16" s="122">
        <v>1175.1129916336756</v>
      </c>
      <c r="BE16" s="122">
        <v>1009.3812854863644</v>
      </c>
      <c r="BF16" s="122">
        <v>916.6833333329123</v>
      </c>
      <c r="BG16" s="122">
        <v>12296.800000006155</v>
      </c>
    </row>
    <row r="17" spans="1:59" x14ac:dyDescent="0.25">
      <c r="A17" s="1">
        <v>14245.999305555555</v>
      </c>
      <c r="B17" s="3">
        <v>2494.0200000010741</v>
      </c>
      <c r="C17" s="3">
        <v>3493.7000000005241</v>
      </c>
      <c r="D17" s="3">
        <v>4522.2400000005764</v>
      </c>
      <c r="E17" s="3">
        <v>10740.699999997816</v>
      </c>
      <c r="F17" s="3">
        <v>1993.3600000002282</v>
      </c>
      <c r="G17" s="3">
        <v>4668.8200000030756</v>
      </c>
      <c r="H17" s="3">
        <v>497.99999999994264</v>
      </c>
      <c r="I17" s="3">
        <v>4166.6500000021297</v>
      </c>
      <c r="J17" s="3">
        <v>4166.6500000021233</v>
      </c>
      <c r="K17" s="3">
        <v>16670.422958453491</v>
      </c>
      <c r="L17" s="3">
        <v>1800.0000000000011</v>
      </c>
      <c r="M17" s="3">
        <v>7318.3999999991938</v>
      </c>
      <c r="N17" s="3">
        <v>27833.120000031842</v>
      </c>
      <c r="O17" s="122">
        <v>23975.600000011007</v>
      </c>
      <c r="P17" s="122">
        <v>1346.7400000006844</v>
      </c>
      <c r="Q17" s="122">
        <v>0</v>
      </c>
      <c r="R17" s="122">
        <v>4588.9400000008773</v>
      </c>
      <c r="S17" s="122">
        <v>3183.3799999986809</v>
      </c>
      <c r="T17" s="122">
        <v>1008.9400000003277</v>
      </c>
      <c r="U17" s="122">
        <v>419.22999999996358</v>
      </c>
      <c r="V17" s="122">
        <v>11479.940000005454</v>
      </c>
      <c r="W17" s="122">
        <v>1499.983333332802</v>
      </c>
      <c r="X17" s="122">
        <v>1416.6499999990267</v>
      </c>
      <c r="Y17" s="122">
        <v>541.66666666660728</v>
      </c>
      <c r="Z17" s="122">
        <v>333.3333333334636</v>
      </c>
      <c r="AA17" s="122">
        <v>1000.0000000020067</v>
      </c>
      <c r="AB17" s="122">
        <v>1499.999999998952</v>
      </c>
      <c r="AC17" s="122">
        <v>1000.0000000020067</v>
      </c>
      <c r="AD17" s="122">
        <v>1499.999999998952</v>
      </c>
      <c r="AE17" s="122">
        <v>5601.4823261111023</v>
      </c>
      <c r="AF17" s="122">
        <v>568.99999618530467</v>
      </c>
      <c r="AG17" s="122">
        <v>18550.175305598164</v>
      </c>
      <c r="AH17" s="122">
        <v>4706.0418751514107</v>
      </c>
      <c r="AI17" s="122">
        <v>8333.3500000013701</v>
      </c>
      <c r="AJ17" s="122">
        <v>38999.999998983854</v>
      </c>
      <c r="AK17" s="122">
        <v>15864.246446422736</v>
      </c>
      <c r="AL17" s="122">
        <v>11926.453143533625</v>
      </c>
      <c r="AM17" s="122">
        <v>24160.880683189982</v>
      </c>
      <c r="AN17" s="122">
        <v>6065.6200056399866</v>
      </c>
      <c r="AO17" s="122">
        <v>2283.9999999997358</v>
      </c>
      <c r="AP17" s="122">
        <v>378.87777777775057</v>
      </c>
      <c r="AQ17" s="122">
        <v>1813.0503748807121</v>
      </c>
      <c r="AR17" s="122">
        <v>7770.2981468928947</v>
      </c>
      <c r="AS17" s="122">
        <v>33119.26666579811</v>
      </c>
      <c r="AT17" s="122">
        <v>98553.41568663287</v>
      </c>
      <c r="AU17" s="122">
        <v>98858.534620647231</v>
      </c>
      <c r="AV17" s="122">
        <v>107706.9837070631</v>
      </c>
      <c r="AW17" s="122">
        <v>4644.9719008194988</v>
      </c>
      <c r="AX17" s="122">
        <v>36471.401882974234</v>
      </c>
      <c r="AY17" s="122">
        <v>2685.9728506784236</v>
      </c>
      <c r="AZ17" s="122">
        <v>779.00001811980883</v>
      </c>
      <c r="BA17" s="122">
        <v>1555.5601970017751</v>
      </c>
      <c r="BB17" s="122">
        <v>2166.6666666676529</v>
      </c>
      <c r="BC17" s="122">
        <v>16199.99999897049</v>
      </c>
      <c r="BD17" s="122">
        <v>1080.8731608807291</v>
      </c>
      <c r="BE17" s="122">
        <v>959.11974203554314</v>
      </c>
      <c r="BF17" s="122">
        <v>916.6833333329123</v>
      </c>
      <c r="BG17" s="122">
        <v>12296.800000006155</v>
      </c>
    </row>
    <row r="18" spans="1:59" x14ac:dyDescent="0.25">
      <c r="A18" s="1">
        <v>14610.999305555555</v>
      </c>
      <c r="B18" s="3">
        <v>2069.9793548395787</v>
      </c>
      <c r="C18" s="3">
        <v>3493.7000000005241</v>
      </c>
      <c r="D18" s="3">
        <v>4522.2400000005764</v>
      </c>
      <c r="E18" s="3">
        <v>10740.699999997816</v>
      </c>
      <c r="F18" s="3">
        <v>1993.3600000002282</v>
      </c>
      <c r="G18" s="3">
        <v>4668.8200000030756</v>
      </c>
      <c r="H18" s="3">
        <v>577.99999999993349</v>
      </c>
      <c r="I18" s="3">
        <v>4166.6500000021297</v>
      </c>
      <c r="J18" s="3">
        <v>4166.6500000021233</v>
      </c>
      <c r="K18" s="3">
        <v>19299.82721057551</v>
      </c>
      <c r="L18" s="3">
        <v>1799.9999999999991</v>
      </c>
      <c r="M18" s="3">
        <v>7318.3999999991938</v>
      </c>
      <c r="N18" s="3">
        <v>27833.120000031842</v>
      </c>
      <c r="O18" s="122">
        <v>23975.600000011007</v>
      </c>
      <c r="P18" s="122">
        <v>1346.7400000006844</v>
      </c>
      <c r="Q18" s="122">
        <v>424.04064516150027</v>
      </c>
      <c r="R18" s="122">
        <v>4588.9400000008773</v>
      </c>
      <c r="S18" s="122">
        <v>3183.3799999986809</v>
      </c>
      <c r="T18" s="122">
        <v>1008.9400000003277</v>
      </c>
      <c r="U18" s="122">
        <v>419.22999999996358</v>
      </c>
      <c r="V18" s="122">
        <v>11479.940000005454</v>
      </c>
      <c r="W18" s="122">
        <v>1499.983333332802</v>
      </c>
      <c r="X18" s="122">
        <v>1416.6499999990267</v>
      </c>
      <c r="Y18" s="122">
        <v>541.66666666660728</v>
      </c>
      <c r="Z18" s="122">
        <v>333.3333333334636</v>
      </c>
      <c r="AA18" s="122">
        <v>1000.0000000020067</v>
      </c>
      <c r="AB18" s="122">
        <v>1499.999999998952</v>
      </c>
      <c r="AC18" s="122">
        <v>1000.0000000020067</v>
      </c>
      <c r="AD18" s="122">
        <v>1499.999999998952</v>
      </c>
      <c r="AE18" s="122">
        <v>5460.3762827815835</v>
      </c>
      <c r="AF18" s="122">
        <v>332.9999914169295</v>
      </c>
      <c r="AG18" s="122">
        <v>19393.532253648493</v>
      </c>
      <c r="AH18" s="122">
        <v>4581.7908751030745</v>
      </c>
      <c r="AI18" s="122">
        <v>8333.3500000013701</v>
      </c>
      <c r="AJ18" s="122">
        <v>38999.999998983854</v>
      </c>
      <c r="AK18" s="122">
        <v>15864.246446422745</v>
      </c>
      <c r="AL18" s="122">
        <v>13812.574139974677</v>
      </c>
      <c r="AM18" s="122">
        <v>24160.880683189996</v>
      </c>
      <c r="AN18" s="122">
        <v>6264.9243207664085</v>
      </c>
      <c r="AO18" s="122">
        <v>2449.999999999719</v>
      </c>
      <c r="AP18" s="122">
        <v>378.87777777775057</v>
      </c>
      <c r="AQ18" s="122">
        <v>1183.0683744999612</v>
      </c>
      <c r="AR18" s="122">
        <v>4553.1776903635991</v>
      </c>
      <c r="AS18" s="122">
        <v>33119.26666579811</v>
      </c>
      <c r="AT18" s="122">
        <v>110250.9555613533</v>
      </c>
      <c r="AU18" s="122">
        <v>110592.28978909769</v>
      </c>
      <c r="AV18" s="122">
        <v>120490.98239367717</v>
      </c>
      <c r="AW18" s="122">
        <v>4644.9719008195216</v>
      </c>
      <c r="AX18" s="122">
        <v>44679.795201306857</v>
      </c>
      <c r="AY18" s="122">
        <v>3035.2941176467116</v>
      </c>
      <c r="AZ18" s="122">
        <v>446.00000089406967</v>
      </c>
      <c r="BA18" s="122">
        <v>1905.6605295391516</v>
      </c>
      <c r="BB18" s="122">
        <v>2166.6666666676529</v>
      </c>
      <c r="BC18" s="122">
        <v>16199.99999897049</v>
      </c>
      <c r="BD18" s="122">
        <v>1250.1202038656127</v>
      </c>
      <c r="BE18" s="122">
        <v>1174.9829026364714</v>
      </c>
      <c r="BF18" s="122">
        <v>916.6833333329123</v>
      </c>
      <c r="BG18" s="122">
        <v>12296.800000006155</v>
      </c>
    </row>
    <row r="19" spans="1:59" x14ac:dyDescent="0.25">
      <c r="A19" s="1">
        <v>14976.999305555555</v>
      </c>
      <c r="B19" s="3">
        <v>1934.4571314941672</v>
      </c>
      <c r="C19" s="3">
        <v>3493.7000000005241</v>
      </c>
      <c r="D19" s="3">
        <v>4522.2400000005764</v>
      </c>
      <c r="E19" s="3">
        <v>10740.699999997816</v>
      </c>
      <c r="F19" s="3">
        <v>1993.3600000002282</v>
      </c>
      <c r="G19" s="3">
        <v>4668.8200000030765</v>
      </c>
      <c r="H19" s="3">
        <v>507.99999999994156</v>
      </c>
      <c r="I19" s="3">
        <v>4166.6500000021306</v>
      </c>
      <c r="J19" s="3">
        <v>4166.6500000021233</v>
      </c>
      <c r="K19" s="3">
        <v>16877.770265192274</v>
      </c>
      <c r="L19" s="3">
        <v>1799.9999999999989</v>
      </c>
      <c r="M19" s="3">
        <v>7318.3999999991929</v>
      </c>
      <c r="N19" s="3">
        <v>27833.120000031842</v>
      </c>
      <c r="O19" s="122">
        <v>23975.600000011007</v>
      </c>
      <c r="P19" s="122">
        <v>1346.7400000006844</v>
      </c>
      <c r="Q19" s="122">
        <v>559.56286850691333</v>
      </c>
      <c r="R19" s="122">
        <v>4588.9400000008773</v>
      </c>
      <c r="S19" s="122">
        <v>3183.3799999986809</v>
      </c>
      <c r="T19" s="122">
        <v>1008.9400000003277</v>
      </c>
      <c r="U19" s="122">
        <v>419.22999999996358</v>
      </c>
      <c r="V19" s="122">
        <v>11479.940000005452</v>
      </c>
      <c r="W19" s="122">
        <v>1499.9833333328022</v>
      </c>
      <c r="X19" s="122">
        <v>1416.6499999990265</v>
      </c>
      <c r="Y19" s="122">
        <v>541.6666666666074</v>
      </c>
      <c r="Z19" s="122">
        <v>333.33333333346354</v>
      </c>
      <c r="AA19" s="122">
        <v>1000.0000000020035</v>
      </c>
      <c r="AB19" s="122">
        <v>1499.9999999989695</v>
      </c>
      <c r="AC19" s="122">
        <v>1000.0000000020035</v>
      </c>
      <c r="AD19" s="122">
        <v>1499.9999999989695</v>
      </c>
      <c r="AE19" s="122">
        <v>5483.1812998853429</v>
      </c>
      <c r="AF19" s="122">
        <v>373.99999237060553</v>
      </c>
      <c r="AG19" s="122">
        <v>19183.170662368684</v>
      </c>
      <c r="AH19" s="122">
        <v>4699.4007017815966</v>
      </c>
      <c r="AI19" s="122">
        <v>8333.3500000013719</v>
      </c>
      <c r="AJ19" s="122">
        <v>38999.999998983862</v>
      </c>
      <c r="AK19" s="122">
        <v>15864.246446422727</v>
      </c>
      <c r="AL19" s="122">
        <v>12118.623962038948</v>
      </c>
      <c r="AM19" s="122">
        <v>24160.880683190004</v>
      </c>
      <c r="AN19" s="122">
        <v>6313.8102848540293</v>
      </c>
      <c r="AO19" s="122">
        <v>2433.9999999997199</v>
      </c>
      <c r="AP19" s="122">
        <v>378.87777777775057</v>
      </c>
      <c r="AQ19" s="122">
        <v>1551.4606779293422</v>
      </c>
      <c r="AR19" s="122">
        <v>6028.5383928856736</v>
      </c>
      <c r="AS19" s="122">
        <v>33105.778642042722</v>
      </c>
      <c r="AT19" s="122">
        <v>94223.96081625369</v>
      </c>
      <c r="AU19" s="122">
        <v>94515.675865220226</v>
      </c>
      <c r="AV19" s="122">
        <v>102975.41228525559</v>
      </c>
      <c r="AW19" s="122">
        <v>4657.6978512327078</v>
      </c>
      <c r="AX19" s="122">
        <v>40058.72701517379</v>
      </c>
      <c r="AY19" s="122">
        <v>2767.4208144793206</v>
      </c>
      <c r="AZ19" s="122">
        <v>548.00000286102193</v>
      </c>
      <c r="BA19" s="122">
        <v>1708.565014509458</v>
      </c>
      <c r="BB19" s="122">
        <v>2166.6666666676529</v>
      </c>
      <c r="BC19" s="122">
        <v>16199.999998970494</v>
      </c>
      <c r="BD19" s="122">
        <v>1094.335993845436</v>
      </c>
      <c r="BE19" s="122">
        <v>1053.458708396995</v>
      </c>
      <c r="BF19" s="122">
        <v>916.68333333291218</v>
      </c>
      <c r="BG19" s="122">
        <v>12296.800000006155</v>
      </c>
    </row>
    <row r="20" spans="1:59" x14ac:dyDescent="0.25">
      <c r="A20" s="1">
        <v>15341.999305555555</v>
      </c>
      <c r="B20" s="3">
        <v>2494.0200000010741</v>
      </c>
      <c r="C20" s="3">
        <v>3493.7000000005241</v>
      </c>
      <c r="D20" s="3">
        <v>4522.2400000005764</v>
      </c>
      <c r="E20" s="3">
        <v>10740.699999997816</v>
      </c>
      <c r="F20" s="3">
        <v>1993.3600000002282</v>
      </c>
      <c r="G20" s="3">
        <v>4668.8200000030756</v>
      </c>
      <c r="H20" s="3">
        <v>403.99999999995333</v>
      </c>
      <c r="I20" s="3">
        <v>4166.6500000021297</v>
      </c>
      <c r="J20" s="3">
        <v>4166.6500000021233</v>
      </c>
      <c r="K20" s="3">
        <v>13160.543911049497</v>
      </c>
      <c r="L20" s="3">
        <v>1799.999999999998</v>
      </c>
      <c r="M20" s="3">
        <v>7318.3999999991938</v>
      </c>
      <c r="N20" s="3">
        <v>27833.120000031842</v>
      </c>
      <c r="O20" s="122">
        <v>23975.600000011007</v>
      </c>
      <c r="P20" s="122">
        <v>1346.7400000006844</v>
      </c>
      <c r="Q20" s="122">
        <v>0</v>
      </c>
      <c r="R20" s="122">
        <v>4588.9400000008773</v>
      </c>
      <c r="S20" s="122">
        <v>3183.3799999986809</v>
      </c>
      <c r="T20" s="122">
        <v>1008.9400000003277</v>
      </c>
      <c r="U20" s="122">
        <v>419.22999999996358</v>
      </c>
      <c r="V20" s="122">
        <v>11479.940000005454</v>
      </c>
      <c r="W20" s="122">
        <v>1499.983333332802</v>
      </c>
      <c r="X20" s="122">
        <v>1416.6499999990267</v>
      </c>
      <c r="Y20" s="122">
        <v>541.66666666660728</v>
      </c>
      <c r="Z20" s="122">
        <v>333.3333333334636</v>
      </c>
      <c r="AA20" s="122">
        <v>1000.0000000020067</v>
      </c>
      <c r="AB20" s="122">
        <v>1499.999999998952</v>
      </c>
      <c r="AC20" s="122">
        <v>1000.0000000020067</v>
      </c>
      <c r="AD20" s="122">
        <v>1499.999999998952</v>
      </c>
      <c r="AE20" s="122">
        <v>4526.7958950963975</v>
      </c>
      <c r="AF20" s="122">
        <v>659.99999612570048</v>
      </c>
      <c r="AG20" s="122">
        <v>14689.661707569616</v>
      </c>
      <c r="AH20" s="122">
        <v>3765.2418386323307</v>
      </c>
      <c r="AI20" s="122">
        <v>8333.3500000013701</v>
      </c>
      <c r="AJ20" s="122">
        <v>38999.999998983854</v>
      </c>
      <c r="AK20" s="122">
        <v>15864.246446422711</v>
      </c>
      <c r="AL20" s="122">
        <v>9587.1886120985455</v>
      </c>
      <c r="AM20" s="122">
        <v>24160.880683190004</v>
      </c>
      <c r="AN20" s="122">
        <v>4890.4766381492909</v>
      </c>
      <c r="AO20" s="122">
        <v>2377.9999999997281</v>
      </c>
      <c r="AP20" s="122">
        <v>378.87777777775057</v>
      </c>
      <c r="AQ20" s="122">
        <v>2084.5031817380677</v>
      </c>
      <c r="AR20" s="122">
        <v>11227.073349670723</v>
      </c>
      <c r="AS20" s="122">
        <v>33119.26666579811</v>
      </c>
      <c r="AT20" s="122">
        <v>74413.651934701236</v>
      </c>
      <c r="AU20" s="122">
        <v>74644.034758028662</v>
      </c>
      <c r="AV20" s="122">
        <v>81325.136634518974</v>
      </c>
      <c r="AW20" s="122">
        <v>4644.9719008194988</v>
      </c>
      <c r="AX20" s="122">
        <v>28240.91329325984</v>
      </c>
      <c r="AY20" s="122">
        <v>2296.8325791852553</v>
      </c>
      <c r="AZ20" s="122">
        <v>846.99999809264932</v>
      </c>
      <c r="BA20" s="122">
        <v>1204.5174678761418</v>
      </c>
      <c r="BB20" s="122">
        <v>2166.6666666676529</v>
      </c>
      <c r="BC20" s="122">
        <v>16199.99999897049</v>
      </c>
      <c r="BD20" s="122">
        <v>855.85152418491987</v>
      </c>
      <c r="BE20" s="122">
        <v>742.67552312882458</v>
      </c>
      <c r="BF20" s="122">
        <v>916.6833333329123</v>
      </c>
      <c r="BG20" s="122">
        <v>12296.800000006155</v>
      </c>
    </row>
    <row r="21" spans="1:59" x14ac:dyDescent="0.25">
      <c r="A21" s="1">
        <v>15706.999305555555</v>
      </c>
      <c r="B21" s="3">
        <v>2494.0200000010741</v>
      </c>
      <c r="C21" s="3">
        <v>3493.7000000005241</v>
      </c>
      <c r="D21" s="3">
        <v>4522.2400000005764</v>
      </c>
      <c r="E21" s="3">
        <v>10740.699999997816</v>
      </c>
      <c r="F21" s="3">
        <v>1993.3600000002282</v>
      </c>
      <c r="G21" s="3">
        <v>4668.8200000030756</v>
      </c>
      <c r="H21" s="3">
        <v>541.99999999993747</v>
      </c>
      <c r="I21" s="3">
        <v>4166.6500000021297</v>
      </c>
      <c r="J21" s="3">
        <v>4166.6500000021233</v>
      </c>
      <c r="K21" s="3">
        <v>17929.531966041068</v>
      </c>
      <c r="L21" s="3">
        <v>1799.9999999999995</v>
      </c>
      <c r="M21" s="3">
        <v>7318.3999999991938</v>
      </c>
      <c r="N21" s="3">
        <v>27833.120000031842</v>
      </c>
      <c r="O21" s="122">
        <v>23975.600000011007</v>
      </c>
      <c r="P21" s="122">
        <v>1346.7400000006844</v>
      </c>
      <c r="Q21" s="122">
        <v>0</v>
      </c>
      <c r="R21" s="122">
        <v>4588.9400000008773</v>
      </c>
      <c r="S21" s="122">
        <v>3183.3799999986809</v>
      </c>
      <c r="T21" s="122">
        <v>1008.9400000003277</v>
      </c>
      <c r="U21" s="122">
        <v>419.22999999996358</v>
      </c>
      <c r="V21" s="122">
        <v>11479.940000005454</v>
      </c>
      <c r="W21" s="122">
        <v>1499.983333332802</v>
      </c>
      <c r="X21" s="122">
        <v>1416.6499999990267</v>
      </c>
      <c r="Y21" s="122">
        <v>541.66666666660728</v>
      </c>
      <c r="Z21" s="122">
        <v>333.3333333334636</v>
      </c>
      <c r="AA21" s="122">
        <v>1000.0000000020067</v>
      </c>
      <c r="AB21" s="122">
        <v>1499.999999998952</v>
      </c>
      <c r="AC21" s="122">
        <v>1000.0000000020067</v>
      </c>
      <c r="AD21" s="122">
        <v>1499.999999998952</v>
      </c>
      <c r="AE21" s="122">
        <v>5500.285062713162</v>
      </c>
      <c r="AF21" s="122">
        <v>539.99999231100162</v>
      </c>
      <c r="AG21" s="122">
        <v>19124.41959632112</v>
      </c>
      <c r="AH21" s="122">
        <v>4632.3851552278729</v>
      </c>
      <c r="AI21" s="122">
        <v>8333.3500000013701</v>
      </c>
      <c r="AJ21" s="122">
        <v>38999.999998983854</v>
      </c>
      <c r="AK21" s="122">
        <v>15864.246446422729</v>
      </c>
      <c r="AL21" s="122">
        <v>12920.521945431479</v>
      </c>
      <c r="AM21" s="122">
        <v>24160.880683190007</v>
      </c>
      <c r="AN21" s="122">
        <v>6106.9850521756653</v>
      </c>
      <c r="AO21" s="122">
        <v>2633.9999999996953</v>
      </c>
      <c r="AP21" s="122">
        <v>378.87777777775057</v>
      </c>
      <c r="AQ21" s="122">
        <v>1627.4210216560928</v>
      </c>
      <c r="AR21" s="122">
        <v>6425.9425223881235</v>
      </c>
      <c r="AS21" s="122">
        <v>33119.26666579811</v>
      </c>
      <c r="AT21" s="122">
        <v>104182.76018217194</v>
      </c>
      <c r="AU21" s="122">
        <v>104505.30742731811</v>
      </c>
      <c r="AV21" s="122">
        <v>113859.17753655324</v>
      </c>
      <c r="AW21" s="122">
        <v>4644.9719008194916</v>
      </c>
      <c r="AX21" s="122">
        <v>43308.310141966133</v>
      </c>
      <c r="AY21" s="122">
        <v>2971.945701357125</v>
      </c>
      <c r="AZ21" s="122">
        <v>679.00002002715928</v>
      </c>
      <c r="BA21" s="122">
        <v>1847.1646270252174</v>
      </c>
      <c r="BB21" s="122">
        <v>2166.6666666676529</v>
      </c>
      <c r="BC21" s="122">
        <v>16199.99999897049</v>
      </c>
      <c r="BD21" s="122">
        <v>1161.6501586689694</v>
      </c>
      <c r="BE21" s="122">
        <v>1138.9157835128024</v>
      </c>
      <c r="BF21" s="122">
        <v>916.6833333329123</v>
      </c>
      <c r="BG21" s="122">
        <v>12296.800000006155</v>
      </c>
    </row>
    <row r="22" spans="1:59" x14ac:dyDescent="0.25">
      <c r="A22" s="1">
        <v>16071.999305555555</v>
      </c>
      <c r="B22" s="3">
        <v>2494.0200000010741</v>
      </c>
      <c r="C22" s="3">
        <v>3493.7000000005241</v>
      </c>
      <c r="D22" s="3">
        <v>4522.2400000005764</v>
      </c>
      <c r="E22" s="3">
        <v>10740.699999997816</v>
      </c>
      <c r="F22" s="3">
        <v>1993.3600000002282</v>
      </c>
      <c r="G22" s="3">
        <v>4668.8200000030756</v>
      </c>
      <c r="H22" s="3">
        <v>539.99999999993781</v>
      </c>
      <c r="I22" s="3">
        <v>4166.6500000021297</v>
      </c>
      <c r="J22" s="3">
        <v>4166.6500000021233</v>
      </c>
      <c r="K22" s="3">
        <v>17837.878446395651</v>
      </c>
      <c r="L22" s="3">
        <v>1799.9999999999995</v>
      </c>
      <c r="M22" s="3">
        <v>7318.3999999991938</v>
      </c>
      <c r="N22" s="3">
        <v>27833.120000031842</v>
      </c>
      <c r="O22" s="122">
        <v>23975.600000011007</v>
      </c>
      <c r="P22" s="122">
        <v>1346.7400000006844</v>
      </c>
      <c r="Q22" s="122">
        <v>0</v>
      </c>
      <c r="R22" s="122">
        <v>4588.9400000008773</v>
      </c>
      <c r="S22" s="122">
        <v>3183.3799999986809</v>
      </c>
      <c r="T22" s="122">
        <v>1008.9400000003277</v>
      </c>
      <c r="U22" s="122">
        <v>419.22999999996358</v>
      </c>
      <c r="V22" s="122">
        <v>11479.940000005454</v>
      </c>
      <c r="W22" s="122">
        <v>1499.983333332802</v>
      </c>
      <c r="X22" s="122">
        <v>1416.6499999990267</v>
      </c>
      <c r="Y22" s="122">
        <v>541.66666666660728</v>
      </c>
      <c r="Z22" s="122">
        <v>333.3333333334636</v>
      </c>
      <c r="AA22" s="122">
        <v>1000.0000000020067</v>
      </c>
      <c r="AB22" s="122">
        <v>1499.999999998952</v>
      </c>
      <c r="AC22" s="122">
        <v>1000.0000000020067</v>
      </c>
      <c r="AD22" s="122">
        <v>1499.999999998952</v>
      </c>
      <c r="AE22" s="122">
        <v>5657.0695553015148</v>
      </c>
      <c r="AF22" s="122">
        <v>406.99999994039536</v>
      </c>
      <c r="AG22" s="122">
        <v>19389.746991374646</v>
      </c>
      <c r="AH22" s="122">
        <v>4802.3060067593597</v>
      </c>
      <c r="AI22" s="122">
        <v>8333.3500000013701</v>
      </c>
      <c r="AJ22" s="122">
        <v>38999.999998983854</v>
      </c>
      <c r="AK22" s="122">
        <v>15864.246446422732</v>
      </c>
      <c r="AL22" s="122">
        <v>12899.169632264235</v>
      </c>
      <c r="AM22" s="122">
        <v>24160.880683190007</v>
      </c>
      <c r="AN22" s="122">
        <v>6152.1105574873063</v>
      </c>
      <c r="AO22" s="122">
        <v>2515.9999999997103</v>
      </c>
      <c r="AP22" s="122">
        <v>378.87777777775057</v>
      </c>
      <c r="AQ22" s="122">
        <v>1917.5963272632675</v>
      </c>
      <c r="AR22" s="122">
        <v>6172.6266973541979</v>
      </c>
      <c r="AS22" s="122">
        <v>33119.26666579811</v>
      </c>
      <c r="AT22" s="122">
        <v>99333.901260405619</v>
      </c>
      <c r="AU22" s="122">
        <v>99641.436558425412</v>
      </c>
      <c r="AV22" s="122">
        <v>108559.96020100075</v>
      </c>
      <c r="AW22" s="122">
        <v>4644.9719008195007</v>
      </c>
      <c r="AX22" s="122">
        <v>43257.806664522046</v>
      </c>
      <c r="AY22" s="122">
        <v>2912.2171945698005</v>
      </c>
      <c r="AZ22" s="122">
        <v>668.65296363830555</v>
      </c>
      <c r="BA22" s="122">
        <v>1845.0105776806295</v>
      </c>
      <c r="BB22" s="122">
        <v>2166.6666666676529</v>
      </c>
      <c r="BC22" s="122">
        <v>16199.99999897049</v>
      </c>
      <c r="BD22" s="122">
        <v>1159.7268968168678</v>
      </c>
      <c r="BE22" s="122">
        <v>1137.5876502424251</v>
      </c>
      <c r="BF22" s="122">
        <v>916.6833333329123</v>
      </c>
      <c r="BG22" s="122">
        <v>12296.800000006155</v>
      </c>
    </row>
    <row r="23" spans="1:59" x14ac:dyDescent="0.25">
      <c r="A23" s="1">
        <v>16437.999305555557</v>
      </c>
      <c r="B23" s="3">
        <v>2494.0200000010741</v>
      </c>
      <c r="C23" s="3">
        <v>3493.7000000005241</v>
      </c>
      <c r="D23" s="3">
        <v>4522.2400000005764</v>
      </c>
      <c r="E23" s="3">
        <v>10740.699999997816</v>
      </c>
      <c r="F23" s="3">
        <v>1993.3600000002282</v>
      </c>
      <c r="G23" s="3">
        <v>4668.8200000030765</v>
      </c>
      <c r="H23" s="3">
        <v>525.99999999993906</v>
      </c>
      <c r="I23" s="3">
        <v>4166.6500000021306</v>
      </c>
      <c r="J23" s="3">
        <v>4166.6500000021233</v>
      </c>
      <c r="K23" s="3">
        <v>17534.370069865032</v>
      </c>
      <c r="L23" s="3">
        <v>1799.9999999999991</v>
      </c>
      <c r="M23" s="3">
        <v>7318.3999999991929</v>
      </c>
      <c r="N23" s="3">
        <v>27833.120000031842</v>
      </c>
      <c r="O23" s="122">
        <v>23975.600000011007</v>
      </c>
      <c r="P23" s="122">
        <v>1346.7400000006844</v>
      </c>
      <c r="Q23" s="122">
        <v>0</v>
      </c>
      <c r="R23" s="122">
        <v>4588.9400000008773</v>
      </c>
      <c r="S23" s="122">
        <v>3183.3799999986809</v>
      </c>
      <c r="T23" s="122">
        <v>1008.9400000003277</v>
      </c>
      <c r="U23" s="122">
        <v>419.22999999996358</v>
      </c>
      <c r="V23" s="122">
        <v>11479.940000005452</v>
      </c>
      <c r="W23" s="122">
        <v>1499.9833333328022</v>
      </c>
      <c r="X23" s="122">
        <v>1416.6499999990265</v>
      </c>
      <c r="Y23" s="122">
        <v>541.6666666666074</v>
      </c>
      <c r="Z23" s="122">
        <v>333.33333333346354</v>
      </c>
      <c r="AA23" s="122">
        <v>1000.0000000020035</v>
      </c>
      <c r="AB23" s="122">
        <v>1499.9999999989695</v>
      </c>
      <c r="AC23" s="122">
        <v>1000.0000000020035</v>
      </c>
      <c r="AD23" s="122">
        <v>1499.9999999989695</v>
      </c>
      <c r="AE23" s="122">
        <v>5438.9965792468101</v>
      </c>
      <c r="AF23" s="122">
        <v>490.99999994039598</v>
      </c>
      <c r="AG23" s="122">
        <v>17701.127641426941</v>
      </c>
      <c r="AH23" s="122">
        <v>4633.5585720884101</v>
      </c>
      <c r="AI23" s="122">
        <v>8333.3500000013719</v>
      </c>
      <c r="AJ23" s="122">
        <v>38999.999998983862</v>
      </c>
      <c r="AK23" s="122">
        <v>15864.246446422723</v>
      </c>
      <c r="AL23" s="122">
        <v>12655.990510081592</v>
      </c>
      <c r="AM23" s="122">
        <v>24160.880683190026</v>
      </c>
      <c r="AN23" s="122">
        <v>5982.8899125686439</v>
      </c>
      <c r="AO23" s="122">
        <v>2185.9999999997481</v>
      </c>
      <c r="AP23" s="122">
        <v>378.87777777775057</v>
      </c>
      <c r="AQ23" s="122">
        <v>1936.9614693175627</v>
      </c>
      <c r="AR23" s="122">
        <v>9443.5812083731889</v>
      </c>
      <c r="AS23" s="122">
        <v>33105.778642042722</v>
      </c>
      <c r="AT23" s="122">
        <v>98853.277078401792</v>
      </c>
      <c r="AU23" s="122">
        <v>99159.324375858094</v>
      </c>
      <c r="AV23" s="122">
        <v>108034.69600209237</v>
      </c>
      <c r="AW23" s="122">
        <v>4657.697851232685</v>
      </c>
      <c r="AX23" s="122">
        <v>39353.256564626863</v>
      </c>
      <c r="AY23" s="122">
        <v>2675.11312217164</v>
      </c>
      <c r="AZ23" s="122">
        <v>727.67560768127339</v>
      </c>
      <c r="BA23" s="122">
        <v>1678.4756377272604</v>
      </c>
      <c r="BB23" s="122">
        <v>2166.6666666676529</v>
      </c>
      <c r="BC23" s="122">
        <v>16199.999998970494</v>
      </c>
      <c r="BD23" s="122">
        <v>1138.5710164437583</v>
      </c>
      <c r="BE23" s="122">
        <v>1034.9063467764183</v>
      </c>
      <c r="BF23" s="122">
        <v>916.68333333291218</v>
      </c>
      <c r="BG23" s="122">
        <v>12296.800000006155</v>
      </c>
    </row>
    <row r="24" spans="1:59" x14ac:dyDescent="0.25">
      <c r="A24" s="1">
        <v>16802.999305555557</v>
      </c>
      <c r="B24" s="3">
        <v>2369.8129450262427</v>
      </c>
      <c r="C24" s="3">
        <v>3493.7000000005241</v>
      </c>
      <c r="D24" s="3">
        <v>4522.2400000005764</v>
      </c>
      <c r="E24" s="3">
        <v>10740.699999997816</v>
      </c>
      <c r="F24" s="3">
        <v>1993.3600000002282</v>
      </c>
      <c r="G24" s="3">
        <v>4668.8200000030756</v>
      </c>
      <c r="H24" s="3">
        <v>535.9999999999385</v>
      </c>
      <c r="I24" s="3">
        <v>4166.6500000021297</v>
      </c>
      <c r="J24" s="3">
        <v>4166.6500000021233</v>
      </c>
      <c r="K24" s="3">
        <v>17726.692209448793</v>
      </c>
      <c r="L24" s="3">
        <v>1799.9999999999989</v>
      </c>
      <c r="M24" s="3">
        <v>7318.3999999991938</v>
      </c>
      <c r="N24" s="3">
        <v>27833.120000031842</v>
      </c>
      <c r="O24" s="122">
        <v>23975.600000011007</v>
      </c>
      <c r="P24" s="122">
        <v>1346.7400000006844</v>
      </c>
      <c r="Q24" s="122">
        <v>124.20705497483331</v>
      </c>
      <c r="R24" s="122">
        <v>4588.9400000008773</v>
      </c>
      <c r="S24" s="122">
        <v>3183.3799999986809</v>
      </c>
      <c r="T24" s="122">
        <v>1008.9400000003277</v>
      </c>
      <c r="U24" s="122">
        <v>419.22999999996358</v>
      </c>
      <c r="V24" s="122">
        <v>11479.940000005454</v>
      </c>
      <c r="W24" s="122">
        <v>1499.983333332802</v>
      </c>
      <c r="X24" s="122">
        <v>1416.6499999990267</v>
      </c>
      <c r="Y24" s="122">
        <v>541.66666666660728</v>
      </c>
      <c r="Z24" s="122">
        <v>333.3333333334636</v>
      </c>
      <c r="AA24" s="122">
        <v>1000.0000000020067</v>
      </c>
      <c r="AB24" s="122">
        <v>1499.999999998952</v>
      </c>
      <c r="AC24" s="122">
        <v>1000.0000000020067</v>
      </c>
      <c r="AD24" s="122">
        <v>1499.999999998952</v>
      </c>
      <c r="AE24" s="122">
        <v>5497.4344355751964</v>
      </c>
      <c r="AF24" s="122">
        <v>560.99999231100128</v>
      </c>
      <c r="AG24" s="122">
        <v>18148.393821659996</v>
      </c>
      <c r="AH24" s="122">
        <v>4663.6357763797578</v>
      </c>
      <c r="AI24" s="122">
        <v>8333.3500000013701</v>
      </c>
      <c r="AJ24" s="122">
        <v>38999.999998983854</v>
      </c>
      <c r="AK24" s="122">
        <v>15864.246446422727</v>
      </c>
      <c r="AL24" s="122">
        <v>12753.262158954638</v>
      </c>
      <c r="AM24" s="122">
        <v>24160.880683190011</v>
      </c>
      <c r="AN24" s="122">
        <v>6059.9793174760362</v>
      </c>
      <c r="AO24" s="122">
        <v>2187.9999999997476</v>
      </c>
      <c r="AP24" s="122">
        <v>378.87777777775057</v>
      </c>
      <c r="AQ24" s="122">
        <v>1773.693656753167</v>
      </c>
      <c r="AR24" s="122">
        <v>4350.4144290466911</v>
      </c>
      <c r="AS24" s="122">
        <v>33119.26666579811</v>
      </c>
      <c r="AT24" s="122">
        <v>105338.21404090195</v>
      </c>
      <c r="AU24" s="122">
        <v>105664.33854257681</v>
      </c>
      <c r="AV24" s="122">
        <v>115121.94909114056</v>
      </c>
      <c r="AW24" s="122">
        <v>4644.9719008194988</v>
      </c>
      <c r="AX24" s="122">
        <v>40554.292387593807</v>
      </c>
      <c r="AY24" s="122">
        <v>2733.0316742078326</v>
      </c>
      <c r="AZ24" s="122">
        <v>720.00001239776441</v>
      </c>
      <c r="BA24" s="122">
        <v>1729.7016237032155</v>
      </c>
      <c r="BB24" s="122">
        <v>2166.6666666676529</v>
      </c>
      <c r="BC24" s="122">
        <v>16199.99999897049</v>
      </c>
      <c r="BD24" s="122">
        <v>1150.1105875563642</v>
      </c>
      <c r="BE24" s="122">
        <v>1066.4910161125665</v>
      </c>
      <c r="BF24" s="122">
        <v>916.6833333329123</v>
      </c>
      <c r="BG24" s="122">
        <v>12296.800000006155</v>
      </c>
    </row>
    <row r="25" spans="1:59" x14ac:dyDescent="0.25">
      <c r="A25" s="1">
        <v>17167.999305555557</v>
      </c>
      <c r="B25" s="3">
        <v>2494.0200000010741</v>
      </c>
      <c r="C25" s="3">
        <v>3493.7000000005241</v>
      </c>
      <c r="D25" s="3">
        <v>4522.2400000005764</v>
      </c>
      <c r="E25" s="3">
        <v>10740.699999997816</v>
      </c>
      <c r="F25" s="3">
        <v>1993.3600000002282</v>
      </c>
      <c r="G25" s="3">
        <v>4668.8200000030756</v>
      </c>
      <c r="H25" s="3">
        <v>565.9999999999344</v>
      </c>
      <c r="I25" s="3">
        <v>4166.6500000021297</v>
      </c>
      <c r="J25" s="3">
        <v>4166.6500000021233</v>
      </c>
      <c r="K25" s="3">
        <v>18805.499211176557</v>
      </c>
      <c r="L25" s="3">
        <v>1800.0000000000002</v>
      </c>
      <c r="M25" s="3">
        <v>7318.3999999991938</v>
      </c>
      <c r="N25" s="3">
        <v>27833.120000031842</v>
      </c>
      <c r="O25" s="122">
        <v>23975.600000011007</v>
      </c>
      <c r="P25" s="122">
        <v>1346.7400000006844</v>
      </c>
      <c r="Q25" s="122">
        <v>0</v>
      </c>
      <c r="R25" s="122">
        <v>4588.9400000008773</v>
      </c>
      <c r="S25" s="122">
        <v>3183.3799999986809</v>
      </c>
      <c r="T25" s="122">
        <v>1008.9400000003277</v>
      </c>
      <c r="U25" s="122">
        <v>419.22999999996358</v>
      </c>
      <c r="V25" s="122">
        <v>11479.940000005454</v>
      </c>
      <c r="W25" s="122">
        <v>1499.983333332802</v>
      </c>
      <c r="X25" s="122">
        <v>1416.6499999990267</v>
      </c>
      <c r="Y25" s="122">
        <v>541.66666666660728</v>
      </c>
      <c r="Z25" s="122">
        <v>333.3333333334636</v>
      </c>
      <c r="AA25" s="122">
        <v>1000.0000000020067</v>
      </c>
      <c r="AB25" s="122">
        <v>1499.999999998952</v>
      </c>
      <c r="AC25" s="122">
        <v>1000.0000000020067</v>
      </c>
      <c r="AD25" s="122">
        <v>1499.999999998952</v>
      </c>
      <c r="AE25" s="122">
        <v>5317.8449258830824</v>
      </c>
      <c r="AF25" s="122">
        <v>450.99999994039661</v>
      </c>
      <c r="AG25" s="122">
        <v>18265.895953755124</v>
      </c>
      <c r="AH25" s="122">
        <v>4551.9375787138715</v>
      </c>
      <c r="AI25" s="122">
        <v>8333.3500000013701</v>
      </c>
      <c r="AJ25" s="122">
        <v>38999.999998983854</v>
      </c>
      <c r="AK25" s="122">
        <v>15864.246446422745</v>
      </c>
      <c r="AL25" s="122">
        <v>13436.536180306868</v>
      </c>
      <c r="AM25" s="122">
        <v>24160.880683190007</v>
      </c>
      <c r="AN25" s="122">
        <v>6135.1884929954431</v>
      </c>
      <c r="AO25" s="122">
        <v>2429.9999999997208</v>
      </c>
      <c r="AP25" s="122">
        <v>378.87777777775057</v>
      </c>
      <c r="AQ25" s="122">
        <v>1715.6517539509759</v>
      </c>
      <c r="AR25" s="122">
        <v>4520.8653935649609</v>
      </c>
      <c r="AS25" s="122">
        <v>33119.26666579811</v>
      </c>
      <c r="AT25" s="122">
        <v>108104.69576163108</v>
      </c>
      <c r="AU25" s="122">
        <v>108439.38522219313</v>
      </c>
      <c r="AV25" s="122">
        <v>118145.37957850071</v>
      </c>
      <c r="AW25" s="122">
        <v>4644.9719008194888</v>
      </c>
      <c r="AX25" s="122">
        <v>42334.539967497542</v>
      </c>
      <c r="AY25" s="122">
        <v>2970.1357466059926</v>
      </c>
      <c r="AZ25" s="122">
        <v>622.00002193450644</v>
      </c>
      <c r="BA25" s="122">
        <v>1805.6318630999031</v>
      </c>
      <c r="BB25" s="122">
        <v>2166.6666666676529</v>
      </c>
      <c r="BC25" s="122">
        <v>16199.99999897049</v>
      </c>
      <c r="BD25" s="122">
        <v>1217.424752379897</v>
      </c>
      <c r="BE25" s="122">
        <v>1113.3077138933488</v>
      </c>
      <c r="BF25" s="122">
        <v>916.6833333329123</v>
      </c>
      <c r="BG25" s="122">
        <v>12296.800000006155</v>
      </c>
    </row>
    <row r="26" spans="1:59" x14ac:dyDescent="0.25">
      <c r="A26" s="1">
        <v>17532.999305555557</v>
      </c>
      <c r="B26" s="3">
        <v>2494.0200000010741</v>
      </c>
      <c r="C26" s="3">
        <v>3493.7000000005241</v>
      </c>
      <c r="D26" s="3">
        <v>4522.2400000005764</v>
      </c>
      <c r="E26" s="3">
        <v>10740.699999997816</v>
      </c>
      <c r="F26" s="3">
        <v>1993.3600000002282</v>
      </c>
      <c r="G26" s="3">
        <v>4668.8200000030756</v>
      </c>
      <c r="H26" s="3">
        <v>515.99999999994088</v>
      </c>
      <c r="I26" s="3">
        <v>4166.6500000021297</v>
      </c>
      <c r="J26" s="3">
        <v>4166.6500000021233</v>
      </c>
      <c r="K26" s="3">
        <v>17028.021936742083</v>
      </c>
      <c r="L26" s="3">
        <v>1799.9999999999991</v>
      </c>
      <c r="M26" s="3">
        <v>7318.3999999991938</v>
      </c>
      <c r="N26" s="3">
        <v>27833.120000031842</v>
      </c>
      <c r="O26" s="122">
        <v>23975.600000011007</v>
      </c>
      <c r="P26" s="122">
        <v>1346.7400000006844</v>
      </c>
      <c r="Q26" s="122">
        <v>0</v>
      </c>
      <c r="R26" s="122">
        <v>4588.9400000008773</v>
      </c>
      <c r="S26" s="122">
        <v>3183.3799999986809</v>
      </c>
      <c r="T26" s="122">
        <v>1008.9400000003277</v>
      </c>
      <c r="U26" s="122">
        <v>419.22999999996358</v>
      </c>
      <c r="V26" s="122">
        <v>11479.940000005454</v>
      </c>
      <c r="W26" s="122">
        <v>1499.983333332802</v>
      </c>
      <c r="X26" s="122">
        <v>1416.6499999990267</v>
      </c>
      <c r="Y26" s="122">
        <v>541.66666666660728</v>
      </c>
      <c r="Z26" s="122">
        <v>333.3333333334636</v>
      </c>
      <c r="AA26" s="122">
        <v>1000.0000000020067</v>
      </c>
      <c r="AB26" s="122">
        <v>1499.999999998952</v>
      </c>
      <c r="AC26" s="122">
        <v>1000.0000000020067</v>
      </c>
      <c r="AD26" s="122">
        <v>1499.999999998952</v>
      </c>
      <c r="AE26" s="122">
        <v>4950.1140250849421</v>
      </c>
      <c r="AF26" s="122">
        <v>592.59714978933528</v>
      </c>
      <c r="AG26" s="122">
        <v>17428.219463657621</v>
      </c>
      <c r="AH26" s="122">
        <v>4179.5506001209551</v>
      </c>
      <c r="AI26" s="122">
        <v>8333.3500000013701</v>
      </c>
      <c r="AJ26" s="122">
        <v>38999.999998983854</v>
      </c>
      <c r="AK26" s="122">
        <v>15864.246446422714</v>
      </c>
      <c r="AL26" s="122">
        <v>12270.462633450546</v>
      </c>
      <c r="AM26" s="122">
        <v>24160.88068319</v>
      </c>
      <c r="AN26" s="122">
        <v>5845.6331672457309</v>
      </c>
      <c r="AO26" s="122">
        <v>2405.9999999997231</v>
      </c>
      <c r="AP26" s="122">
        <v>378.87777777775057</v>
      </c>
      <c r="AQ26" s="122">
        <v>1897.5229715664107</v>
      </c>
      <c r="AR26" s="122">
        <v>4701.2725212527266</v>
      </c>
      <c r="AS26" s="122">
        <v>33119.26666579811</v>
      </c>
      <c r="AT26" s="122">
        <v>101937.2405459119</v>
      </c>
      <c r="AU26" s="122">
        <v>102252.83571788078</v>
      </c>
      <c r="AV26" s="122">
        <v>111405.09570497494</v>
      </c>
      <c r="AW26" s="122">
        <v>4644.9719008195216</v>
      </c>
      <c r="AX26" s="122">
        <v>37243.158147666501</v>
      </c>
      <c r="AY26" s="122">
        <v>2723.9819004521751</v>
      </c>
      <c r="AZ26" s="122">
        <v>869.00000190734329</v>
      </c>
      <c r="BA26" s="122">
        <v>1588.4767635487428</v>
      </c>
      <c r="BB26" s="122">
        <v>2166.6666666676529</v>
      </c>
      <c r="BC26" s="122">
        <v>16199.99999897049</v>
      </c>
      <c r="BD26" s="122">
        <v>1102.0290412538398</v>
      </c>
      <c r="BE26" s="122">
        <v>979.41527857348785</v>
      </c>
      <c r="BF26" s="122">
        <v>916.6833333329123</v>
      </c>
      <c r="BG26" s="122">
        <v>12296.800000006155</v>
      </c>
    </row>
    <row r="27" spans="1:59" x14ac:dyDescent="0.25">
      <c r="A27" s="1">
        <v>17898.999305555557</v>
      </c>
      <c r="B27" s="3">
        <v>2489.3922888943152</v>
      </c>
      <c r="C27" s="3">
        <v>3493.7000000005241</v>
      </c>
      <c r="D27" s="3">
        <v>4522.2400000005764</v>
      </c>
      <c r="E27" s="3">
        <v>10740.699999997816</v>
      </c>
      <c r="F27" s="3">
        <v>1993.3600000002282</v>
      </c>
      <c r="G27" s="3">
        <v>4668.8200000030765</v>
      </c>
      <c r="H27" s="3">
        <v>537.99999999993872</v>
      </c>
      <c r="I27" s="3">
        <v>4166.6500000021306</v>
      </c>
      <c r="J27" s="3">
        <v>4166.6500000021233</v>
      </c>
      <c r="K27" s="3">
        <v>17785.290361353247</v>
      </c>
      <c r="L27" s="3">
        <v>1800</v>
      </c>
      <c r="M27" s="3">
        <v>7318.3999999991929</v>
      </c>
      <c r="N27" s="3">
        <v>27833.120000031842</v>
      </c>
      <c r="O27" s="122">
        <v>23975.600000011007</v>
      </c>
      <c r="P27" s="122">
        <v>1346.7400000006844</v>
      </c>
      <c r="Q27" s="122">
        <v>4.6277111067586487</v>
      </c>
      <c r="R27" s="122">
        <v>4588.9400000008773</v>
      </c>
      <c r="S27" s="122">
        <v>3183.3799999986809</v>
      </c>
      <c r="T27" s="122">
        <v>1008.9400000003277</v>
      </c>
      <c r="U27" s="122">
        <v>419.22999999996358</v>
      </c>
      <c r="V27" s="122">
        <v>11479.940000005452</v>
      </c>
      <c r="W27" s="122">
        <v>1499.9833333328022</v>
      </c>
      <c r="X27" s="122">
        <v>1416.6499999990265</v>
      </c>
      <c r="Y27" s="122">
        <v>541.6666666666074</v>
      </c>
      <c r="Z27" s="122">
        <v>333.33333333346354</v>
      </c>
      <c r="AA27" s="122">
        <v>1000.0000000020035</v>
      </c>
      <c r="AB27" s="122">
        <v>1499.9999999989695</v>
      </c>
      <c r="AC27" s="122">
        <v>1000.0000000020035</v>
      </c>
      <c r="AD27" s="122">
        <v>1499.9999999989695</v>
      </c>
      <c r="AE27" s="122">
        <v>4972.9190421887097</v>
      </c>
      <c r="AF27" s="122">
        <v>469.9999913573285</v>
      </c>
      <c r="AG27" s="122">
        <v>17234.909504404353</v>
      </c>
      <c r="AH27" s="122">
        <v>4191.5106844939373</v>
      </c>
      <c r="AI27" s="122">
        <v>8333.3500000013719</v>
      </c>
      <c r="AJ27" s="122">
        <v>38999.999998983862</v>
      </c>
      <c r="AK27" s="122">
        <v>15864.246446422736</v>
      </c>
      <c r="AL27" s="122">
        <v>12843.416370105291</v>
      </c>
      <c r="AM27" s="122">
        <v>24160.880683189996</v>
      </c>
      <c r="AN27" s="122">
        <v>5591.8021998677359</v>
      </c>
      <c r="AO27" s="122">
        <v>2425.9999999997208</v>
      </c>
      <c r="AP27" s="122">
        <v>378.87777777775057</v>
      </c>
      <c r="AQ27" s="122">
        <v>1489.511583869453</v>
      </c>
      <c r="AR27" s="122">
        <v>5545.1206095249272</v>
      </c>
      <c r="AS27" s="122">
        <v>33105.778642042722</v>
      </c>
      <c r="AT27" s="122">
        <v>100520.47744419372</v>
      </c>
      <c r="AU27" s="122">
        <v>100831.68635268969</v>
      </c>
      <c r="AV27" s="122">
        <v>109856.74469907241</v>
      </c>
      <c r="AW27" s="122">
        <v>4657.6978512327078</v>
      </c>
      <c r="AX27" s="122">
        <v>38014.914412358819</v>
      </c>
      <c r="AY27" s="122">
        <v>3158.3710407236204</v>
      </c>
      <c r="AZ27" s="122">
        <v>577.00001519918078</v>
      </c>
      <c r="BA27" s="122">
        <v>1621.393330095709</v>
      </c>
      <c r="BB27" s="122">
        <v>2166.6666666676529</v>
      </c>
      <c r="BC27" s="122">
        <v>16199.999998970494</v>
      </c>
      <c r="BD27" s="122">
        <v>1150.1105875563635</v>
      </c>
      <c r="BE27" s="122">
        <v>999.71081511143325</v>
      </c>
      <c r="BF27" s="122">
        <v>916.68333333291218</v>
      </c>
      <c r="BG27" s="122">
        <v>12296.800000006155</v>
      </c>
    </row>
    <row r="28" spans="1:59" x14ac:dyDescent="0.25">
      <c r="A28" s="1">
        <v>18263.999305555557</v>
      </c>
      <c r="B28" s="3">
        <v>2491.7107546973089</v>
      </c>
      <c r="C28" s="3">
        <v>3493.7000000005241</v>
      </c>
      <c r="D28" s="3">
        <v>4522.2400000005764</v>
      </c>
      <c r="E28" s="3">
        <v>10740.699999997816</v>
      </c>
      <c r="F28" s="3">
        <v>1993.3600000002282</v>
      </c>
      <c r="G28" s="3">
        <v>4668.8200000030756</v>
      </c>
      <c r="H28" s="3">
        <v>509.99999999994094</v>
      </c>
      <c r="I28" s="3">
        <v>4166.6500000021297</v>
      </c>
      <c r="J28" s="3">
        <v>4166.6500000021233</v>
      </c>
      <c r="K28" s="3">
        <v>17076.102471638023</v>
      </c>
      <c r="L28" s="3">
        <v>1799.9999999999968</v>
      </c>
      <c r="M28" s="3">
        <v>7318.3999999991938</v>
      </c>
      <c r="N28" s="3">
        <v>27833.120000031842</v>
      </c>
      <c r="O28" s="122">
        <v>23975.600000011007</v>
      </c>
      <c r="P28" s="122">
        <v>1346.7400000006844</v>
      </c>
      <c r="Q28" s="122">
        <v>2.3092453037652128</v>
      </c>
      <c r="R28" s="122">
        <v>4588.9400000008773</v>
      </c>
      <c r="S28" s="122">
        <v>3183.3799999986809</v>
      </c>
      <c r="T28" s="122">
        <v>1008.9400000003277</v>
      </c>
      <c r="U28" s="122">
        <v>419.22999999996358</v>
      </c>
      <c r="V28" s="122">
        <v>11479.940000005454</v>
      </c>
      <c r="W28" s="122">
        <v>1499.983333332802</v>
      </c>
      <c r="X28" s="122">
        <v>1416.6499999990267</v>
      </c>
      <c r="Y28" s="122">
        <v>541.66666666660728</v>
      </c>
      <c r="Z28" s="122">
        <v>333.3333333334636</v>
      </c>
      <c r="AA28" s="122">
        <v>1000.0000000020067</v>
      </c>
      <c r="AB28" s="122">
        <v>1499.999999998952</v>
      </c>
      <c r="AC28" s="122">
        <v>1000.0000000020067</v>
      </c>
      <c r="AD28" s="122">
        <v>1499.999999998952</v>
      </c>
      <c r="AE28" s="122">
        <v>5076.9669327246165</v>
      </c>
      <c r="AF28" s="122">
        <v>608.99999225139607</v>
      </c>
      <c r="AG28" s="122">
        <v>17521.08405192634</v>
      </c>
      <c r="AH28" s="122">
        <v>4344.6366100847363</v>
      </c>
      <c r="AI28" s="122">
        <v>8333.3500000013701</v>
      </c>
      <c r="AJ28" s="122">
        <v>38999.999998983854</v>
      </c>
      <c r="AK28" s="122">
        <v>15864.246446422718</v>
      </c>
      <c r="AL28" s="122">
        <v>12129.30011862257</v>
      </c>
      <c r="AM28" s="122">
        <v>24160.880683189989</v>
      </c>
      <c r="AN28" s="122">
        <v>5589.9219704797561</v>
      </c>
      <c r="AO28" s="122">
        <v>1595.9999999998167</v>
      </c>
      <c r="AP28" s="122">
        <v>378.87777777775057</v>
      </c>
      <c r="AQ28" s="122">
        <v>1772.6755718783133</v>
      </c>
      <c r="AR28" s="122">
        <v>7906.7520987488388</v>
      </c>
      <c r="AS28" s="122">
        <v>33119.26666579811</v>
      </c>
      <c r="AT28" s="122">
        <v>95004.857333338572</v>
      </c>
      <c r="AU28" s="122">
        <v>95298.990018581098</v>
      </c>
      <c r="AV28" s="122">
        <v>103828.83789061451</v>
      </c>
      <c r="AW28" s="122">
        <v>4644.9719008194852</v>
      </c>
      <c r="AX28" s="122">
        <v>35519.726979887397</v>
      </c>
      <c r="AY28" s="122">
        <v>3067.8733031670681</v>
      </c>
      <c r="AZ28" s="122">
        <v>948.99999403953518</v>
      </c>
      <c r="BA28" s="122">
        <v>1514.9698296647173</v>
      </c>
      <c r="BB28" s="122">
        <v>2166.6666666676529</v>
      </c>
      <c r="BC28" s="122">
        <v>16199.99999897049</v>
      </c>
      <c r="BD28" s="122">
        <v>1103.9523031059416</v>
      </c>
      <c r="BE28" s="122">
        <v>934.09273072187978</v>
      </c>
      <c r="BF28" s="122">
        <v>916.6833333329123</v>
      </c>
      <c r="BG28" s="122">
        <v>12296.800000006155</v>
      </c>
    </row>
    <row r="29" spans="1:59" x14ac:dyDescent="0.25">
      <c r="A29" s="1">
        <v>18628.999305555557</v>
      </c>
      <c r="B29" s="3">
        <v>2031.4823967208501</v>
      </c>
      <c r="C29" s="3">
        <v>3493.7000000005241</v>
      </c>
      <c r="D29" s="3">
        <v>4522.2400000005764</v>
      </c>
      <c r="E29" s="3">
        <v>10740.699999997816</v>
      </c>
      <c r="F29" s="3">
        <v>1993.3600000002282</v>
      </c>
      <c r="G29" s="3">
        <v>4668.8200000030756</v>
      </c>
      <c r="H29" s="3">
        <v>623.99999999992781</v>
      </c>
      <c r="I29" s="3">
        <v>4166.6500000021297</v>
      </c>
      <c r="J29" s="3">
        <v>4166.6500000021233</v>
      </c>
      <c r="K29" s="3">
        <v>20676.13252197194</v>
      </c>
      <c r="L29" s="3">
        <v>1800.0000000000018</v>
      </c>
      <c r="M29" s="3">
        <v>7318.3999999991938</v>
      </c>
      <c r="N29" s="3">
        <v>27833.120000031842</v>
      </c>
      <c r="O29" s="122">
        <v>23975.600000011007</v>
      </c>
      <c r="P29" s="122">
        <v>1346.7400000006844</v>
      </c>
      <c r="Q29" s="122">
        <v>462.53760328022776</v>
      </c>
      <c r="R29" s="122">
        <v>4588.9400000008773</v>
      </c>
      <c r="S29" s="122">
        <v>3183.3799999986809</v>
      </c>
      <c r="T29" s="122">
        <v>1008.9400000003277</v>
      </c>
      <c r="U29" s="122">
        <v>419.22999999996358</v>
      </c>
      <c r="V29" s="122">
        <v>11479.940000005454</v>
      </c>
      <c r="W29" s="122">
        <v>1499.983333332802</v>
      </c>
      <c r="X29" s="122">
        <v>1416.6499999990267</v>
      </c>
      <c r="Y29" s="122">
        <v>541.66666666660728</v>
      </c>
      <c r="Z29" s="122">
        <v>333.3333333334636</v>
      </c>
      <c r="AA29" s="122">
        <v>1000.0000000020067</v>
      </c>
      <c r="AB29" s="122">
        <v>1499.999999998952</v>
      </c>
      <c r="AC29" s="122">
        <v>1000.0000000020067</v>
      </c>
      <c r="AD29" s="122">
        <v>1499.999999998952</v>
      </c>
      <c r="AE29" s="122">
        <v>5612.8848346629829</v>
      </c>
      <c r="AF29" s="122">
        <v>328.99999886751067</v>
      </c>
      <c r="AG29" s="122">
        <v>18904.916894205075</v>
      </c>
      <c r="AH29" s="122">
        <v>4803.9999999994498</v>
      </c>
      <c r="AI29" s="122">
        <v>8333.3500000013701</v>
      </c>
      <c r="AJ29" s="122">
        <v>38999.999998983854</v>
      </c>
      <c r="AK29" s="122">
        <v>15864.246446422729</v>
      </c>
      <c r="AL29" s="122">
        <v>14836.298932382628</v>
      </c>
      <c r="AM29" s="122">
        <v>24160.880683189996</v>
      </c>
      <c r="AN29" s="122">
        <v>6426.6240481331261</v>
      </c>
      <c r="AO29" s="122">
        <v>2475.9999999997126</v>
      </c>
      <c r="AP29" s="122">
        <v>378.87777777775057</v>
      </c>
      <c r="AQ29" s="122">
        <v>1730.599952137826</v>
      </c>
      <c r="AR29" s="122">
        <v>3844.430735132722</v>
      </c>
      <c r="AS29" s="122">
        <v>33119.26666579811</v>
      </c>
      <c r="AT29" s="122">
        <v>110405.7001199978</v>
      </c>
      <c r="AU29" s="122">
        <v>110747.51343306307</v>
      </c>
      <c r="AV29" s="122">
        <v>120660.09951194812</v>
      </c>
      <c r="AW29" s="122">
        <v>4644.9719008195034</v>
      </c>
      <c r="AX29" s="122">
        <v>43786.514944014751</v>
      </c>
      <c r="AY29" s="122">
        <v>3460.6334841624989</v>
      </c>
      <c r="AZ29" s="122">
        <v>431.00001591444101</v>
      </c>
      <c r="BA29" s="122">
        <v>1867.5607817567713</v>
      </c>
      <c r="BB29" s="122">
        <v>2166.6666666676529</v>
      </c>
      <c r="BC29" s="122">
        <v>16199.99999897049</v>
      </c>
      <c r="BD29" s="122">
        <v>1340.5135109143569</v>
      </c>
      <c r="BE29" s="122">
        <v>1151.4915454166819</v>
      </c>
      <c r="BF29" s="122">
        <v>916.6833333329123</v>
      </c>
      <c r="BG29" s="122">
        <v>12296.800000006155</v>
      </c>
    </row>
    <row r="30" spans="1:59" x14ac:dyDescent="0.25">
      <c r="A30" s="1">
        <v>18993.999305555557</v>
      </c>
      <c r="B30" s="3">
        <v>2233.7786666675906</v>
      </c>
      <c r="C30" s="3">
        <v>3493.7000000005241</v>
      </c>
      <c r="D30" s="3">
        <v>4522.2400000005764</v>
      </c>
      <c r="E30" s="3">
        <v>10740.699999997816</v>
      </c>
      <c r="F30" s="3">
        <v>1993.3600000002282</v>
      </c>
      <c r="G30" s="3">
        <v>4668.8200000030756</v>
      </c>
      <c r="H30" s="3">
        <v>561.99999999993543</v>
      </c>
      <c r="I30" s="3">
        <v>4166.6500000021297</v>
      </c>
      <c r="J30" s="3">
        <v>4166.6500000021233</v>
      </c>
      <c r="K30" s="3">
        <v>18683.795357221195</v>
      </c>
      <c r="L30" s="3">
        <v>1799.999999999998</v>
      </c>
      <c r="M30" s="3">
        <v>7318.3999999991938</v>
      </c>
      <c r="N30" s="3">
        <v>27833.120000031842</v>
      </c>
      <c r="O30" s="122">
        <v>23975.600000011007</v>
      </c>
      <c r="P30" s="122">
        <v>1346.7400000006844</v>
      </c>
      <c r="Q30" s="122">
        <v>260.24133333348686</v>
      </c>
      <c r="R30" s="122">
        <v>4588.9400000008773</v>
      </c>
      <c r="S30" s="122">
        <v>3183.3799999986809</v>
      </c>
      <c r="T30" s="122">
        <v>1008.9400000003277</v>
      </c>
      <c r="U30" s="122">
        <v>419.22999999996358</v>
      </c>
      <c r="V30" s="122">
        <v>11479.940000005454</v>
      </c>
      <c r="W30" s="122">
        <v>1499.983333332802</v>
      </c>
      <c r="X30" s="122">
        <v>1416.6499999990267</v>
      </c>
      <c r="Y30" s="122">
        <v>541.66666666660728</v>
      </c>
      <c r="Z30" s="122">
        <v>333.3333333334636</v>
      </c>
      <c r="AA30" s="122">
        <v>1000.0000000020067</v>
      </c>
      <c r="AB30" s="122">
        <v>1499.999999998952</v>
      </c>
      <c r="AC30" s="122">
        <v>1000.0000000020067</v>
      </c>
      <c r="AD30" s="122">
        <v>1499.999999998952</v>
      </c>
      <c r="AE30" s="122">
        <v>5600.0570125421136</v>
      </c>
      <c r="AF30" s="122">
        <v>400.99999999999932</v>
      </c>
      <c r="AG30" s="122">
        <v>18065.005211786032</v>
      </c>
      <c r="AH30" s="122">
        <v>4611.0560223766779</v>
      </c>
      <c r="AI30" s="122">
        <v>8333.3500000013701</v>
      </c>
      <c r="AJ30" s="122">
        <v>38999.999998983854</v>
      </c>
      <c r="AK30" s="122">
        <v>15864.246446422747</v>
      </c>
      <c r="AL30" s="122">
        <v>13410.438908658003</v>
      </c>
      <c r="AM30" s="122">
        <v>24160.880683189978</v>
      </c>
      <c r="AN30" s="122">
        <v>5977.2492244046898</v>
      </c>
      <c r="AO30" s="122">
        <v>2431.9999999997208</v>
      </c>
      <c r="AP30" s="122">
        <v>378.87777777775057</v>
      </c>
      <c r="AQ30" s="122">
        <v>1325.7209512686813</v>
      </c>
      <c r="AR30" s="122">
        <v>3125.713655648633</v>
      </c>
      <c r="AS30" s="122">
        <v>33119.26666579811</v>
      </c>
      <c r="AT30" s="122">
        <v>108673.0722379334</v>
      </c>
      <c r="AU30" s="122">
        <v>109009.52137798889</v>
      </c>
      <c r="AV30" s="122">
        <v>118766.546439599</v>
      </c>
      <c r="AW30" s="122">
        <v>4644.9719008194916</v>
      </c>
      <c r="AX30" s="122">
        <v>43545.04519248526</v>
      </c>
      <c r="AY30" s="122">
        <v>3221.7194570132037</v>
      </c>
      <c r="AZ30" s="122">
        <v>619.00000858306805</v>
      </c>
      <c r="BA30" s="122">
        <v>1857.261733327967</v>
      </c>
      <c r="BB30" s="122">
        <v>2166.6666666676529</v>
      </c>
      <c r="BC30" s="122">
        <v>16199.99999897049</v>
      </c>
      <c r="BD30" s="122">
        <v>1211.6549668235921</v>
      </c>
      <c r="BE30" s="122">
        <v>1145.1414082176932</v>
      </c>
      <c r="BF30" s="122">
        <v>916.6833333329123</v>
      </c>
      <c r="BG30" s="122">
        <v>12296.800000006155</v>
      </c>
    </row>
    <row r="31" spans="1:59" x14ac:dyDescent="0.25">
      <c r="A31" s="1">
        <v>19359.999305555557</v>
      </c>
      <c r="B31" s="3">
        <v>2494.0200000010741</v>
      </c>
      <c r="C31" s="3">
        <v>3493.7000000005241</v>
      </c>
      <c r="D31" s="3">
        <v>4522.2400000005764</v>
      </c>
      <c r="E31" s="3">
        <v>10740.699999997816</v>
      </c>
      <c r="F31" s="3">
        <v>1993.3600000002282</v>
      </c>
      <c r="G31" s="3">
        <v>4668.8200000030765</v>
      </c>
      <c r="H31" s="3">
        <v>567.99999999993508</v>
      </c>
      <c r="I31" s="3">
        <v>4166.6500000021306</v>
      </c>
      <c r="J31" s="3">
        <v>4166.6500000021233</v>
      </c>
      <c r="K31" s="3">
        <v>18749.906092703131</v>
      </c>
      <c r="L31" s="3">
        <v>1799.9999999999989</v>
      </c>
      <c r="M31" s="3">
        <v>7318.3999999991929</v>
      </c>
      <c r="N31" s="3">
        <v>27833.120000031842</v>
      </c>
      <c r="O31" s="122">
        <v>23975.600000011007</v>
      </c>
      <c r="P31" s="122">
        <v>1346.7400000006844</v>
      </c>
      <c r="Q31" s="122">
        <v>0</v>
      </c>
      <c r="R31" s="122">
        <v>4588.9400000008773</v>
      </c>
      <c r="S31" s="122">
        <v>3183.3799999986809</v>
      </c>
      <c r="T31" s="122">
        <v>1008.9400000003277</v>
      </c>
      <c r="U31" s="122">
        <v>419.22999999996358</v>
      </c>
      <c r="V31" s="122">
        <v>11479.940000005452</v>
      </c>
      <c r="W31" s="122">
        <v>1499.9833333328022</v>
      </c>
      <c r="X31" s="122">
        <v>1416.6499999990265</v>
      </c>
      <c r="Y31" s="122">
        <v>541.6666666666074</v>
      </c>
      <c r="Z31" s="122">
        <v>333.33333333346354</v>
      </c>
      <c r="AA31" s="122">
        <v>1000.0000000020035</v>
      </c>
      <c r="AB31" s="122">
        <v>1499.9999999989695</v>
      </c>
      <c r="AC31" s="122">
        <v>1000.0000000020035</v>
      </c>
      <c r="AD31" s="122">
        <v>1499.9999999989695</v>
      </c>
      <c r="AE31" s="122">
        <v>5816.7046750278387</v>
      </c>
      <c r="AF31" s="122">
        <v>526.99999994039547</v>
      </c>
      <c r="AG31" s="122">
        <v>19348.052686437652</v>
      </c>
      <c r="AH31" s="122">
        <v>5001.3547336436859</v>
      </c>
      <c r="AI31" s="122">
        <v>8333.3500000013719</v>
      </c>
      <c r="AJ31" s="122">
        <v>38999.999998983862</v>
      </c>
      <c r="AK31" s="122">
        <v>15864.246446422732</v>
      </c>
      <c r="AL31" s="122">
        <v>13571.767497032839</v>
      </c>
      <c r="AM31" s="122">
        <v>24160.880683189993</v>
      </c>
      <c r="AN31" s="122">
        <v>6214.1581272908179</v>
      </c>
      <c r="AO31" s="122">
        <v>2451.9999999997176</v>
      </c>
      <c r="AP31" s="122">
        <v>378.87777777775057</v>
      </c>
      <c r="AQ31" s="122">
        <v>1686.3770709601547</v>
      </c>
      <c r="AR31" s="122">
        <v>8434.231100554247</v>
      </c>
      <c r="AS31" s="122">
        <v>33105.778642042722</v>
      </c>
      <c r="AT31" s="122">
        <v>105975.41384813964</v>
      </c>
      <c r="AU31" s="122">
        <v>106303.51110463537</v>
      </c>
      <c r="AV31" s="122">
        <v>115818.33154301328</v>
      </c>
      <c r="AW31" s="122">
        <v>4657.6978512327187</v>
      </c>
      <c r="AX31" s="122">
        <v>43428.255900895856</v>
      </c>
      <c r="AY31" s="122">
        <v>3355.6561085968997</v>
      </c>
      <c r="AZ31" s="122">
        <v>763.00000190734738</v>
      </c>
      <c r="BA31" s="122">
        <v>1852.2804942186092</v>
      </c>
      <c r="BB31" s="122">
        <v>2166.6666666676529</v>
      </c>
      <c r="BC31" s="122">
        <v>16199.999998970494</v>
      </c>
      <c r="BD31" s="122">
        <v>1217.4247523798963</v>
      </c>
      <c r="BE31" s="122">
        <v>1142.0701000299473</v>
      </c>
      <c r="BF31" s="122">
        <v>916.68333333291218</v>
      </c>
      <c r="BG31" s="122">
        <v>12296.800000006155</v>
      </c>
    </row>
    <row r="32" spans="1:59" x14ac:dyDescent="0.25">
      <c r="A32" s="1">
        <v>19724.999305555557</v>
      </c>
      <c r="B32" s="3">
        <v>2239.2026666675488</v>
      </c>
      <c r="C32" s="3">
        <v>3493.7000000005241</v>
      </c>
      <c r="D32" s="3">
        <v>4522.2400000005764</v>
      </c>
      <c r="E32" s="3">
        <v>10740.699999997816</v>
      </c>
      <c r="F32" s="3">
        <v>1993.3600000002282</v>
      </c>
      <c r="G32" s="3">
        <v>4668.8200000030756</v>
      </c>
      <c r="H32" s="3">
        <v>561.99999999993508</v>
      </c>
      <c r="I32" s="3">
        <v>4166.6500000021297</v>
      </c>
      <c r="J32" s="3">
        <v>4166.6500000021233</v>
      </c>
      <c r="K32" s="3">
        <v>18640.222372471748</v>
      </c>
      <c r="L32" s="3">
        <v>1800.0000000000014</v>
      </c>
      <c r="M32" s="3">
        <v>7318.3999999991938</v>
      </c>
      <c r="N32" s="3">
        <v>27833.120000031842</v>
      </c>
      <c r="O32" s="122">
        <v>23975.600000011007</v>
      </c>
      <c r="P32" s="122">
        <v>1346.7400000006844</v>
      </c>
      <c r="Q32" s="122">
        <v>254.81733333352858</v>
      </c>
      <c r="R32" s="122">
        <v>4588.9400000008773</v>
      </c>
      <c r="S32" s="122">
        <v>3183.3799999986809</v>
      </c>
      <c r="T32" s="122">
        <v>1008.9400000003277</v>
      </c>
      <c r="U32" s="122">
        <v>419.22999999996358</v>
      </c>
      <c r="V32" s="122">
        <v>11479.940000005454</v>
      </c>
      <c r="W32" s="122">
        <v>1499.983333332802</v>
      </c>
      <c r="X32" s="122">
        <v>1416.6499999990267</v>
      </c>
      <c r="Y32" s="122">
        <v>541.66666666660728</v>
      </c>
      <c r="Z32" s="122">
        <v>333.3333333334636</v>
      </c>
      <c r="AA32" s="122">
        <v>1000.0000000020067</v>
      </c>
      <c r="AB32" s="122">
        <v>1499.999999998952</v>
      </c>
      <c r="AC32" s="122">
        <v>1000.0000000020067</v>
      </c>
      <c r="AD32" s="122">
        <v>1499.999999998952</v>
      </c>
      <c r="AE32" s="122">
        <v>5575.826681869371</v>
      </c>
      <c r="AF32" s="122">
        <v>345.99999994039467</v>
      </c>
      <c r="AG32" s="122">
        <v>18370.368329418568</v>
      </c>
      <c r="AH32" s="122">
        <v>4675.8872069257441</v>
      </c>
      <c r="AI32" s="122">
        <v>8333.3500000013701</v>
      </c>
      <c r="AJ32" s="122">
        <v>38999.999998983854</v>
      </c>
      <c r="AK32" s="122">
        <v>15864.246446422741</v>
      </c>
      <c r="AL32" s="122">
        <v>13353.499406878653</v>
      </c>
      <c r="AM32" s="122">
        <v>24160.88068319</v>
      </c>
      <c r="AN32" s="122">
        <v>5954.6864717488725</v>
      </c>
      <c r="AO32" s="122">
        <v>2623.9999999996985</v>
      </c>
      <c r="AP32" s="122">
        <v>378.87777777775057</v>
      </c>
      <c r="AQ32" s="122">
        <v>1338.9193380131587</v>
      </c>
      <c r="AR32" s="122">
        <v>4360.1688900897589</v>
      </c>
      <c r="AS32" s="122">
        <v>33119.26666579811</v>
      </c>
      <c r="AT32" s="122">
        <v>108875.29623878469</v>
      </c>
      <c r="AU32" s="122">
        <v>109212.37145933814</v>
      </c>
      <c r="AV32" s="122">
        <v>118987.55285539002</v>
      </c>
      <c r="AW32" s="122">
        <v>4644.9719008195216</v>
      </c>
      <c r="AX32" s="122">
        <v>44626.135256522517</v>
      </c>
      <c r="AY32" s="122">
        <v>3098.6425339362968</v>
      </c>
      <c r="AZ32" s="122">
        <v>485.52417373657312</v>
      </c>
      <c r="BA32" s="122">
        <v>1903.3718521105263</v>
      </c>
      <c r="BB32" s="122">
        <v>2166.6666666676529</v>
      </c>
      <c r="BC32" s="122">
        <v>16199.99999897049</v>
      </c>
      <c r="BD32" s="122">
        <v>1209.7317049714925</v>
      </c>
      <c r="BE32" s="122">
        <v>1173.5717610366962</v>
      </c>
      <c r="BF32" s="122">
        <v>916.6833333329123</v>
      </c>
      <c r="BG32" s="122">
        <v>12296.800000006155</v>
      </c>
    </row>
    <row r="33" spans="1:59" x14ac:dyDescent="0.25">
      <c r="A33" s="1">
        <v>20089.999305555557</v>
      </c>
      <c r="B33" s="3">
        <v>2490.8540000010762</v>
      </c>
      <c r="C33" s="3">
        <v>3493.7000000005241</v>
      </c>
      <c r="D33" s="3">
        <v>4522.2400000005764</v>
      </c>
      <c r="E33" s="3">
        <v>10740.699999997816</v>
      </c>
      <c r="F33" s="3">
        <v>1993.3600000002282</v>
      </c>
      <c r="G33" s="3">
        <v>4668.8200000030756</v>
      </c>
      <c r="H33" s="3">
        <v>575.99999999993361</v>
      </c>
      <c r="I33" s="3">
        <v>4166.6500000021297</v>
      </c>
      <c r="J33" s="3">
        <v>4166.6500000021233</v>
      </c>
      <c r="K33" s="3">
        <v>19095.484937267749</v>
      </c>
      <c r="L33" s="3">
        <v>1799.9999999999995</v>
      </c>
      <c r="M33" s="3">
        <v>7318.3999999991938</v>
      </c>
      <c r="N33" s="3">
        <v>27833.120000031842</v>
      </c>
      <c r="O33" s="122">
        <v>23975.600000011007</v>
      </c>
      <c r="P33" s="122">
        <v>1346.7400000006844</v>
      </c>
      <c r="Q33" s="122">
        <v>3.1659999999982542</v>
      </c>
      <c r="R33" s="122">
        <v>4588.9400000008773</v>
      </c>
      <c r="S33" s="122">
        <v>3183.3799999986809</v>
      </c>
      <c r="T33" s="122">
        <v>1008.9400000003277</v>
      </c>
      <c r="U33" s="122">
        <v>419.22999999996358</v>
      </c>
      <c r="V33" s="122">
        <v>11479.940000005454</v>
      </c>
      <c r="W33" s="122">
        <v>1499.983333332802</v>
      </c>
      <c r="X33" s="122">
        <v>1416.6499999990267</v>
      </c>
      <c r="Y33" s="122">
        <v>541.66666666660728</v>
      </c>
      <c r="Z33" s="122">
        <v>333.3333333334636</v>
      </c>
      <c r="AA33" s="122">
        <v>1000.0000000020067</v>
      </c>
      <c r="AB33" s="122">
        <v>1499.999999998952</v>
      </c>
      <c r="AC33" s="122">
        <v>1000.0000000020067</v>
      </c>
      <c r="AD33" s="122">
        <v>1499.999999998952</v>
      </c>
      <c r="AE33" s="122">
        <v>5450.3990877986898</v>
      </c>
      <c r="AF33" s="122">
        <v>448.99998468160697</v>
      </c>
      <c r="AG33" s="122">
        <v>17450.961811805068</v>
      </c>
      <c r="AH33" s="122">
        <v>4707.9999999994643</v>
      </c>
      <c r="AI33" s="122">
        <v>8333.3500000013701</v>
      </c>
      <c r="AJ33" s="122">
        <v>38999.999998983854</v>
      </c>
      <c r="AK33" s="122">
        <v>15864.246446422741</v>
      </c>
      <c r="AL33" s="122">
        <v>13722.41992882404</v>
      </c>
      <c r="AM33" s="122">
        <v>24160.880683190015</v>
      </c>
      <c r="AN33" s="122">
        <v>5941.5248660329717</v>
      </c>
      <c r="AO33" s="122">
        <v>2853.9999999996721</v>
      </c>
      <c r="AP33" s="122">
        <v>378.87777777775057</v>
      </c>
      <c r="AQ33" s="122">
        <v>1796.1515781611804</v>
      </c>
      <c r="AR33" s="122">
        <v>3568.3774213797378</v>
      </c>
      <c r="AS33" s="122">
        <v>33119.26666579811</v>
      </c>
      <c r="AT33" s="122">
        <v>101041.54232650272</v>
      </c>
      <c r="AU33" s="122">
        <v>101354.36443896822</v>
      </c>
      <c r="AV33" s="122">
        <v>110426.20570048124</v>
      </c>
      <c r="AW33" s="122">
        <v>4644.971900819477</v>
      </c>
      <c r="AX33" s="122">
        <v>45255.850490903402</v>
      </c>
      <c r="AY33" s="122">
        <v>3406.3348416285694</v>
      </c>
      <c r="AZ33" s="122">
        <v>599.00000190734693</v>
      </c>
      <c r="BA33" s="122">
        <v>1930.2301548758464</v>
      </c>
      <c r="BB33" s="122">
        <v>2166.6666666676529</v>
      </c>
      <c r="BC33" s="122">
        <v>16199.99999897049</v>
      </c>
      <c r="BD33" s="122">
        <v>1238.5806327530065</v>
      </c>
      <c r="BE33" s="122">
        <v>1190.1319227517067</v>
      </c>
      <c r="BF33" s="122">
        <v>916.6833333329123</v>
      </c>
      <c r="BG33" s="122">
        <v>12296.800000006155</v>
      </c>
    </row>
    <row r="34" spans="1:59" x14ac:dyDescent="0.25">
      <c r="A34" s="1">
        <v>20454.999305555557</v>
      </c>
      <c r="B34" s="3">
        <v>2363.3082567010497</v>
      </c>
      <c r="C34" s="3">
        <v>3493.7000000005241</v>
      </c>
      <c r="D34" s="3">
        <v>4522.2400000005764</v>
      </c>
      <c r="E34" s="3">
        <v>10740.699999997816</v>
      </c>
      <c r="F34" s="3">
        <v>1993.3600000002282</v>
      </c>
      <c r="G34" s="3">
        <v>4668.8200000030756</v>
      </c>
      <c r="H34" s="3">
        <v>555.99999999993577</v>
      </c>
      <c r="I34" s="3">
        <v>4166.6500000021297</v>
      </c>
      <c r="J34" s="3">
        <v>4166.6500000021233</v>
      </c>
      <c r="K34" s="3">
        <v>18465.930433473954</v>
      </c>
      <c r="L34" s="3">
        <v>1800.0000000000014</v>
      </c>
      <c r="M34" s="3">
        <v>7318.3999999991938</v>
      </c>
      <c r="N34" s="3">
        <v>27833.120000031842</v>
      </c>
      <c r="O34" s="122">
        <v>23975.600000011007</v>
      </c>
      <c r="P34" s="122">
        <v>1346.7400000006844</v>
      </c>
      <c r="Q34" s="122">
        <v>130.71174330002634</v>
      </c>
      <c r="R34" s="122">
        <v>4588.9400000008773</v>
      </c>
      <c r="S34" s="122">
        <v>3183.3799999986809</v>
      </c>
      <c r="T34" s="122">
        <v>1008.9400000003277</v>
      </c>
      <c r="U34" s="122">
        <v>419.22999999996358</v>
      </c>
      <c r="V34" s="122">
        <v>11479.940000005454</v>
      </c>
      <c r="W34" s="122">
        <v>1499.983333332802</v>
      </c>
      <c r="X34" s="122">
        <v>1416.6499999990267</v>
      </c>
      <c r="Y34" s="122">
        <v>541.66666666660728</v>
      </c>
      <c r="Z34" s="122">
        <v>333.3333333334636</v>
      </c>
      <c r="AA34" s="122">
        <v>1000.0000000020067</v>
      </c>
      <c r="AB34" s="122">
        <v>1499.999999998952</v>
      </c>
      <c r="AC34" s="122">
        <v>1000.0000000020067</v>
      </c>
      <c r="AD34" s="122">
        <v>1499.999999998952</v>
      </c>
      <c r="AE34" s="122">
        <v>5035.6328392240484</v>
      </c>
      <c r="AF34" s="122">
        <v>420.99998378753577</v>
      </c>
      <c r="AG34" s="122">
        <v>17841.372121669508</v>
      </c>
      <c r="AH34" s="122">
        <v>4407.9999999994916</v>
      </c>
      <c r="AI34" s="122">
        <v>8333.3500000013701</v>
      </c>
      <c r="AJ34" s="122">
        <v>38999.999998983854</v>
      </c>
      <c r="AK34" s="122">
        <v>15864.246446422738</v>
      </c>
      <c r="AL34" s="122">
        <v>13201.660735467043</v>
      </c>
      <c r="AM34" s="122">
        <v>24160.880683189986</v>
      </c>
      <c r="AN34" s="122">
        <v>5736.5798627425966</v>
      </c>
      <c r="AO34" s="122">
        <v>2129.9999999997563</v>
      </c>
      <c r="AP34" s="122">
        <v>378.87777777775057</v>
      </c>
      <c r="AQ34" s="122">
        <v>1425.4653711166336</v>
      </c>
      <c r="AR34" s="122">
        <v>5064.2732608395863</v>
      </c>
      <c r="AS34" s="122">
        <v>33119.26666579811</v>
      </c>
      <c r="AT34" s="122">
        <v>98462.487710688176</v>
      </c>
      <c r="AU34" s="122">
        <v>98767.325133941136</v>
      </c>
      <c r="AV34" s="122">
        <v>107607.61040827504</v>
      </c>
      <c r="AW34" s="122">
        <v>4644.9719008195098</v>
      </c>
      <c r="AX34" s="122">
        <v>42953.207566187499</v>
      </c>
      <c r="AY34" s="122">
        <v>3049.7737556557581</v>
      </c>
      <c r="AZ34" s="122">
        <v>591.68233007192646</v>
      </c>
      <c r="BA34" s="122">
        <v>1832.0189675710883</v>
      </c>
      <c r="BB34" s="122">
        <v>2166.6666666676529</v>
      </c>
      <c r="BC34" s="122">
        <v>16199.99999897049</v>
      </c>
      <c r="BD34" s="122">
        <v>1200.1153957109875</v>
      </c>
      <c r="BE34" s="122">
        <v>1129.5773464554654</v>
      </c>
      <c r="BF34" s="122">
        <v>916.6833333329123</v>
      </c>
      <c r="BG34" s="122">
        <v>12296.800000006155</v>
      </c>
    </row>
    <row r="35" spans="1:59" x14ac:dyDescent="0.25">
      <c r="A35" s="1">
        <v>20820.999305555557</v>
      </c>
      <c r="B35" s="3">
        <v>1931.7432258070944</v>
      </c>
      <c r="C35" s="3">
        <v>3493.7000000005241</v>
      </c>
      <c r="D35" s="3">
        <v>4522.2400000005755</v>
      </c>
      <c r="E35" s="3">
        <v>10740.699999997816</v>
      </c>
      <c r="F35" s="3">
        <v>1993.3600000002282</v>
      </c>
      <c r="G35" s="3">
        <v>4668.8200000030765</v>
      </c>
      <c r="H35" s="3">
        <v>611.99999999992974</v>
      </c>
      <c r="I35" s="3">
        <v>4166.6500000021306</v>
      </c>
      <c r="J35" s="3">
        <v>4166.6500000021233</v>
      </c>
      <c r="K35" s="3">
        <v>20321.538577114341</v>
      </c>
      <c r="L35" s="3">
        <v>1799.9999999999991</v>
      </c>
      <c r="M35" s="3">
        <v>7318.3999999991929</v>
      </c>
      <c r="N35" s="3">
        <v>27833.120000031842</v>
      </c>
      <c r="O35" s="122">
        <v>23975.600000011007</v>
      </c>
      <c r="P35" s="122">
        <v>1346.7400000006844</v>
      </c>
      <c r="Q35" s="122">
        <v>562.27677419398492</v>
      </c>
      <c r="R35" s="122">
        <v>4588.9400000008773</v>
      </c>
      <c r="S35" s="122">
        <v>3183.3799999986809</v>
      </c>
      <c r="T35" s="122">
        <v>1008.9400000003277</v>
      </c>
      <c r="U35" s="122">
        <v>419.22999999996358</v>
      </c>
      <c r="V35" s="122">
        <v>11479.940000005452</v>
      </c>
      <c r="W35" s="122">
        <v>1499.9833333328022</v>
      </c>
      <c r="X35" s="122">
        <v>1416.6499999990265</v>
      </c>
      <c r="Y35" s="122">
        <v>541.6666666666074</v>
      </c>
      <c r="Z35" s="122">
        <v>333.33333333346354</v>
      </c>
      <c r="AA35" s="122">
        <v>1000.0000000020035</v>
      </c>
      <c r="AB35" s="122">
        <v>1499.9999999989695</v>
      </c>
      <c r="AC35" s="122">
        <v>1000.0000000020035</v>
      </c>
      <c r="AD35" s="122">
        <v>1499.9999999989695</v>
      </c>
      <c r="AE35" s="122">
        <v>5550.1710376276369</v>
      </c>
      <c r="AF35" s="122">
        <v>318.99999135732611</v>
      </c>
      <c r="AG35" s="122">
        <v>18311.318971601151</v>
      </c>
      <c r="AH35" s="122">
        <v>4779.5678444651921</v>
      </c>
      <c r="AI35" s="122">
        <v>8333.3500000013719</v>
      </c>
      <c r="AJ35" s="122">
        <v>38999.999998983862</v>
      </c>
      <c r="AK35" s="122">
        <v>15864.246446422727</v>
      </c>
      <c r="AL35" s="122">
        <v>14552.787663106266</v>
      </c>
      <c r="AM35" s="122">
        <v>24160.88068319</v>
      </c>
      <c r="AN35" s="122">
        <v>6364.5764783296218</v>
      </c>
      <c r="AO35" s="122">
        <v>2453.9999999997167</v>
      </c>
      <c r="AP35" s="122">
        <v>378.87777777775057</v>
      </c>
      <c r="AQ35" s="122">
        <v>971.44691961292142</v>
      </c>
      <c r="AR35" s="122">
        <v>2117.522836732187</v>
      </c>
      <c r="AS35" s="122">
        <v>33105.778642042722</v>
      </c>
      <c r="AT35" s="122">
        <v>110449.48951042985</v>
      </c>
      <c r="AU35" s="122">
        <v>110791.43839436292</v>
      </c>
      <c r="AV35" s="122">
        <v>120707.9560284264</v>
      </c>
      <c r="AW35" s="122">
        <v>4657.697851232725</v>
      </c>
      <c r="AX35" s="122">
        <v>47844.153709912331</v>
      </c>
      <c r="AY35" s="122">
        <v>3493.2126696828523</v>
      </c>
      <c r="AZ35" s="122">
        <v>442.00000089406984</v>
      </c>
      <c r="BA35" s="122">
        <v>2040.6251837859197</v>
      </c>
      <c r="BB35" s="122">
        <v>2166.6666666676529</v>
      </c>
      <c r="BC35" s="122">
        <v>16199.999998970494</v>
      </c>
      <c r="BD35" s="122">
        <v>1317.4343686891448</v>
      </c>
      <c r="BE35" s="122">
        <v>1258.1987528585173</v>
      </c>
      <c r="BF35" s="122">
        <v>916.68333333291218</v>
      </c>
      <c r="BG35" s="122">
        <v>12296.800000006155</v>
      </c>
    </row>
    <row r="36" spans="1:59" x14ac:dyDescent="0.25">
      <c r="A36" s="1">
        <v>21185.999305555557</v>
      </c>
      <c r="B36" s="3">
        <v>2494.0200000010741</v>
      </c>
      <c r="C36" s="3">
        <v>3493.7000000005241</v>
      </c>
      <c r="D36" s="3">
        <v>4522.2400000005764</v>
      </c>
      <c r="E36" s="3">
        <v>10740.699999997816</v>
      </c>
      <c r="F36" s="3">
        <v>1993.3600000002282</v>
      </c>
      <c r="G36" s="3">
        <v>4668.8200000030756</v>
      </c>
      <c r="H36" s="3">
        <v>435.99999999994992</v>
      </c>
      <c r="I36" s="3">
        <v>4166.6500000021297</v>
      </c>
      <c r="J36" s="3">
        <v>4166.6500000021233</v>
      </c>
      <c r="K36" s="3">
        <v>14473.743520395006</v>
      </c>
      <c r="L36" s="3">
        <v>1800</v>
      </c>
      <c r="M36" s="3">
        <v>7318.3999999991938</v>
      </c>
      <c r="N36" s="3">
        <v>27833.120000031842</v>
      </c>
      <c r="O36" s="122">
        <v>23975.600000011007</v>
      </c>
      <c r="P36" s="122">
        <v>1346.7400000006844</v>
      </c>
      <c r="Q36" s="122">
        <v>0</v>
      </c>
      <c r="R36" s="122">
        <v>4588.9400000008773</v>
      </c>
      <c r="S36" s="122">
        <v>3183.3799999986809</v>
      </c>
      <c r="T36" s="122">
        <v>1008.9400000003277</v>
      </c>
      <c r="U36" s="122">
        <v>419.22999999996358</v>
      </c>
      <c r="V36" s="122">
        <v>11479.940000005454</v>
      </c>
      <c r="W36" s="122">
        <v>1499.983333332802</v>
      </c>
      <c r="X36" s="122">
        <v>1416.6499999990267</v>
      </c>
      <c r="Y36" s="122">
        <v>541.66666666660728</v>
      </c>
      <c r="Z36" s="122">
        <v>333.3333333334636</v>
      </c>
      <c r="AA36" s="122">
        <v>1000.0000000020067</v>
      </c>
      <c r="AB36" s="122">
        <v>1499.999999998952</v>
      </c>
      <c r="AC36" s="122">
        <v>1000.0000000020067</v>
      </c>
      <c r="AD36" s="122">
        <v>1499.999999998952</v>
      </c>
      <c r="AE36" s="122">
        <v>4672.1778791328743</v>
      </c>
      <c r="AF36" s="122">
        <v>668.99998855590854</v>
      </c>
      <c r="AG36" s="122">
        <v>14738.936795222415</v>
      </c>
      <c r="AH36" s="122">
        <v>3989.9999999995443</v>
      </c>
      <c r="AI36" s="122">
        <v>8333.3500000013701</v>
      </c>
      <c r="AJ36" s="122">
        <v>38999.999998983854</v>
      </c>
      <c r="AK36" s="122">
        <v>15748.800141550188</v>
      </c>
      <c r="AL36" s="122">
        <v>10442.467378409228</v>
      </c>
      <c r="AM36" s="122">
        <v>24160.880683189996</v>
      </c>
      <c r="AN36" s="122">
        <v>4918.6800789690697</v>
      </c>
      <c r="AO36" s="122">
        <v>1397.999999999839</v>
      </c>
      <c r="AP36" s="122">
        <v>378.87777777775057</v>
      </c>
      <c r="AQ36" s="122">
        <v>1926.7962128265449</v>
      </c>
      <c r="AR36" s="122">
        <v>12767.702913964144</v>
      </c>
      <c r="AS36" s="122">
        <v>33119.26666579811</v>
      </c>
      <c r="AT36" s="122">
        <v>90184.695371136666</v>
      </c>
      <c r="AU36" s="122">
        <v>90463.904954329031</v>
      </c>
      <c r="AV36" s="122">
        <v>98560.982866908031</v>
      </c>
      <c r="AW36" s="122">
        <v>4644.9719008195043</v>
      </c>
      <c r="AX36" s="122">
        <v>34931.045820929881</v>
      </c>
      <c r="AY36" s="122">
        <v>2524.8868778277656</v>
      </c>
      <c r="AZ36" s="122">
        <v>998.9999952316299</v>
      </c>
      <c r="BA36" s="122">
        <v>1489.8616919918779</v>
      </c>
      <c r="BB36" s="122">
        <v>2166.6666666676529</v>
      </c>
      <c r="BC36" s="122">
        <v>16199.99999897049</v>
      </c>
      <c r="BD36" s="122">
        <v>940.47504567736144</v>
      </c>
      <c r="BE36" s="122">
        <v>918.61167728905059</v>
      </c>
      <c r="BF36" s="122">
        <v>916.6833333329123</v>
      </c>
      <c r="BG36" s="122">
        <v>12296.800000006155</v>
      </c>
    </row>
    <row r="37" spans="1:59" x14ac:dyDescent="0.25">
      <c r="A37" s="1">
        <v>21550.999305555557</v>
      </c>
      <c r="B37" s="3">
        <v>2494.0200000010741</v>
      </c>
      <c r="C37" s="3">
        <v>3493.7000000005241</v>
      </c>
      <c r="D37" s="3">
        <v>4522.2400000005764</v>
      </c>
      <c r="E37" s="3">
        <v>10740.699999997816</v>
      </c>
      <c r="F37" s="3">
        <v>1993.3600000002282</v>
      </c>
      <c r="G37" s="3">
        <v>4668.8200000030756</v>
      </c>
      <c r="H37" s="3">
        <v>567.99999999993429</v>
      </c>
      <c r="I37" s="3">
        <v>4166.6500000021297</v>
      </c>
      <c r="J37" s="3">
        <v>4166.6500000021233</v>
      </c>
      <c r="K37" s="3">
        <v>18888.137630528974</v>
      </c>
      <c r="L37" s="3">
        <v>1799.9999999999991</v>
      </c>
      <c r="M37" s="3">
        <v>7318.3999999991938</v>
      </c>
      <c r="N37" s="3">
        <v>27833.120000031842</v>
      </c>
      <c r="O37" s="122">
        <v>23975.600000011007</v>
      </c>
      <c r="P37" s="122">
        <v>1346.7400000006844</v>
      </c>
      <c r="Q37" s="122">
        <v>0</v>
      </c>
      <c r="R37" s="122">
        <v>4588.9400000008773</v>
      </c>
      <c r="S37" s="122">
        <v>3183.3799999986809</v>
      </c>
      <c r="T37" s="122">
        <v>1008.9400000003277</v>
      </c>
      <c r="U37" s="122">
        <v>419.22999999996358</v>
      </c>
      <c r="V37" s="122">
        <v>11479.940000005454</v>
      </c>
      <c r="W37" s="122">
        <v>1499.983333332802</v>
      </c>
      <c r="X37" s="122">
        <v>1416.6499999990267</v>
      </c>
      <c r="Y37" s="122">
        <v>541.66666666660728</v>
      </c>
      <c r="Z37" s="122">
        <v>333.3333333334636</v>
      </c>
      <c r="AA37" s="122">
        <v>1000.0000000020067</v>
      </c>
      <c r="AB37" s="122">
        <v>1499.999999998952</v>
      </c>
      <c r="AC37" s="122">
        <v>1000.0000000020067</v>
      </c>
      <c r="AD37" s="122">
        <v>1499.999999998952</v>
      </c>
      <c r="AE37" s="122">
        <v>5705.5302166470074</v>
      </c>
      <c r="AF37" s="122">
        <v>397.99999994039513</v>
      </c>
      <c r="AG37" s="122">
        <v>18284.84791054466</v>
      </c>
      <c r="AH37" s="122">
        <v>4809.932585716143</v>
      </c>
      <c r="AI37" s="122">
        <v>8333.3500000013701</v>
      </c>
      <c r="AJ37" s="122">
        <v>38999.999998983854</v>
      </c>
      <c r="AK37" s="122">
        <v>15864.246446422705</v>
      </c>
      <c r="AL37" s="122">
        <v>13552.787663106394</v>
      </c>
      <c r="AM37" s="122">
        <v>24160.880683190015</v>
      </c>
      <c r="AN37" s="122">
        <v>6022.3747297163327</v>
      </c>
      <c r="AO37" s="122">
        <v>2265.999999999739</v>
      </c>
      <c r="AP37" s="122">
        <v>378.87777777775057</v>
      </c>
      <c r="AQ37" s="122">
        <v>1874.6030315684095</v>
      </c>
      <c r="AR37" s="122">
        <v>8333.3955027720876</v>
      </c>
      <c r="AS37" s="122">
        <v>33119.26666579811</v>
      </c>
      <c r="AT37" s="122">
        <v>109916.42534120026</v>
      </c>
      <c r="AU37" s="122">
        <v>110256.7238716679</v>
      </c>
      <c r="AV37" s="122">
        <v>120125.38125524319</v>
      </c>
      <c r="AW37" s="122">
        <v>4644.9719008195007</v>
      </c>
      <c r="AX37" s="122">
        <v>45197.45584510862</v>
      </c>
      <c r="AY37" s="122">
        <v>2883.2579185517034</v>
      </c>
      <c r="AZ37" s="122">
        <v>501.00001716613514</v>
      </c>
      <c r="BA37" s="122">
        <v>1927.7395353211655</v>
      </c>
      <c r="BB37" s="122">
        <v>2166.6666666676529</v>
      </c>
      <c r="BC37" s="122">
        <v>16199.99999897049</v>
      </c>
      <c r="BD37" s="122">
        <v>1225.1177997883001</v>
      </c>
      <c r="BE37" s="122">
        <v>1188.5962686578332</v>
      </c>
      <c r="BF37" s="122">
        <v>916.6833333329123</v>
      </c>
      <c r="BG37" s="122">
        <v>12296.800000006155</v>
      </c>
    </row>
    <row r="38" spans="1:59" x14ac:dyDescent="0.25">
      <c r="A38" s="1">
        <v>21915.999305555557</v>
      </c>
      <c r="B38" s="3">
        <v>2007.1153665374247</v>
      </c>
      <c r="C38" s="3">
        <v>3493.7000000005241</v>
      </c>
      <c r="D38" s="3">
        <v>4522.2400000005764</v>
      </c>
      <c r="E38" s="3">
        <v>10740.699999997816</v>
      </c>
      <c r="F38" s="3">
        <v>1993.3600000002282</v>
      </c>
      <c r="G38" s="3">
        <v>4668.8200000030756</v>
      </c>
      <c r="H38" s="3">
        <v>541.99999999993804</v>
      </c>
      <c r="I38" s="3">
        <v>4166.6500000021297</v>
      </c>
      <c r="J38" s="3">
        <v>4166.6500000021233</v>
      </c>
      <c r="K38" s="3">
        <v>17909.999248739579</v>
      </c>
      <c r="L38" s="3">
        <v>1800</v>
      </c>
      <c r="M38" s="3">
        <v>7318.3999999991938</v>
      </c>
      <c r="N38" s="3">
        <v>27833.120000031842</v>
      </c>
      <c r="O38" s="122">
        <v>23975.600000011007</v>
      </c>
      <c r="P38" s="122">
        <v>1346.7400000006844</v>
      </c>
      <c r="Q38" s="122">
        <v>486.9046334636555</v>
      </c>
      <c r="R38" s="122">
        <v>4588.9400000008773</v>
      </c>
      <c r="S38" s="122">
        <v>3183.3799999986809</v>
      </c>
      <c r="T38" s="122">
        <v>1008.9400000003277</v>
      </c>
      <c r="U38" s="122">
        <v>419.22999999996358</v>
      </c>
      <c r="V38" s="122">
        <v>11479.940000005454</v>
      </c>
      <c r="W38" s="122">
        <v>1499.983333332802</v>
      </c>
      <c r="X38" s="122">
        <v>1416.6499999990267</v>
      </c>
      <c r="Y38" s="122">
        <v>541.66666666660728</v>
      </c>
      <c r="Z38" s="122">
        <v>333.3333333334636</v>
      </c>
      <c r="AA38" s="122">
        <v>1000.0000000020067</v>
      </c>
      <c r="AB38" s="122">
        <v>1499.999999998952</v>
      </c>
      <c r="AC38" s="122">
        <v>1000.0000000020067</v>
      </c>
      <c r="AD38" s="122">
        <v>1499.999999998952</v>
      </c>
      <c r="AE38" s="122">
        <v>5326.3968072969928</v>
      </c>
      <c r="AF38" s="122">
        <v>409.99999237060661</v>
      </c>
      <c r="AG38" s="122">
        <v>17381.109189810006</v>
      </c>
      <c r="AH38" s="122">
        <v>4465.3303338994419</v>
      </c>
      <c r="AI38" s="122">
        <v>8333.3500000013701</v>
      </c>
      <c r="AJ38" s="122">
        <v>38999.999998983854</v>
      </c>
      <c r="AK38" s="122">
        <v>15864.246446422732</v>
      </c>
      <c r="AL38" s="122">
        <v>12962.040332145607</v>
      </c>
      <c r="AM38" s="122">
        <v>24160.880683189978</v>
      </c>
      <c r="AN38" s="122">
        <v>6150.230328099321</v>
      </c>
      <c r="AO38" s="122">
        <v>2083.9999999997617</v>
      </c>
      <c r="AP38" s="122">
        <v>378.87777777775057</v>
      </c>
      <c r="AQ38" s="122">
        <v>1511.8446257100454</v>
      </c>
      <c r="AR38" s="122">
        <v>3480.8066694910449</v>
      </c>
      <c r="AS38" s="122">
        <v>33119.26666579811</v>
      </c>
      <c r="AT38" s="122">
        <v>102775.61394505033</v>
      </c>
      <c r="AU38" s="122">
        <v>103093.80470029837</v>
      </c>
      <c r="AV38" s="122">
        <v>112321.33660248565</v>
      </c>
      <c r="AW38" s="122">
        <v>4644.9719008195007</v>
      </c>
      <c r="AX38" s="122">
        <v>44454.10778647862</v>
      </c>
      <c r="AY38" s="122">
        <v>2751.1312217191398</v>
      </c>
      <c r="AZ38" s="122">
        <v>543.99999809264966</v>
      </c>
      <c r="BA38" s="122">
        <v>1896.0346215305292</v>
      </c>
      <c r="BB38" s="122">
        <v>2166.6666666676529</v>
      </c>
      <c r="BC38" s="122">
        <v>16199.99999897049</v>
      </c>
      <c r="BD38" s="122">
        <v>1161.6501586689699</v>
      </c>
      <c r="BE38" s="122">
        <v>1169.0478070844749</v>
      </c>
      <c r="BF38" s="122">
        <v>916.6833333329123</v>
      </c>
      <c r="BG38" s="122">
        <v>12296.800000006155</v>
      </c>
    </row>
    <row r="39" spans="1:59" x14ac:dyDescent="0.25">
      <c r="A39" s="1">
        <v>22281.999305555557</v>
      </c>
      <c r="B39" s="3">
        <v>2196.7862795706583</v>
      </c>
      <c r="C39" s="3">
        <v>3493.7000000005241</v>
      </c>
      <c r="D39" s="3">
        <v>4522.2400000005764</v>
      </c>
      <c r="E39" s="3">
        <v>10740.699999997816</v>
      </c>
      <c r="F39" s="3">
        <v>1993.3600000002282</v>
      </c>
      <c r="G39" s="3">
        <v>4668.8200000030765</v>
      </c>
      <c r="H39" s="3">
        <v>615.9999999999294</v>
      </c>
      <c r="I39" s="3">
        <v>4166.6500000021306</v>
      </c>
      <c r="J39" s="3">
        <v>4166.6500000021233</v>
      </c>
      <c r="K39" s="3">
        <v>20431.222297345706</v>
      </c>
      <c r="L39" s="3">
        <v>1799.9999999999995</v>
      </c>
      <c r="M39" s="3">
        <v>7318.3999999991929</v>
      </c>
      <c r="N39" s="3">
        <v>27833.120000031842</v>
      </c>
      <c r="O39" s="122">
        <v>23975.600000011007</v>
      </c>
      <c r="P39" s="122">
        <v>1346.7400000006844</v>
      </c>
      <c r="Q39" s="122">
        <v>297.23372043041917</v>
      </c>
      <c r="R39" s="122">
        <v>4588.9400000008773</v>
      </c>
      <c r="S39" s="122">
        <v>3183.3799999986809</v>
      </c>
      <c r="T39" s="122">
        <v>1008.9400000003277</v>
      </c>
      <c r="U39" s="122">
        <v>419.22999999996358</v>
      </c>
      <c r="V39" s="122">
        <v>11479.940000005452</v>
      </c>
      <c r="W39" s="122">
        <v>1499.9833333328022</v>
      </c>
      <c r="X39" s="122">
        <v>1416.6499999990265</v>
      </c>
      <c r="Y39" s="122">
        <v>541.6666666666074</v>
      </c>
      <c r="Z39" s="122">
        <v>333.33333333346354</v>
      </c>
      <c r="AA39" s="122">
        <v>1000.0000000020035</v>
      </c>
      <c r="AB39" s="122">
        <v>1499.9999999989695</v>
      </c>
      <c r="AC39" s="122">
        <v>1000.0000000020035</v>
      </c>
      <c r="AD39" s="122">
        <v>1499.9999999989695</v>
      </c>
      <c r="AE39" s="122">
        <v>5390.5359179013158</v>
      </c>
      <c r="AF39" s="122">
        <v>381.99999994039592</v>
      </c>
      <c r="AG39" s="122">
        <v>19365.109447548242</v>
      </c>
      <c r="AH39" s="122">
        <v>4632.843831683087</v>
      </c>
      <c r="AI39" s="122">
        <v>8333.3500000013719</v>
      </c>
      <c r="AJ39" s="122">
        <v>38999.999998983862</v>
      </c>
      <c r="AK39" s="122">
        <v>15864.246446422732</v>
      </c>
      <c r="AL39" s="122">
        <v>14666.666666664962</v>
      </c>
      <c r="AM39" s="122">
        <v>24160.880683189993</v>
      </c>
      <c r="AN39" s="122">
        <v>6469.8693240567891</v>
      </c>
      <c r="AO39" s="122">
        <v>2271.999999999739</v>
      </c>
      <c r="AP39" s="122">
        <v>378.87777777775057</v>
      </c>
      <c r="AQ39" s="122">
        <v>1430.4281848551504</v>
      </c>
      <c r="AR39" s="122">
        <v>5442.3088929212199</v>
      </c>
      <c r="AS39" s="122">
        <v>33105.778642042722</v>
      </c>
      <c r="AT39" s="122">
        <v>113092.68713460694</v>
      </c>
      <c r="AU39" s="122">
        <v>113442.81929291843</v>
      </c>
      <c r="AV39" s="122">
        <v>123596.65188395145</v>
      </c>
      <c r="AW39" s="122">
        <v>4657.6978512326987</v>
      </c>
      <c r="AX39" s="122">
        <v>49027.828962507854</v>
      </c>
      <c r="AY39" s="122">
        <v>2953.8461538458159</v>
      </c>
      <c r="AZ39" s="122">
        <v>525.00001716613622</v>
      </c>
      <c r="BA39" s="122">
        <v>2091.1107152996738</v>
      </c>
      <c r="BB39" s="122">
        <v>2166.6666666676529</v>
      </c>
      <c r="BC39" s="122">
        <v>16199.999998970494</v>
      </c>
      <c r="BD39" s="122">
        <v>1323.2041542454494</v>
      </c>
      <c r="BE39" s="122">
        <v>1289.3268763829742</v>
      </c>
      <c r="BF39" s="122">
        <v>916.68333333291218</v>
      </c>
      <c r="BG39" s="122">
        <v>12296.800000006155</v>
      </c>
    </row>
    <row r="40" spans="1:59" x14ac:dyDescent="0.25">
      <c r="A40" s="1">
        <v>22646.999305555557</v>
      </c>
      <c r="B40" s="3">
        <v>2494.0200000010741</v>
      </c>
      <c r="C40" s="3">
        <v>3493.7000000005241</v>
      </c>
      <c r="D40" s="3">
        <v>4522.2400000005764</v>
      </c>
      <c r="E40" s="3">
        <v>10740.699999997816</v>
      </c>
      <c r="F40" s="3">
        <v>1993.3600000002282</v>
      </c>
      <c r="G40" s="3">
        <v>4668.8200000030756</v>
      </c>
      <c r="H40" s="3">
        <v>523.99999999993963</v>
      </c>
      <c r="I40" s="3">
        <v>4166.6500000021297</v>
      </c>
      <c r="J40" s="3">
        <v>4166.6500000021233</v>
      </c>
      <c r="K40" s="3">
        <v>17272.932161368302</v>
      </c>
      <c r="L40" s="3">
        <v>1799.9999999999991</v>
      </c>
      <c r="M40" s="3">
        <v>7318.3999999991938</v>
      </c>
      <c r="N40" s="3">
        <v>27833.120000031842</v>
      </c>
      <c r="O40" s="122">
        <v>23975.600000011007</v>
      </c>
      <c r="P40" s="122">
        <v>1346.7400000006844</v>
      </c>
      <c r="Q40" s="122">
        <v>0</v>
      </c>
      <c r="R40" s="122">
        <v>4588.9400000008773</v>
      </c>
      <c r="S40" s="122">
        <v>3183.3799999986809</v>
      </c>
      <c r="T40" s="122">
        <v>1008.9400000003277</v>
      </c>
      <c r="U40" s="122">
        <v>419.22999999996358</v>
      </c>
      <c r="V40" s="122">
        <v>11479.940000005454</v>
      </c>
      <c r="W40" s="122">
        <v>1499.983333332802</v>
      </c>
      <c r="X40" s="122">
        <v>1416.6499999990267</v>
      </c>
      <c r="Y40" s="122">
        <v>541.66666666660728</v>
      </c>
      <c r="Z40" s="122">
        <v>333.3333333334636</v>
      </c>
      <c r="AA40" s="122">
        <v>1000.0000000020067</v>
      </c>
      <c r="AB40" s="122">
        <v>1499.999999998952</v>
      </c>
      <c r="AC40" s="122">
        <v>1000.0000000020067</v>
      </c>
      <c r="AD40" s="122">
        <v>1499.999999998952</v>
      </c>
      <c r="AE40" s="122">
        <v>4613.7400228044853</v>
      </c>
      <c r="AF40" s="122">
        <v>519.99999612570002</v>
      </c>
      <c r="AG40" s="122">
        <v>21332.322562302106</v>
      </c>
      <c r="AH40" s="122">
        <v>3961.1766805451589</v>
      </c>
      <c r="AI40" s="122">
        <v>8333.3500000013701</v>
      </c>
      <c r="AJ40" s="122">
        <v>38999.999998983854</v>
      </c>
      <c r="AK40" s="122">
        <v>15864.246446422705</v>
      </c>
      <c r="AL40" s="122">
        <v>12480.427046261908</v>
      </c>
      <c r="AM40" s="122">
        <v>24160.880683190004</v>
      </c>
      <c r="AN40" s="122">
        <v>6490.5518473246248</v>
      </c>
      <c r="AO40" s="122">
        <v>2103.9999999997585</v>
      </c>
      <c r="AP40" s="122">
        <v>378.87777777775057</v>
      </c>
      <c r="AQ40" s="122">
        <v>2005.451650918046</v>
      </c>
      <c r="AR40" s="122">
        <v>4496.4079882940832</v>
      </c>
      <c r="AS40" s="122">
        <v>33119.26666579811</v>
      </c>
      <c r="AT40" s="122">
        <v>91602.091688590168</v>
      </c>
      <c r="AU40" s="122">
        <v>91885.689495676095</v>
      </c>
      <c r="AV40" s="122">
        <v>100110.02590115303</v>
      </c>
      <c r="AW40" s="122">
        <v>4644.9719008195152</v>
      </c>
      <c r="AX40" s="122">
        <v>41821.614024706141</v>
      </c>
      <c r="AY40" s="122">
        <v>2709.5022624431276</v>
      </c>
      <c r="AZ40" s="122">
        <v>642.00002098083269</v>
      </c>
      <c r="BA40" s="122">
        <v>1783.754799443941</v>
      </c>
      <c r="BB40" s="122">
        <v>2166.6666666676529</v>
      </c>
      <c r="BC40" s="122">
        <v>16199.99999897049</v>
      </c>
      <c r="BD40" s="122">
        <v>1123.1849216269509</v>
      </c>
      <c r="BE40" s="122">
        <v>1099.8188603660851</v>
      </c>
      <c r="BF40" s="122">
        <v>916.6833333329123</v>
      </c>
      <c r="BG40" s="122">
        <v>12296.800000006155</v>
      </c>
    </row>
    <row r="41" spans="1:59" x14ac:dyDescent="0.25">
      <c r="A41" s="1">
        <v>23011.999305555557</v>
      </c>
      <c r="B41" s="3">
        <v>2466.6664516139463</v>
      </c>
      <c r="C41" s="3">
        <v>3493.7000000005241</v>
      </c>
      <c r="D41" s="3">
        <v>4522.2400000005764</v>
      </c>
      <c r="E41" s="3">
        <v>10740.699999997816</v>
      </c>
      <c r="F41" s="3">
        <v>1993.3600000002282</v>
      </c>
      <c r="G41" s="3">
        <v>4668.8200000030756</v>
      </c>
      <c r="H41" s="3">
        <v>587.99999999993236</v>
      </c>
      <c r="I41" s="3">
        <v>4166.6500000021297</v>
      </c>
      <c r="J41" s="3">
        <v>4166.6500000021233</v>
      </c>
      <c r="K41" s="3">
        <v>19382.465629927916</v>
      </c>
      <c r="L41" s="3">
        <v>1800.0000000000023</v>
      </c>
      <c r="M41" s="3">
        <v>7318.3999999991938</v>
      </c>
      <c r="N41" s="3">
        <v>27833.120000031842</v>
      </c>
      <c r="O41" s="122">
        <v>23975.600000011007</v>
      </c>
      <c r="P41" s="122">
        <v>1346.7400000006844</v>
      </c>
      <c r="Q41" s="122">
        <v>27.35354838712821</v>
      </c>
      <c r="R41" s="122">
        <v>4588.9400000008773</v>
      </c>
      <c r="S41" s="122">
        <v>3183.3799999986809</v>
      </c>
      <c r="T41" s="122">
        <v>1008.9400000003277</v>
      </c>
      <c r="U41" s="122">
        <v>419.22999999996358</v>
      </c>
      <c r="V41" s="122">
        <v>11479.940000005454</v>
      </c>
      <c r="W41" s="122">
        <v>1499.983333332802</v>
      </c>
      <c r="X41" s="122">
        <v>1416.6499999990267</v>
      </c>
      <c r="Y41" s="122">
        <v>541.66666666660728</v>
      </c>
      <c r="Z41" s="122">
        <v>333.3333333334636</v>
      </c>
      <c r="AA41" s="122">
        <v>1000.0000000020067</v>
      </c>
      <c r="AB41" s="122">
        <v>1499.999999998952</v>
      </c>
      <c r="AC41" s="122">
        <v>1000.0000000020067</v>
      </c>
      <c r="AD41" s="122">
        <v>1499.999999998952</v>
      </c>
      <c r="AE41" s="122">
        <v>5427.5940706949277</v>
      </c>
      <c r="AF41" s="122">
        <v>376.99999994039587</v>
      </c>
      <c r="AG41" s="122">
        <v>19414.384535201014</v>
      </c>
      <c r="AH41" s="122">
        <v>4570.2938241874199</v>
      </c>
      <c r="AI41" s="122">
        <v>8333.3500000013701</v>
      </c>
      <c r="AJ41" s="122">
        <v>38999.999998983854</v>
      </c>
      <c r="AK41" s="122">
        <v>15864.246446422738</v>
      </c>
      <c r="AL41" s="122">
        <v>13982.206405692335</v>
      </c>
      <c r="AM41" s="122">
        <v>24160.880683190011</v>
      </c>
      <c r="AN41" s="122">
        <v>6385.259001597462</v>
      </c>
      <c r="AO41" s="122">
        <v>1805.9999999997926</v>
      </c>
      <c r="AP41" s="122">
        <v>378.87777777775057</v>
      </c>
      <c r="AQ41" s="122">
        <v>1571.0851382779513</v>
      </c>
      <c r="AR41" s="122">
        <v>3215.2453484916628</v>
      </c>
      <c r="AS41" s="122">
        <v>33119.26666579811</v>
      </c>
      <c r="AT41" s="122">
        <v>109958.33088857553</v>
      </c>
      <c r="AU41" s="122">
        <v>110298.75915757999</v>
      </c>
      <c r="AV41" s="122">
        <v>120171.17895872127</v>
      </c>
      <c r="AW41" s="122">
        <v>4644.9719008195098</v>
      </c>
      <c r="AX41" s="122">
        <v>44457.264253818888</v>
      </c>
      <c r="AY41" s="122">
        <v>2912.2171945698001</v>
      </c>
      <c r="AZ41" s="122">
        <v>522.00001716613554</v>
      </c>
      <c r="BA41" s="122">
        <v>1896.1692496145677</v>
      </c>
      <c r="BB41" s="122">
        <v>2166.6666666676529</v>
      </c>
      <c r="BC41" s="122">
        <v>16199.99999897049</v>
      </c>
      <c r="BD41" s="122">
        <v>1257.8132512740165</v>
      </c>
      <c r="BE41" s="122">
        <v>1169.130815413874</v>
      </c>
      <c r="BF41" s="122">
        <v>916.6833333329123</v>
      </c>
      <c r="BG41" s="122">
        <v>12296.800000006155</v>
      </c>
    </row>
    <row r="42" spans="1:59" x14ac:dyDescent="0.25">
      <c r="A42" s="1">
        <v>23376.999305555557</v>
      </c>
      <c r="B42" s="3">
        <v>2357.2219354849281</v>
      </c>
      <c r="C42" s="3">
        <v>3493.7000000005241</v>
      </c>
      <c r="D42" s="3">
        <v>4522.2400000005764</v>
      </c>
      <c r="E42" s="3">
        <v>10740.699999997816</v>
      </c>
      <c r="F42" s="3">
        <v>1993.3600000002282</v>
      </c>
      <c r="G42" s="3">
        <v>4668.8200000030756</v>
      </c>
      <c r="H42" s="3">
        <v>595.99999999993202</v>
      </c>
      <c r="I42" s="3">
        <v>4166.6500000021297</v>
      </c>
      <c r="J42" s="3">
        <v>4166.6500000021233</v>
      </c>
      <c r="K42" s="3">
        <v>19670.948839303568</v>
      </c>
      <c r="L42" s="3">
        <v>1799.9999999999995</v>
      </c>
      <c r="M42" s="3">
        <v>7318.3999999991938</v>
      </c>
      <c r="N42" s="3">
        <v>27833.120000031842</v>
      </c>
      <c r="O42" s="122">
        <v>23975.600000011007</v>
      </c>
      <c r="P42" s="122">
        <v>1346.7400000006844</v>
      </c>
      <c r="Q42" s="122">
        <v>136.7980645161476</v>
      </c>
      <c r="R42" s="122">
        <v>4588.9400000008773</v>
      </c>
      <c r="S42" s="122">
        <v>3183.3799999986809</v>
      </c>
      <c r="T42" s="122">
        <v>1008.9400000003277</v>
      </c>
      <c r="U42" s="122">
        <v>419.22999999996358</v>
      </c>
      <c r="V42" s="122">
        <v>11479.940000005454</v>
      </c>
      <c r="W42" s="122">
        <v>1499.983333332802</v>
      </c>
      <c r="X42" s="122">
        <v>1416.6499999990267</v>
      </c>
      <c r="Y42" s="122">
        <v>541.66666666660728</v>
      </c>
      <c r="Z42" s="122">
        <v>333.3333333334636</v>
      </c>
      <c r="AA42" s="122">
        <v>1000.0000000020067</v>
      </c>
      <c r="AB42" s="122">
        <v>1499.999999998952</v>
      </c>
      <c r="AC42" s="122">
        <v>1000.0000000020067</v>
      </c>
      <c r="AD42" s="122">
        <v>1499.999999998952</v>
      </c>
      <c r="AE42" s="122">
        <v>5738.3124287336568</v>
      </c>
      <c r="AF42" s="122">
        <v>422.20435327291511</v>
      </c>
      <c r="AG42" s="122">
        <v>20086.915308668038</v>
      </c>
      <c r="AH42" s="122">
        <v>4746.7812919079834</v>
      </c>
      <c r="AI42" s="122">
        <v>8333.3500000013701</v>
      </c>
      <c r="AJ42" s="122">
        <v>38999.999998983854</v>
      </c>
      <c r="AK42" s="122">
        <v>15864.246446422741</v>
      </c>
      <c r="AL42" s="122">
        <v>14190.984578883299</v>
      </c>
      <c r="AM42" s="122">
        <v>24160.880683189996</v>
      </c>
      <c r="AN42" s="122">
        <v>6648.491115915378</v>
      </c>
      <c r="AO42" s="122">
        <v>2211.9999999997453</v>
      </c>
      <c r="AP42" s="122">
        <v>378.87777777775057</v>
      </c>
      <c r="AQ42" s="122">
        <v>1745.8580743879677</v>
      </c>
      <c r="AR42" s="122">
        <v>3269.0934100329068</v>
      </c>
      <c r="AS42" s="122">
        <v>33119.26666579811</v>
      </c>
      <c r="AT42" s="122">
        <v>108970.14045452981</v>
      </c>
      <c r="AU42" s="122">
        <v>109307.50931042632</v>
      </c>
      <c r="AV42" s="122">
        <v>119091.20613142104</v>
      </c>
      <c r="AW42" s="122">
        <v>4644.9719008195098</v>
      </c>
      <c r="AX42" s="122">
        <v>47370.683608874053</v>
      </c>
      <c r="AY42" s="122">
        <v>2941.1764705878954</v>
      </c>
      <c r="AZ42" s="122">
        <v>613.99999523162785</v>
      </c>
      <c r="BA42" s="122">
        <v>2020.4309711804183</v>
      </c>
      <c r="BB42" s="122">
        <v>2166.6666666676529</v>
      </c>
      <c r="BC42" s="122">
        <v>16199.99999897049</v>
      </c>
      <c r="BD42" s="122">
        <v>1277.0458697950248</v>
      </c>
      <c r="BE42" s="122">
        <v>1245.747503448735</v>
      </c>
      <c r="BF42" s="122">
        <v>916.6833333329123</v>
      </c>
      <c r="BG42" s="122">
        <v>12296.800000006155</v>
      </c>
    </row>
    <row r="43" spans="1:59" x14ac:dyDescent="0.25">
      <c r="A43" s="1">
        <v>23742.999305555557</v>
      </c>
      <c r="B43" s="3">
        <v>2287.8080759133618</v>
      </c>
      <c r="C43" s="3">
        <v>3493.7000000005241</v>
      </c>
      <c r="D43" s="3">
        <v>4522.2400000005764</v>
      </c>
      <c r="E43" s="3">
        <v>10740.699999997816</v>
      </c>
      <c r="F43" s="3">
        <v>1993.3600000002282</v>
      </c>
      <c r="G43" s="3">
        <v>4668.8200000030765</v>
      </c>
      <c r="H43" s="3">
        <v>527.99999999993952</v>
      </c>
      <c r="I43" s="3">
        <v>4166.6500000021306</v>
      </c>
      <c r="J43" s="3">
        <v>4166.6500000021233</v>
      </c>
      <c r="K43" s="3">
        <v>17547.892720304495</v>
      </c>
      <c r="L43" s="3">
        <v>1800.0000000000002</v>
      </c>
      <c r="M43" s="3">
        <v>7318.3999999991929</v>
      </c>
      <c r="N43" s="3">
        <v>27833.120000031842</v>
      </c>
      <c r="O43" s="122">
        <v>23975.600000011007</v>
      </c>
      <c r="P43" s="122">
        <v>1346.7400000006844</v>
      </c>
      <c r="Q43" s="122">
        <v>206.21192408771319</v>
      </c>
      <c r="R43" s="122">
        <v>4588.9400000008773</v>
      </c>
      <c r="S43" s="122">
        <v>3183.3799999986809</v>
      </c>
      <c r="T43" s="122">
        <v>1008.9400000003277</v>
      </c>
      <c r="U43" s="122">
        <v>419.22999999996358</v>
      </c>
      <c r="V43" s="122">
        <v>11479.940000005452</v>
      </c>
      <c r="W43" s="122">
        <v>1499.9833333328022</v>
      </c>
      <c r="X43" s="122">
        <v>1416.6499999990265</v>
      </c>
      <c r="Y43" s="122">
        <v>541.6666666666074</v>
      </c>
      <c r="Z43" s="122">
        <v>333.33333333346354</v>
      </c>
      <c r="AA43" s="122">
        <v>1000.0000000020035</v>
      </c>
      <c r="AB43" s="122">
        <v>1499.9999999989695</v>
      </c>
      <c r="AC43" s="122">
        <v>1000.0000000020035</v>
      </c>
      <c r="AD43" s="122">
        <v>1499.9999999989695</v>
      </c>
      <c r="AE43" s="122">
        <v>5146.8072976048861</v>
      </c>
      <c r="AF43" s="122">
        <v>475.99998378753691</v>
      </c>
      <c r="AG43" s="122">
        <v>17844.797826264199</v>
      </c>
      <c r="AH43" s="122">
        <v>4286.8695969997798</v>
      </c>
      <c r="AI43" s="122">
        <v>8333.3500000013719</v>
      </c>
      <c r="AJ43" s="122">
        <v>38999.999998983862</v>
      </c>
      <c r="AK43" s="122">
        <v>15864.246446422736</v>
      </c>
      <c r="AL43" s="122">
        <v>12679.715302489649</v>
      </c>
      <c r="AM43" s="122">
        <v>24160.880683190015</v>
      </c>
      <c r="AN43" s="122">
        <v>5969.7283068527449</v>
      </c>
      <c r="AO43" s="122">
        <v>1961.9999999997751</v>
      </c>
      <c r="AP43" s="122">
        <v>378.87777777775057</v>
      </c>
      <c r="AQ43" s="122">
        <v>1710.448278790353</v>
      </c>
      <c r="AR43" s="122">
        <v>4482.0431689355428</v>
      </c>
      <c r="AS43" s="122">
        <v>33105.778642042722</v>
      </c>
      <c r="AT43" s="122">
        <v>99145.157472318286</v>
      </c>
      <c r="AU43" s="122">
        <v>99452.108424245176</v>
      </c>
      <c r="AV43" s="122">
        <v>108353.68603011903</v>
      </c>
      <c r="AW43" s="122">
        <v>4657.6978512326941</v>
      </c>
      <c r="AX43" s="122">
        <v>43447.194704937334</v>
      </c>
      <c r="AY43" s="122">
        <v>2740.2714932123554</v>
      </c>
      <c r="AZ43" s="122">
        <v>662.99998658895447</v>
      </c>
      <c r="BA43" s="122">
        <v>1853.0882627228302</v>
      </c>
      <c r="BB43" s="122">
        <v>2166.6666666676529</v>
      </c>
      <c r="BC43" s="122">
        <v>16199.999998970494</v>
      </c>
      <c r="BD43" s="122">
        <v>1136.6477545916562</v>
      </c>
      <c r="BE43" s="122">
        <v>1142.5681500063386</v>
      </c>
      <c r="BF43" s="122">
        <v>916.68333333291218</v>
      </c>
      <c r="BG43" s="122">
        <v>12296.800000006155</v>
      </c>
    </row>
    <row r="44" spans="1:59" x14ac:dyDescent="0.25">
      <c r="A44" s="1">
        <v>24107.999305555557</v>
      </c>
      <c r="B44" s="3">
        <v>2494.0200000010741</v>
      </c>
      <c r="C44" s="3">
        <v>3493.7000000005241</v>
      </c>
      <c r="D44" s="3">
        <v>4522.2400000005764</v>
      </c>
      <c r="E44" s="3">
        <v>10740.699999997816</v>
      </c>
      <c r="F44" s="3">
        <v>1993.3600000002282</v>
      </c>
      <c r="G44" s="3">
        <v>4668.8200000030756</v>
      </c>
      <c r="H44" s="3">
        <v>441.99999999994913</v>
      </c>
      <c r="I44" s="3">
        <v>4166.6500000021297</v>
      </c>
      <c r="J44" s="3">
        <v>4166.6500000021233</v>
      </c>
      <c r="K44" s="3">
        <v>14642.025392530815</v>
      </c>
      <c r="L44" s="3">
        <v>1800</v>
      </c>
      <c r="M44" s="3">
        <v>7318.3999999991938</v>
      </c>
      <c r="N44" s="3">
        <v>27833.120000031842</v>
      </c>
      <c r="O44" s="122">
        <v>23975.600000011007</v>
      </c>
      <c r="P44" s="122">
        <v>1346.7400000006844</v>
      </c>
      <c r="Q44" s="122">
        <v>0</v>
      </c>
      <c r="R44" s="122">
        <v>4588.9400000008773</v>
      </c>
      <c r="S44" s="122">
        <v>3183.3799999986809</v>
      </c>
      <c r="T44" s="122">
        <v>1008.9400000003277</v>
      </c>
      <c r="U44" s="122">
        <v>419.22999999996358</v>
      </c>
      <c r="V44" s="122">
        <v>11479.940000005454</v>
      </c>
      <c r="W44" s="122">
        <v>1499.983333332802</v>
      </c>
      <c r="X44" s="122">
        <v>1416.6499999990267</v>
      </c>
      <c r="Y44" s="122">
        <v>541.66666666660728</v>
      </c>
      <c r="Z44" s="122">
        <v>333.3333333334636</v>
      </c>
      <c r="AA44" s="122">
        <v>1000.0000000020067</v>
      </c>
      <c r="AB44" s="122">
        <v>1499.999999998952</v>
      </c>
      <c r="AC44" s="122">
        <v>1000.0000000020067</v>
      </c>
      <c r="AD44" s="122">
        <v>1499.999999998952</v>
      </c>
      <c r="AE44" s="122">
        <v>3898.2326111740108</v>
      </c>
      <c r="AF44" s="122">
        <v>674.99998849630538</v>
      </c>
      <c r="AG44" s="122">
        <v>16963.896522313993</v>
      </c>
      <c r="AH44" s="122">
        <v>3439.999999999603</v>
      </c>
      <c r="AI44" s="122">
        <v>8333.3500000013701</v>
      </c>
      <c r="AJ44" s="122">
        <v>38999.999998983854</v>
      </c>
      <c r="AK44" s="122">
        <v>15864.24644642272</v>
      </c>
      <c r="AL44" s="122">
        <v>10622.775800710528</v>
      </c>
      <c r="AM44" s="122">
        <v>24160.880683189986</v>
      </c>
      <c r="AN44" s="122">
        <v>5494.0302716925107</v>
      </c>
      <c r="AO44" s="122">
        <v>1535.9999999998226</v>
      </c>
      <c r="AP44" s="122">
        <v>378.87777777775057</v>
      </c>
      <c r="AQ44" s="122">
        <v>2239.8591864714072</v>
      </c>
      <c r="AR44" s="122">
        <v>12052.861970556043</v>
      </c>
      <c r="AS44" s="122">
        <v>33119.26666579811</v>
      </c>
      <c r="AT44" s="122">
        <v>78194.869545354421</v>
      </c>
      <c r="AU44" s="122">
        <v>78436.958924751743</v>
      </c>
      <c r="AV44" s="122">
        <v>85457.550927276039</v>
      </c>
      <c r="AW44" s="122">
        <v>4644.9719008195007</v>
      </c>
      <c r="AX44" s="122">
        <v>34042.500264648108</v>
      </c>
      <c r="AY44" s="122">
        <v>2486.87782805401</v>
      </c>
      <c r="AZ44" s="122">
        <v>952.99999523162933</v>
      </c>
      <c r="BA44" s="122">
        <v>1451.9638863355531</v>
      </c>
      <c r="BB44" s="122">
        <v>2166.6666666676529</v>
      </c>
      <c r="BC44" s="122">
        <v>16199.99999897049</v>
      </c>
      <c r="BD44" s="122">
        <v>948.16809308576512</v>
      </c>
      <c r="BE44" s="122">
        <v>895.2448325633585</v>
      </c>
      <c r="BF44" s="122">
        <v>916.6833333329123</v>
      </c>
      <c r="BG44" s="122">
        <v>12296.800000006155</v>
      </c>
    </row>
    <row r="45" spans="1:59" x14ac:dyDescent="0.25">
      <c r="A45" s="1">
        <v>24472.999305555557</v>
      </c>
      <c r="B45" s="3">
        <v>2413.4887325102991</v>
      </c>
      <c r="C45" s="3">
        <v>3493.7000000005241</v>
      </c>
      <c r="D45" s="3">
        <v>4522.2400000005764</v>
      </c>
      <c r="E45" s="3">
        <v>10740.699999997816</v>
      </c>
      <c r="F45" s="3">
        <v>1993.3600000002282</v>
      </c>
      <c r="G45" s="3">
        <v>4668.8200000030756</v>
      </c>
      <c r="H45" s="3">
        <v>569.99999999993418</v>
      </c>
      <c r="I45" s="3">
        <v>4166.6500000021297</v>
      </c>
      <c r="J45" s="3">
        <v>4166.6500000021233</v>
      </c>
      <c r="K45" s="3">
        <v>19122.530238146715</v>
      </c>
      <c r="L45" s="3">
        <v>1800.0000000000007</v>
      </c>
      <c r="M45" s="3">
        <v>7318.3999999991938</v>
      </c>
      <c r="N45" s="3">
        <v>27833.120000031842</v>
      </c>
      <c r="O45" s="122">
        <v>23975.600000011007</v>
      </c>
      <c r="P45" s="122">
        <v>1346.7400000006844</v>
      </c>
      <c r="Q45" s="122">
        <v>80.53126749077633</v>
      </c>
      <c r="R45" s="122">
        <v>4588.9400000008773</v>
      </c>
      <c r="S45" s="122">
        <v>3183.3799999986809</v>
      </c>
      <c r="T45" s="122">
        <v>1008.9400000003277</v>
      </c>
      <c r="U45" s="122">
        <v>419.22999999996358</v>
      </c>
      <c r="V45" s="122">
        <v>11479.940000005454</v>
      </c>
      <c r="W45" s="122">
        <v>1499.983333332802</v>
      </c>
      <c r="X45" s="122">
        <v>1416.6499999990267</v>
      </c>
      <c r="Y45" s="122">
        <v>541.66666666660728</v>
      </c>
      <c r="Z45" s="122">
        <v>333.3333333334636</v>
      </c>
      <c r="AA45" s="122">
        <v>1000.0000000020067</v>
      </c>
      <c r="AB45" s="122">
        <v>1499.999999998952</v>
      </c>
      <c r="AC45" s="122">
        <v>1000.0000000020067</v>
      </c>
      <c r="AD45" s="122">
        <v>1499.999999998952</v>
      </c>
      <c r="AE45" s="122">
        <v>5959.2360319263371</v>
      </c>
      <c r="AF45" s="122">
        <v>387.33742994069974</v>
      </c>
      <c r="AG45" s="122">
        <v>21290.628257365119</v>
      </c>
      <c r="AH45" s="122">
        <v>5043.6982322207004</v>
      </c>
      <c r="AI45" s="122">
        <v>8333.3500000013701</v>
      </c>
      <c r="AJ45" s="122">
        <v>38999.999998983854</v>
      </c>
      <c r="AK45" s="122">
        <v>15864.246446422723</v>
      </c>
      <c r="AL45" s="122">
        <v>13562.277580069611</v>
      </c>
      <c r="AM45" s="122">
        <v>24160.880683190007</v>
      </c>
      <c r="AN45" s="122">
        <v>6772.586255522393</v>
      </c>
      <c r="AO45" s="122">
        <v>2211.9999999997453</v>
      </c>
      <c r="AP45" s="122">
        <v>378.87777777775057</v>
      </c>
      <c r="AQ45" s="122">
        <v>1513.7516649877855</v>
      </c>
      <c r="AR45" s="122">
        <v>4732.4994742783647</v>
      </c>
      <c r="AS45" s="122">
        <v>33119.26666579811</v>
      </c>
      <c r="AT45" s="122">
        <v>110196.74835754102</v>
      </c>
      <c r="AU45" s="122">
        <v>110537.91476112434</v>
      </c>
      <c r="AV45" s="122">
        <v>120431.74046505208</v>
      </c>
      <c r="AW45" s="122">
        <v>4644.9719008194907</v>
      </c>
      <c r="AX45" s="122">
        <v>47927.800094429091</v>
      </c>
      <c r="AY45" s="122">
        <v>3263.3484162892187</v>
      </c>
      <c r="AZ45" s="122">
        <v>522.00001519918339</v>
      </c>
      <c r="BA45" s="122">
        <v>2044.1928280128905</v>
      </c>
      <c r="BB45" s="122">
        <v>2166.6666666676529</v>
      </c>
      <c r="BC45" s="122">
        <v>16199.99999897049</v>
      </c>
      <c r="BD45" s="122">
        <v>1236.6573709009049</v>
      </c>
      <c r="BE45" s="122">
        <v>1260.3984735875788</v>
      </c>
      <c r="BF45" s="122">
        <v>916.6833333329123</v>
      </c>
      <c r="BG45" s="122">
        <v>12296.800000006155</v>
      </c>
    </row>
    <row r="46" spans="1:59" x14ac:dyDescent="0.25">
      <c r="A46" s="1">
        <v>24837.999305555557</v>
      </c>
      <c r="B46" s="3">
        <v>2444.9501830917138</v>
      </c>
      <c r="C46" s="3">
        <v>3493.7000000005241</v>
      </c>
      <c r="D46" s="3">
        <v>4522.2400000005764</v>
      </c>
      <c r="E46" s="3">
        <v>10740.699999997816</v>
      </c>
      <c r="F46" s="3">
        <v>1993.3600000002282</v>
      </c>
      <c r="G46" s="3">
        <v>4668.8200000030756</v>
      </c>
      <c r="H46" s="3">
        <v>545.99999999993747</v>
      </c>
      <c r="I46" s="3">
        <v>4166.6500000021297</v>
      </c>
      <c r="J46" s="3">
        <v>4166.6500000021233</v>
      </c>
      <c r="K46" s="3">
        <v>18192.472391253268</v>
      </c>
      <c r="L46" s="3">
        <v>1800</v>
      </c>
      <c r="M46" s="3">
        <v>7318.3999999991938</v>
      </c>
      <c r="N46" s="3">
        <v>27833.120000031842</v>
      </c>
      <c r="O46" s="122">
        <v>23975.600000011007</v>
      </c>
      <c r="P46" s="122">
        <v>1346.7400000006844</v>
      </c>
      <c r="Q46" s="122">
        <v>49.06981690935946</v>
      </c>
      <c r="R46" s="122">
        <v>4588.9400000008773</v>
      </c>
      <c r="S46" s="122">
        <v>3183.3799999986809</v>
      </c>
      <c r="T46" s="122">
        <v>1008.9400000003277</v>
      </c>
      <c r="U46" s="122">
        <v>419.22999999996358</v>
      </c>
      <c r="V46" s="122">
        <v>11479.940000005454</v>
      </c>
      <c r="W46" s="122">
        <v>1499.983333332802</v>
      </c>
      <c r="X46" s="122">
        <v>1416.6499999990267</v>
      </c>
      <c r="Y46" s="122">
        <v>541.66666666660728</v>
      </c>
      <c r="Z46" s="122">
        <v>333.3333333334636</v>
      </c>
      <c r="AA46" s="122">
        <v>1000.0000000020067</v>
      </c>
      <c r="AB46" s="122">
        <v>1499.999999998952</v>
      </c>
      <c r="AC46" s="122">
        <v>1000.0000000020067</v>
      </c>
      <c r="AD46" s="122">
        <v>1499.999999998952</v>
      </c>
      <c r="AE46" s="122">
        <v>5349.2018244007504</v>
      </c>
      <c r="AF46" s="122">
        <v>507.99997991323517</v>
      </c>
      <c r="AG46" s="122">
        <v>16620.86610442336</v>
      </c>
      <c r="AH46" s="122">
        <v>4567.1812482182277</v>
      </c>
      <c r="AI46" s="122">
        <v>8333.3500000013701</v>
      </c>
      <c r="AJ46" s="122">
        <v>38999.999998983854</v>
      </c>
      <c r="AK46" s="122">
        <v>15864.246446422727</v>
      </c>
      <c r="AL46" s="122">
        <v>12966.78529062722</v>
      </c>
      <c r="AM46" s="122">
        <v>24160.880683190007</v>
      </c>
      <c r="AN46" s="122">
        <v>5747.8612390705066</v>
      </c>
      <c r="AO46" s="122">
        <v>1807.9999999997917</v>
      </c>
      <c r="AP46" s="122">
        <v>378.87777777775057</v>
      </c>
      <c r="AQ46" s="122">
        <v>1758.6743974182912</v>
      </c>
      <c r="AR46" s="122">
        <v>3707.4812408701623</v>
      </c>
      <c r="AS46" s="122">
        <v>33119.26666579811</v>
      </c>
      <c r="AT46" s="122">
        <v>99223.891732215474</v>
      </c>
      <c r="AU46" s="122">
        <v>99531.086443460677</v>
      </c>
      <c r="AV46" s="122">
        <v>108439.73306957283</v>
      </c>
      <c r="AW46" s="122">
        <v>4644.9719008194988</v>
      </c>
      <c r="AX46" s="122">
        <v>42724.363684019008</v>
      </c>
      <c r="AY46" s="122">
        <v>2838.0090497734295</v>
      </c>
      <c r="AZ46" s="122">
        <v>609.99998849630174</v>
      </c>
      <c r="BA46" s="122">
        <v>1822.2584314784328</v>
      </c>
      <c r="BB46" s="122">
        <v>2166.6666666676529</v>
      </c>
      <c r="BC46" s="122">
        <v>16199.99999897049</v>
      </c>
      <c r="BD46" s="122">
        <v>1178.9595153378773</v>
      </c>
      <c r="BE46" s="122">
        <v>1123.5592425740704</v>
      </c>
      <c r="BF46" s="122">
        <v>916.6833333329123</v>
      </c>
      <c r="BG46" s="122">
        <v>12296.800000006155</v>
      </c>
    </row>
    <row r="47" spans="1:59" x14ac:dyDescent="0.25">
      <c r="A47" s="1">
        <v>25203.999305555557</v>
      </c>
      <c r="B47" s="3">
        <v>2337.2093333342891</v>
      </c>
      <c r="C47" s="3">
        <v>3493.7000000005241</v>
      </c>
      <c r="D47" s="3">
        <v>4522.2400000005764</v>
      </c>
      <c r="E47" s="3">
        <v>10740.699999997816</v>
      </c>
      <c r="F47" s="3">
        <v>1993.3600000002282</v>
      </c>
      <c r="G47" s="3">
        <v>4668.8200000030765</v>
      </c>
      <c r="H47" s="3">
        <v>545.9999999999377</v>
      </c>
      <c r="I47" s="3">
        <v>4166.6500000021306</v>
      </c>
      <c r="J47" s="3">
        <v>4166.6500000021233</v>
      </c>
      <c r="K47" s="3">
        <v>18198.482458115246</v>
      </c>
      <c r="L47" s="3">
        <v>1799.9999999999973</v>
      </c>
      <c r="M47" s="3">
        <v>7318.3999999991929</v>
      </c>
      <c r="N47" s="3">
        <v>27833.120000031842</v>
      </c>
      <c r="O47" s="122">
        <v>23975.600000011007</v>
      </c>
      <c r="P47" s="122">
        <v>1346.7400000006844</v>
      </c>
      <c r="Q47" s="122">
        <v>156.81066666678677</v>
      </c>
      <c r="R47" s="122">
        <v>4588.9400000008773</v>
      </c>
      <c r="S47" s="122">
        <v>3183.3799999986809</v>
      </c>
      <c r="T47" s="122">
        <v>1008.9400000003277</v>
      </c>
      <c r="U47" s="122">
        <v>419.22999999996358</v>
      </c>
      <c r="V47" s="122">
        <v>11479.940000005452</v>
      </c>
      <c r="W47" s="122">
        <v>1499.9833333328022</v>
      </c>
      <c r="X47" s="122">
        <v>1416.6499999990265</v>
      </c>
      <c r="Y47" s="122">
        <v>541.6666666666074</v>
      </c>
      <c r="Z47" s="122">
        <v>333.33333333346354</v>
      </c>
      <c r="AA47" s="122">
        <v>1000.0000000020035</v>
      </c>
      <c r="AB47" s="122">
        <v>1499.9999999989695</v>
      </c>
      <c r="AC47" s="122">
        <v>1000.0000000020035</v>
      </c>
      <c r="AD47" s="122">
        <v>1499.9999999989695</v>
      </c>
      <c r="AE47" s="122">
        <v>4972.9190421887106</v>
      </c>
      <c r="AF47" s="122">
        <v>622.99998372793323</v>
      </c>
      <c r="AG47" s="122">
        <v>15184.307779776513</v>
      </c>
      <c r="AH47" s="122">
        <v>4300.2936844562037</v>
      </c>
      <c r="AI47" s="122">
        <v>8333.3500000013719</v>
      </c>
      <c r="AJ47" s="122">
        <v>38999.999998983862</v>
      </c>
      <c r="AK47" s="122">
        <v>15864.246446422723</v>
      </c>
      <c r="AL47" s="122">
        <v>12991.696322655693</v>
      </c>
      <c r="AM47" s="122">
        <v>24160.880683190011</v>
      </c>
      <c r="AN47" s="122">
        <v>5249.6004512544487</v>
      </c>
      <c r="AO47" s="122">
        <v>1653.9999999998086</v>
      </c>
      <c r="AP47" s="122">
        <v>378.87777777775057</v>
      </c>
      <c r="AQ47" s="122">
        <v>2026.9538974204913</v>
      </c>
      <c r="AR47" s="122">
        <v>6607.9499951441749</v>
      </c>
      <c r="AS47" s="122">
        <v>33105.778642042722</v>
      </c>
      <c r="AT47" s="122">
        <v>97119.03044927778</v>
      </c>
      <c r="AU47" s="122">
        <v>97419.708562123924</v>
      </c>
      <c r="AV47" s="122">
        <v>106139.37383465985</v>
      </c>
      <c r="AW47" s="122">
        <v>4657.6978512327059</v>
      </c>
      <c r="AX47" s="122">
        <v>39743.080281148323</v>
      </c>
      <c r="AY47" s="122">
        <v>2866.9683257915249</v>
      </c>
      <c r="AZ47" s="122">
        <v>840.99998468160345</v>
      </c>
      <c r="BA47" s="122">
        <v>1695.102206105789</v>
      </c>
      <c r="BB47" s="122">
        <v>2166.6666666676529</v>
      </c>
      <c r="BC47" s="122">
        <v>16199.999998970494</v>
      </c>
      <c r="BD47" s="122">
        <v>1177.0362534857768</v>
      </c>
      <c r="BE47" s="122">
        <v>1045.1578754571401</v>
      </c>
      <c r="BF47" s="122">
        <v>916.68333333291218</v>
      </c>
      <c r="BG47" s="122">
        <v>12296.800000006155</v>
      </c>
    </row>
    <row r="48" spans="1:59" x14ac:dyDescent="0.25">
      <c r="A48" s="1">
        <v>25568.999305555557</v>
      </c>
      <c r="B48" s="3">
        <v>2494.0200000010741</v>
      </c>
      <c r="C48" s="3">
        <v>3493.7000000005241</v>
      </c>
      <c r="D48" s="3">
        <v>4522.2400000005764</v>
      </c>
      <c r="E48" s="3">
        <v>10740.699999997816</v>
      </c>
      <c r="F48" s="3">
        <v>1993.3600000002282</v>
      </c>
      <c r="G48" s="3">
        <v>4668.8200000030756</v>
      </c>
      <c r="H48" s="3">
        <v>497.99999999994304</v>
      </c>
      <c r="I48" s="3">
        <v>4166.6500000021297</v>
      </c>
      <c r="J48" s="3">
        <v>4166.6500000021233</v>
      </c>
      <c r="K48" s="3">
        <v>16369.919615353825</v>
      </c>
      <c r="L48" s="3">
        <v>1800</v>
      </c>
      <c r="M48" s="3">
        <v>7318.3999999991938</v>
      </c>
      <c r="N48" s="3">
        <v>27833.120000031842</v>
      </c>
      <c r="O48" s="122">
        <v>23975.600000011007</v>
      </c>
      <c r="P48" s="122">
        <v>1346.7400000006844</v>
      </c>
      <c r="Q48" s="122">
        <v>0</v>
      </c>
      <c r="R48" s="122">
        <v>4588.9400000008773</v>
      </c>
      <c r="S48" s="122">
        <v>3183.3799999986809</v>
      </c>
      <c r="T48" s="122">
        <v>1008.9400000003277</v>
      </c>
      <c r="U48" s="122">
        <v>419.22999999996358</v>
      </c>
      <c r="V48" s="122">
        <v>11479.940000005454</v>
      </c>
      <c r="W48" s="122">
        <v>1499.983333332802</v>
      </c>
      <c r="X48" s="122">
        <v>1416.6499999990267</v>
      </c>
      <c r="Y48" s="122">
        <v>541.66666666660728</v>
      </c>
      <c r="Z48" s="122">
        <v>333.3333333334636</v>
      </c>
      <c r="AA48" s="122">
        <v>1000.0000000020067</v>
      </c>
      <c r="AB48" s="122">
        <v>1499.999999998952</v>
      </c>
      <c r="AC48" s="122">
        <v>1000.0000000020067</v>
      </c>
      <c r="AD48" s="122">
        <v>1499.999999998952</v>
      </c>
      <c r="AE48" s="122">
        <v>4962.9418472058151</v>
      </c>
      <c r="AF48" s="122">
        <v>650.99999612570048</v>
      </c>
      <c r="AG48" s="122">
        <v>15620.202785935868</v>
      </c>
      <c r="AH48" s="122">
        <v>4225.6509075589793</v>
      </c>
      <c r="AI48" s="122">
        <v>8333.3500000013701</v>
      </c>
      <c r="AJ48" s="122">
        <v>38999.999998983854</v>
      </c>
      <c r="AK48" s="122">
        <v>15864.246446422727</v>
      </c>
      <c r="AL48" s="122">
        <v>11882.562277578707</v>
      </c>
      <c r="AM48" s="122">
        <v>24160.880683190007</v>
      </c>
      <c r="AN48" s="122">
        <v>5027.7333834722031</v>
      </c>
      <c r="AO48" s="122">
        <v>1915.999999999779</v>
      </c>
      <c r="AP48" s="122">
        <v>378.87777777775057</v>
      </c>
      <c r="AQ48" s="122">
        <v>2116.230727440075</v>
      </c>
      <c r="AR48" s="122">
        <v>10198.212077423621</v>
      </c>
      <c r="AS48" s="122">
        <v>33119.26666579811</v>
      </c>
      <c r="AT48" s="122">
        <v>95633.181658004381</v>
      </c>
      <c r="AU48" s="122">
        <v>95929.259619794073</v>
      </c>
      <c r="AV48" s="122">
        <v>104515.52051168946</v>
      </c>
      <c r="AW48" s="122">
        <v>4644.9719008194825</v>
      </c>
      <c r="AX48" s="122">
        <v>41651.164788332368</v>
      </c>
      <c r="AY48" s="122">
        <v>2542.9864253390729</v>
      </c>
      <c r="AZ48" s="122">
        <v>810.00002098083223</v>
      </c>
      <c r="BA48" s="122">
        <v>1776.4848829059604</v>
      </c>
      <c r="BB48" s="122">
        <v>2166.6666666676529</v>
      </c>
      <c r="BC48" s="122">
        <v>16199.99999897049</v>
      </c>
      <c r="BD48" s="122">
        <v>1061.6405423597212</v>
      </c>
      <c r="BE48" s="122">
        <v>1095.3364105785629</v>
      </c>
      <c r="BF48" s="122">
        <v>916.6833333329123</v>
      </c>
      <c r="BG48" s="122">
        <v>12296.800000006155</v>
      </c>
    </row>
    <row r="49" spans="1:59" x14ac:dyDescent="0.25">
      <c r="A49" s="1">
        <v>25933.999305555557</v>
      </c>
      <c r="B49" s="3">
        <v>2475.0240000010849</v>
      </c>
      <c r="C49" s="3">
        <v>3493.7000000005241</v>
      </c>
      <c r="D49" s="3">
        <v>4522.2400000005764</v>
      </c>
      <c r="E49" s="3">
        <v>10740.699999997816</v>
      </c>
      <c r="F49" s="3">
        <v>1993.3600000002282</v>
      </c>
      <c r="G49" s="3">
        <v>4668.8200000030756</v>
      </c>
      <c r="H49" s="3">
        <v>501.9999999999423</v>
      </c>
      <c r="I49" s="3">
        <v>4166.6500000021297</v>
      </c>
      <c r="J49" s="3">
        <v>4166.6500000021233</v>
      </c>
      <c r="K49" s="3">
        <v>16671.925475169006</v>
      </c>
      <c r="L49" s="3">
        <v>1799.9999999999989</v>
      </c>
      <c r="M49" s="3">
        <v>7318.3999999991938</v>
      </c>
      <c r="N49" s="3">
        <v>27833.120000031842</v>
      </c>
      <c r="O49" s="122">
        <v>23975.600000011007</v>
      </c>
      <c r="P49" s="122">
        <v>1346.7400000006844</v>
      </c>
      <c r="Q49" s="122">
        <v>18.995999999989525</v>
      </c>
      <c r="R49" s="122">
        <v>4588.9400000008773</v>
      </c>
      <c r="S49" s="122">
        <v>3183.3799999986809</v>
      </c>
      <c r="T49" s="122">
        <v>1008.9400000003277</v>
      </c>
      <c r="U49" s="122">
        <v>419.22999999996358</v>
      </c>
      <c r="V49" s="122">
        <v>11479.940000005454</v>
      </c>
      <c r="W49" s="122">
        <v>1499.983333332802</v>
      </c>
      <c r="X49" s="122">
        <v>1416.6499999990267</v>
      </c>
      <c r="Y49" s="122">
        <v>541.66666666660728</v>
      </c>
      <c r="Z49" s="122">
        <v>333.3333333334636</v>
      </c>
      <c r="AA49" s="122">
        <v>1000.0000000020067</v>
      </c>
      <c r="AB49" s="122">
        <v>1499.999999998952</v>
      </c>
      <c r="AC49" s="122">
        <v>1000.0000000020067</v>
      </c>
      <c r="AD49" s="122">
        <v>1499.999999998952</v>
      </c>
      <c r="AE49" s="122">
        <v>5017.1037628272443</v>
      </c>
      <c r="AF49" s="122">
        <v>467.92560952901772</v>
      </c>
      <c r="AG49" s="122">
        <v>15455.320761866891</v>
      </c>
      <c r="AH49" s="122">
        <v>4183.7825561724994</v>
      </c>
      <c r="AI49" s="122">
        <v>8333.3500000013701</v>
      </c>
      <c r="AJ49" s="122">
        <v>38999.999998983854</v>
      </c>
      <c r="AK49" s="122">
        <v>15864.246446422745</v>
      </c>
      <c r="AL49" s="122">
        <v>11946.619217080486</v>
      </c>
      <c r="AM49" s="122">
        <v>24160.880683189971</v>
      </c>
      <c r="AN49" s="122">
        <v>5439.5036194409413</v>
      </c>
      <c r="AO49" s="122">
        <v>1801.9999999997924</v>
      </c>
      <c r="AP49" s="122">
        <v>378.87777777775057</v>
      </c>
      <c r="AQ49" s="122">
        <v>2103.5470982144575</v>
      </c>
      <c r="AR49" s="122">
        <v>4446.1395490900595</v>
      </c>
      <c r="AS49" s="122">
        <v>33119.26666579811</v>
      </c>
      <c r="AT49" s="122">
        <v>98172.908503643674</v>
      </c>
      <c r="AU49" s="122">
        <v>98476.8493968439</v>
      </c>
      <c r="AV49" s="122">
        <v>107291.13529964768</v>
      </c>
      <c r="AW49" s="122">
        <v>4644.9719008195007</v>
      </c>
      <c r="AX49" s="122">
        <v>39735.1891127977</v>
      </c>
      <c r="AY49" s="122">
        <v>2427.1493212666869</v>
      </c>
      <c r="AZ49" s="122">
        <v>606.99999809264932</v>
      </c>
      <c r="BA49" s="122">
        <v>1694.7656358956988</v>
      </c>
      <c r="BB49" s="122">
        <v>2166.6666666676529</v>
      </c>
      <c r="BC49" s="122">
        <v>16199.99999897049</v>
      </c>
      <c r="BD49" s="122">
        <v>1078.9498990286286</v>
      </c>
      <c r="BE49" s="122">
        <v>1044.950354633643</v>
      </c>
      <c r="BF49" s="122">
        <v>916.6833333329123</v>
      </c>
      <c r="BG49" s="122">
        <v>12296.800000006155</v>
      </c>
    </row>
    <row r="50" spans="1:59" x14ac:dyDescent="0.25">
      <c r="A50" s="1">
        <v>26298.999305555557</v>
      </c>
      <c r="B50" s="3">
        <v>2488.427053943773</v>
      </c>
      <c r="C50" s="3">
        <v>3493.7000000005241</v>
      </c>
      <c r="D50" s="3">
        <v>4522.2400000005764</v>
      </c>
      <c r="E50" s="3">
        <v>10740.699999997816</v>
      </c>
      <c r="F50" s="3">
        <v>1993.3600000002282</v>
      </c>
      <c r="G50" s="3">
        <v>4668.8200000030756</v>
      </c>
      <c r="H50" s="3">
        <v>501.9999999999427</v>
      </c>
      <c r="I50" s="3">
        <v>4166.6500000021297</v>
      </c>
      <c r="J50" s="3">
        <v>4166.6500000021233</v>
      </c>
      <c r="K50" s="3">
        <v>16811.659529710323</v>
      </c>
      <c r="L50" s="3">
        <v>1800.0000000000014</v>
      </c>
      <c r="M50" s="3">
        <v>7318.3999999991938</v>
      </c>
      <c r="N50" s="3">
        <v>27833.120000031842</v>
      </c>
      <c r="O50" s="122">
        <v>23975.600000011007</v>
      </c>
      <c r="P50" s="122">
        <v>1346.7400000006844</v>
      </c>
      <c r="Q50" s="122">
        <v>5.5929460573014875</v>
      </c>
      <c r="R50" s="122">
        <v>4588.9400000008773</v>
      </c>
      <c r="S50" s="122">
        <v>3183.3799999986809</v>
      </c>
      <c r="T50" s="122">
        <v>1008.9400000003277</v>
      </c>
      <c r="U50" s="122">
        <v>419.22999999996358</v>
      </c>
      <c r="V50" s="122">
        <v>11479.940000005454</v>
      </c>
      <c r="W50" s="122">
        <v>1499.983333332802</v>
      </c>
      <c r="X50" s="122">
        <v>1416.6499999990267</v>
      </c>
      <c r="Y50" s="122">
        <v>541.66666666660728</v>
      </c>
      <c r="Z50" s="122">
        <v>333.3333333334636</v>
      </c>
      <c r="AA50" s="122">
        <v>1000.0000000020067</v>
      </c>
      <c r="AB50" s="122">
        <v>1499.999999998952</v>
      </c>
      <c r="AC50" s="122">
        <v>1000.0000000020067</v>
      </c>
      <c r="AD50" s="122">
        <v>1499.999999998952</v>
      </c>
      <c r="AE50" s="122">
        <v>5356.3283922456803</v>
      </c>
      <c r="AF50" s="122">
        <v>466.99999994039575</v>
      </c>
      <c r="AG50" s="122">
        <v>14886.762058180811</v>
      </c>
      <c r="AH50" s="122">
        <v>4559.1222026596024</v>
      </c>
      <c r="AI50" s="122">
        <v>8333.3500000013701</v>
      </c>
      <c r="AJ50" s="122">
        <v>38999.999998983854</v>
      </c>
      <c r="AK50" s="122">
        <v>15573.640281185075</v>
      </c>
      <c r="AL50" s="122">
        <v>12078.291814945225</v>
      </c>
      <c r="AM50" s="122">
        <v>24160.880683189996</v>
      </c>
      <c r="AN50" s="122">
        <v>4922.4405377450394</v>
      </c>
      <c r="AO50" s="122">
        <v>1783.9999999997956</v>
      </c>
      <c r="AP50" s="122">
        <v>378.87777777775057</v>
      </c>
      <c r="AQ50" s="122">
        <v>1943.2704885786216</v>
      </c>
      <c r="AR50" s="122">
        <v>4977.8732730131924</v>
      </c>
      <c r="AS50" s="122">
        <v>33119.26666579811</v>
      </c>
      <c r="AT50" s="122">
        <v>101724.98911365231</v>
      </c>
      <c r="AU50" s="122">
        <v>102039.92716044368</v>
      </c>
      <c r="AV50" s="122">
        <v>111173.13051739705</v>
      </c>
      <c r="AW50" s="122">
        <v>4644.9719008194825</v>
      </c>
      <c r="AX50" s="122">
        <v>40061.883482514044</v>
      </c>
      <c r="AY50" s="122">
        <v>2490.4977375562767</v>
      </c>
      <c r="AZ50" s="122">
        <v>590.00002098083405</v>
      </c>
      <c r="BA50" s="122">
        <v>1708.6996425934949</v>
      </c>
      <c r="BB50" s="122">
        <v>2166.6666666676529</v>
      </c>
      <c r="BC50" s="122">
        <v>16199.99999897049</v>
      </c>
      <c r="BD50" s="122">
        <v>1088.5662082891324</v>
      </c>
      <c r="BE50" s="122">
        <v>1053.5417167263936</v>
      </c>
      <c r="BF50" s="122">
        <v>916.6833333329123</v>
      </c>
      <c r="BG50" s="122">
        <v>12296.800000006155</v>
      </c>
    </row>
    <row r="51" spans="1:59" x14ac:dyDescent="0.25">
      <c r="A51" s="1">
        <v>26664.999305555557</v>
      </c>
      <c r="B51" s="3">
        <v>2073.8554623664686</v>
      </c>
      <c r="C51" s="3">
        <v>3493.7000000005241</v>
      </c>
      <c r="D51" s="3">
        <v>4522.2400000005764</v>
      </c>
      <c r="E51" s="3">
        <v>10740.699999997816</v>
      </c>
      <c r="F51" s="3">
        <v>1993.3600000002282</v>
      </c>
      <c r="G51" s="3">
        <v>4668.8200000030765</v>
      </c>
      <c r="H51" s="3">
        <v>567.99999999993463</v>
      </c>
      <c r="I51" s="3">
        <v>4166.6500000021306</v>
      </c>
      <c r="J51" s="3">
        <v>4166.6500000021233</v>
      </c>
      <c r="K51" s="3">
        <v>18834.047028771045</v>
      </c>
      <c r="L51" s="3">
        <v>1800.0000000000025</v>
      </c>
      <c r="M51" s="3">
        <v>7318.3999999991929</v>
      </c>
      <c r="N51" s="3">
        <v>27833.120000031842</v>
      </c>
      <c r="O51" s="122">
        <v>23975.600000011007</v>
      </c>
      <c r="P51" s="122">
        <v>1346.7400000006844</v>
      </c>
      <c r="Q51" s="122">
        <v>420.16453763461033</v>
      </c>
      <c r="R51" s="122">
        <v>4588.9400000008773</v>
      </c>
      <c r="S51" s="122">
        <v>3183.3799999986809</v>
      </c>
      <c r="T51" s="122">
        <v>1008.9400000003277</v>
      </c>
      <c r="U51" s="122">
        <v>419.22999999996358</v>
      </c>
      <c r="V51" s="122">
        <v>11479.940000005452</v>
      </c>
      <c r="W51" s="122">
        <v>1499.9833333328022</v>
      </c>
      <c r="X51" s="122">
        <v>1416.6499999990265</v>
      </c>
      <c r="Y51" s="122">
        <v>541.6666666666074</v>
      </c>
      <c r="Z51" s="122">
        <v>333.33333333346354</v>
      </c>
      <c r="AA51" s="122">
        <v>1000.0000000020035</v>
      </c>
      <c r="AB51" s="122">
        <v>1499.9999999989695</v>
      </c>
      <c r="AC51" s="122">
        <v>1000.0000000020035</v>
      </c>
      <c r="AD51" s="122">
        <v>1499.9999999989695</v>
      </c>
      <c r="AE51" s="122">
        <v>5551.5963511966274</v>
      </c>
      <c r="AF51" s="122">
        <v>334.99999231100117</v>
      </c>
      <c r="AG51" s="122">
        <v>17457.084664814</v>
      </c>
      <c r="AH51" s="122">
        <v>4637.7086849952884</v>
      </c>
      <c r="AI51" s="122">
        <v>8333.3500000013719</v>
      </c>
      <c r="AJ51" s="122">
        <v>38999.999998983862</v>
      </c>
      <c r="AK51" s="122">
        <v>15864.246446422741</v>
      </c>
      <c r="AL51" s="122">
        <v>13520.75919335551</v>
      </c>
      <c r="AM51" s="122">
        <v>24160.880683189986</v>
      </c>
      <c r="AN51" s="122">
        <v>5800.5076619340871</v>
      </c>
      <c r="AO51" s="122">
        <v>2403.999999999724</v>
      </c>
      <c r="AP51" s="122">
        <v>378.87777777775057</v>
      </c>
      <c r="AQ51" s="122">
        <v>1611.3613839259976</v>
      </c>
      <c r="AR51" s="122">
        <v>1334.7394824424682</v>
      </c>
      <c r="AS51" s="122">
        <v>33105.778642042722</v>
      </c>
      <c r="AT51" s="122">
        <v>109062.79245584532</v>
      </c>
      <c r="AU51" s="122">
        <v>109400.44816004323</v>
      </c>
      <c r="AV51" s="122">
        <v>119192.4635817755</v>
      </c>
      <c r="AW51" s="122">
        <v>4657.6978512326896</v>
      </c>
      <c r="AX51" s="122">
        <v>42146.730160752348</v>
      </c>
      <c r="AY51" s="122">
        <v>2984.6153846150396</v>
      </c>
      <c r="AZ51" s="122">
        <v>524.2477397918708</v>
      </c>
      <c r="BA51" s="122">
        <v>1797.621492099719</v>
      </c>
      <c r="BB51" s="122">
        <v>2166.6666666676529</v>
      </c>
      <c r="BC51" s="122">
        <v>16199.999998970494</v>
      </c>
      <c r="BD51" s="122">
        <v>1223.1945379361987</v>
      </c>
      <c r="BE51" s="122">
        <v>1108.3687182941351</v>
      </c>
      <c r="BF51" s="122">
        <v>916.68333333291218</v>
      </c>
      <c r="BG51" s="122">
        <v>12296.800000006155</v>
      </c>
    </row>
    <row r="52" spans="1:59" x14ac:dyDescent="0.25">
      <c r="A52" s="1">
        <v>27029.999305555557</v>
      </c>
      <c r="B52" s="3">
        <v>2494.0200000010741</v>
      </c>
      <c r="C52" s="3">
        <v>3493.7000000005241</v>
      </c>
      <c r="D52" s="3">
        <v>4522.2400000005764</v>
      </c>
      <c r="E52" s="3">
        <v>10740.699999997816</v>
      </c>
      <c r="F52" s="3">
        <v>1993.3600000002282</v>
      </c>
      <c r="G52" s="3">
        <v>4668.8200000030756</v>
      </c>
      <c r="H52" s="3">
        <v>503.99999999994225</v>
      </c>
      <c r="I52" s="3">
        <v>4166.6500000021297</v>
      </c>
      <c r="J52" s="3">
        <v>4166.6500000021233</v>
      </c>
      <c r="K52" s="3">
        <v>16610.322289833573</v>
      </c>
      <c r="L52" s="3">
        <v>1800.0000000000011</v>
      </c>
      <c r="M52" s="3">
        <v>7318.3999999991938</v>
      </c>
      <c r="N52" s="3">
        <v>27833.120000031842</v>
      </c>
      <c r="O52" s="122">
        <v>23975.600000011007</v>
      </c>
      <c r="P52" s="122">
        <v>1346.7400000006844</v>
      </c>
      <c r="Q52" s="122">
        <v>0</v>
      </c>
      <c r="R52" s="122">
        <v>4588.9400000008773</v>
      </c>
      <c r="S52" s="122">
        <v>3183.3799999986809</v>
      </c>
      <c r="T52" s="122">
        <v>1008.9400000003277</v>
      </c>
      <c r="U52" s="122">
        <v>419.22999999996358</v>
      </c>
      <c r="V52" s="122">
        <v>11479.940000005454</v>
      </c>
      <c r="W52" s="122">
        <v>1499.983333332802</v>
      </c>
      <c r="X52" s="122">
        <v>1416.6499999990267</v>
      </c>
      <c r="Y52" s="122">
        <v>541.66666666660728</v>
      </c>
      <c r="Z52" s="122">
        <v>333.3333333334636</v>
      </c>
      <c r="AA52" s="122">
        <v>1000.0000000020067</v>
      </c>
      <c r="AB52" s="122">
        <v>1499.999999998952</v>
      </c>
      <c r="AC52" s="122">
        <v>1000.0000000020067</v>
      </c>
      <c r="AD52" s="122">
        <v>1499.999999998952</v>
      </c>
      <c r="AE52" s="122">
        <v>4796.1801596345686</v>
      </c>
      <c r="AF52" s="122">
        <v>622.52571105957099</v>
      </c>
      <c r="AG52" s="122">
        <v>15021.320951386506</v>
      </c>
      <c r="AH52" s="122">
        <v>4194.9748236350415</v>
      </c>
      <c r="AI52" s="122">
        <v>8333.3500000013701</v>
      </c>
      <c r="AJ52" s="122">
        <v>38999.999998983854</v>
      </c>
      <c r="AK52" s="122">
        <v>15864.246446422736</v>
      </c>
      <c r="AL52" s="122">
        <v>12010.67615658224</v>
      </c>
      <c r="AM52" s="122">
        <v>24160.880683189993</v>
      </c>
      <c r="AN52" s="122">
        <v>5048.4159067400415</v>
      </c>
      <c r="AO52" s="122">
        <v>1753.9999999997988</v>
      </c>
      <c r="AP52" s="122">
        <v>378.87777777775057</v>
      </c>
      <c r="AQ52" s="122">
        <v>2019.6845675567909</v>
      </c>
      <c r="AR52" s="122">
        <v>9349.5054415763207</v>
      </c>
      <c r="AS52" s="122">
        <v>33119.26666579811</v>
      </c>
      <c r="AT52" s="122">
        <v>94213.300705068992</v>
      </c>
      <c r="AU52" s="122">
        <v>94504.982750595605</v>
      </c>
      <c r="AV52" s="122">
        <v>102963.76207086472</v>
      </c>
      <c r="AW52" s="122">
        <v>4644.9719008195216</v>
      </c>
      <c r="AX52" s="122">
        <v>36256.762103836918</v>
      </c>
      <c r="AY52" s="122">
        <v>2544.7963800902057</v>
      </c>
      <c r="AZ52" s="122">
        <v>1123.0000305175797</v>
      </c>
      <c r="BA52" s="122">
        <v>1546.4054872872805</v>
      </c>
      <c r="BB52" s="122">
        <v>2166.6666666676529</v>
      </c>
      <c r="BC52" s="122">
        <v>16199.99999897049</v>
      </c>
      <c r="BD52" s="122">
        <v>1075.1033753244265</v>
      </c>
      <c r="BE52" s="122">
        <v>953.47517563644101</v>
      </c>
      <c r="BF52" s="122">
        <v>916.6833333329123</v>
      </c>
      <c r="BG52" s="122">
        <v>12296.800000006155</v>
      </c>
    </row>
    <row r="53" spans="1:59" x14ac:dyDescent="0.25">
      <c r="A53" s="1">
        <v>27394.999305555557</v>
      </c>
      <c r="B53" s="3">
        <v>1953.8180645167015</v>
      </c>
      <c r="C53" s="3">
        <v>3493.7000000005241</v>
      </c>
      <c r="D53" s="3">
        <v>4522.2400000005764</v>
      </c>
      <c r="E53" s="3">
        <v>10740.699999997816</v>
      </c>
      <c r="F53" s="3">
        <v>1993.3600000002282</v>
      </c>
      <c r="G53" s="3">
        <v>4668.8200000030756</v>
      </c>
      <c r="H53" s="3">
        <v>575.99999999993327</v>
      </c>
      <c r="I53" s="3">
        <v>4166.6500000021297</v>
      </c>
      <c r="J53" s="3">
        <v>4166.6500000021233</v>
      </c>
      <c r="K53" s="3">
        <v>19092.47990383676</v>
      </c>
      <c r="L53" s="3">
        <v>1800.0000000000007</v>
      </c>
      <c r="M53" s="3">
        <v>7318.3999999991938</v>
      </c>
      <c r="N53" s="3">
        <v>27833.120000031842</v>
      </c>
      <c r="O53" s="122">
        <v>23975.600000011007</v>
      </c>
      <c r="P53" s="122">
        <v>1346.7400000006844</v>
      </c>
      <c r="Q53" s="122">
        <v>540.20193548437908</v>
      </c>
      <c r="R53" s="122">
        <v>4588.9400000008773</v>
      </c>
      <c r="S53" s="122">
        <v>3183.3799999986809</v>
      </c>
      <c r="T53" s="122">
        <v>1008.9400000003277</v>
      </c>
      <c r="U53" s="122">
        <v>419.22999999996358</v>
      </c>
      <c r="V53" s="122">
        <v>11479.940000005454</v>
      </c>
      <c r="W53" s="122">
        <v>1499.983333332802</v>
      </c>
      <c r="X53" s="122">
        <v>1416.6499999990267</v>
      </c>
      <c r="Y53" s="122">
        <v>541.66666666660728</v>
      </c>
      <c r="Z53" s="122">
        <v>333.3333333334636</v>
      </c>
      <c r="AA53" s="122">
        <v>1000.0000000020067</v>
      </c>
      <c r="AB53" s="122">
        <v>1499.999999998952</v>
      </c>
      <c r="AC53" s="122">
        <v>1000.0000000020067</v>
      </c>
      <c r="AD53" s="122">
        <v>1499.999999998952</v>
      </c>
      <c r="AE53" s="122">
        <v>5668.472063853399</v>
      </c>
      <c r="AF53" s="122">
        <v>257.00001144409293</v>
      </c>
      <c r="AG53" s="122">
        <v>16180.042983834583</v>
      </c>
      <c r="AH53" s="122">
        <v>4895.0177138077761</v>
      </c>
      <c r="AI53" s="122">
        <v>8333.3500000013701</v>
      </c>
      <c r="AJ53" s="122">
        <v>38999.999998983854</v>
      </c>
      <c r="AK53" s="122">
        <v>15864.246446422732</v>
      </c>
      <c r="AL53" s="122">
        <v>13733.096085407666</v>
      </c>
      <c r="AM53" s="122">
        <v>24160.880683190007</v>
      </c>
      <c r="AN53" s="122">
        <v>5824.9506439778906</v>
      </c>
      <c r="AO53" s="122">
        <v>2549.9999999997067</v>
      </c>
      <c r="AP53" s="122">
        <v>378.87777777775057</v>
      </c>
      <c r="AQ53" s="122">
        <v>1589.1262441800311</v>
      </c>
      <c r="AR53" s="122">
        <v>1788.4687570146125</v>
      </c>
      <c r="AS53" s="122">
        <v>33119.26666579811</v>
      </c>
      <c r="AT53" s="122">
        <v>110778.3379662323</v>
      </c>
      <c r="AU53" s="122">
        <v>111121.30495683964</v>
      </c>
      <c r="AV53" s="122">
        <v>121067.34768445819</v>
      </c>
      <c r="AW53" s="122">
        <v>4644.9719008195034</v>
      </c>
      <c r="AX53" s="122">
        <v>41406.538569462617</v>
      </c>
      <c r="AY53" s="122">
        <v>2807.2398190041995</v>
      </c>
      <c r="AZ53" s="122">
        <v>760.22872924804744</v>
      </c>
      <c r="BA53" s="122">
        <v>1766.0512063931199</v>
      </c>
      <c r="BB53" s="122">
        <v>2166.6666666676529</v>
      </c>
      <c r="BC53" s="122">
        <v>16199.99999897049</v>
      </c>
      <c r="BD53" s="122">
        <v>1236.6573709009058</v>
      </c>
      <c r="BE53" s="122">
        <v>1088.9032650501758</v>
      </c>
      <c r="BF53" s="122">
        <v>916.6833333329123</v>
      </c>
      <c r="BG53" s="122">
        <v>12296.800000006155</v>
      </c>
    </row>
    <row r="54" spans="1:59" x14ac:dyDescent="0.25">
      <c r="A54" s="1">
        <v>27759.999305555557</v>
      </c>
      <c r="B54" s="3">
        <v>2494.0200000010741</v>
      </c>
      <c r="C54" s="3">
        <v>3493.7000000005241</v>
      </c>
      <c r="D54" s="3">
        <v>4522.2400000005764</v>
      </c>
      <c r="E54" s="3">
        <v>10740.699999997816</v>
      </c>
      <c r="F54" s="3">
        <v>1993.3600000002282</v>
      </c>
      <c r="G54" s="3">
        <v>4668.8200000030756</v>
      </c>
      <c r="H54" s="3">
        <v>503.99999999994191</v>
      </c>
      <c r="I54" s="3">
        <v>4166.6500000021297</v>
      </c>
      <c r="J54" s="3">
        <v>4166.6500000021233</v>
      </c>
      <c r="K54" s="3">
        <v>16674.930508599999</v>
      </c>
      <c r="L54" s="3">
        <v>1799.9999999999995</v>
      </c>
      <c r="M54" s="3">
        <v>7318.3999999991938</v>
      </c>
      <c r="N54" s="3">
        <v>27833.120000031842</v>
      </c>
      <c r="O54" s="122">
        <v>23975.600000011007</v>
      </c>
      <c r="P54" s="122">
        <v>1346.7400000006844</v>
      </c>
      <c r="Q54" s="122">
        <v>0</v>
      </c>
      <c r="R54" s="122">
        <v>4588.9400000008773</v>
      </c>
      <c r="S54" s="122">
        <v>3183.3799999986809</v>
      </c>
      <c r="T54" s="122">
        <v>1008.9400000003277</v>
      </c>
      <c r="U54" s="122">
        <v>419.22999999996358</v>
      </c>
      <c r="V54" s="122">
        <v>11479.940000005454</v>
      </c>
      <c r="W54" s="122">
        <v>1499.983333332802</v>
      </c>
      <c r="X54" s="122">
        <v>1416.6499999990267</v>
      </c>
      <c r="Y54" s="122">
        <v>541.66666666660728</v>
      </c>
      <c r="Z54" s="122">
        <v>333.3333333334636</v>
      </c>
      <c r="AA54" s="122">
        <v>1000.0000000020067</v>
      </c>
      <c r="AB54" s="122">
        <v>1499.999999998952</v>
      </c>
      <c r="AC54" s="122">
        <v>1000.0000000020067</v>
      </c>
      <c r="AD54" s="122">
        <v>1499.999999998952</v>
      </c>
      <c r="AE54" s="122">
        <v>4850.3420752560023</v>
      </c>
      <c r="AF54" s="122">
        <v>856.00000762939374</v>
      </c>
      <c r="AG54" s="122">
        <v>12733.819766889465</v>
      </c>
      <c r="AH54" s="122">
        <v>4211.9999999995152</v>
      </c>
      <c r="AI54" s="122">
        <v>8333.3500000013701</v>
      </c>
      <c r="AJ54" s="122">
        <v>38999.999998983854</v>
      </c>
      <c r="AK54" s="122">
        <v>12986.000199265252</v>
      </c>
      <c r="AL54" s="122">
        <v>12001.186239619021</v>
      </c>
      <c r="AM54" s="122">
        <v>24160.880683189975</v>
      </c>
      <c r="AN54" s="122">
        <v>4270.0009401141979</v>
      </c>
      <c r="AO54" s="122">
        <v>1919.9999999997806</v>
      </c>
      <c r="AP54" s="122">
        <v>378.87777777775057</v>
      </c>
      <c r="AQ54" s="122">
        <v>2077.2470280381294</v>
      </c>
      <c r="AR54" s="122">
        <v>9669.6586733393706</v>
      </c>
      <c r="AS54" s="122">
        <v>33119.26666579811</v>
      </c>
      <c r="AT54" s="122">
        <v>96059.788272697391</v>
      </c>
      <c r="AU54" s="122">
        <v>96357.186997999539</v>
      </c>
      <c r="AV54" s="122">
        <v>104981.75003177146</v>
      </c>
      <c r="AW54" s="122">
        <v>4644.9719008195098</v>
      </c>
      <c r="AX54" s="122">
        <v>37928.111560501791</v>
      </c>
      <c r="AY54" s="122">
        <v>2472.3981900449635</v>
      </c>
      <c r="AZ54" s="122">
        <v>1247.6537246704136</v>
      </c>
      <c r="BA54" s="122">
        <v>1617.6910577847016</v>
      </c>
      <c r="BB54" s="122">
        <v>2166.6666666676529</v>
      </c>
      <c r="BC54" s="122">
        <v>16199.99999897049</v>
      </c>
      <c r="BD54" s="122">
        <v>1080.8731608807288</v>
      </c>
      <c r="BE54" s="122">
        <v>997.42808605297307</v>
      </c>
      <c r="BF54" s="122">
        <v>916.6833333329123</v>
      </c>
      <c r="BG54" s="122">
        <v>12296.800000006155</v>
      </c>
    </row>
    <row r="55" spans="1:59" x14ac:dyDescent="0.25">
      <c r="A55" s="1">
        <v>28125.999305555557</v>
      </c>
      <c r="B55" s="3">
        <v>2494.0200000010741</v>
      </c>
      <c r="C55" s="3">
        <v>3493.7000000005241</v>
      </c>
      <c r="D55" s="3">
        <v>4522.2400000005764</v>
      </c>
      <c r="E55" s="3">
        <v>10740.699999997816</v>
      </c>
      <c r="F55" s="3">
        <v>1993.3600000002282</v>
      </c>
      <c r="G55" s="3">
        <v>4668.8200000030765</v>
      </c>
      <c r="H55" s="3">
        <v>503.99999999994191</v>
      </c>
      <c r="I55" s="3">
        <v>4166.6500000021306</v>
      </c>
      <c r="J55" s="3">
        <v>4166.6500000021233</v>
      </c>
      <c r="K55" s="3">
        <v>16789.12177897786</v>
      </c>
      <c r="L55" s="3">
        <v>1799.9999999999989</v>
      </c>
      <c r="M55" s="3">
        <v>7318.3999999991929</v>
      </c>
      <c r="N55" s="3">
        <v>27833.120000031842</v>
      </c>
      <c r="O55" s="122">
        <v>23975.600000011007</v>
      </c>
      <c r="P55" s="122">
        <v>1346.7400000006844</v>
      </c>
      <c r="Q55" s="122">
        <v>0</v>
      </c>
      <c r="R55" s="122">
        <v>4588.9400000008773</v>
      </c>
      <c r="S55" s="122">
        <v>3183.3799999986809</v>
      </c>
      <c r="T55" s="122">
        <v>1008.9400000003277</v>
      </c>
      <c r="U55" s="122">
        <v>419.22999999996358</v>
      </c>
      <c r="V55" s="122">
        <v>11479.940000005452</v>
      </c>
      <c r="W55" s="122">
        <v>1499.9833333328022</v>
      </c>
      <c r="X55" s="122">
        <v>1416.6499999990265</v>
      </c>
      <c r="Y55" s="122">
        <v>541.6666666666074</v>
      </c>
      <c r="Z55" s="122">
        <v>333.33333333346354</v>
      </c>
      <c r="AA55" s="122">
        <v>1000.0000000020035</v>
      </c>
      <c r="AB55" s="122">
        <v>1499.9999999989695</v>
      </c>
      <c r="AC55" s="122">
        <v>1000.0000000020035</v>
      </c>
      <c r="AD55" s="122">
        <v>1499.9999999989695</v>
      </c>
      <c r="AE55" s="122">
        <v>5352.0524515387169</v>
      </c>
      <c r="AF55" s="122">
        <v>617.00000190734931</v>
      </c>
      <c r="AG55" s="122">
        <v>17720.079598216485</v>
      </c>
      <c r="AH55" s="122">
        <v>4642.0942314177537</v>
      </c>
      <c r="AI55" s="122">
        <v>8333.3500000013719</v>
      </c>
      <c r="AJ55" s="122">
        <v>38999.999998983862</v>
      </c>
      <c r="AK55" s="122">
        <v>15864.246446422738</v>
      </c>
      <c r="AL55" s="122">
        <v>12008.303677341441</v>
      </c>
      <c r="AM55" s="122">
        <v>24160.880683189993</v>
      </c>
      <c r="AN55" s="122">
        <v>5494.0302716925116</v>
      </c>
      <c r="AO55" s="122">
        <v>2215.9999999997453</v>
      </c>
      <c r="AP55" s="122">
        <v>378.87777777775057</v>
      </c>
      <c r="AQ55" s="122">
        <v>1725.219231989264</v>
      </c>
      <c r="AR55" s="122">
        <v>4310.8767442217177</v>
      </c>
      <c r="AS55" s="122">
        <v>33105.778642042722</v>
      </c>
      <c r="AT55" s="122">
        <v>100343.05246544526</v>
      </c>
      <c r="AU55" s="122">
        <v>100653.71207060154</v>
      </c>
      <c r="AV55" s="122">
        <v>109662.84062013056</v>
      </c>
      <c r="AW55" s="122">
        <v>4657.6978512327141</v>
      </c>
      <c r="AX55" s="122">
        <v>39727.297944447062</v>
      </c>
      <c r="AY55" s="122">
        <v>2604.5248868775293</v>
      </c>
      <c r="AZ55" s="122">
        <v>656.99998641013929</v>
      </c>
      <c r="BA55" s="122">
        <v>1694.4290656856067</v>
      </c>
      <c r="BB55" s="122">
        <v>2166.6666666676529</v>
      </c>
      <c r="BC55" s="122">
        <v>16199.999998970494</v>
      </c>
      <c r="BD55" s="122">
        <v>1090.4894701412345</v>
      </c>
      <c r="BE55" s="122">
        <v>1044.7428338101474</v>
      </c>
      <c r="BF55" s="122">
        <v>916.68333333291218</v>
      </c>
      <c r="BG55" s="122">
        <v>12296.800000006155</v>
      </c>
    </row>
    <row r="56" spans="1:59" x14ac:dyDescent="0.25">
      <c r="A56" s="1">
        <v>28490.999305555557</v>
      </c>
      <c r="B56" s="3">
        <v>1907.9725485755198</v>
      </c>
      <c r="C56" s="3">
        <v>3493.7000000005241</v>
      </c>
      <c r="D56" s="3">
        <v>4520.4065750187701</v>
      </c>
      <c r="E56" s="3">
        <v>10740.699999997816</v>
      </c>
      <c r="F56" s="3">
        <v>1993.3600000002282</v>
      </c>
      <c r="G56" s="3">
        <v>4668.8200000030756</v>
      </c>
      <c r="H56" s="3">
        <v>587.99999999993236</v>
      </c>
      <c r="I56" s="3">
        <v>4166.6500000021297</v>
      </c>
      <c r="J56" s="3">
        <v>4166.6500000021233</v>
      </c>
      <c r="K56" s="3">
        <v>19370.445496203924</v>
      </c>
      <c r="L56" s="3">
        <v>1800</v>
      </c>
      <c r="M56" s="3">
        <v>7318.3999999991938</v>
      </c>
      <c r="N56" s="3">
        <v>27833.120000031842</v>
      </c>
      <c r="O56" s="122">
        <v>23975.600000011007</v>
      </c>
      <c r="P56" s="122">
        <v>1346.7400000006844</v>
      </c>
      <c r="Q56" s="122">
        <v>586.04745142556249</v>
      </c>
      <c r="R56" s="122">
        <v>4588.9400000008773</v>
      </c>
      <c r="S56" s="122">
        <v>3183.3799999986809</v>
      </c>
      <c r="T56" s="122">
        <v>1008.9400000003277</v>
      </c>
      <c r="U56" s="122">
        <v>419.22999999996358</v>
      </c>
      <c r="V56" s="122">
        <v>11479.940000005454</v>
      </c>
      <c r="W56" s="122">
        <v>1499.983333332802</v>
      </c>
      <c r="X56" s="122">
        <v>1416.6499999990267</v>
      </c>
      <c r="Y56" s="122">
        <v>541.66666666660728</v>
      </c>
      <c r="Z56" s="122">
        <v>333.3333333334636</v>
      </c>
      <c r="AA56" s="122">
        <v>1000.0000000020067</v>
      </c>
      <c r="AB56" s="122">
        <v>1499.999999998952</v>
      </c>
      <c r="AC56" s="122">
        <v>1000.0000000020067</v>
      </c>
      <c r="AD56" s="122">
        <v>1499.999999998952</v>
      </c>
      <c r="AE56" s="122">
        <v>5802.4515393379806</v>
      </c>
      <c r="AF56" s="122">
        <v>70.000000000000171</v>
      </c>
      <c r="AG56" s="122">
        <v>17224.718426128224</v>
      </c>
      <c r="AH56" s="122">
        <v>4918.164352688188</v>
      </c>
      <c r="AI56" s="122">
        <v>8333.3500000013701</v>
      </c>
      <c r="AJ56" s="122">
        <v>38999.999998983854</v>
      </c>
      <c r="AK56" s="122">
        <v>15864.246446422747</v>
      </c>
      <c r="AL56" s="122">
        <v>13944.246737839436</v>
      </c>
      <c r="AM56" s="122">
        <v>24160.880683189996</v>
      </c>
      <c r="AN56" s="122">
        <v>5958.4469305248404</v>
      </c>
      <c r="AO56" s="122">
        <v>2033.999999999766</v>
      </c>
      <c r="AP56" s="122">
        <v>378.87777777775057</v>
      </c>
      <c r="AQ56" s="122">
        <v>1021.5472576050163</v>
      </c>
      <c r="AR56" s="122">
        <v>3115.5757062652638</v>
      </c>
      <c r="AS56" s="122">
        <v>33119.26666579811</v>
      </c>
      <c r="AT56" s="122">
        <v>108685.00100858352</v>
      </c>
      <c r="AU56" s="122">
        <v>109021.48707981795</v>
      </c>
      <c r="AV56" s="122">
        <v>118779.583145604</v>
      </c>
      <c r="AW56" s="122">
        <v>4644.9719008195007</v>
      </c>
      <c r="AX56" s="122">
        <v>39345.365396276226</v>
      </c>
      <c r="AY56" s="122">
        <v>2962.8959276014675</v>
      </c>
      <c r="AZ56" s="122">
        <v>111.15313339233427</v>
      </c>
      <c r="BA56" s="122">
        <v>1678.139067517169</v>
      </c>
      <c r="BB56" s="122">
        <v>2166.6666666676529</v>
      </c>
      <c r="BC56" s="122">
        <v>16199.99999897049</v>
      </c>
      <c r="BD56" s="122">
        <v>1255.889989421916</v>
      </c>
      <c r="BE56" s="122">
        <v>1034.6988259529228</v>
      </c>
      <c r="BF56" s="122">
        <v>916.6833333329123</v>
      </c>
      <c r="BG56" s="122">
        <v>12296.800000006155</v>
      </c>
    </row>
    <row r="57" spans="1:59" x14ac:dyDescent="0.25">
      <c r="A57" s="1">
        <v>28855.999305555557</v>
      </c>
      <c r="B57" s="3">
        <v>2091.4821619154827</v>
      </c>
      <c r="C57" s="3">
        <v>3493.7000000005241</v>
      </c>
      <c r="D57" s="3">
        <v>4522.2400000005764</v>
      </c>
      <c r="E57" s="3">
        <v>10740.699999997816</v>
      </c>
      <c r="F57" s="3">
        <v>1993.3600000002282</v>
      </c>
      <c r="G57" s="3">
        <v>4668.8200000030756</v>
      </c>
      <c r="H57" s="3">
        <v>539.99999999993793</v>
      </c>
      <c r="I57" s="3">
        <v>4166.6500000021297</v>
      </c>
      <c r="J57" s="3">
        <v>4166.6500000021233</v>
      </c>
      <c r="K57" s="3">
        <v>17732.702276310778</v>
      </c>
      <c r="L57" s="3">
        <v>1799.9999999999977</v>
      </c>
      <c r="M57" s="3">
        <v>7318.3999999991938</v>
      </c>
      <c r="N57" s="3">
        <v>27833.120000031842</v>
      </c>
      <c r="O57" s="122">
        <v>23975.600000011007</v>
      </c>
      <c r="P57" s="122">
        <v>1346.7400000006844</v>
      </c>
      <c r="Q57" s="122">
        <v>402.53783808559706</v>
      </c>
      <c r="R57" s="122">
        <v>4588.9400000008773</v>
      </c>
      <c r="S57" s="122">
        <v>3183.3799999986809</v>
      </c>
      <c r="T57" s="122">
        <v>1008.9400000003277</v>
      </c>
      <c r="U57" s="122">
        <v>419.22999999996358</v>
      </c>
      <c r="V57" s="122">
        <v>11479.940000005454</v>
      </c>
      <c r="W57" s="122">
        <v>1499.983333332802</v>
      </c>
      <c r="X57" s="122">
        <v>1416.6499999990267</v>
      </c>
      <c r="Y57" s="122">
        <v>541.66666666660728</v>
      </c>
      <c r="Z57" s="122">
        <v>333.3333333334636</v>
      </c>
      <c r="AA57" s="122">
        <v>1000.0000000020067</v>
      </c>
      <c r="AB57" s="122">
        <v>1499.999999998952</v>
      </c>
      <c r="AC57" s="122">
        <v>1000.0000000020067</v>
      </c>
      <c r="AD57" s="122">
        <v>1499.999999998952</v>
      </c>
      <c r="AE57" s="122">
        <v>5480.3306727473773</v>
      </c>
      <c r="AF57" s="122">
        <v>18.000000000000007</v>
      </c>
      <c r="AG57" s="122">
        <v>16253.198142706364</v>
      </c>
      <c r="AH57" s="122">
        <v>4521.1700675154598</v>
      </c>
      <c r="AI57" s="122">
        <v>8333.3500000013701</v>
      </c>
      <c r="AJ57" s="122">
        <v>38999.999998983854</v>
      </c>
      <c r="AK57" s="122">
        <v>15864.246446422747</v>
      </c>
      <c r="AL57" s="122">
        <v>12816.132858836007</v>
      </c>
      <c r="AM57" s="122">
        <v>24160.880683189986</v>
      </c>
      <c r="AN57" s="122">
        <v>5525.9941712882628</v>
      </c>
      <c r="AO57" s="122">
        <v>2171.999999999749</v>
      </c>
      <c r="AP57" s="122">
        <v>378.87777777775057</v>
      </c>
      <c r="AQ57" s="122">
        <v>1452.20877603032</v>
      </c>
      <c r="AR57" s="122">
        <v>5803.3115192668047</v>
      </c>
      <c r="AS57" s="122">
        <v>33119.26666579811</v>
      </c>
      <c r="AT57" s="122">
        <v>105522.7814674229</v>
      </c>
      <c r="AU57" s="122">
        <v>105849.47738527841</v>
      </c>
      <c r="AV57" s="122">
        <v>115323.65900309711</v>
      </c>
      <c r="AW57" s="122">
        <v>4644.9719008195098</v>
      </c>
      <c r="AX57" s="122">
        <v>38988.684586827432</v>
      </c>
      <c r="AY57" s="122">
        <v>3017.1945701354007</v>
      </c>
      <c r="AZ57" s="122">
        <v>729.00000000000159</v>
      </c>
      <c r="BA57" s="122">
        <v>1662.9260940210252</v>
      </c>
      <c r="BB57" s="122">
        <v>2166.6666666676529</v>
      </c>
      <c r="BC57" s="122">
        <v>16199.99999897049</v>
      </c>
      <c r="BD57" s="122">
        <v>1152.0338494084649</v>
      </c>
      <c r="BE57" s="122">
        <v>1025.3188847308859</v>
      </c>
      <c r="BF57" s="122">
        <v>916.6833333329123</v>
      </c>
      <c r="BG57" s="122">
        <v>12296.800000006155</v>
      </c>
    </row>
    <row r="58" spans="1:59" x14ac:dyDescent="0.25">
      <c r="A58" s="1">
        <v>29220.999305555557</v>
      </c>
      <c r="B58" s="3">
        <v>2422.056207189044</v>
      </c>
      <c r="C58" s="3">
        <v>3493.7000000005241</v>
      </c>
      <c r="D58" s="3">
        <v>4522.2400000005764</v>
      </c>
      <c r="E58" s="3">
        <v>10740.699999997816</v>
      </c>
      <c r="F58" s="3">
        <v>1993.3600000002282</v>
      </c>
      <c r="G58" s="3">
        <v>4668.8200000030756</v>
      </c>
      <c r="H58" s="3">
        <v>493.99999999994338</v>
      </c>
      <c r="I58" s="3">
        <v>4166.6500000021297</v>
      </c>
      <c r="J58" s="3">
        <v>4166.6500000021233</v>
      </c>
      <c r="K58" s="3">
        <v>16439.035384266761</v>
      </c>
      <c r="L58" s="3">
        <v>1799.9999999999977</v>
      </c>
      <c r="M58" s="3">
        <v>7318.3999999991938</v>
      </c>
      <c r="N58" s="3">
        <v>27833.120000031842</v>
      </c>
      <c r="O58" s="122">
        <v>23975.600000011007</v>
      </c>
      <c r="P58" s="122">
        <v>1346.7400000006844</v>
      </c>
      <c r="Q58" s="122">
        <v>71.963792812031812</v>
      </c>
      <c r="R58" s="122">
        <v>4588.9400000008773</v>
      </c>
      <c r="S58" s="122">
        <v>3183.3799999986809</v>
      </c>
      <c r="T58" s="122">
        <v>1008.9400000003277</v>
      </c>
      <c r="U58" s="122">
        <v>419.22999999996358</v>
      </c>
      <c r="V58" s="122">
        <v>11479.940000005454</v>
      </c>
      <c r="W58" s="122">
        <v>1499.983333332802</v>
      </c>
      <c r="X58" s="122">
        <v>1416.6499999990267</v>
      </c>
      <c r="Y58" s="122">
        <v>541.66666666660728</v>
      </c>
      <c r="Z58" s="122">
        <v>333.3333333334636</v>
      </c>
      <c r="AA58" s="122">
        <v>1000.0000000020067</v>
      </c>
      <c r="AB58" s="122">
        <v>1499.999999998952</v>
      </c>
      <c r="AC58" s="122">
        <v>1000.0000000020067</v>
      </c>
      <c r="AD58" s="122">
        <v>1499.999999998952</v>
      </c>
      <c r="AE58" s="122">
        <v>5377.7080957804537</v>
      </c>
      <c r="AF58" s="122">
        <v>294.0000190734869</v>
      </c>
      <c r="AG58" s="122">
        <v>17468.018572915647</v>
      </c>
      <c r="AH58" s="122">
        <v>4601.9999999994743</v>
      </c>
      <c r="AI58" s="122">
        <v>8333.3500000013701</v>
      </c>
      <c r="AJ58" s="122">
        <v>38999.999998983854</v>
      </c>
      <c r="AK58" s="122">
        <v>15864.246446422723</v>
      </c>
      <c r="AL58" s="122">
        <v>11805.456702252497</v>
      </c>
      <c r="AM58" s="122">
        <v>24160.880683190033</v>
      </c>
      <c r="AN58" s="122">
        <v>5565.4789884359507</v>
      </c>
      <c r="AO58" s="122">
        <v>2315.9999999997344</v>
      </c>
      <c r="AP58" s="122">
        <v>378.87777777775057</v>
      </c>
      <c r="AQ58" s="122">
        <v>1897.604716186838</v>
      </c>
      <c r="AR58" s="122">
        <v>9866.5603418606097</v>
      </c>
      <c r="AS58" s="122">
        <v>33119.26666579811</v>
      </c>
      <c r="AT58" s="122">
        <v>101043.67058019408</v>
      </c>
      <c r="AU58" s="122">
        <v>101356.49928168075</v>
      </c>
      <c r="AV58" s="122">
        <v>110428.53162479411</v>
      </c>
      <c r="AW58" s="122">
        <v>4644.9719008195098</v>
      </c>
      <c r="AX58" s="122">
        <v>42564.962083336155</v>
      </c>
      <c r="AY58" s="122">
        <v>2933.9366515833735</v>
      </c>
      <c r="AZ58" s="122">
        <v>367.21287775039787</v>
      </c>
      <c r="BA58" s="122">
        <v>1815.4597132345791</v>
      </c>
      <c r="BB58" s="122">
        <v>2166.6666666676529</v>
      </c>
      <c r="BC58" s="122">
        <v>16199.99999897049</v>
      </c>
      <c r="BD58" s="122">
        <v>1065.4870660639219</v>
      </c>
      <c r="BE58" s="122">
        <v>1119.3673219394436</v>
      </c>
      <c r="BF58" s="122">
        <v>916.6833333329123</v>
      </c>
      <c r="BG58" s="122">
        <v>12296.800000006155</v>
      </c>
    </row>
    <row r="59" spans="1:59" x14ac:dyDescent="0.25">
      <c r="A59" s="1">
        <v>29586.999305555557</v>
      </c>
      <c r="B59" s="3">
        <v>2494.0200000010741</v>
      </c>
      <c r="C59" s="3">
        <v>3493.7000000005241</v>
      </c>
      <c r="D59" s="3">
        <v>4522.2400000005764</v>
      </c>
      <c r="E59" s="3">
        <v>10740.699999997816</v>
      </c>
      <c r="F59" s="3">
        <v>1993.3600000002282</v>
      </c>
      <c r="G59" s="3">
        <v>4668.8200000030765</v>
      </c>
      <c r="H59" s="3">
        <v>523.99999999993963</v>
      </c>
      <c r="I59" s="3">
        <v>4166.6500000021306</v>
      </c>
      <c r="J59" s="3">
        <v>4166.6500000021233</v>
      </c>
      <c r="K59" s="3">
        <v>17454.7366839436</v>
      </c>
      <c r="L59" s="3">
        <v>1799.9999999999995</v>
      </c>
      <c r="M59" s="3">
        <v>7318.3999999991929</v>
      </c>
      <c r="N59" s="3">
        <v>27833.120000031842</v>
      </c>
      <c r="O59" s="122">
        <v>23975.600000011007</v>
      </c>
      <c r="P59" s="122">
        <v>1346.7400000006844</v>
      </c>
      <c r="Q59" s="122">
        <v>0</v>
      </c>
      <c r="R59" s="122">
        <v>4588.9400000008773</v>
      </c>
      <c r="S59" s="122">
        <v>3183.3799999986809</v>
      </c>
      <c r="T59" s="122">
        <v>1008.9400000003277</v>
      </c>
      <c r="U59" s="122">
        <v>419.22999999996358</v>
      </c>
      <c r="V59" s="122">
        <v>11479.940000005452</v>
      </c>
      <c r="W59" s="122">
        <v>1499.9833333328022</v>
      </c>
      <c r="X59" s="122">
        <v>1416.6499999990265</v>
      </c>
      <c r="Y59" s="122">
        <v>541.6666666666074</v>
      </c>
      <c r="Z59" s="122">
        <v>333.33333333346354</v>
      </c>
      <c r="AA59" s="122">
        <v>1000.0000000020035</v>
      </c>
      <c r="AB59" s="122">
        <v>1499.9999999989695</v>
      </c>
      <c r="AC59" s="122">
        <v>1000.0000000020035</v>
      </c>
      <c r="AD59" s="122">
        <v>1499.9999999989695</v>
      </c>
      <c r="AE59" s="122">
        <v>5454.6750285056451</v>
      </c>
      <c r="AF59" s="122">
        <v>588.0000076293926</v>
      </c>
      <c r="AG59" s="122">
        <v>18091.537951291393</v>
      </c>
      <c r="AH59" s="122">
        <v>4531.6823120245654</v>
      </c>
      <c r="AI59" s="122">
        <v>8333.3500000013719</v>
      </c>
      <c r="AJ59" s="122">
        <v>38999.999998983862</v>
      </c>
      <c r="AK59" s="122">
        <v>15864.246446422732</v>
      </c>
      <c r="AL59" s="122">
        <v>12499.406880188359</v>
      </c>
      <c r="AM59" s="122">
        <v>24160.880683189971</v>
      </c>
      <c r="AN59" s="122">
        <v>5368.0549026975114</v>
      </c>
      <c r="AO59" s="122">
        <v>2383.9999999997267</v>
      </c>
      <c r="AP59" s="122">
        <v>378.87777777775057</v>
      </c>
      <c r="AQ59" s="122">
        <v>2134.6132518910208</v>
      </c>
      <c r="AR59" s="122">
        <v>11527.398648056618</v>
      </c>
      <c r="AS59" s="122">
        <v>33105.778642042722</v>
      </c>
      <c r="AT59" s="122">
        <v>105344.35380222944</v>
      </c>
      <c r="AU59" s="122">
        <v>105670.49731245334</v>
      </c>
      <c r="AV59" s="122">
        <v>115128.65910893855</v>
      </c>
      <c r="AW59" s="122">
        <v>4657.6978512327141</v>
      </c>
      <c r="AX59" s="122">
        <v>42400.825781642889</v>
      </c>
      <c r="AY59" s="122">
        <v>2816.2895927598584</v>
      </c>
      <c r="AZ59" s="122">
        <v>380.00000000000142</v>
      </c>
      <c r="BA59" s="122">
        <v>1808.4590528646702</v>
      </c>
      <c r="BB59" s="122">
        <v>2166.6666666676529</v>
      </c>
      <c r="BC59" s="122">
        <v>16199.999998970494</v>
      </c>
      <c r="BD59" s="122">
        <v>1130.8779690353538</v>
      </c>
      <c r="BE59" s="122">
        <v>1115.0508888107186</v>
      </c>
      <c r="BF59" s="122">
        <v>916.68333333291218</v>
      </c>
      <c r="BG59" s="122">
        <v>12296.800000006155</v>
      </c>
    </row>
    <row r="60" spans="1:59" x14ac:dyDescent="0.25">
      <c r="A60" s="1">
        <v>29951.999305555557</v>
      </c>
      <c r="B60" s="3">
        <v>2465.5260000010903</v>
      </c>
      <c r="C60" s="3">
        <v>3493.7000000005241</v>
      </c>
      <c r="D60" s="3">
        <v>4522.2400000005764</v>
      </c>
      <c r="E60" s="3">
        <v>10740.699999997816</v>
      </c>
      <c r="F60" s="3">
        <v>1993.3600000002282</v>
      </c>
      <c r="G60" s="3">
        <v>4668.8200000030756</v>
      </c>
      <c r="H60" s="3">
        <v>523.99999999993952</v>
      </c>
      <c r="I60" s="3">
        <v>4166.6500000021297</v>
      </c>
      <c r="J60" s="3">
        <v>4166.6500000021233</v>
      </c>
      <c r="K60" s="3">
        <v>17301.479978962772</v>
      </c>
      <c r="L60" s="3">
        <v>1799.9999999999991</v>
      </c>
      <c r="M60" s="3">
        <v>7318.3999999991938</v>
      </c>
      <c r="N60" s="3">
        <v>27833.120000031842</v>
      </c>
      <c r="O60" s="122">
        <v>23975.600000011007</v>
      </c>
      <c r="P60" s="122">
        <v>1346.7400000006844</v>
      </c>
      <c r="Q60" s="122">
        <v>28.493999999984286</v>
      </c>
      <c r="R60" s="122">
        <v>4588.9400000008773</v>
      </c>
      <c r="S60" s="122">
        <v>3183.3799999986809</v>
      </c>
      <c r="T60" s="122">
        <v>1008.9400000003277</v>
      </c>
      <c r="U60" s="122">
        <v>419.22999999996358</v>
      </c>
      <c r="V60" s="122">
        <v>11479.940000005454</v>
      </c>
      <c r="W60" s="122">
        <v>1499.983333332802</v>
      </c>
      <c r="X60" s="122">
        <v>1416.6499999990267</v>
      </c>
      <c r="Y60" s="122">
        <v>541.66666666660728</v>
      </c>
      <c r="Z60" s="122">
        <v>333.3333333334636</v>
      </c>
      <c r="AA60" s="122">
        <v>1000.0000000020067</v>
      </c>
      <c r="AB60" s="122">
        <v>1499.999999998952</v>
      </c>
      <c r="AC60" s="122">
        <v>1000.0000000020067</v>
      </c>
      <c r="AD60" s="122">
        <v>1499.999999998952</v>
      </c>
      <c r="AE60" s="122">
        <v>5453.2497149366573</v>
      </c>
      <c r="AF60" s="122">
        <v>501.00000762939504</v>
      </c>
      <c r="AG60" s="122">
        <v>18006.254145738498</v>
      </c>
      <c r="AH60" s="122">
        <v>4642.9158754267974</v>
      </c>
      <c r="AI60" s="122">
        <v>8333.3500000013701</v>
      </c>
      <c r="AJ60" s="122">
        <v>38999.999998983854</v>
      </c>
      <c r="AK60" s="122">
        <v>15864.246446422736</v>
      </c>
      <c r="AL60" s="122">
        <v>12482.799525502709</v>
      </c>
      <c r="AM60" s="122">
        <v>24160.880683190007</v>
      </c>
      <c r="AN60" s="122">
        <v>5988.5306007325971</v>
      </c>
      <c r="AO60" s="122">
        <v>1973.9999999997719</v>
      </c>
      <c r="AP60" s="122">
        <v>378.87777777775057</v>
      </c>
      <c r="AQ60" s="122">
        <v>1915.87841327045</v>
      </c>
      <c r="AR60" s="122">
        <v>7205.3910422379868</v>
      </c>
      <c r="AS60" s="122">
        <v>33119.26666579811</v>
      </c>
      <c r="AT60" s="122">
        <v>101517.05459269433</v>
      </c>
      <c r="AU60" s="122">
        <v>101831.34887935933</v>
      </c>
      <c r="AV60" s="122">
        <v>110945.88319263497</v>
      </c>
      <c r="AW60" s="122">
        <v>4644.9719008194952</v>
      </c>
      <c r="AX60" s="122">
        <v>44989.129000651825</v>
      </c>
      <c r="AY60" s="122">
        <v>2912.2171945698005</v>
      </c>
      <c r="AZ60" s="122">
        <v>366.99999237060496</v>
      </c>
      <c r="BA60" s="122">
        <v>1918.8540817747471</v>
      </c>
      <c r="BB60" s="122">
        <v>2166.6666666676529</v>
      </c>
      <c r="BC60" s="122">
        <v>16199.99999897049</v>
      </c>
      <c r="BD60" s="122">
        <v>1123.1849216269502</v>
      </c>
      <c r="BE60" s="122">
        <v>1183.1177189175294</v>
      </c>
      <c r="BF60" s="122">
        <v>916.6833333329123</v>
      </c>
      <c r="BG60" s="122">
        <v>12296.800000006155</v>
      </c>
    </row>
    <row r="61" spans="1:59" x14ac:dyDescent="0.25">
      <c r="A61" s="1">
        <v>30316.999305555557</v>
      </c>
      <c r="B61" s="3">
        <v>2494.0200000010741</v>
      </c>
      <c r="C61" s="3">
        <v>3493.7000000005241</v>
      </c>
      <c r="D61" s="3">
        <v>4522.2400000005764</v>
      </c>
      <c r="E61" s="3">
        <v>10740.699999997816</v>
      </c>
      <c r="F61" s="3">
        <v>1993.3600000002282</v>
      </c>
      <c r="G61" s="3">
        <v>4668.8200000030756</v>
      </c>
      <c r="H61" s="3">
        <v>465.99999999994583</v>
      </c>
      <c r="I61" s="3">
        <v>4166.6500000021297</v>
      </c>
      <c r="J61" s="3">
        <v>4166.6500000021233</v>
      </c>
      <c r="K61" s="3">
        <v>15566.073172562245</v>
      </c>
      <c r="L61" s="3">
        <v>1800.0000000000011</v>
      </c>
      <c r="M61" s="3">
        <v>7318.3999999991938</v>
      </c>
      <c r="N61" s="3">
        <v>27833.120000031842</v>
      </c>
      <c r="O61" s="122">
        <v>23975.600000011007</v>
      </c>
      <c r="P61" s="122">
        <v>1346.7400000006844</v>
      </c>
      <c r="Q61" s="122">
        <v>0</v>
      </c>
      <c r="R61" s="122">
        <v>4588.9400000008773</v>
      </c>
      <c r="S61" s="122">
        <v>3183.3799999986809</v>
      </c>
      <c r="T61" s="122">
        <v>1008.9400000003277</v>
      </c>
      <c r="U61" s="122">
        <v>419.22999999996358</v>
      </c>
      <c r="V61" s="122">
        <v>11479.940000005454</v>
      </c>
      <c r="W61" s="122">
        <v>1499.983333332802</v>
      </c>
      <c r="X61" s="122">
        <v>1416.6499999990267</v>
      </c>
      <c r="Y61" s="122">
        <v>541.66666666660728</v>
      </c>
      <c r="Z61" s="122">
        <v>333.3333333334636</v>
      </c>
      <c r="AA61" s="122">
        <v>1000.0000000020067</v>
      </c>
      <c r="AB61" s="122">
        <v>1499.999999998952</v>
      </c>
      <c r="AC61" s="122">
        <v>1000.0000000020067</v>
      </c>
      <c r="AD61" s="122">
        <v>1499.999999998952</v>
      </c>
      <c r="AE61" s="122">
        <v>4595.2109464076793</v>
      </c>
      <c r="AF61" s="122">
        <v>663.00001525879065</v>
      </c>
      <c r="AG61" s="122">
        <v>16399.128209985804</v>
      </c>
      <c r="AH61" s="122">
        <v>3987.9999999995403</v>
      </c>
      <c r="AI61" s="122">
        <v>8333.3500000013701</v>
      </c>
      <c r="AJ61" s="122">
        <v>38999.999998983854</v>
      </c>
      <c r="AK61" s="122">
        <v>15864.246446422736</v>
      </c>
      <c r="AL61" s="122">
        <v>11104.389086594208</v>
      </c>
      <c r="AM61" s="122">
        <v>24160.880683189986</v>
      </c>
      <c r="AN61" s="122">
        <v>5322.9293973858667</v>
      </c>
      <c r="AO61" s="122">
        <v>1805.9999999997915</v>
      </c>
      <c r="AP61" s="122">
        <v>378.87777777775057</v>
      </c>
      <c r="AQ61" s="122">
        <v>2238.1602290971332</v>
      </c>
      <c r="AR61" s="122">
        <v>13012.283173301337</v>
      </c>
      <c r="AS61" s="122">
        <v>33119.26666579811</v>
      </c>
      <c r="AT61" s="122">
        <v>87881.669769291213</v>
      </c>
      <c r="AU61" s="122">
        <v>88153.749242260921</v>
      </c>
      <c r="AV61" s="122">
        <v>96044.053958389282</v>
      </c>
      <c r="AW61" s="122">
        <v>4644.9719008195125</v>
      </c>
      <c r="AX61" s="122">
        <v>41801.096986994482</v>
      </c>
      <c r="AY61" s="122">
        <v>2470.5882352938324</v>
      </c>
      <c r="AZ61" s="122">
        <v>757.99999994039501</v>
      </c>
      <c r="BA61" s="122">
        <v>1782.8797168977026</v>
      </c>
      <c r="BB61" s="122">
        <v>2166.6666666676529</v>
      </c>
      <c r="BC61" s="122">
        <v>16199.99999897049</v>
      </c>
      <c r="BD61" s="122">
        <v>1009.7124723529943</v>
      </c>
      <c r="BE61" s="122">
        <v>1099.2793062249937</v>
      </c>
      <c r="BF61" s="122">
        <v>916.6833333329123</v>
      </c>
      <c r="BG61" s="122">
        <v>12296.800000006155</v>
      </c>
    </row>
    <row r="62" spans="1:59" x14ac:dyDescent="0.25">
      <c r="A62" s="1">
        <v>30681.999305555557</v>
      </c>
      <c r="B62" s="3">
        <v>2494.0200000010741</v>
      </c>
      <c r="C62" s="3">
        <v>3493.7000000005241</v>
      </c>
      <c r="D62" s="3">
        <v>4522.2400000005764</v>
      </c>
      <c r="E62" s="3">
        <v>10740.699999997816</v>
      </c>
      <c r="F62" s="3">
        <v>1993.3600000002282</v>
      </c>
      <c r="G62" s="3">
        <v>4668.8200000030756</v>
      </c>
      <c r="H62" s="3">
        <v>487.99999999994378</v>
      </c>
      <c r="I62" s="3">
        <v>4166.6500000021297</v>
      </c>
      <c r="J62" s="3">
        <v>4166.6500000021233</v>
      </c>
      <c r="K62" s="3">
        <v>16093.456539702167</v>
      </c>
      <c r="L62" s="3">
        <v>1800.0000000000002</v>
      </c>
      <c r="M62" s="3">
        <v>7318.3999999991938</v>
      </c>
      <c r="N62" s="3">
        <v>27833.120000031842</v>
      </c>
      <c r="O62" s="122">
        <v>23975.600000011007</v>
      </c>
      <c r="P62" s="122">
        <v>1346.7400000006844</v>
      </c>
      <c r="Q62" s="122">
        <v>0</v>
      </c>
      <c r="R62" s="122">
        <v>4588.9400000008773</v>
      </c>
      <c r="S62" s="122">
        <v>3183.3799999986809</v>
      </c>
      <c r="T62" s="122">
        <v>1008.9400000003277</v>
      </c>
      <c r="U62" s="122">
        <v>419.22999999996358</v>
      </c>
      <c r="V62" s="122">
        <v>11479.940000005454</v>
      </c>
      <c r="W62" s="122">
        <v>1499.983333332802</v>
      </c>
      <c r="X62" s="122">
        <v>1416.6499999990267</v>
      </c>
      <c r="Y62" s="122">
        <v>541.66666666660728</v>
      </c>
      <c r="Z62" s="122">
        <v>333.3333333334636</v>
      </c>
      <c r="AA62" s="122">
        <v>1000.0000000020067</v>
      </c>
      <c r="AB62" s="122">
        <v>1499.999999998952</v>
      </c>
      <c r="AC62" s="122">
        <v>1000.0000000020067</v>
      </c>
      <c r="AD62" s="122">
        <v>1499.999999998952</v>
      </c>
      <c r="AE62" s="122">
        <v>5163.911060432707</v>
      </c>
      <c r="AF62" s="122">
        <v>814.00001430511554</v>
      </c>
      <c r="AG62" s="122">
        <v>16829.337629108264</v>
      </c>
      <c r="AH62" s="122">
        <v>4379.999999999497</v>
      </c>
      <c r="AI62" s="122">
        <v>8333.3500000013701</v>
      </c>
      <c r="AJ62" s="122">
        <v>38999.999998983854</v>
      </c>
      <c r="AK62" s="122">
        <v>15864.246446422738</v>
      </c>
      <c r="AL62" s="122">
        <v>11597.864768681937</v>
      </c>
      <c r="AM62" s="122">
        <v>24160.880683189993</v>
      </c>
      <c r="AN62" s="122">
        <v>5578.6405941518415</v>
      </c>
      <c r="AO62" s="122">
        <v>1751.9999999997983</v>
      </c>
      <c r="AP62" s="122">
        <v>378.87777777775057</v>
      </c>
      <c r="AQ62" s="122">
        <v>2250.0166666667183</v>
      </c>
      <c r="AR62" s="122">
        <v>13292.236751703711</v>
      </c>
      <c r="AS62" s="122">
        <v>33119.26666579811</v>
      </c>
      <c r="AT62" s="122">
        <v>97573.46596469963</v>
      </c>
      <c r="AU62" s="122">
        <v>97875.550998646184</v>
      </c>
      <c r="AV62" s="122">
        <v>106636.01698309231</v>
      </c>
      <c r="AW62" s="122">
        <v>4644.9719008195216</v>
      </c>
      <c r="AX62" s="122">
        <v>40623.734669079444</v>
      </c>
      <c r="AY62" s="122">
        <v>2673.3031674205054</v>
      </c>
      <c r="AZ62" s="122">
        <v>1163.9999999999993</v>
      </c>
      <c r="BA62" s="122">
        <v>1732.6634415520234</v>
      </c>
      <c r="BB62" s="122">
        <v>2166.6666666676529</v>
      </c>
      <c r="BC62" s="122">
        <v>16199.99999897049</v>
      </c>
      <c r="BD62" s="122">
        <v>1044.3311856908119</v>
      </c>
      <c r="BE62" s="122">
        <v>1068.3171993593362</v>
      </c>
      <c r="BF62" s="122">
        <v>916.6833333329123</v>
      </c>
      <c r="BG62" s="122">
        <v>12296.800000006155</v>
      </c>
    </row>
    <row r="63" spans="1:59" x14ac:dyDescent="0.25">
      <c r="A63" s="1">
        <v>31047.999305555557</v>
      </c>
      <c r="B63" s="3">
        <v>2494.0200000010741</v>
      </c>
      <c r="C63" s="3">
        <v>3493.7000000005241</v>
      </c>
      <c r="D63" s="3">
        <v>4522.2400000005764</v>
      </c>
      <c r="E63" s="3">
        <v>10740.699999997816</v>
      </c>
      <c r="F63" s="3">
        <v>1993.3600000002282</v>
      </c>
      <c r="G63" s="3">
        <v>4668.8200000030765</v>
      </c>
      <c r="H63" s="3">
        <v>509.99999999994151</v>
      </c>
      <c r="I63" s="3">
        <v>4166.6500000021306</v>
      </c>
      <c r="J63" s="3">
        <v>4166.6500000021233</v>
      </c>
      <c r="K63" s="3">
        <v>16895.800465778251</v>
      </c>
      <c r="L63" s="3">
        <v>1800.0000000000002</v>
      </c>
      <c r="M63" s="3">
        <v>7318.3999999991929</v>
      </c>
      <c r="N63" s="3">
        <v>27833.120000031842</v>
      </c>
      <c r="O63" s="122">
        <v>23975.600000011007</v>
      </c>
      <c r="P63" s="122">
        <v>1346.7400000006844</v>
      </c>
      <c r="Q63" s="122">
        <v>0</v>
      </c>
      <c r="R63" s="122">
        <v>4588.9400000008773</v>
      </c>
      <c r="S63" s="122">
        <v>3183.3799999986809</v>
      </c>
      <c r="T63" s="122">
        <v>1008.9400000003277</v>
      </c>
      <c r="U63" s="122">
        <v>419.22999999996358</v>
      </c>
      <c r="V63" s="122">
        <v>11479.940000005452</v>
      </c>
      <c r="W63" s="122">
        <v>1499.9833333328022</v>
      </c>
      <c r="X63" s="122">
        <v>1416.6499999990265</v>
      </c>
      <c r="Y63" s="122">
        <v>541.6666666666074</v>
      </c>
      <c r="Z63" s="122">
        <v>333.33333333346354</v>
      </c>
      <c r="AA63" s="122">
        <v>1000.0000000020035</v>
      </c>
      <c r="AB63" s="122">
        <v>1499.9999999989695</v>
      </c>
      <c r="AC63" s="122">
        <v>1000.0000000020035</v>
      </c>
      <c r="AD63" s="122">
        <v>1499.9999999989695</v>
      </c>
      <c r="AE63" s="122">
        <v>5327.8221208659752</v>
      </c>
      <c r="AF63" s="122">
        <v>714.00001525879054</v>
      </c>
      <c r="AG63" s="122">
        <v>17593.101487726592</v>
      </c>
      <c r="AH63" s="122">
        <v>4490.6366369099132</v>
      </c>
      <c r="AI63" s="122">
        <v>8333.3500000013719</v>
      </c>
      <c r="AJ63" s="122">
        <v>38999.999998983862</v>
      </c>
      <c r="AK63" s="122">
        <v>15864.246446422727</v>
      </c>
      <c r="AL63" s="122">
        <v>12200.474495846764</v>
      </c>
      <c r="AM63" s="122">
        <v>24160.880683189986</v>
      </c>
      <c r="AN63" s="122">
        <v>5864.4354611255812</v>
      </c>
      <c r="AO63" s="122">
        <v>2205.9999999997467</v>
      </c>
      <c r="AP63" s="122">
        <v>378.87777777775057</v>
      </c>
      <c r="AQ63" s="122">
        <v>2227.0043277375057</v>
      </c>
      <c r="AR63" s="122">
        <v>9292.3417657020764</v>
      </c>
      <c r="AS63" s="122">
        <v>33105.778642042722</v>
      </c>
      <c r="AT63" s="122">
        <v>88208.934377387151</v>
      </c>
      <c r="AU63" s="122">
        <v>88482.027053478072</v>
      </c>
      <c r="AV63" s="122">
        <v>96401.714660116384</v>
      </c>
      <c r="AW63" s="122">
        <v>4657.697851232705</v>
      </c>
      <c r="AX63" s="122">
        <v>41569.096637485738</v>
      </c>
      <c r="AY63" s="122">
        <v>2836.1990950222976</v>
      </c>
      <c r="AZ63" s="122">
        <v>806.00002288818098</v>
      </c>
      <c r="BA63" s="122">
        <v>1772.9845527210073</v>
      </c>
      <c r="BB63" s="122">
        <v>2166.6666666676529</v>
      </c>
      <c r="BC63" s="122">
        <v>16199.999998970494</v>
      </c>
      <c r="BD63" s="122">
        <v>1094.335993845436</v>
      </c>
      <c r="BE63" s="122">
        <v>1093.1781940142005</v>
      </c>
      <c r="BF63" s="122">
        <v>916.68333333291218</v>
      </c>
      <c r="BG63" s="122">
        <v>12296.800000006155</v>
      </c>
    </row>
    <row r="64" spans="1:59" x14ac:dyDescent="0.25">
      <c r="A64" s="1">
        <v>31412.999305555557</v>
      </c>
      <c r="B64" s="3">
        <v>2494.0200000010741</v>
      </c>
      <c r="C64" s="3">
        <v>3493.7000000005241</v>
      </c>
      <c r="D64" s="3">
        <v>4522.2400000005764</v>
      </c>
      <c r="E64" s="3">
        <v>10740.699999997816</v>
      </c>
      <c r="F64" s="3">
        <v>1993.3600000002282</v>
      </c>
      <c r="G64" s="3">
        <v>4668.8200000030756</v>
      </c>
      <c r="H64" s="3">
        <v>517.99999999994066</v>
      </c>
      <c r="I64" s="3">
        <v>4166.6500000021297</v>
      </c>
      <c r="J64" s="3">
        <v>4166.6500000021233</v>
      </c>
      <c r="K64" s="3">
        <v>17127.188039964974</v>
      </c>
      <c r="L64" s="3">
        <v>1799.9999999999991</v>
      </c>
      <c r="M64" s="3">
        <v>7318.3999999991938</v>
      </c>
      <c r="N64" s="3">
        <v>27833.120000031842</v>
      </c>
      <c r="O64" s="122">
        <v>23975.600000011007</v>
      </c>
      <c r="P64" s="122">
        <v>1346.7400000006844</v>
      </c>
      <c r="Q64" s="122">
        <v>0</v>
      </c>
      <c r="R64" s="122">
        <v>4588.9400000008773</v>
      </c>
      <c r="S64" s="122">
        <v>3183.3799999986809</v>
      </c>
      <c r="T64" s="122">
        <v>1008.9400000003277</v>
      </c>
      <c r="U64" s="122">
        <v>419.22999999996358</v>
      </c>
      <c r="V64" s="122">
        <v>11479.940000005454</v>
      </c>
      <c r="W64" s="122">
        <v>1499.983333332802</v>
      </c>
      <c r="X64" s="122">
        <v>1416.6499999990267</v>
      </c>
      <c r="Y64" s="122">
        <v>541.66666666660728</v>
      </c>
      <c r="Z64" s="122">
        <v>333.3333333334636</v>
      </c>
      <c r="AA64" s="122">
        <v>1000.0000000020067</v>
      </c>
      <c r="AB64" s="122">
        <v>1499.999999998952</v>
      </c>
      <c r="AC64" s="122">
        <v>1000.0000000020067</v>
      </c>
      <c r="AD64" s="122">
        <v>1499.999999998952</v>
      </c>
      <c r="AE64" s="122">
        <v>5397.6624857462421</v>
      </c>
      <c r="AF64" s="122">
        <v>586.00002288818598</v>
      </c>
      <c r="AG64" s="122">
        <v>17333.459679709933</v>
      </c>
      <c r="AH64" s="122">
        <v>4573.1067568230592</v>
      </c>
      <c r="AI64" s="122">
        <v>8333.3500000013701</v>
      </c>
      <c r="AJ64" s="122">
        <v>38999.999998983854</v>
      </c>
      <c r="AK64" s="122">
        <v>15864.246446422736</v>
      </c>
      <c r="AL64" s="122">
        <v>12441.281138788599</v>
      </c>
      <c r="AM64" s="122">
        <v>24160.88068319</v>
      </c>
      <c r="AN64" s="122">
        <v>5531.6348594522196</v>
      </c>
      <c r="AO64" s="122">
        <v>1901.9999999997801</v>
      </c>
      <c r="AP64" s="122">
        <v>378.87777777775057</v>
      </c>
      <c r="AQ64" s="122">
        <v>2203.0349108774467</v>
      </c>
      <c r="AR64" s="122">
        <v>10037.000681435895</v>
      </c>
      <c r="AS64" s="122">
        <v>33119.26666579811</v>
      </c>
      <c r="AT64" s="122">
        <v>100814.47257323074</v>
      </c>
      <c r="AU64" s="122">
        <v>101126.59168336466</v>
      </c>
      <c r="AV64" s="122">
        <v>110178.04587724604</v>
      </c>
      <c r="AW64" s="122">
        <v>4644.9719008195007</v>
      </c>
      <c r="AX64" s="122">
        <v>41979.437391718864</v>
      </c>
      <c r="AY64" s="122">
        <v>2821.7194570132501</v>
      </c>
      <c r="AZ64" s="122">
        <v>802.00000667572033</v>
      </c>
      <c r="BA64" s="122">
        <v>1790.4862036457778</v>
      </c>
      <c r="BB64" s="122">
        <v>2166.6666666676529</v>
      </c>
      <c r="BC64" s="122">
        <v>16199.99999897049</v>
      </c>
      <c r="BD64" s="122">
        <v>1111.645350514344</v>
      </c>
      <c r="BE64" s="122">
        <v>1103.9692768360123</v>
      </c>
      <c r="BF64" s="122">
        <v>916.6833333329123</v>
      </c>
      <c r="BG64" s="122">
        <v>12296.800000006155</v>
      </c>
    </row>
    <row r="65" spans="1:59" x14ac:dyDescent="0.25">
      <c r="A65" s="1">
        <v>31777.999305555557</v>
      </c>
      <c r="B65" s="3">
        <v>2494.0200000010741</v>
      </c>
      <c r="C65" s="3">
        <v>3493.7000000005241</v>
      </c>
      <c r="D65" s="3">
        <v>4522.2400000005764</v>
      </c>
      <c r="E65" s="3">
        <v>10740.699999997816</v>
      </c>
      <c r="F65" s="3">
        <v>1993.3600000002282</v>
      </c>
      <c r="G65" s="3">
        <v>4668.8200000030756</v>
      </c>
      <c r="H65" s="3">
        <v>447.99999999994839</v>
      </c>
      <c r="I65" s="3">
        <v>4166.6500000021297</v>
      </c>
      <c r="J65" s="3">
        <v>4166.6500000021233</v>
      </c>
      <c r="K65" s="3">
        <v>14798.287130942625</v>
      </c>
      <c r="L65" s="3">
        <v>1799.9999999999968</v>
      </c>
      <c r="M65" s="3">
        <v>7318.3999999991938</v>
      </c>
      <c r="N65" s="3">
        <v>27833.120000031842</v>
      </c>
      <c r="O65" s="122">
        <v>23975.600000011007</v>
      </c>
      <c r="P65" s="122">
        <v>1346.7400000006844</v>
      </c>
      <c r="Q65" s="122">
        <v>0</v>
      </c>
      <c r="R65" s="122">
        <v>4588.9400000008773</v>
      </c>
      <c r="S65" s="122">
        <v>3183.3799999986809</v>
      </c>
      <c r="T65" s="122">
        <v>1008.9400000003277</v>
      </c>
      <c r="U65" s="122">
        <v>419.22999999996358</v>
      </c>
      <c r="V65" s="122">
        <v>11479.940000005454</v>
      </c>
      <c r="W65" s="122">
        <v>1499.983333332802</v>
      </c>
      <c r="X65" s="122">
        <v>1416.6499999990267</v>
      </c>
      <c r="Y65" s="122">
        <v>541.66666666660728</v>
      </c>
      <c r="Z65" s="122">
        <v>333.3333333334636</v>
      </c>
      <c r="AA65" s="122">
        <v>1000.0000000020067</v>
      </c>
      <c r="AB65" s="122">
        <v>1499.999999998952</v>
      </c>
      <c r="AC65" s="122">
        <v>1000.0000000020067</v>
      </c>
      <c r="AD65" s="122">
        <v>1499.999999998952</v>
      </c>
      <c r="AE65" s="122">
        <v>4626.5678449253528</v>
      </c>
      <c r="AF65" s="122">
        <v>714.00002288818291</v>
      </c>
      <c r="AG65" s="122">
        <v>14771.155121764625</v>
      </c>
      <c r="AH65" s="122">
        <v>4005.9999999995393</v>
      </c>
      <c r="AI65" s="122">
        <v>8333.3500000013701</v>
      </c>
      <c r="AJ65" s="122">
        <v>38999.999998983854</v>
      </c>
      <c r="AK65" s="122">
        <v>15565.679081214977</v>
      </c>
      <c r="AL65" s="122">
        <v>10685.646500591884</v>
      </c>
      <c r="AM65" s="122">
        <v>24160.880683189982</v>
      </c>
      <c r="AN65" s="122">
        <v>4975.0869606086162</v>
      </c>
      <c r="AO65" s="122">
        <v>2225.999999999744</v>
      </c>
      <c r="AP65" s="122">
        <v>378.87777777775057</v>
      </c>
      <c r="AQ65" s="122">
        <v>2250.0166666667183</v>
      </c>
      <c r="AR65" s="122">
        <v>15324.172124543189</v>
      </c>
      <c r="AS65" s="122">
        <v>33119.26666579811</v>
      </c>
      <c r="AT65" s="122">
        <v>83898.050897068169</v>
      </c>
      <c r="AU65" s="122">
        <v>84157.79718467535</v>
      </c>
      <c r="AV65" s="122">
        <v>91690.439525278722</v>
      </c>
      <c r="AW65" s="122">
        <v>4644.9719008194979</v>
      </c>
      <c r="AX65" s="122">
        <v>33319.669243729782</v>
      </c>
      <c r="AY65" s="122">
        <v>2450.6787330313923</v>
      </c>
      <c r="AZ65" s="122">
        <v>467.9999961853037</v>
      </c>
      <c r="BA65" s="122">
        <v>1421.1340550911546</v>
      </c>
      <c r="BB65" s="122">
        <v>2166.6666666676529</v>
      </c>
      <c r="BC65" s="122">
        <v>16199.99999897049</v>
      </c>
      <c r="BD65" s="122">
        <v>957.7844023462701</v>
      </c>
      <c r="BE65" s="122">
        <v>876.23592513109111</v>
      </c>
      <c r="BF65" s="122">
        <v>916.6833333329123</v>
      </c>
      <c r="BG65" s="122">
        <v>12296.800000006155</v>
      </c>
    </row>
    <row r="66" spans="1:59" x14ac:dyDescent="0.25">
      <c r="A66" s="1">
        <v>32142.999305555557</v>
      </c>
      <c r="B66" s="3">
        <v>2494.0200000010741</v>
      </c>
      <c r="C66" s="3">
        <v>3493.7000000005241</v>
      </c>
      <c r="D66" s="3">
        <v>4522.2400000005764</v>
      </c>
      <c r="E66" s="3">
        <v>10740.699999997816</v>
      </c>
      <c r="F66" s="3">
        <v>1993.3600000002282</v>
      </c>
      <c r="G66" s="3">
        <v>4668.8200000030756</v>
      </c>
      <c r="H66" s="3">
        <v>517.99999999994077</v>
      </c>
      <c r="I66" s="3">
        <v>4166.6500000021297</v>
      </c>
      <c r="J66" s="3">
        <v>4166.6500000021233</v>
      </c>
      <c r="K66" s="3">
        <v>17152.730824128445</v>
      </c>
      <c r="L66" s="3">
        <v>1799.999999999998</v>
      </c>
      <c r="M66" s="3">
        <v>7318.3999999991938</v>
      </c>
      <c r="N66" s="3">
        <v>27833.120000031842</v>
      </c>
      <c r="O66" s="122">
        <v>23975.600000011007</v>
      </c>
      <c r="P66" s="122">
        <v>1346.7400000006844</v>
      </c>
      <c r="Q66" s="122">
        <v>0</v>
      </c>
      <c r="R66" s="122">
        <v>4588.9400000008773</v>
      </c>
      <c r="S66" s="122">
        <v>3183.3799999986809</v>
      </c>
      <c r="T66" s="122">
        <v>1008.9400000003277</v>
      </c>
      <c r="U66" s="122">
        <v>419.22999999996358</v>
      </c>
      <c r="V66" s="122">
        <v>11479.940000005454</v>
      </c>
      <c r="W66" s="122">
        <v>1499.983333332802</v>
      </c>
      <c r="X66" s="122">
        <v>1416.6499999990267</v>
      </c>
      <c r="Y66" s="122">
        <v>541.66666666660728</v>
      </c>
      <c r="Z66" s="122">
        <v>333.3333333334636</v>
      </c>
      <c r="AA66" s="122">
        <v>1000.0000000020067</v>
      </c>
      <c r="AB66" s="122">
        <v>1499.999999998952</v>
      </c>
      <c r="AC66" s="122">
        <v>1000.0000000020067</v>
      </c>
      <c r="AD66" s="122">
        <v>1499.999999998952</v>
      </c>
      <c r="AE66" s="122">
        <v>5612.8848346629829</v>
      </c>
      <c r="AF66" s="122">
        <v>511.99998664856031</v>
      </c>
      <c r="AG66" s="122">
        <v>17016.962001324679</v>
      </c>
      <c r="AH66" s="122">
        <v>4718.0315671171393</v>
      </c>
      <c r="AI66" s="122">
        <v>8333.3500000013701</v>
      </c>
      <c r="AJ66" s="122">
        <v>38999.999998983854</v>
      </c>
      <c r="AK66" s="122">
        <v>15864.246446422754</v>
      </c>
      <c r="AL66" s="122">
        <v>12391.459074731667</v>
      </c>
      <c r="AM66" s="122">
        <v>24160.880683189986</v>
      </c>
      <c r="AN66" s="122">
        <v>5520.3534831243041</v>
      </c>
      <c r="AO66" s="122">
        <v>2525.9999999997094</v>
      </c>
      <c r="AP66" s="122">
        <v>378.87777777775057</v>
      </c>
      <c r="AQ66" s="122">
        <v>2250.0166666667183</v>
      </c>
      <c r="AR66" s="122">
        <v>11484.31949213537</v>
      </c>
      <c r="AS66" s="122">
        <v>33119.26666579811</v>
      </c>
      <c r="AT66" s="122">
        <v>102710.27989384228</v>
      </c>
      <c r="AU66" s="122">
        <v>103028.26837648585</v>
      </c>
      <c r="AV66" s="122">
        <v>112249.93437314656</v>
      </c>
      <c r="AW66" s="122">
        <v>4644.9719008195216</v>
      </c>
      <c r="AX66" s="122">
        <v>41648.008320992107</v>
      </c>
      <c r="AY66" s="122">
        <v>3210.859728506417</v>
      </c>
      <c r="AZ66" s="122">
        <v>334.00000238418801</v>
      </c>
      <c r="BA66" s="122">
        <v>1776.3502548219242</v>
      </c>
      <c r="BB66" s="122">
        <v>2166.6666666676529</v>
      </c>
      <c r="BC66" s="122">
        <v>16199.99999897049</v>
      </c>
      <c r="BD66" s="122">
        <v>1109.7220886622438</v>
      </c>
      <c r="BE66" s="122">
        <v>1095.2534022491645</v>
      </c>
      <c r="BF66" s="122">
        <v>916.6833333329123</v>
      </c>
      <c r="BG66" s="122">
        <v>12296.800000006155</v>
      </c>
    </row>
    <row r="67" spans="1:59" x14ac:dyDescent="0.25">
      <c r="A67" s="1">
        <v>32508.999305555557</v>
      </c>
      <c r="B67" s="3">
        <v>2494.0200000010741</v>
      </c>
      <c r="C67" s="3">
        <v>3493.7000000005241</v>
      </c>
      <c r="D67" s="3">
        <v>4522.2400000005764</v>
      </c>
      <c r="E67" s="3">
        <v>10740.699999997816</v>
      </c>
      <c r="F67" s="3">
        <v>1993.3600000002282</v>
      </c>
      <c r="G67" s="3">
        <v>4668.8200000030765</v>
      </c>
      <c r="H67" s="3">
        <v>527.99999999993906</v>
      </c>
      <c r="I67" s="3">
        <v>4166.6500000021306</v>
      </c>
      <c r="J67" s="3">
        <v>4166.6500000021233</v>
      </c>
      <c r="K67" s="3">
        <v>17514.837352563525</v>
      </c>
      <c r="L67" s="3">
        <v>1800.0000000000002</v>
      </c>
      <c r="M67" s="3">
        <v>7318.3999999991929</v>
      </c>
      <c r="N67" s="3">
        <v>27833.120000031842</v>
      </c>
      <c r="O67" s="122">
        <v>23975.600000011007</v>
      </c>
      <c r="P67" s="122">
        <v>1346.7400000006844</v>
      </c>
      <c r="Q67" s="122">
        <v>0</v>
      </c>
      <c r="R67" s="122">
        <v>4588.9400000008773</v>
      </c>
      <c r="S67" s="122">
        <v>3183.3799999986809</v>
      </c>
      <c r="T67" s="122">
        <v>1008.9400000003277</v>
      </c>
      <c r="U67" s="122">
        <v>419.22999999996358</v>
      </c>
      <c r="V67" s="122">
        <v>11479.940000005452</v>
      </c>
      <c r="W67" s="122">
        <v>1499.9833333328022</v>
      </c>
      <c r="X67" s="122">
        <v>1416.6499999990265</v>
      </c>
      <c r="Y67" s="122">
        <v>541.6666666666074</v>
      </c>
      <c r="Z67" s="122">
        <v>333.33333333346354</v>
      </c>
      <c r="AA67" s="122">
        <v>1000.0000000020035</v>
      </c>
      <c r="AB67" s="122">
        <v>1499.9999999989695</v>
      </c>
      <c r="AC67" s="122">
        <v>1000.0000000020035</v>
      </c>
      <c r="AD67" s="122">
        <v>1499.9999999989695</v>
      </c>
      <c r="AE67" s="122">
        <v>5557.2976054725632</v>
      </c>
      <c r="AF67" s="122">
        <v>845.99999237060649</v>
      </c>
      <c r="AG67" s="122">
        <v>18612.716763003631</v>
      </c>
      <c r="AH67" s="122">
        <v>4601.2690281887953</v>
      </c>
      <c r="AI67" s="122">
        <v>8333.3500000013719</v>
      </c>
      <c r="AJ67" s="122">
        <v>38999.999998983862</v>
      </c>
      <c r="AK67" s="122">
        <v>15864.246446422701</v>
      </c>
      <c r="AL67" s="122">
        <v>12609.727164885857</v>
      </c>
      <c r="AM67" s="122">
        <v>24160.880683189975</v>
      </c>
      <c r="AN67" s="122">
        <v>6315.6905142420119</v>
      </c>
      <c r="AO67" s="122">
        <v>2267.9999999997394</v>
      </c>
      <c r="AP67" s="122">
        <v>378.87777777775057</v>
      </c>
      <c r="AQ67" s="122">
        <v>2194.1355108558137</v>
      </c>
      <c r="AR67" s="122">
        <v>5790.2524907977031</v>
      </c>
      <c r="AS67" s="122">
        <v>33105.778642042722</v>
      </c>
      <c r="AT67" s="122">
        <v>99692.461525388178</v>
      </c>
      <c r="AU67" s="122">
        <v>100001.10691710754</v>
      </c>
      <c r="AV67" s="122">
        <v>108951.82327697182</v>
      </c>
      <c r="AW67" s="122">
        <v>4657.6978512327059</v>
      </c>
      <c r="AX67" s="122">
        <v>40697.911651575421</v>
      </c>
      <c r="AY67" s="122">
        <v>2980.9954751127784</v>
      </c>
      <c r="AZ67" s="122">
        <v>928.999999999995</v>
      </c>
      <c r="BA67" s="122">
        <v>1735.8272015268828</v>
      </c>
      <c r="BB67" s="122">
        <v>2166.6666666676529</v>
      </c>
      <c r="BC67" s="122">
        <v>16199.999998970494</v>
      </c>
      <c r="BD67" s="122">
        <v>1134.7244927395561</v>
      </c>
      <c r="BE67" s="122">
        <v>1070.2678951002026</v>
      </c>
      <c r="BF67" s="122">
        <v>916.68333333291218</v>
      </c>
      <c r="BG67" s="122">
        <v>12296.800000006155</v>
      </c>
    </row>
    <row r="68" spans="1:59" x14ac:dyDescent="0.25">
      <c r="A68" s="1">
        <v>32873.999305555553</v>
      </c>
      <c r="B68" s="3">
        <v>2322.5819657991092</v>
      </c>
      <c r="C68" s="3">
        <v>3493.7000000005241</v>
      </c>
      <c r="D68" s="3">
        <v>4522.2400000005764</v>
      </c>
      <c r="E68" s="3">
        <v>10740.699999997816</v>
      </c>
      <c r="F68" s="3">
        <v>1993.3600000002282</v>
      </c>
      <c r="G68" s="3">
        <v>4668.8200000030756</v>
      </c>
      <c r="H68" s="3">
        <v>609.99999999992986</v>
      </c>
      <c r="I68" s="3">
        <v>4166.6500000021297</v>
      </c>
      <c r="J68" s="3">
        <v>4166.6500000021233</v>
      </c>
      <c r="K68" s="3">
        <v>20268.950492071886</v>
      </c>
      <c r="L68" s="3">
        <v>1799.999999999998</v>
      </c>
      <c r="M68" s="3">
        <v>7318.3999999991938</v>
      </c>
      <c r="N68" s="3">
        <v>27833.120000031842</v>
      </c>
      <c r="O68" s="122">
        <v>23975.600000011007</v>
      </c>
      <c r="P68" s="122">
        <v>1346.7400000006844</v>
      </c>
      <c r="Q68" s="122">
        <v>171.43803420196707</v>
      </c>
      <c r="R68" s="122">
        <v>4588.9400000008773</v>
      </c>
      <c r="S68" s="122">
        <v>3183.3799999986809</v>
      </c>
      <c r="T68" s="122">
        <v>1008.9400000003277</v>
      </c>
      <c r="U68" s="122">
        <v>419.22999999996358</v>
      </c>
      <c r="V68" s="122">
        <v>11479.940000005454</v>
      </c>
      <c r="W68" s="122">
        <v>1499.983333332802</v>
      </c>
      <c r="X68" s="122">
        <v>1416.6499999990267</v>
      </c>
      <c r="Y68" s="122">
        <v>541.66666666660728</v>
      </c>
      <c r="Z68" s="122">
        <v>333.3333333334636</v>
      </c>
      <c r="AA68" s="122">
        <v>1000.0000000020067</v>
      </c>
      <c r="AB68" s="122">
        <v>1499.999999998952</v>
      </c>
      <c r="AC68" s="122">
        <v>1000.0000000020067</v>
      </c>
      <c r="AD68" s="122">
        <v>1499.999999998952</v>
      </c>
      <c r="AE68" s="122">
        <v>6281.3568985169541</v>
      </c>
      <c r="AF68" s="122">
        <v>479.00000000000148</v>
      </c>
      <c r="AG68" s="122">
        <v>19433.336491990569</v>
      </c>
      <c r="AH68" s="122">
        <v>5310.4759095030886</v>
      </c>
      <c r="AI68" s="122">
        <v>8333.3500000013701</v>
      </c>
      <c r="AJ68" s="122">
        <v>38999.999998983854</v>
      </c>
      <c r="AK68" s="122">
        <v>15864.246446422736</v>
      </c>
      <c r="AL68" s="122">
        <v>14531.435349939007</v>
      </c>
      <c r="AM68" s="122">
        <v>24160.880683190011</v>
      </c>
      <c r="AN68" s="122">
        <v>6479.2704709967138</v>
      </c>
      <c r="AO68" s="122">
        <v>2491.9999999997158</v>
      </c>
      <c r="AP68" s="122">
        <v>378.87777777775057</v>
      </c>
      <c r="AQ68" s="122">
        <v>1837.5120108919457</v>
      </c>
      <c r="AR68" s="122">
        <v>4883.6456877429891</v>
      </c>
      <c r="AS68" s="122">
        <v>33119.26666579811</v>
      </c>
      <c r="AT68" s="122">
        <v>112864.8052837165</v>
      </c>
      <c r="AU68" s="122">
        <v>113214.2319254617</v>
      </c>
      <c r="AV68" s="122">
        <v>123347.60453607429</v>
      </c>
      <c r="AW68" s="122">
        <v>4644.9719008194907</v>
      </c>
      <c r="AX68" s="122">
        <v>45607.79659934176</v>
      </c>
      <c r="AY68" s="122">
        <v>3601.809954750715</v>
      </c>
      <c r="AZ68" s="122">
        <v>486.0000000000008</v>
      </c>
      <c r="BA68" s="122">
        <v>1945.2411862459342</v>
      </c>
      <c r="BB68" s="122">
        <v>2166.6666666676529</v>
      </c>
      <c r="BC68" s="122">
        <v>16199.99999897049</v>
      </c>
      <c r="BD68" s="122">
        <v>1313.5878449849438</v>
      </c>
      <c r="BE68" s="122">
        <v>1199.3873514796464</v>
      </c>
      <c r="BF68" s="122">
        <v>916.6833333329123</v>
      </c>
      <c r="BG68" s="122">
        <v>12296.800000006155</v>
      </c>
    </row>
    <row r="69" spans="1:59" x14ac:dyDescent="0.25">
      <c r="A69" s="1">
        <v>33238.999305555553</v>
      </c>
      <c r="B69" s="3">
        <v>2465.5260000010903</v>
      </c>
      <c r="C69" s="3">
        <v>3493.7000000005241</v>
      </c>
      <c r="D69" s="3">
        <v>4522.2400000005764</v>
      </c>
      <c r="E69" s="3">
        <v>10740.699999997816</v>
      </c>
      <c r="F69" s="3">
        <v>1993.3600000002282</v>
      </c>
      <c r="G69" s="3">
        <v>4668.8200000030756</v>
      </c>
      <c r="H69" s="3">
        <v>541.99999999993759</v>
      </c>
      <c r="I69" s="3">
        <v>4166.6500000021297</v>
      </c>
      <c r="J69" s="3">
        <v>4166.6500000021233</v>
      </c>
      <c r="K69" s="3">
        <v>17934.039516187549</v>
      </c>
      <c r="L69" s="3">
        <v>1800.0000000000025</v>
      </c>
      <c r="M69" s="3">
        <v>7318.3999999991938</v>
      </c>
      <c r="N69" s="3">
        <v>27833.120000031842</v>
      </c>
      <c r="O69" s="122">
        <v>23975.600000011007</v>
      </c>
      <c r="P69" s="122">
        <v>1346.7400000006844</v>
      </c>
      <c r="Q69" s="122">
        <v>28.493999999984286</v>
      </c>
      <c r="R69" s="122">
        <v>4588.9400000008773</v>
      </c>
      <c r="S69" s="122">
        <v>3183.3799999986809</v>
      </c>
      <c r="T69" s="122">
        <v>1008.9400000003277</v>
      </c>
      <c r="U69" s="122">
        <v>419.22999999996358</v>
      </c>
      <c r="V69" s="122">
        <v>11479.940000005454</v>
      </c>
      <c r="W69" s="122">
        <v>1499.983333332802</v>
      </c>
      <c r="X69" s="122">
        <v>1416.6499999990267</v>
      </c>
      <c r="Y69" s="122">
        <v>541.66666666660728</v>
      </c>
      <c r="Z69" s="122">
        <v>333.3333333334636</v>
      </c>
      <c r="AA69" s="122">
        <v>1000.0000000020067</v>
      </c>
      <c r="AB69" s="122">
        <v>1499.999999998952</v>
      </c>
      <c r="AC69" s="122">
        <v>1000.0000000020067</v>
      </c>
      <c r="AD69" s="122">
        <v>1499.999999998952</v>
      </c>
      <c r="AE69" s="122">
        <v>5704.1049030780196</v>
      </c>
      <c r="AF69" s="122">
        <v>604.93359374999886</v>
      </c>
      <c r="AG69" s="122">
        <v>17162.892068604117</v>
      </c>
      <c r="AH69" s="122">
        <v>4616.2866566473504</v>
      </c>
      <c r="AI69" s="122">
        <v>8333.3500000013701</v>
      </c>
      <c r="AJ69" s="122">
        <v>38999.999998983854</v>
      </c>
      <c r="AK69" s="122">
        <v>15864.246446422736</v>
      </c>
      <c r="AL69" s="122">
        <v>12896.797153023424</v>
      </c>
      <c r="AM69" s="122">
        <v>24160.880683190004</v>
      </c>
      <c r="AN69" s="122">
        <v>5856.9145435736391</v>
      </c>
      <c r="AO69" s="122">
        <v>1981.9999999997724</v>
      </c>
      <c r="AP69" s="122">
        <v>378.87777777775057</v>
      </c>
      <c r="AQ69" s="122">
        <v>1878.0658589253703</v>
      </c>
      <c r="AR69" s="122">
        <v>5689.6248131169341</v>
      </c>
      <c r="AS69" s="122">
        <v>33119.26666579811</v>
      </c>
      <c r="AT69" s="122">
        <v>105131.98543787062</v>
      </c>
      <c r="AU69" s="122">
        <v>105457.47146089781</v>
      </c>
      <c r="AV69" s="122">
        <v>114896.56612869467</v>
      </c>
      <c r="AW69" s="122">
        <v>4644.9719008195125</v>
      </c>
      <c r="AX69" s="122">
        <v>40980.415478528237</v>
      </c>
      <c r="AY69" s="122">
        <v>2698.6425339363414</v>
      </c>
      <c r="AZ69" s="122">
        <v>511.00000089406842</v>
      </c>
      <c r="BA69" s="122">
        <v>1747.8764150481657</v>
      </c>
      <c r="BB69" s="122">
        <v>2166.6666666676529</v>
      </c>
      <c r="BC69" s="122">
        <v>16199.99999897049</v>
      </c>
      <c r="BD69" s="122">
        <v>1163.5734205210699</v>
      </c>
      <c r="BE69" s="122">
        <v>1077.6971405813717</v>
      </c>
      <c r="BF69" s="122">
        <v>916.6833333329123</v>
      </c>
      <c r="BG69" s="122">
        <v>12296.800000006155</v>
      </c>
    </row>
    <row r="70" spans="1:59" x14ac:dyDescent="0.25">
      <c r="A70" s="1">
        <v>33603.999305555553</v>
      </c>
      <c r="B70" s="3">
        <v>2494.0200000010741</v>
      </c>
      <c r="C70" s="3">
        <v>3493.7000000005241</v>
      </c>
      <c r="D70" s="3">
        <v>4522.2400000005764</v>
      </c>
      <c r="E70" s="3">
        <v>10740.699999997816</v>
      </c>
      <c r="F70" s="3">
        <v>1993.3600000002282</v>
      </c>
      <c r="G70" s="3">
        <v>4668.8200000030756</v>
      </c>
      <c r="H70" s="3">
        <v>543.9999999999377</v>
      </c>
      <c r="I70" s="3">
        <v>4166.6500000021297</v>
      </c>
      <c r="J70" s="3">
        <v>4166.6500000021233</v>
      </c>
      <c r="K70" s="3">
        <v>18129.366689202328</v>
      </c>
      <c r="L70" s="3">
        <v>1800.0000000000007</v>
      </c>
      <c r="M70" s="3">
        <v>7318.3999999991938</v>
      </c>
      <c r="N70" s="3">
        <v>27833.120000031842</v>
      </c>
      <c r="O70" s="122">
        <v>23975.600000011007</v>
      </c>
      <c r="P70" s="122">
        <v>1346.7400000006844</v>
      </c>
      <c r="Q70" s="122">
        <v>0</v>
      </c>
      <c r="R70" s="122">
        <v>4588.9400000008773</v>
      </c>
      <c r="S70" s="122">
        <v>3183.3799999986809</v>
      </c>
      <c r="T70" s="122">
        <v>1008.9400000003277</v>
      </c>
      <c r="U70" s="122">
        <v>419.22999999996358</v>
      </c>
      <c r="V70" s="122">
        <v>11479.940000005454</v>
      </c>
      <c r="W70" s="122">
        <v>1499.983333332802</v>
      </c>
      <c r="X70" s="122">
        <v>1416.6499999990267</v>
      </c>
      <c r="Y70" s="122">
        <v>541.66666666660728</v>
      </c>
      <c r="Z70" s="122">
        <v>333.3333333334636</v>
      </c>
      <c r="AA70" s="122">
        <v>1000.0000000020067</v>
      </c>
      <c r="AB70" s="122">
        <v>1499.999999998952</v>
      </c>
      <c r="AC70" s="122">
        <v>1000.0000000020067</v>
      </c>
      <c r="AD70" s="122">
        <v>1499.999999998952</v>
      </c>
      <c r="AE70" s="122">
        <v>5500.285062713162</v>
      </c>
      <c r="AF70" s="122">
        <v>451.01110070943793</v>
      </c>
      <c r="AG70" s="122">
        <v>16950.630152561302</v>
      </c>
      <c r="AH70" s="122">
        <v>4662.575969817035</v>
      </c>
      <c r="AI70" s="122">
        <v>8333.3500000013701</v>
      </c>
      <c r="AJ70" s="122">
        <v>38999.999998983854</v>
      </c>
      <c r="AK70" s="122">
        <v>15864.246446422736</v>
      </c>
      <c r="AL70" s="122">
        <v>13002.37247923931</v>
      </c>
      <c r="AM70" s="122">
        <v>24160.88068319</v>
      </c>
      <c r="AN70" s="122">
        <v>6016.7340415523786</v>
      </c>
      <c r="AO70" s="122">
        <v>2021.9999999997658</v>
      </c>
      <c r="AP70" s="122">
        <v>378.87777777775057</v>
      </c>
      <c r="AQ70" s="122">
        <v>1951.1816085760095</v>
      </c>
      <c r="AR70" s="122">
        <v>3221.4675564497857</v>
      </c>
      <c r="AS70" s="122">
        <v>33119.26666579811</v>
      </c>
      <c r="AT70" s="122">
        <v>103603.60487753169</v>
      </c>
      <c r="AU70" s="122">
        <v>103924.35907219919</v>
      </c>
      <c r="AV70" s="122">
        <v>113226.23071754977</v>
      </c>
      <c r="AW70" s="122">
        <v>4644.9719008195098</v>
      </c>
      <c r="AX70" s="122">
        <v>41913.151577573495</v>
      </c>
      <c r="AY70" s="122">
        <v>2832.5791855200368</v>
      </c>
      <c r="AZ70" s="122">
        <v>729.9999846816072</v>
      </c>
      <c r="BA70" s="122">
        <v>1787.6590138810066</v>
      </c>
      <c r="BB70" s="122">
        <v>2166.6666666676529</v>
      </c>
      <c r="BC70" s="122">
        <v>16199.99999897049</v>
      </c>
      <c r="BD70" s="122">
        <v>1175.1129916336752</v>
      </c>
      <c r="BE70" s="122">
        <v>1102.2261019186419</v>
      </c>
      <c r="BF70" s="122">
        <v>916.6833333329123</v>
      </c>
      <c r="BG70" s="122">
        <v>12296.800000006155</v>
      </c>
    </row>
    <row r="71" spans="1:59" x14ac:dyDescent="0.25">
      <c r="A71" s="1">
        <v>33969.999305555553</v>
      </c>
      <c r="B71" s="3">
        <v>2494.0200000010741</v>
      </c>
      <c r="C71" s="3">
        <v>3493.7000000005241</v>
      </c>
      <c r="D71" s="3">
        <v>4522.2400000005755</v>
      </c>
      <c r="E71" s="3">
        <v>10740.699999997816</v>
      </c>
      <c r="F71" s="3">
        <v>1993.3600000002282</v>
      </c>
      <c r="G71" s="3">
        <v>4668.8200000030765</v>
      </c>
      <c r="H71" s="3">
        <v>535.99999999993781</v>
      </c>
      <c r="I71" s="3">
        <v>4166.6500000021306</v>
      </c>
      <c r="J71" s="3">
        <v>4166.6500000021233</v>
      </c>
      <c r="K71" s="3">
        <v>17747.727443465756</v>
      </c>
      <c r="L71" s="3">
        <v>1800</v>
      </c>
      <c r="M71" s="3">
        <v>7318.3999999991929</v>
      </c>
      <c r="N71" s="3">
        <v>27833.120000031842</v>
      </c>
      <c r="O71" s="122">
        <v>23975.600000011007</v>
      </c>
      <c r="P71" s="122">
        <v>1346.7400000006844</v>
      </c>
      <c r="Q71" s="122">
        <v>0</v>
      </c>
      <c r="R71" s="122">
        <v>4588.9400000008773</v>
      </c>
      <c r="S71" s="122">
        <v>3183.3799999986809</v>
      </c>
      <c r="T71" s="122">
        <v>1008.9400000003277</v>
      </c>
      <c r="U71" s="122">
        <v>419.22999999996358</v>
      </c>
      <c r="V71" s="122">
        <v>11479.940000005452</v>
      </c>
      <c r="W71" s="122">
        <v>1499.9833333328022</v>
      </c>
      <c r="X71" s="122">
        <v>1416.6499999990265</v>
      </c>
      <c r="Y71" s="122">
        <v>541.6666666666074</v>
      </c>
      <c r="Z71" s="122">
        <v>333.33333333346354</v>
      </c>
      <c r="AA71" s="122">
        <v>1000.0000000020035</v>
      </c>
      <c r="AB71" s="122">
        <v>1499.9999999989695</v>
      </c>
      <c r="AC71" s="122">
        <v>1000.0000000020035</v>
      </c>
      <c r="AD71" s="122">
        <v>1499.9999999989695</v>
      </c>
      <c r="AE71" s="122">
        <v>5344.9258836938034</v>
      </c>
      <c r="AF71" s="122">
        <v>885.9999999999992</v>
      </c>
      <c r="AG71" s="122">
        <v>15993.556334689723</v>
      </c>
      <c r="AH71" s="122">
        <v>4639.9999999994652</v>
      </c>
      <c r="AI71" s="122">
        <v>8333.3500000013719</v>
      </c>
      <c r="AJ71" s="122">
        <v>38999.999998983862</v>
      </c>
      <c r="AK71" s="122">
        <v>15864.246446422714</v>
      </c>
      <c r="AL71" s="122">
        <v>12818.505338076822</v>
      </c>
      <c r="AM71" s="122">
        <v>24160.880683190007</v>
      </c>
      <c r="AN71" s="122">
        <v>5287.2050390141503</v>
      </c>
      <c r="AO71" s="122">
        <v>1923.9999999997779</v>
      </c>
      <c r="AP71" s="122">
        <v>378.87777777775057</v>
      </c>
      <c r="AQ71" s="122">
        <v>2013.0061154753462</v>
      </c>
      <c r="AR71" s="122">
        <v>8796.3493707889302</v>
      </c>
      <c r="AS71" s="122">
        <v>33105.778642042722</v>
      </c>
      <c r="AT71" s="122">
        <v>97483.83945688972</v>
      </c>
      <c r="AU71" s="122">
        <v>97785.647009388238</v>
      </c>
      <c r="AV71" s="122">
        <v>106538.06603183306</v>
      </c>
      <c r="AW71" s="122">
        <v>4657.6978512327023</v>
      </c>
      <c r="AX71" s="122">
        <v>40529.040648871771</v>
      </c>
      <c r="AY71" s="122">
        <v>2962.8959276014707</v>
      </c>
      <c r="AZ71" s="122">
        <v>882.00001513957966</v>
      </c>
      <c r="BA71" s="122">
        <v>1728.6245990309224</v>
      </c>
      <c r="BB71" s="122">
        <v>2166.6666666676529</v>
      </c>
      <c r="BC71" s="122">
        <v>16199.999998970494</v>
      </c>
      <c r="BD71" s="122">
        <v>1155.8803731126661</v>
      </c>
      <c r="BE71" s="122">
        <v>1065.8269494773776</v>
      </c>
      <c r="BF71" s="122">
        <v>916.68333333291218</v>
      </c>
      <c r="BG71" s="122">
        <v>12296.800000006155</v>
      </c>
    </row>
    <row r="72" spans="1:59" x14ac:dyDescent="0.25">
      <c r="A72" s="1">
        <v>34334.999305555553</v>
      </c>
      <c r="B72" s="3">
        <v>2494.0200000010741</v>
      </c>
      <c r="C72" s="3">
        <v>3493.7000000005241</v>
      </c>
      <c r="D72" s="3">
        <v>4522.2400000005764</v>
      </c>
      <c r="E72" s="3">
        <v>10740.699999997816</v>
      </c>
      <c r="F72" s="3">
        <v>1993.3600000002282</v>
      </c>
      <c r="G72" s="3">
        <v>4668.8200000030756</v>
      </c>
      <c r="H72" s="3">
        <v>545.9999999999369</v>
      </c>
      <c r="I72" s="3">
        <v>4166.6500000021297</v>
      </c>
      <c r="J72" s="3">
        <v>4166.6500000021233</v>
      </c>
      <c r="K72" s="3">
        <v>18117.346555478351</v>
      </c>
      <c r="L72" s="3">
        <v>1800.0000000000002</v>
      </c>
      <c r="M72" s="3">
        <v>7318.3999999991938</v>
      </c>
      <c r="N72" s="3">
        <v>27833.120000031842</v>
      </c>
      <c r="O72" s="122">
        <v>23975.600000011007</v>
      </c>
      <c r="P72" s="122">
        <v>1346.7400000006844</v>
      </c>
      <c r="Q72" s="122">
        <v>0</v>
      </c>
      <c r="R72" s="122">
        <v>4588.9400000008773</v>
      </c>
      <c r="S72" s="122">
        <v>3183.3799999986809</v>
      </c>
      <c r="T72" s="122">
        <v>1008.9400000003277</v>
      </c>
      <c r="U72" s="122">
        <v>419.22999999996358</v>
      </c>
      <c r="V72" s="122">
        <v>11479.940000005454</v>
      </c>
      <c r="W72" s="122">
        <v>1499.983333332802</v>
      </c>
      <c r="X72" s="122">
        <v>1416.6499999990267</v>
      </c>
      <c r="Y72" s="122">
        <v>541.66666666660728</v>
      </c>
      <c r="Z72" s="122">
        <v>333.3333333334636</v>
      </c>
      <c r="AA72" s="122">
        <v>1000.0000000020067</v>
      </c>
      <c r="AB72" s="122">
        <v>1499.999999998952</v>
      </c>
      <c r="AC72" s="122">
        <v>1000.0000000020067</v>
      </c>
      <c r="AD72" s="122">
        <v>1499.999999998952</v>
      </c>
      <c r="AE72" s="122">
        <v>5299.3158494862791</v>
      </c>
      <c r="AF72" s="122">
        <v>573.99998378753594</v>
      </c>
      <c r="AG72" s="122">
        <v>15660.001895193884</v>
      </c>
      <c r="AH72" s="122">
        <v>4460.2465149421369</v>
      </c>
      <c r="AI72" s="122">
        <v>8333.3500000013701</v>
      </c>
      <c r="AJ72" s="122">
        <v>38999.999998983854</v>
      </c>
      <c r="AK72" s="122">
        <v>15864.246446422736</v>
      </c>
      <c r="AL72" s="122">
        <v>13016.607354684154</v>
      </c>
      <c r="AM72" s="122">
        <v>24160.880683189982</v>
      </c>
      <c r="AN72" s="122">
        <v>5616.2451819115504</v>
      </c>
      <c r="AO72" s="122">
        <v>1965.9999999997747</v>
      </c>
      <c r="AP72" s="122">
        <v>378.87777777775057</v>
      </c>
      <c r="AQ72" s="122">
        <v>2249.7322521691976</v>
      </c>
      <c r="AR72" s="122">
        <v>12878.237502567477</v>
      </c>
      <c r="AS72" s="122">
        <v>33119.26666579811</v>
      </c>
      <c r="AT72" s="122">
        <v>101993.83682502907</v>
      </c>
      <c r="AU72" s="122">
        <v>102309.60721767638</v>
      </c>
      <c r="AV72" s="122">
        <v>111466.94860444333</v>
      </c>
      <c r="AW72" s="122">
        <v>4644.9719008195098</v>
      </c>
      <c r="AX72" s="122">
        <v>41177.694687294097</v>
      </c>
      <c r="AY72" s="122">
        <v>3044.3438914023654</v>
      </c>
      <c r="AZ72" s="122">
        <v>771.00000762939271</v>
      </c>
      <c r="BA72" s="122">
        <v>1756.2906703004599</v>
      </c>
      <c r="BB72" s="122">
        <v>2166.6666666676529</v>
      </c>
      <c r="BC72" s="122">
        <v>16199.99999897049</v>
      </c>
      <c r="BD72" s="122">
        <v>1173.1897297815744</v>
      </c>
      <c r="BE72" s="122">
        <v>1082.8851611687808</v>
      </c>
      <c r="BF72" s="122">
        <v>916.6833333329123</v>
      </c>
      <c r="BG72" s="122">
        <v>12296.800000006155</v>
      </c>
    </row>
    <row r="73" spans="1:59" x14ac:dyDescent="0.25">
      <c r="A73" s="1">
        <v>34699.999305555553</v>
      </c>
      <c r="B73" s="3">
        <v>2439.3129032268184</v>
      </c>
      <c r="C73" s="3">
        <v>3493.7000000005241</v>
      </c>
      <c r="D73" s="3">
        <v>4522.2400000005764</v>
      </c>
      <c r="E73" s="3">
        <v>10740.699999997816</v>
      </c>
      <c r="F73" s="3">
        <v>1993.3600000002282</v>
      </c>
      <c r="G73" s="3">
        <v>4668.8200000030756</v>
      </c>
      <c r="H73" s="3">
        <v>615.99999999992906</v>
      </c>
      <c r="I73" s="3">
        <v>4166.6500000021297</v>
      </c>
      <c r="J73" s="3">
        <v>4166.6500000021233</v>
      </c>
      <c r="K73" s="3">
        <v>20458.267598224684</v>
      </c>
      <c r="L73" s="3">
        <v>1799.9999999999995</v>
      </c>
      <c r="M73" s="3">
        <v>7318.3999999991938</v>
      </c>
      <c r="N73" s="3">
        <v>27833.120000031842</v>
      </c>
      <c r="O73" s="122">
        <v>23975.600000011007</v>
      </c>
      <c r="P73" s="122">
        <v>1346.7400000006844</v>
      </c>
      <c r="Q73" s="122">
        <v>54.707096774256421</v>
      </c>
      <c r="R73" s="122">
        <v>4588.9400000008773</v>
      </c>
      <c r="S73" s="122">
        <v>3183.3799999986809</v>
      </c>
      <c r="T73" s="122">
        <v>1008.9400000003277</v>
      </c>
      <c r="U73" s="122">
        <v>419.22999999996358</v>
      </c>
      <c r="V73" s="122">
        <v>11479.940000005454</v>
      </c>
      <c r="W73" s="122">
        <v>1499.983333332802</v>
      </c>
      <c r="X73" s="122">
        <v>1416.6499999990267</v>
      </c>
      <c r="Y73" s="122">
        <v>541.66666666660728</v>
      </c>
      <c r="Z73" s="122">
        <v>333.3333333334636</v>
      </c>
      <c r="AA73" s="122">
        <v>1000.0000000020067</v>
      </c>
      <c r="AB73" s="122">
        <v>1499.999999998952</v>
      </c>
      <c r="AC73" s="122">
        <v>1000.0000000020067</v>
      </c>
      <c r="AD73" s="122">
        <v>1499.999999998952</v>
      </c>
      <c r="AE73" s="122">
        <v>5940.7069555295375</v>
      </c>
      <c r="AF73" s="122">
        <v>363.99999999999943</v>
      </c>
      <c r="AG73" s="122">
        <v>18741.590069172486</v>
      </c>
      <c r="AH73" s="122">
        <v>4808.3185423195619</v>
      </c>
      <c r="AI73" s="122">
        <v>8333.3500000013701</v>
      </c>
      <c r="AJ73" s="122">
        <v>38999.999998983854</v>
      </c>
      <c r="AK73" s="122">
        <v>15864.246446422732</v>
      </c>
      <c r="AL73" s="122">
        <v>14722.419928823932</v>
      </c>
      <c r="AM73" s="122">
        <v>24160.880683189993</v>
      </c>
      <c r="AN73" s="122">
        <v>6432.2647362970893</v>
      </c>
      <c r="AO73" s="122">
        <v>2445.9999999997194</v>
      </c>
      <c r="AP73" s="122">
        <v>378.87777777775057</v>
      </c>
      <c r="AQ73" s="122">
        <v>2219.3773507767619</v>
      </c>
      <c r="AR73" s="122">
        <v>6120.300947632024</v>
      </c>
      <c r="AS73" s="122">
        <v>33119.26666579811</v>
      </c>
      <c r="AT73" s="122">
        <v>116455.05820696842</v>
      </c>
      <c r="AU73" s="122">
        <v>116815.60018284121</v>
      </c>
      <c r="AV73" s="122">
        <v>127271.31748315727</v>
      </c>
      <c r="AW73" s="122">
        <v>4644.9719008195007</v>
      </c>
      <c r="AX73" s="122">
        <v>45404.204455895357</v>
      </c>
      <c r="AY73" s="122">
        <v>3905.8823529407277</v>
      </c>
      <c r="AZ73" s="122">
        <v>895.72633165121454</v>
      </c>
      <c r="BA73" s="122">
        <v>1936.5576748255678</v>
      </c>
      <c r="BB73" s="122">
        <v>2166.6666666676529</v>
      </c>
      <c r="BC73" s="122">
        <v>16199.99999897049</v>
      </c>
      <c r="BD73" s="122">
        <v>1327.0506779496488</v>
      </c>
      <c r="BE73" s="122">
        <v>1194.0333142334389</v>
      </c>
      <c r="BF73" s="122">
        <v>916.6833333329123</v>
      </c>
      <c r="BG73" s="122">
        <v>12296.800000006155</v>
      </c>
    </row>
    <row r="74" spans="1:59" x14ac:dyDescent="0.25">
      <c r="A74" s="1">
        <v>35064.999305555553</v>
      </c>
      <c r="B74" s="3">
        <v>2494.0200000010741</v>
      </c>
      <c r="C74" s="3">
        <v>3493.7000000005241</v>
      </c>
      <c r="D74" s="3">
        <v>4522.2400000005764</v>
      </c>
      <c r="E74" s="3">
        <v>10740.699999997816</v>
      </c>
      <c r="F74" s="3">
        <v>1993.3600000002282</v>
      </c>
      <c r="G74" s="3">
        <v>4668.8200000030756</v>
      </c>
      <c r="H74" s="3">
        <v>547.99999999993656</v>
      </c>
      <c r="I74" s="3">
        <v>4166.6500000021297</v>
      </c>
      <c r="J74" s="3">
        <v>4166.6500000021233</v>
      </c>
      <c r="K74" s="3">
        <v>18237.547892718208</v>
      </c>
      <c r="L74" s="3">
        <v>1800.0000000000011</v>
      </c>
      <c r="M74" s="3">
        <v>7318.3999999991938</v>
      </c>
      <c r="N74" s="3">
        <v>27833.120000031842</v>
      </c>
      <c r="O74" s="122">
        <v>23975.600000011007</v>
      </c>
      <c r="P74" s="122">
        <v>1346.7400000006844</v>
      </c>
      <c r="Q74" s="122">
        <v>0</v>
      </c>
      <c r="R74" s="122">
        <v>4588.9400000008773</v>
      </c>
      <c r="S74" s="122">
        <v>3183.3799999986809</v>
      </c>
      <c r="T74" s="122">
        <v>1008.9400000003277</v>
      </c>
      <c r="U74" s="122">
        <v>419.22999999996358</v>
      </c>
      <c r="V74" s="122">
        <v>11479.940000005454</v>
      </c>
      <c r="W74" s="122">
        <v>1499.983333332802</v>
      </c>
      <c r="X74" s="122">
        <v>1416.6499999990267</v>
      </c>
      <c r="Y74" s="122">
        <v>541.66666666660728</v>
      </c>
      <c r="Z74" s="122">
        <v>333.3333333334636</v>
      </c>
      <c r="AA74" s="122">
        <v>1000.0000000020067</v>
      </c>
      <c r="AB74" s="122">
        <v>1499.999999998952</v>
      </c>
      <c r="AC74" s="122">
        <v>1000.0000000020067</v>
      </c>
      <c r="AD74" s="122">
        <v>1499.999999998952</v>
      </c>
      <c r="AE74" s="122">
        <v>4994.2987457234858</v>
      </c>
      <c r="AF74" s="122">
        <v>501.99999999999949</v>
      </c>
      <c r="AG74" s="122">
        <v>17090.874632803865</v>
      </c>
      <c r="AH74" s="122">
        <v>4330.124165203064</v>
      </c>
      <c r="AI74" s="122">
        <v>8333.3500000013701</v>
      </c>
      <c r="AJ74" s="122">
        <v>38999.999998983854</v>
      </c>
      <c r="AK74" s="122">
        <v>15864.246446422709</v>
      </c>
      <c r="AL74" s="122">
        <v>12934.756820876333</v>
      </c>
      <c r="AM74" s="122">
        <v>24160.880683189975</v>
      </c>
      <c r="AN74" s="122">
        <v>5830.5913321418484</v>
      </c>
      <c r="AO74" s="122">
        <v>2231.9999999997431</v>
      </c>
      <c r="AP74" s="122">
        <v>378.87777777775057</v>
      </c>
      <c r="AQ74" s="122">
        <v>2250.0166666667183</v>
      </c>
      <c r="AR74" s="122">
        <v>11092.422451142758</v>
      </c>
      <c r="AS74" s="122">
        <v>33119.26666579811</v>
      </c>
      <c r="AT74" s="122">
        <v>99551.212841916655</v>
      </c>
      <c r="AU74" s="122">
        <v>99859.420931210014</v>
      </c>
      <c r="AV74" s="122">
        <v>108797.45552073201</v>
      </c>
      <c r="AW74" s="122">
        <v>4644.9719008195007</v>
      </c>
      <c r="AX74" s="122">
        <v>41335.518054306871</v>
      </c>
      <c r="AY74" s="122">
        <v>3333.9366515833285</v>
      </c>
      <c r="AZ74" s="122">
        <v>1331.0000152587947</v>
      </c>
      <c r="BA74" s="122">
        <v>1763.0220745022932</v>
      </c>
      <c r="BB74" s="122">
        <v>2166.6666666676529</v>
      </c>
      <c r="BC74" s="122">
        <v>16199.99999897049</v>
      </c>
      <c r="BD74" s="122">
        <v>1182.8060390420806</v>
      </c>
      <c r="BE74" s="122">
        <v>1087.0355776387073</v>
      </c>
      <c r="BF74" s="122">
        <v>916.6833333329123</v>
      </c>
      <c r="BG74" s="122">
        <v>12296.800000006155</v>
      </c>
    </row>
    <row r="75" spans="1:59" x14ac:dyDescent="0.25">
      <c r="A75" s="1">
        <v>35430.999305555553</v>
      </c>
      <c r="B75" s="3">
        <v>1910.2184731189254</v>
      </c>
      <c r="C75" s="3">
        <v>3493.7000000005241</v>
      </c>
      <c r="D75" s="3">
        <v>4522.2400000005764</v>
      </c>
      <c r="E75" s="3">
        <v>10740.699999997816</v>
      </c>
      <c r="F75" s="3">
        <v>1993.3600000002282</v>
      </c>
      <c r="G75" s="3">
        <v>4668.8200000030765</v>
      </c>
      <c r="H75" s="3">
        <v>603.99999999993133</v>
      </c>
      <c r="I75" s="3">
        <v>4166.6500000021306</v>
      </c>
      <c r="J75" s="3">
        <v>4166.6500000021233</v>
      </c>
      <c r="K75" s="3">
        <v>20105.17617008257</v>
      </c>
      <c r="L75" s="3">
        <v>1799.999999999998</v>
      </c>
      <c r="M75" s="3">
        <v>7318.3999999991929</v>
      </c>
      <c r="N75" s="3">
        <v>27833.120000031842</v>
      </c>
      <c r="O75" s="122">
        <v>23975.600000011007</v>
      </c>
      <c r="P75" s="122">
        <v>1346.7400000006844</v>
      </c>
      <c r="Q75" s="122">
        <v>583.8015268821556</v>
      </c>
      <c r="R75" s="122">
        <v>4588.9400000008773</v>
      </c>
      <c r="S75" s="122">
        <v>3183.3799999986809</v>
      </c>
      <c r="T75" s="122">
        <v>1008.9400000003277</v>
      </c>
      <c r="U75" s="122">
        <v>419.22999999996358</v>
      </c>
      <c r="V75" s="122">
        <v>11479.940000005452</v>
      </c>
      <c r="W75" s="122">
        <v>1499.9833333328022</v>
      </c>
      <c r="X75" s="122">
        <v>1416.6499999990265</v>
      </c>
      <c r="Y75" s="122">
        <v>541.6666666666074</v>
      </c>
      <c r="Z75" s="122">
        <v>333.33333333346354</v>
      </c>
      <c r="AA75" s="122">
        <v>1000.0000000020035</v>
      </c>
      <c r="AB75" s="122">
        <v>1499.9999999989695</v>
      </c>
      <c r="AC75" s="122">
        <v>1000.0000000020035</v>
      </c>
      <c r="AD75" s="122">
        <v>1499.9999999989695</v>
      </c>
      <c r="AE75" s="122">
        <v>5602.9076396800838</v>
      </c>
      <c r="AF75" s="122">
        <v>323.00000000000006</v>
      </c>
      <c r="AG75" s="122">
        <v>18507.356381816106</v>
      </c>
      <c r="AH75" s="122">
        <v>4713.7486055604622</v>
      </c>
      <c r="AI75" s="122">
        <v>8333.3500000013719</v>
      </c>
      <c r="AJ75" s="122">
        <v>38999.999998983862</v>
      </c>
      <c r="AK75" s="122">
        <v>15864.246446422736</v>
      </c>
      <c r="AL75" s="122">
        <v>14403.32147093546</v>
      </c>
      <c r="AM75" s="122">
        <v>24160.880683189982</v>
      </c>
      <c r="AN75" s="122">
        <v>6522.5157469203714</v>
      </c>
      <c r="AO75" s="122">
        <v>2595.999999999699</v>
      </c>
      <c r="AP75" s="122">
        <v>378.87777777775057</v>
      </c>
      <c r="AQ75" s="122">
        <v>1974.7013363332535</v>
      </c>
      <c r="AR75" s="122">
        <v>3008.4792576643717</v>
      </c>
      <c r="AS75" s="122">
        <v>33105.778642042722</v>
      </c>
      <c r="AT75" s="122">
        <v>109417.32233060048</v>
      </c>
      <c r="AU75" s="122">
        <v>109756.07565050885</v>
      </c>
      <c r="AV75" s="122">
        <v>119579.92192786913</v>
      </c>
      <c r="AW75" s="122">
        <v>4657.6978512326987</v>
      </c>
      <c r="AX75" s="122">
        <v>45992.885614852858</v>
      </c>
      <c r="AY75" s="122">
        <v>3594.5701357461944</v>
      </c>
      <c r="AZ75" s="122">
        <v>680.19023895263604</v>
      </c>
      <c r="BA75" s="122">
        <v>1961.6658124984092</v>
      </c>
      <c r="BB75" s="122">
        <v>2166.6666666676529</v>
      </c>
      <c r="BC75" s="122">
        <v>16199.999998970494</v>
      </c>
      <c r="BD75" s="122">
        <v>1300.1250120202371</v>
      </c>
      <c r="BE75" s="122">
        <v>1209.5143676662667</v>
      </c>
      <c r="BF75" s="122">
        <v>916.68333333291218</v>
      </c>
      <c r="BG75" s="122">
        <v>12296.800000006155</v>
      </c>
    </row>
    <row r="76" spans="1:59" x14ac:dyDescent="0.25">
      <c r="A76" s="1">
        <v>35795.999305555553</v>
      </c>
      <c r="B76" s="3">
        <v>2494.0200000010741</v>
      </c>
      <c r="C76" s="3">
        <v>3493.7000000005241</v>
      </c>
      <c r="D76" s="3">
        <v>4522.2400000005764</v>
      </c>
      <c r="E76" s="3">
        <v>10740.699999997816</v>
      </c>
      <c r="F76" s="3">
        <v>1993.3600000002282</v>
      </c>
      <c r="G76" s="3">
        <v>4668.8200000030756</v>
      </c>
      <c r="H76" s="3">
        <v>475.9999999999452</v>
      </c>
      <c r="I76" s="3">
        <v>4166.6500000021297</v>
      </c>
      <c r="J76" s="3">
        <v>4166.6500000021233</v>
      </c>
      <c r="K76" s="3">
        <v>15968.747652315797</v>
      </c>
      <c r="L76" s="3">
        <v>1800.0000000000002</v>
      </c>
      <c r="M76" s="3">
        <v>7318.3999999991938</v>
      </c>
      <c r="N76" s="3">
        <v>27833.120000031842</v>
      </c>
      <c r="O76" s="122">
        <v>23975.600000011007</v>
      </c>
      <c r="P76" s="122">
        <v>1346.7400000006844</v>
      </c>
      <c r="Q76" s="122">
        <v>0</v>
      </c>
      <c r="R76" s="122">
        <v>4588.9400000008773</v>
      </c>
      <c r="S76" s="122">
        <v>3183.3799999986809</v>
      </c>
      <c r="T76" s="122">
        <v>1008.9400000003277</v>
      </c>
      <c r="U76" s="122">
        <v>419.22999999996358</v>
      </c>
      <c r="V76" s="122">
        <v>11479.940000005454</v>
      </c>
      <c r="W76" s="122">
        <v>1499.983333332802</v>
      </c>
      <c r="X76" s="122">
        <v>1416.6499999990267</v>
      </c>
      <c r="Y76" s="122">
        <v>541.66666666660728</v>
      </c>
      <c r="Z76" s="122">
        <v>333.3333333334636</v>
      </c>
      <c r="AA76" s="122">
        <v>1000.0000000020067</v>
      </c>
      <c r="AB76" s="122">
        <v>1499.999999998952</v>
      </c>
      <c r="AC76" s="122">
        <v>1000.0000000020067</v>
      </c>
      <c r="AD76" s="122">
        <v>1499.999999998952</v>
      </c>
      <c r="AE76" s="122">
        <v>4851.7673888249828</v>
      </c>
      <c r="AF76" s="122">
        <v>612.0000081062318</v>
      </c>
      <c r="AG76" s="122">
        <v>16812.280867997677</v>
      </c>
      <c r="AH76" s="122">
        <v>4191.999999999518</v>
      </c>
      <c r="AI76" s="122">
        <v>8333.3500000013701</v>
      </c>
      <c r="AJ76" s="122">
        <v>38999.999998983854</v>
      </c>
      <c r="AK76" s="122">
        <v>15864.246446422741</v>
      </c>
      <c r="AL76" s="122">
        <v>11353.499406878886</v>
      </c>
      <c r="AM76" s="122">
        <v>24160.880683190011</v>
      </c>
      <c r="AN76" s="122">
        <v>5612.4847231355761</v>
      </c>
      <c r="AO76" s="122">
        <v>2009.9999999997674</v>
      </c>
      <c r="AP76" s="122">
        <v>378.87777777775057</v>
      </c>
      <c r="AQ76" s="122">
        <v>2221.6409420704467</v>
      </c>
      <c r="AR76" s="122">
        <v>13328.23039370866</v>
      </c>
      <c r="AS76" s="122">
        <v>33119.26666579811</v>
      </c>
      <c r="AT76" s="122">
        <v>91914.957512049572</v>
      </c>
      <c r="AU76" s="122">
        <v>92199.523943975641</v>
      </c>
      <c r="AV76" s="122">
        <v>100451.95046982497</v>
      </c>
      <c r="AW76" s="122">
        <v>4644.9719008194943</v>
      </c>
      <c r="AX76" s="122">
        <v>35180.406740810009</v>
      </c>
      <c r="AY76" s="122">
        <v>2903.1674208141444</v>
      </c>
      <c r="AZ76" s="122">
        <v>1332.9999923706098</v>
      </c>
      <c r="BA76" s="122">
        <v>1500.4973106307746</v>
      </c>
      <c r="BB76" s="122">
        <v>2166.6666666676529</v>
      </c>
      <c r="BC76" s="122">
        <v>16199.99999897049</v>
      </c>
      <c r="BD76" s="122">
        <v>1030.8683527261048</v>
      </c>
      <c r="BE76" s="122">
        <v>925.16933531153529</v>
      </c>
      <c r="BF76" s="122">
        <v>916.6833333329123</v>
      </c>
      <c r="BG76" s="122">
        <v>12296.800000006155</v>
      </c>
    </row>
    <row r="77" spans="1:59" x14ac:dyDescent="0.25">
      <c r="A77" s="1">
        <v>36160.999305555553</v>
      </c>
      <c r="B77" s="3">
        <v>2494.0200000010741</v>
      </c>
      <c r="C77" s="3">
        <v>3493.7000000005241</v>
      </c>
      <c r="D77" s="3">
        <v>4522.2400000005764</v>
      </c>
      <c r="E77" s="3">
        <v>10740.699999997816</v>
      </c>
      <c r="F77" s="3">
        <v>1993.3600000002282</v>
      </c>
      <c r="G77" s="3">
        <v>4668.8200000030756</v>
      </c>
      <c r="H77" s="3">
        <v>527.99999999993952</v>
      </c>
      <c r="I77" s="3">
        <v>4166.6500000021297</v>
      </c>
      <c r="J77" s="3">
        <v>4166.6500000021233</v>
      </c>
      <c r="K77" s="3">
        <v>17589.963188338446</v>
      </c>
      <c r="L77" s="3">
        <v>1799.9999999999989</v>
      </c>
      <c r="M77" s="3">
        <v>7318.3999999991938</v>
      </c>
      <c r="N77" s="3">
        <v>27833.120000031842</v>
      </c>
      <c r="O77" s="122">
        <v>23975.600000011007</v>
      </c>
      <c r="P77" s="122">
        <v>1346.7400000006844</v>
      </c>
      <c r="Q77" s="122">
        <v>0</v>
      </c>
      <c r="R77" s="122">
        <v>4588.9400000008773</v>
      </c>
      <c r="S77" s="122">
        <v>3183.3799999986809</v>
      </c>
      <c r="T77" s="122">
        <v>1008.9400000003277</v>
      </c>
      <c r="U77" s="122">
        <v>419.22999999996358</v>
      </c>
      <c r="V77" s="122">
        <v>11479.940000005454</v>
      </c>
      <c r="W77" s="122">
        <v>1499.983333332802</v>
      </c>
      <c r="X77" s="122">
        <v>1416.6499999990267</v>
      </c>
      <c r="Y77" s="122">
        <v>541.66666666660728</v>
      </c>
      <c r="Z77" s="122">
        <v>333.3333333334636</v>
      </c>
      <c r="AA77" s="122">
        <v>1000.0000000020067</v>
      </c>
      <c r="AB77" s="122">
        <v>1499.999999998952</v>
      </c>
      <c r="AC77" s="122">
        <v>1000.0000000020067</v>
      </c>
      <c r="AD77" s="122">
        <v>1499.999999998952</v>
      </c>
      <c r="AE77" s="122">
        <v>5313.5689851761263</v>
      </c>
      <c r="AF77" s="122">
        <v>402.00000762939459</v>
      </c>
      <c r="AG77" s="122">
        <v>17596.891879084498</v>
      </c>
      <c r="AH77" s="122">
        <v>4580.8015239536016</v>
      </c>
      <c r="AI77" s="122">
        <v>8333.3500000013701</v>
      </c>
      <c r="AJ77" s="122">
        <v>38999.999998983854</v>
      </c>
      <c r="AK77" s="122">
        <v>15864.246446422723</v>
      </c>
      <c r="AL77" s="122">
        <v>12648.873072359171</v>
      </c>
      <c r="AM77" s="122">
        <v>24160.880683190015</v>
      </c>
      <c r="AN77" s="122">
        <v>6065.6200056399848</v>
      </c>
      <c r="AO77" s="122">
        <v>2439.999999999719</v>
      </c>
      <c r="AP77" s="122">
        <v>378.87777777775057</v>
      </c>
      <c r="AQ77" s="122">
        <v>2017.7077449486806</v>
      </c>
      <c r="AR77" s="122">
        <v>3798.752430811604</v>
      </c>
      <c r="AS77" s="122">
        <v>33119.26666579811</v>
      </c>
      <c r="AT77" s="122">
        <v>104481.68324688192</v>
      </c>
      <c r="AU77" s="122">
        <v>104805.15595043253</v>
      </c>
      <c r="AV77" s="122">
        <v>114185.86435340295</v>
      </c>
      <c r="AW77" s="122">
        <v>4644.9719008195034</v>
      </c>
      <c r="AX77" s="122">
        <v>40761.040998380493</v>
      </c>
      <c r="AY77" s="122">
        <v>3181.9004524883208</v>
      </c>
      <c r="AZ77" s="122">
        <v>698.99998474121003</v>
      </c>
      <c r="BA77" s="122">
        <v>1738.5197632076197</v>
      </c>
      <c r="BB77" s="122">
        <v>2166.6666666676529</v>
      </c>
      <c r="BC77" s="122">
        <v>16199.99999897049</v>
      </c>
      <c r="BD77" s="122">
        <v>1138.5710164437576</v>
      </c>
      <c r="BE77" s="122">
        <v>1071.928061688172</v>
      </c>
      <c r="BF77" s="122">
        <v>916.6833333329123</v>
      </c>
      <c r="BG77" s="122">
        <v>12296.800000006155</v>
      </c>
    </row>
    <row r="78" spans="1:59" x14ac:dyDescent="0.25">
      <c r="A78" s="1">
        <v>36525.999305555553</v>
      </c>
      <c r="B78" s="3">
        <v>2494.0200000010741</v>
      </c>
      <c r="C78" s="3">
        <v>3493.7000000005241</v>
      </c>
      <c r="D78" s="3">
        <v>4522.2400000005764</v>
      </c>
      <c r="E78" s="3">
        <v>10740.699999997816</v>
      </c>
      <c r="F78" s="3">
        <v>1993.3600000002282</v>
      </c>
      <c r="G78" s="3">
        <v>4668.8200000030756</v>
      </c>
      <c r="H78" s="3">
        <v>501.9999999999427</v>
      </c>
      <c r="I78" s="3">
        <v>4166.6500000021297</v>
      </c>
      <c r="J78" s="3">
        <v>4166.6500000021233</v>
      </c>
      <c r="K78" s="3">
        <v>16689.955675754965</v>
      </c>
      <c r="L78" s="3">
        <v>1800.0000000000025</v>
      </c>
      <c r="M78" s="3">
        <v>7318.3999999991938</v>
      </c>
      <c r="N78" s="3">
        <v>27833.120000031842</v>
      </c>
      <c r="O78" s="122">
        <v>23975.600000011007</v>
      </c>
      <c r="P78" s="122">
        <v>1346.7400000006844</v>
      </c>
      <c r="Q78" s="122">
        <v>0</v>
      </c>
      <c r="R78" s="122">
        <v>4588.9400000008773</v>
      </c>
      <c r="S78" s="122">
        <v>3183.3799999986809</v>
      </c>
      <c r="T78" s="122">
        <v>1008.9400000003277</v>
      </c>
      <c r="U78" s="122">
        <v>419.22999999996358</v>
      </c>
      <c r="V78" s="122">
        <v>11479.940000005454</v>
      </c>
      <c r="W78" s="122">
        <v>1499.983333332802</v>
      </c>
      <c r="X78" s="122">
        <v>1416.6499999990267</v>
      </c>
      <c r="Y78" s="122">
        <v>541.66666666660728</v>
      </c>
      <c r="Z78" s="122">
        <v>333.3333333334636</v>
      </c>
      <c r="AA78" s="122">
        <v>1000.0000000020067</v>
      </c>
      <c r="AB78" s="122">
        <v>1499.999999998952</v>
      </c>
      <c r="AC78" s="122">
        <v>1000.0000000020067</v>
      </c>
      <c r="AD78" s="122">
        <v>1499.999999998952</v>
      </c>
      <c r="AE78" s="122">
        <v>4492.5883694407594</v>
      </c>
      <c r="AF78" s="122">
        <v>459.99999189376842</v>
      </c>
      <c r="AG78" s="122">
        <v>17132.568937740856</v>
      </c>
      <c r="AH78" s="122">
        <v>4081.9999999995298</v>
      </c>
      <c r="AI78" s="122">
        <v>8333.3500000013701</v>
      </c>
      <c r="AJ78" s="122">
        <v>38999.999998983854</v>
      </c>
      <c r="AK78" s="122">
        <v>15864.246446422736</v>
      </c>
      <c r="AL78" s="122">
        <v>11944.246737839672</v>
      </c>
      <c r="AM78" s="122">
        <v>24160.880683190011</v>
      </c>
      <c r="AN78" s="122">
        <v>5629.4067876274403</v>
      </c>
      <c r="AO78" s="122">
        <v>1801.9999999997908</v>
      </c>
      <c r="AP78" s="122">
        <v>378.87777777775057</v>
      </c>
      <c r="AQ78" s="122">
        <v>2250.0166666667183</v>
      </c>
      <c r="AR78" s="122">
        <v>10001.9216050495</v>
      </c>
      <c r="AS78" s="122">
        <v>33119.26666579811</v>
      </c>
      <c r="AT78" s="122">
        <v>83574.649756734085</v>
      </c>
      <c r="AU78" s="122">
        <v>83833.394802420778</v>
      </c>
      <c r="AV78" s="122">
        <v>91337.001127328709</v>
      </c>
      <c r="AW78" s="122">
        <v>4644.9719008194888</v>
      </c>
      <c r="AX78" s="122">
        <v>35109.3862256543</v>
      </c>
      <c r="AY78" s="122">
        <v>2783.7104072394986</v>
      </c>
      <c r="AZ78" s="122">
        <v>1541.9999771118123</v>
      </c>
      <c r="BA78" s="122">
        <v>1497.4681787399502</v>
      </c>
      <c r="BB78" s="122">
        <v>2166.6666666676529</v>
      </c>
      <c r="BC78" s="122">
        <v>16199.99999897049</v>
      </c>
      <c r="BD78" s="122">
        <v>1080.8731608807293</v>
      </c>
      <c r="BE78" s="122">
        <v>923.30164790006825</v>
      </c>
      <c r="BF78" s="122">
        <v>916.6833333329123</v>
      </c>
      <c r="BG78" s="122">
        <v>12296.800000006155</v>
      </c>
    </row>
    <row r="79" spans="1:59" x14ac:dyDescent="0.25">
      <c r="A79" s="1">
        <v>36891.999305555553</v>
      </c>
      <c r="B79" s="3">
        <v>2079.7148560287578</v>
      </c>
      <c r="C79" s="3">
        <v>3493.7000000005241</v>
      </c>
      <c r="D79" s="3">
        <v>4522.2400000005764</v>
      </c>
      <c r="E79" s="3">
        <v>10740.699999997816</v>
      </c>
      <c r="F79" s="3">
        <v>1993.3600000002282</v>
      </c>
      <c r="G79" s="3">
        <v>4668.8200000030765</v>
      </c>
      <c r="H79" s="3">
        <v>637.99999999992576</v>
      </c>
      <c r="I79" s="3">
        <v>4166.6500000021306</v>
      </c>
      <c r="J79" s="3">
        <v>4166.6500000021233</v>
      </c>
      <c r="K79" s="3">
        <v>21005.183682666073</v>
      </c>
      <c r="L79" s="3">
        <v>1799.9999999999991</v>
      </c>
      <c r="M79" s="3">
        <v>7318.3999999991929</v>
      </c>
      <c r="N79" s="3">
        <v>27833.120000031842</v>
      </c>
      <c r="O79" s="122">
        <v>23975.600000011007</v>
      </c>
      <c r="P79" s="122">
        <v>1346.7400000006844</v>
      </c>
      <c r="Q79" s="122">
        <v>414.3051439723211</v>
      </c>
      <c r="R79" s="122">
        <v>4588.9400000008773</v>
      </c>
      <c r="S79" s="122">
        <v>3183.3799999986809</v>
      </c>
      <c r="T79" s="122">
        <v>1008.9400000003277</v>
      </c>
      <c r="U79" s="122">
        <v>419.22999999996358</v>
      </c>
      <c r="V79" s="122">
        <v>11479.940000005452</v>
      </c>
      <c r="W79" s="122">
        <v>1499.9833333328022</v>
      </c>
      <c r="X79" s="122">
        <v>1416.6499999990265</v>
      </c>
      <c r="Y79" s="122">
        <v>541.6666666666074</v>
      </c>
      <c r="Z79" s="122">
        <v>333.33333333346354</v>
      </c>
      <c r="AA79" s="122">
        <v>1000.0000000020035</v>
      </c>
      <c r="AB79" s="122">
        <v>1499.9999999989695</v>
      </c>
      <c r="AC79" s="122">
        <v>1000.0000000020035</v>
      </c>
      <c r="AD79" s="122">
        <v>1499.9999999989695</v>
      </c>
      <c r="AE79" s="122">
        <v>5915.0513112877998</v>
      </c>
      <c r="AF79" s="122">
        <v>321.99999999999932</v>
      </c>
      <c r="AG79" s="122">
        <v>20225.881915417867</v>
      </c>
      <c r="AH79" s="122">
        <v>4971.2351912379017</v>
      </c>
      <c r="AI79" s="122">
        <v>8333.3500000013719</v>
      </c>
      <c r="AJ79" s="122">
        <v>38999.999998983862</v>
      </c>
      <c r="AK79" s="122">
        <v>15864.246446422729</v>
      </c>
      <c r="AL79" s="122">
        <v>15199.288256226017</v>
      </c>
      <c r="AM79" s="122">
        <v>24160.880683189996</v>
      </c>
      <c r="AN79" s="122">
        <v>6654.131804079334</v>
      </c>
      <c r="AO79" s="122">
        <v>3257.9999999996248</v>
      </c>
      <c r="AP79" s="122">
        <v>378.87777777775057</v>
      </c>
      <c r="AQ79" s="122">
        <v>1922.4424341262645</v>
      </c>
      <c r="AR79" s="122">
        <v>3493.7437894269506</v>
      </c>
      <c r="AS79" s="122">
        <v>33105.778642042722</v>
      </c>
      <c r="AT79" s="122">
        <v>116998.13583723376</v>
      </c>
      <c r="AU79" s="122">
        <v>117360.3591680004</v>
      </c>
      <c r="AV79" s="122">
        <v>127864.83576019747</v>
      </c>
      <c r="AW79" s="122">
        <v>4657.6978512327141</v>
      </c>
      <c r="AX79" s="122">
        <v>48500.698916685309</v>
      </c>
      <c r="AY79" s="122">
        <v>3876.9230769226324</v>
      </c>
      <c r="AZ79" s="122">
        <v>533.00001525878838</v>
      </c>
      <c r="BA79" s="122">
        <v>2068.6278252655475</v>
      </c>
      <c r="BB79" s="122">
        <v>2166.6666666676529</v>
      </c>
      <c r="BC79" s="122">
        <v>16199.999998970494</v>
      </c>
      <c r="BD79" s="122">
        <v>1361.6693912874671</v>
      </c>
      <c r="BE79" s="122">
        <v>1275.464485373416</v>
      </c>
      <c r="BF79" s="122">
        <v>916.68333333291218</v>
      </c>
      <c r="BG79" s="122">
        <v>12296.800000006155</v>
      </c>
    </row>
    <row r="80" spans="1:59" x14ac:dyDescent="0.25">
      <c r="A80" s="1">
        <v>37256.999305555553</v>
      </c>
      <c r="B80" s="3">
        <v>2268.6046666675711</v>
      </c>
      <c r="C80" s="3">
        <v>3493.7000000005241</v>
      </c>
      <c r="D80" s="3">
        <v>4522.2400000005764</v>
      </c>
      <c r="E80" s="3">
        <v>10740.699999997816</v>
      </c>
      <c r="F80" s="3">
        <v>1993.3600000002282</v>
      </c>
      <c r="G80" s="3">
        <v>4668.8200000030756</v>
      </c>
      <c r="H80" s="3">
        <v>595.9999999999319</v>
      </c>
      <c r="I80" s="3">
        <v>4166.6500000021297</v>
      </c>
      <c r="J80" s="3">
        <v>4166.6500000021233</v>
      </c>
      <c r="K80" s="3">
        <v>19780.632559534944</v>
      </c>
      <c r="L80" s="3">
        <v>1800.0000000000007</v>
      </c>
      <c r="M80" s="3">
        <v>7318.3999999991938</v>
      </c>
      <c r="N80" s="3">
        <v>27833.120000031842</v>
      </c>
      <c r="O80" s="122">
        <v>23975.600000011007</v>
      </c>
      <c r="P80" s="122">
        <v>1346.7400000006844</v>
      </c>
      <c r="Q80" s="122">
        <v>225.415333333506</v>
      </c>
      <c r="R80" s="122">
        <v>4588.9400000008773</v>
      </c>
      <c r="S80" s="122">
        <v>3183.3799999986809</v>
      </c>
      <c r="T80" s="122">
        <v>1008.9400000003277</v>
      </c>
      <c r="U80" s="122">
        <v>419.22999999996358</v>
      </c>
      <c r="V80" s="122">
        <v>11479.940000005454</v>
      </c>
      <c r="W80" s="122">
        <v>1499.983333332802</v>
      </c>
      <c r="X80" s="122">
        <v>1416.6499999990267</v>
      </c>
      <c r="Y80" s="122">
        <v>541.66666666660728</v>
      </c>
      <c r="Z80" s="122">
        <v>333.3333333334636</v>
      </c>
      <c r="AA80" s="122">
        <v>1000.0000000020067</v>
      </c>
      <c r="AB80" s="122">
        <v>1499.999999998952</v>
      </c>
      <c r="AC80" s="122">
        <v>1000.0000000020067</v>
      </c>
      <c r="AD80" s="122">
        <v>1499.999999998952</v>
      </c>
      <c r="AE80" s="122">
        <v>6141.6761687564231</v>
      </c>
      <c r="AF80" s="122">
        <v>410.99999237060507</v>
      </c>
      <c r="AG80" s="122">
        <v>18828.769070404356</v>
      </c>
      <c r="AH80" s="122">
        <v>5201.2288952235631</v>
      </c>
      <c r="AI80" s="122">
        <v>8333.3500000013701</v>
      </c>
      <c r="AJ80" s="122">
        <v>38999.999998983854</v>
      </c>
      <c r="AK80" s="122">
        <v>15864.246446422745</v>
      </c>
      <c r="AL80" s="122">
        <v>14157.769869512023</v>
      </c>
      <c r="AM80" s="122">
        <v>24160.880683190004</v>
      </c>
      <c r="AN80" s="122">
        <v>6597.7249224397747</v>
      </c>
      <c r="AO80" s="122">
        <v>2421.9999999997217</v>
      </c>
      <c r="AP80" s="122">
        <v>378.87777777775057</v>
      </c>
      <c r="AQ80" s="122">
        <v>1963.3109440284063</v>
      </c>
      <c r="AR80" s="122">
        <v>4735.0633509229629</v>
      </c>
      <c r="AS80" s="122">
        <v>33119.26666579811</v>
      </c>
      <c r="AT80" s="122">
        <v>109656.472548663</v>
      </c>
      <c r="AU80" s="122">
        <v>109995.9662717235</v>
      </c>
      <c r="AV80" s="122">
        <v>119841.28424048891</v>
      </c>
      <c r="AW80" s="122">
        <v>4644.9719008195152</v>
      </c>
      <c r="AX80" s="122">
        <v>47039.254538147325</v>
      </c>
      <c r="AY80" s="122">
        <v>3276.0180995471346</v>
      </c>
      <c r="AZ80" s="122">
        <v>496.00000000000006</v>
      </c>
      <c r="BA80" s="122">
        <v>2006.2950223565667</v>
      </c>
      <c r="BB80" s="122">
        <v>2166.6666666676529</v>
      </c>
      <c r="BC80" s="122">
        <v>16199.99999897049</v>
      </c>
      <c r="BD80" s="122">
        <v>1282.815655351329</v>
      </c>
      <c r="BE80" s="122">
        <v>1237.0316288618874</v>
      </c>
      <c r="BF80" s="122">
        <v>916.6833333329123</v>
      </c>
      <c r="BG80" s="122">
        <v>12296.800000006155</v>
      </c>
    </row>
    <row r="81" spans="1:59" x14ac:dyDescent="0.25">
      <c r="A81" s="1">
        <v>37621.999305555553</v>
      </c>
      <c r="B81" s="3">
        <v>1081.0553333338607</v>
      </c>
      <c r="C81" s="3">
        <v>3493.7000000005241</v>
      </c>
      <c r="D81" s="3">
        <v>4466.9647201261723</v>
      </c>
      <c r="E81" s="3">
        <v>10740.699999997816</v>
      </c>
      <c r="F81" s="3">
        <v>1988.2036084608958</v>
      </c>
      <c r="G81" s="3">
        <v>4668.8200000030756</v>
      </c>
      <c r="H81" s="3">
        <v>601.99999999993054</v>
      </c>
      <c r="I81" s="3">
        <v>4166.6500000021297</v>
      </c>
      <c r="J81" s="3">
        <v>4166.6500000021233</v>
      </c>
      <c r="K81" s="3">
        <v>19944.406881524268</v>
      </c>
      <c r="L81" s="3">
        <v>1799.9999999999995</v>
      </c>
      <c r="M81" s="3">
        <v>7318.3999999991938</v>
      </c>
      <c r="N81" s="3">
        <v>27833.120000031842</v>
      </c>
      <c r="O81" s="122">
        <v>23975.600000011007</v>
      </c>
      <c r="P81" s="122">
        <v>1346.7400000006844</v>
      </c>
      <c r="Q81" s="122">
        <v>1412.9646666672172</v>
      </c>
      <c r="R81" s="122">
        <v>4588.9400000008782</v>
      </c>
      <c r="S81" s="122">
        <v>3183.3799999986809</v>
      </c>
      <c r="T81" s="122">
        <v>1008.9400000003277</v>
      </c>
      <c r="U81" s="122">
        <v>419.22999999996358</v>
      </c>
      <c r="V81" s="122">
        <v>11479.940000005454</v>
      </c>
      <c r="W81" s="122">
        <v>1499.983333332802</v>
      </c>
      <c r="X81" s="122">
        <v>1416.6499999990267</v>
      </c>
      <c r="Y81" s="122">
        <v>541.66666666660728</v>
      </c>
      <c r="Z81" s="122">
        <v>333.3333333334636</v>
      </c>
      <c r="AA81" s="122">
        <v>908.39537485009691</v>
      </c>
      <c r="AB81" s="122">
        <v>1499.999999998952</v>
      </c>
      <c r="AC81" s="122">
        <v>1000.0000000020067</v>
      </c>
      <c r="AD81" s="122">
        <v>1499.999999998952</v>
      </c>
      <c r="AE81" s="122">
        <v>6025.7317961417621</v>
      </c>
      <c r="AF81" s="122">
        <v>21.999999761581432</v>
      </c>
      <c r="AG81" s="122">
        <v>13038.242542903939</v>
      </c>
      <c r="AH81" s="122">
        <v>4818.5017915053986</v>
      </c>
      <c r="AI81" s="122">
        <v>8333.3500000013701</v>
      </c>
      <c r="AJ81" s="122">
        <v>38999.999998983854</v>
      </c>
      <c r="AK81" s="122">
        <v>15864.246446422729</v>
      </c>
      <c r="AL81" s="122">
        <v>14410.438908657896</v>
      </c>
      <c r="AM81" s="122">
        <v>24160.880683190007</v>
      </c>
      <c r="AN81" s="122">
        <v>6323.2114317939522</v>
      </c>
      <c r="AO81" s="122">
        <v>3033.9999999996526</v>
      </c>
      <c r="AP81" s="122">
        <v>378.87777777775057</v>
      </c>
      <c r="AQ81" s="122">
        <v>1511.0435516990729</v>
      </c>
      <c r="AR81" s="122">
        <v>929.77487701855841</v>
      </c>
      <c r="AS81" s="122">
        <v>33119.26666579811</v>
      </c>
      <c r="AT81" s="122">
        <v>101213.99197927793</v>
      </c>
      <c r="AU81" s="122">
        <v>101527.3479915979</v>
      </c>
      <c r="AV81" s="122">
        <v>110614.67234887031</v>
      </c>
      <c r="AW81" s="122">
        <v>4644.9719008195098</v>
      </c>
      <c r="AX81" s="122">
        <v>46350.147046293692</v>
      </c>
      <c r="AY81" s="122">
        <v>3368.3257918548165</v>
      </c>
      <c r="AZ81" s="122">
        <v>106.99999999999999</v>
      </c>
      <c r="BA81" s="122">
        <v>1987.1105203813413</v>
      </c>
      <c r="BB81" s="122">
        <v>2166.6666666676529</v>
      </c>
      <c r="BC81" s="122">
        <v>16199.99999897049</v>
      </c>
      <c r="BD81" s="122">
        <v>1292.4319646118331</v>
      </c>
      <c r="BE81" s="122">
        <v>1225.2029419225939</v>
      </c>
      <c r="BF81" s="122">
        <v>916.6833333329123</v>
      </c>
      <c r="BG81" s="122">
        <v>12296.800000006155</v>
      </c>
    </row>
    <row r="82" spans="1:59" x14ac:dyDescent="0.25">
      <c r="A82" s="1">
        <v>37986.999305555553</v>
      </c>
      <c r="B82" s="3">
        <v>1942.3103225817088</v>
      </c>
      <c r="C82" s="3">
        <v>3493.7000000005241</v>
      </c>
      <c r="D82" s="3">
        <v>4522.2400000005764</v>
      </c>
      <c r="E82" s="3">
        <v>10740.699999997816</v>
      </c>
      <c r="F82" s="3">
        <v>1993.3600000002282</v>
      </c>
      <c r="G82" s="3">
        <v>4668.8200000030756</v>
      </c>
      <c r="H82" s="3">
        <v>607.99999999993042</v>
      </c>
      <c r="I82" s="3">
        <v>4166.6500000021297</v>
      </c>
      <c r="J82" s="3">
        <v>4166.6500000021233</v>
      </c>
      <c r="K82" s="3">
        <v>14629.822570971344</v>
      </c>
      <c r="L82" s="3">
        <v>1305.8923434766398</v>
      </c>
      <c r="M82" s="3">
        <v>7318.3999999991938</v>
      </c>
      <c r="N82" s="3">
        <v>27833.120000031842</v>
      </c>
      <c r="O82" s="122">
        <v>23975.600000011007</v>
      </c>
      <c r="P82" s="122">
        <v>1346.7400000006844</v>
      </c>
      <c r="Q82" s="122">
        <v>551.70967741937307</v>
      </c>
      <c r="R82" s="122">
        <v>4588.9400000008773</v>
      </c>
      <c r="S82" s="122">
        <v>3183.3799999986809</v>
      </c>
      <c r="T82" s="122">
        <v>1008.9400000003277</v>
      </c>
      <c r="U82" s="122">
        <v>419.22999999996358</v>
      </c>
      <c r="V82" s="122">
        <v>11479.940000005454</v>
      </c>
      <c r="W82" s="122">
        <v>1499.983333332802</v>
      </c>
      <c r="X82" s="122">
        <v>1416.6499999990267</v>
      </c>
      <c r="Y82" s="122">
        <v>541.66666666660728</v>
      </c>
      <c r="Z82" s="122">
        <v>333.3333333334636</v>
      </c>
      <c r="AA82" s="122">
        <v>1000.0000000020067</v>
      </c>
      <c r="AB82" s="122">
        <v>1499.999999998952</v>
      </c>
      <c r="AC82" s="122">
        <v>1000.0000000020067</v>
      </c>
      <c r="AD82" s="122">
        <v>1499.999999998952</v>
      </c>
      <c r="AE82" s="122">
        <v>6359.7491448111277</v>
      </c>
      <c r="AF82" s="122">
        <v>586.00001525878918</v>
      </c>
      <c r="AG82" s="122">
        <v>13976.997829259581</v>
      </c>
      <c r="AH82" s="122">
        <v>5109.8882574935824</v>
      </c>
      <c r="AI82" s="122">
        <v>4980.0919350710965</v>
      </c>
      <c r="AJ82" s="122">
        <v>23306.78364195428</v>
      </c>
      <c r="AK82" s="122">
        <v>11509.443316338855</v>
      </c>
      <c r="AL82" s="122">
        <v>10539.912699720946</v>
      </c>
      <c r="AM82" s="122">
        <v>17528.616164350231</v>
      </c>
      <c r="AN82" s="122">
        <v>4861.6467802640764</v>
      </c>
      <c r="AO82" s="122">
        <v>2801.9999999996785</v>
      </c>
      <c r="AP82" s="122">
        <v>378.87777777775057</v>
      </c>
      <c r="AQ82" s="122">
        <v>1356.5899151816761</v>
      </c>
      <c r="AR82" s="122">
        <v>2353.6154768263873</v>
      </c>
      <c r="AS82" s="122">
        <v>19792.399553334766</v>
      </c>
      <c r="AT82" s="122">
        <v>70014.158407320225</v>
      </c>
      <c r="AU82" s="122">
        <v>70230.920507652743</v>
      </c>
      <c r="AV82" s="122">
        <v>76517.02141728843</v>
      </c>
      <c r="AW82" s="122">
        <v>2775.8809004660984</v>
      </c>
      <c r="AX82" s="122">
        <v>44821.836231618341</v>
      </c>
      <c r="AY82" s="122">
        <v>3321.2669683254094</v>
      </c>
      <c r="AZ82" s="122">
        <v>639.99999999999841</v>
      </c>
      <c r="BA82" s="122">
        <v>1911.7187933208024</v>
      </c>
      <c r="BB82" s="122">
        <v>2166.6666666676529</v>
      </c>
      <c r="BC82" s="122">
        <v>9681.2793586026637</v>
      </c>
      <c r="BD82" s="122">
        <v>1309.7413212807419</v>
      </c>
      <c r="BE82" s="122">
        <v>1178.7182774594053</v>
      </c>
      <c r="BF82" s="122">
        <v>916.6833333329123</v>
      </c>
      <c r="BG82" s="122">
        <v>12296.800000006155</v>
      </c>
    </row>
    <row r="83" spans="1:59" x14ac:dyDescent="0.25">
      <c r="A83" s="1">
        <v>38352.999305555553</v>
      </c>
      <c r="B83" s="3">
        <v>2251.7141720438131</v>
      </c>
      <c r="C83" s="3">
        <v>3493.7000000005241</v>
      </c>
      <c r="D83" s="3">
        <v>4522.2400000005764</v>
      </c>
      <c r="E83" s="3">
        <v>10740.699999997816</v>
      </c>
      <c r="F83" s="3">
        <v>1993.3600000002282</v>
      </c>
      <c r="G83" s="3">
        <v>4668.8200000030765</v>
      </c>
      <c r="H83" s="3">
        <v>567.99999999993474</v>
      </c>
      <c r="I83" s="3">
        <v>4166.6500000021306</v>
      </c>
      <c r="J83" s="3">
        <v>4166.6500000021233</v>
      </c>
      <c r="K83" s="3">
        <v>18767.936293289105</v>
      </c>
      <c r="L83" s="3">
        <v>1800.0000000000007</v>
      </c>
      <c r="M83" s="3">
        <v>7318.3999999991929</v>
      </c>
      <c r="N83" s="3">
        <v>27833.120000031842</v>
      </c>
      <c r="O83" s="122">
        <v>23975.600000011007</v>
      </c>
      <c r="P83" s="122">
        <v>1346.7400000006844</v>
      </c>
      <c r="Q83" s="122">
        <v>242.30582795726392</v>
      </c>
      <c r="R83" s="122">
        <v>4588.9400000008773</v>
      </c>
      <c r="S83" s="122">
        <v>3183.3799999986809</v>
      </c>
      <c r="T83" s="122">
        <v>1008.9400000003277</v>
      </c>
      <c r="U83" s="122">
        <v>419.22999999996358</v>
      </c>
      <c r="V83" s="122">
        <v>11479.940000005452</v>
      </c>
      <c r="W83" s="122">
        <v>1499.9833333328022</v>
      </c>
      <c r="X83" s="122">
        <v>1416.6499999990265</v>
      </c>
      <c r="Y83" s="122">
        <v>541.6666666666074</v>
      </c>
      <c r="Z83" s="122">
        <v>333.33333333346354</v>
      </c>
      <c r="AA83" s="122">
        <v>1000.0000000020035</v>
      </c>
      <c r="AB83" s="122">
        <v>1499.9999999989695</v>
      </c>
      <c r="AC83" s="122">
        <v>1000.0000000020035</v>
      </c>
      <c r="AD83" s="122">
        <v>1499.9999999989695</v>
      </c>
      <c r="AE83" s="122">
        <v>5833.8084378556532</v>
      </c>
      <c r="AF83" s="122">
        <v>383.99998474121207</v>
      </c>
      <c r="AG83" s="122">
        <v>17308.82213588354</v>
      </c>
      <c r="AH83" s="122">
        <v>4872.0705343291811</v>
      </c>
      <c r="AI83" s="122">
        <v>8333.3500000013719</v>
      </c>
      <c r="AJ83" s="122">
        <v>38999.999998983862</v>
      </c>
      <c r="AK83" s="122">
        <v>15864.246446422745</v>
      </c>
      <c r="AL83" s="122">
        <v>13549.228944245171</v>
      </c>
      <c r="AM83" s="122">
        <v>24160.880683189993</v>
      </c>
      <c r="AN83" s="122">
        <v>6028.0154178802886</v>
      </c>
      <c r="AO83" s="122">
        <v>2555.9999999997071</v>
      </c>
      <c r="AP83" s="122">
        <v>378.87777777775057</v>
      </c>
      <c r="AQ83" s="122">
        <v>1764.1683857862895</v>
      </c>
      <c r="AR83" s="122">
        <v>7342.6694605114535</v>
      </c>
      <c r="AS83" s="122">
        <v>33105.778642042722</v>
      </c>
      <c r="AT83" s="122">
        <v>108224.32696476112</v>
      </c>
      <c r="AU83" s="122">
        <v>108559.38680056541</v>
      </c>
      <c r="AV83" s="122">
        <v>118276.12203888742</v>
      </c>
      <c r="AW83" s="122">
        <v>4657.6978512327078</v>
      </c>
      <c r="AX83" s="122">
        <v>43657.099783064266</v>
      </c>
      <c r="AY83" s="122">
        <v>2767.4208144793188</v>
      </c>
      <c r="AZ83" s="122">
        <v>471.00000739097749</v>
      </c>
      <c r="BA83" s="122">
        <v>1862.041030311269</v>
      </c>
      <c r="BB83" s="122">
        <v>2166.6666666676529</v>
      </c>
      <c r="BC83" s="122">
        <v>16199.999998970494</v>
      </c>
      <c r="BD83" s="122">
        <v>1219.3480142319977</v>
      </c>
      <c r="BE83" s="122">
        <v>1148.0882039113417</v>
      </c>
      <c r="BF83" s="122">
        <v>916.68333333291218</v>
      </c>
      <c r="BG83" s="122">
        <v>12296.800000006155</v>
      </c>
    </row>
    <row r="84" spans="1:59" x14ac:dyDescent="0.25">
      <c r="A84" s="1">
        <v>38717.999305555553</v>
      </c>
      <c r="B84" s="3">
        <v>2494.0200000010741</v>
      </c>
      <c r="C84" s="3">
        <v>3493.7000000005241</v>
      </c>
      <c r="D84" s="3">
        <v>4522.2400000005764</v>
      </c>
      <c r="E84" s="3">
        <v>10740.699999997816</v>
      </c>
      <c r="F84" s="3">
        <v>1993.3600000002282</v>
      </c>
      <c r="G84" s="3">
        <v>4668.8200000030756</v>
      </c>
      <c r="H84" s="3">
        <v>567.99999999993486</v>
      </c>
      <c r="I84" s="3">
        <v>4166.6500000021297</v>
      </c>
      <c r="J84" s="3">
        <v>4166.6500000021233</v>
      </c>
      <c r="K84" s="3">
        <v>18766.433776573598</v>
      </c>
      <c r="L84" s="3">
        <v>1800.0000000000007</v>
      </c>
      <c r="M84" s="3">
        <v>7318.3999999991938</v>
      </c>
      <c r="N84" s="3">
        <v>27833.120000031842</v>
      </c>
      <c r="O84" s="122">
        <v>23975.600000011007</v>
      </c>
      <c r="P84" s="122">
        <v>1346.7400000006844</v>
      </c>
      <c r="Q84" s="122">
        <v>0</v>
      </c>
      <c r="R84" s="122">
        <v>4588.9400000008773</v>
      </c>
      <c r="S84" s="122">
        <v>3183.3799999986809</v>
      </c>
      <c r="T84" s="122">
        <v>1008.9400000003277</v>
      </c>
      <c r="U84" s="122">
        <v>419.22999999996358</v>
      </c>
      <c r="V84" s="122">
        <v>11479.940000005454</v>
      </c>
      <c r="W84" s="122">
        <v>1499.983333332802</v>
      </c>
      <c r="X84" s="122">
        <v>1416.6499999990267</v>
      </c>
      <c r="Y84" s="122">
        <v>541.66666666660728</v>
      </c>
      <c r="Z84" s="122">
        <v>333.3333333334636</v>
      </c>
      <c r="AA84" s="122">
        <v>1000.0000000020067</v>
      </c>
      <c r="AB84" s="122">
        <v>1499.999999998952</v>
      </c>
      <c r="AC84" s="122">
        <v>1000.0000000020067</v>
      </c>
      <c r="AD84" s="122">
        <v>1499.999999998952</v>
      </c>
      <c r="AE84" s="122">
        <v>5966.362599771267</v>
      </c>
      <c r="AF84" s="122">
        <v>334.99998474121088</v>
      </c>
      <c r="AG84" s="122">
        <v>17723.869989574381</v>
      </c>
      <c r="AH84" s="122">
        <v>4852.275253283231</v>
      </c>
      <c r="AI84" s="122">
        <v>8333.3500000013701</v>
      </c>
      <c r="AJ84" s="122">
        <v>38999.999998983854</v>
      </c>
      <c r="AK84" s="122">
        <v>15864.246446422736</v>
      </c>
      <c r="AL84" s="122">
        <v>13583.629893236874</v>
      </c>
      <c r="AM84" s="122">
        <v>24160.880683189986</v>
      </c>
      <c r="AN84" s="122">
        <v>6274.3254677063387</v>
      </c>
      <c r="AO84" s="122">
        <v>2625.9999999996985</v>
      </c>
      <c r="AP84" s="122">
        <v>378.87777777775057</v>
      </c>
      <c r="AQ84" s="122">
        <v>2050.6155242465093</v>
      </c>
      <c r="AR84" s="122">
        <v>8652.1510040792455</v>
      </c>
      <c r="AS84" s="122">
        <v>33119.26666579811</v>
      </c>
      <c r="AT84" s="122">
        <v>110307.10096156233</v>
      </c>
      <c r="AU84" s="122">
        <v>110648.60901407487</v>
      </c>
      <c r="AV84" s="122">
        <v>120552.34253693985</v>
      </c>
      <c r="AW84" s="122">
        <v>4644.9719008194943</v>
      </c>
      <c r="AX84" s="122">
        <v>42836.418274598043</v>
      </c>
      <c r="AY84" s="122">
        <v>2982.8054298639113</v>
      </c>
      <c r="AZ84" s="122">
        <v>580.0000151395808</v>
      </c>
      <c r="BA84" s="122">
        <v>1827.0377284617332</v>
      </c>
      <c r="BB84" s="122">
        <v>2166.6666666676529</v>
      </c>
      <c r="BC84" s="122">
        <v>16199.99999897049</v>
      </c>
      <c r="BD84" s="122">
        <v>1219.3480142319981</v>
      </c>
      <c r="BE84" s="122">
        <v>1126.5060382677179</v>
      </c>
      <c r="BF84" s="122">
        <v>916.6833333329123</v>
      </c>
      <c r="BG84" s="122">
        <v>12296.800000006155</v>
      </c>
    </row>
    <row r="85" spans="1:59" x14ac:dyDescent="0.25">
      <c r="A85" s="1">
        <v>39082.999305555553</v>
      </c>
      <c r="B85" s="3">
        <v>2494.0200000010741</v>
      </c>
      <c r="C85" s="3">
        <v>3493.7000000005241</v>
      </c>
      <c r="D85" s="3">
        <v>4522.2400000005764</v>
      </c>
      <c r="E85" s="3">
        <v>10740.699999997816</v>
      </c>
      <c r="F85" s="3">
        <v>1993.3600000002282</v>
      </c>
      <c r="G85" s="3">
        <v>4668.8200000030756</v>
      </c>
      <c r="H85" s="3">
        <v>549.99999999993702</v>
      </c>
      <c r="I85" s="3">
        <v>4166.6500000021297</v>
      </c>
      <c r="J85" s="3">
        <v>4166.6500000021233</v>
      </c>
      <c r="K85" s="3">
        <v>18088.798737883884</v>
      </c>
      <c r="L85" s="3">
        <v>1799.9999999999991</v>
      </c>
      <c r="M85" s="3">
        <v>7318.3999999991938</v>
      </c>
      <c r="N85" s="3">
        <v>27833.120000031842</v>
      </c>
      <c r="O85" s="122">
        <v>23975.600000011007</v>
      </c>
      <c r="P85" s="122">
        <v>1346.7400000006844</v>
      </c>
      <c r="Q85" s="122">
        <v>0</v>
      </c>
      <c r="R85" s="122">
        <v>4588.9400000008773</v>
      </c>
      <c r="S85" s="122">
        <v>3183.3799999986809</v>
      </c>
      <c r="T85" s="122">
        <v>1008.9400000003277</v>
      </c>
      <c r="U85" s="122">
        <v>419.22999999996358</v>
      </c>
      <c r="V85" s="122">
        <v>11479.940000005454</v>
      </c>
      <c r="W85" s="122">
        <v>1499.983333332802</v>
      </c>
      <c r="X85" s="122">
        <v>1416.6499999990267</v>
      </c>
      <c r="Y85" s="122">
        <v>541.66666666660728</v>
      </c>
      <c r="Z85" s="122">
        <v>333.3333333334636</v>
      </c>
      <c r="AA85" s="122">
        <v>1000.0000000020067</v>
      </c>
      <c r="AB85" s="122">
        <v>1499.999999998952</v>
      </c>
      <c r="AC85" s="122">
        <v>1000.0000000020067</v>
      </c>
      <c r="AD85" s="122">
        <v>1499.999999998952</v>
      </c>
      <c r="AE85" s="122">
        <v>5718.3580387678676</v>
      </c>
      <c r="AF85" s="122">
        <v>453.61919403076098</v>
      </c>
      <c r="AG85" s="122">
        <v>16960.106130956094</v>
      </c>
      <c r="AH85" s="122">
        <v>4796.6853510579513</v>
      </c>
      <c r="AI85" s="122">
        <v>8333.3500000013701</v>
      </c>
      <c r="AJ85" s="122">
        <v>38999.999998983854</v>
      </c>
      <c r="AK85" s="122">
        <v>15864.246446422714</v>
      </c>
      <c r="AL85" s="122">
        <v>13088.967971528748</v>
      </c>
      <c r="AM85" s="122">
        <v>24160.880683189996</v>
      </c>
      <c r="AN85" s="122">
        <v>6058.0990880880445</v>
      </c>
      <c r="AO85" s="122">
        <v>2147.9999999997531</v>
      </c>
      <c r="AP85" s="122">
        <v>378.87777777775057</v>
      </c>
      <c r="AQ85" s="122">
        <v>1847.5689777509731</v>
      </c>
      <c r="AR85" s="122">
        <v>2708.7015514439527</v>
      </c>
      <c r="AS85" s="122">
        <v>33119.26666579811</v>
      </c>
      <c r="AT85" s="122">
        <v>105088.95396889494</v>
      </c>
      <c r="AU85" s="122">
        <v>105414.30676756083</v>
      </c>
      <c r="AV85" s="122">
        <v>114849.53792885462</v>
      </c>
      <c r="AW85" s="122">
        <v>4644.9719008195216</v>
      </c>
      <c r="AX85" s="122">
        <v>44414.651944725432</v>
      </c>
      <c r="AY85" s="122">
        <v>2760.1809954747923</v>
      </c>
      <c r="AZ85" s="122">
        <v>547.00000751018501</v>
      </c>
      <c r="BA85" s="122">
        <v>1894.3517704800693</v>
      </c>
      <c r="BB85" s="122">
        <v>2166.6666666676529</v>
      </c>
      <c r="BC85" s="122">
        <v>16199.99999897049</v>
      </c>
      <c r="BD85" s="122">
        <v>1171.2664679294735</v>
      </c>
      <c r="BE85" s="122">
        <v>1168.0102029669936</v>
      </c>
      <c r="BF85" s="122">
        <v>916.6833333329123</v>
      </c>
      <c r="BG85" s="122">
        <v>12296.800000006155</v>
      </c>
    </row>
    <row r="86" spans="1:59" x14ac:dyDescent="0.25">
      <c r="A86" s="1">
        <v>39447.999305555553</v>
      </c>
      <c r="B86" s="3">
        <v>2494.0200000010741</v>
      </c>
      <c r="C86" s="3">
        <v>3493.7000000005241</v>
      </c>
      <c r="D86" s="3">
        <v>4522.2400000005764</v>
      </c>
      <c r="E86" s="3">
        <v>10740.699999997816</v>
      </c>
      <c r="F86" s="3">
        <v>1993.3600000002282</v>
      </c>
      <c r="G86" s="3">
        <v>4668.8200000030756</v>
      </c>
      <c r="H86" s="3">
        <v>575.99999999993383</v>
      </c>
      <c r="I86" s="3">
        <v>4166.6500000021297</v>
      </c>
      <c r="J86" s="3">
        <v>4166.6500000021233</v>
      </c>
      <c r="K86" s="3">
        <v>19172.113289758137</v>
      </c>
      <c r="L86" s="3">
        <v>1799.9999999999989</v>
      </c>
      <c r="M86" s="3">
        <v>7318.3999999991938</v>
      </c>
      <c r="N86" s="3">
        <v>27833.120000031842</v>
      </c>
      <c r="O86" s="122">
        <v>23975.600000011007</v>
      </c>
      <c r="P86" s="122">
        <v>1346.7400000006844</v>
      </c>
      <c r="Q86" s="122">
        <v>0</v>
      </c>
      <c r="R86" s="122">
        <v>4588.9400000008773</v>
      </c>
      <c r="S86" s="122">
        <v>3183.3799999986809</v>
      </c>
      <c r="T86" s="122">
        <v>1008.9400000003277</v>
      </c>
      <c r="U86" s="122">
        <v>419.22999999996358</v>
      </c>
      <c r="V86" s="122">
        <v>11479.940000005454</v>
      </c>
      <c r="W86" s="122">
        <v>1499.983333332802</v>
      </c>
      <c r="X86" s="122">
        <v>1416.6499999990267</v>
      </c>
      <c r="Y86" s="122">
        <v>541.66666666660728</v>
      </c>
      <c r="Z86" s="122">
        <v>333.3333333334636</v>
      </c>
      <c r="AA86" s="122">
        <v>1000.0000000020067</v>
      </c>
      <c r="AB86" s="122">
        <v>1499.999999998952</v>
      </c>
      <c r="AC86" s="122">
        <v>1000.0000000020067</v>
      </c>
      <c r="AD86" s="122">
        <v>1499.999999998952</v>
      </c>
      <c r="AE86" s="122">
        <v>5933.5803876846066</v>
      </c>
      <c r="AF86" s="122">
        <v>1039.0000076293925</v>
      </c>
      <c r="AG86" s="122">
        <v>17727.660380932291</v>
      </c>
      <c r="AH86" s="122">
        <v>4997.725803394721</v>
      </c>
      <c r="AI86" s="122">
        <v>8333.3500000013701</v>
      </c>
      <c r="AJ86" s="122">
        <v>38999.999998983854</v>
      </c>
      <c r="AK86" s="122">
        <v>15864.246446422741</v>
      </c>
      <c r="AL86" s="122">
        <v>13716.488730722038</v>
      </c>
      <c r="AM86" s="122">
        <v>24160.88068318996</v>
      </c>
      <c r="AN86" s="122">
        <v>6456.7077183408937</v>
      </c>
      <c r="AO86" s="122">
        <v>2599.9999999997003</v>
      </c>
      <c r="AP86" s="122">
        <v>378.87777777775057</v>
      </c>
      <c r="AQ86" s="122">
        <v>1857.6562387788465</v>
      </c>
      <c r="AR86" s="122">
        <v>3338.5705188414454</v>
      </c>
      <c r="AS86" s="122">
        <v>33119.26666579811</v>
      </c>
      <c r="AT86" s="122">
        <v>107082.64269684104</v>
      </c>
      <c r="AU86" s="122">
        <v>107414.16790642835</v>
      </c>
      <c r="AV86" s="122">
        <v>117028.39898447295</v>
      </c>
      <c r="AW86" s="122">
        <v>4644.9719008194943</v>
      </c>
      <c r="AX86" s="122">
        <v>44757.128651143117</v>
      </c>
      <c r="AY86" s="122">
        <v>3142.0814479634382</v>
      </c>
      <c r="AZ86" s="122">
        <v>737.00000762939203</v>
      </c>
      <c r="BA86" s="122">
        <v>1908.9589175980527</v>
      </c>
      <c r="BB86" s="122">
        <v>2166.6666666676529</v>
      </c>
      <c r="BC86" s="122">
        <v>16199.99999897049</v>
      </c>
      <c r="BD86" s="122">
        <v>1238.5806327530067</v>
      </c>
      <c r="BE86" s="122">
        <v>1177.0166067067371</v>
      </c>
      <c r="BF86" s="122">
        <v>916.6833333329123</v>
      </c>
      <c r="BG86" s="122">
        <v>12296.800000006155</v>
      </c>
    </row>
    <row r="87" spans="1:59" x14ac:dyDescent="0.25">
      <c r="A87" s="1">
        <v>39813.999305555553</v>
      </c>
      <c r="B87" s="3">
        <v>2494.0200000010741</v>
      </c>
      <c r="C87" s="3">
        <v>3493.7000000005241</v>
      </c>
      <c r="D87" s="3">
        <v>4522.2400000005764</v>
      </c>
      <c r="E87" s="3">
        <v>10740.699999997816</v>
      </c>
      <c r="F87" s="3">
        <v>1993.3600000002282</v>
      </c>
      <c r="G87" s="3">
        <v>4668.8200000030765</v>
      </c>
      <c r="H87" s="3">
        <v>509.99999999994151</v>
      </c>
      <c r="I87" s="3">
        <v>4166.6500000021306</v>
      </c>
      <c r="J87" s="3">
        <v>4166.6500000021233</v>
      </c>
      <c r="K87" s="3">
        <v>16993.464052285613</v>
      </c>
      <c r="L87" s="3">
        <v>1799.9999999999995</v>
      </c>
      <c r="M87" s="3">
        <v>7318.3999999991929</v>
      </c>
      <c r="N87" s="3">
        <v>27833.120000031842</v>
      </c>
      <c r="O87" s="122">
        <v>23975.600000011007</v>
      </c>
      <c r="P87" s="122">
        <v>1346.7400000006844</v>
      </c>
      <c r="Q87" s="122">
        <v>0</v>
      </c>
      <c r="R87" s="122">
        <v>4588.9400000008773</v>
      </c>
      <c r="S87" s="122">
        <v>3183.3799999986809</v>
      </c>
      <c r="T87" s="122">
        <v>1008.9400000003277</v>
      </c>
      <c r="U87" s="122">
        <v>419.22999999996358</v>
      </c>
      <c r="V87" s="122">
        <v>11479.940000005452</v>
      </c>
      <c r="W87" s="122">
        <v>1499.9833333328022</v>
      </c>
      <c r="X87" s="122">
        <v>1416.6499999990265</v>
      </c>
      <c r="Y87" s="122">
        <v>541.6666666666074</v>
      </c>
      <c r="Z87" s="122">
        <v>333.33333333346354</v>
      </c>
      <c r="AA87" s="122">
        <v>1000.0000000020035</v>
      </c>
      <c r="AB87" s="122">
        <v>1499.9999999989695</v>
      </c>
      <c r="AC87" s="122">
        <v>1000.0000000020035</v>
      </c>
      <c r="AD87" s="122">
        <v>1499.9999999989695</v>
      </c>
      <c r="AE87" s="122">
        <v>5564.4241733174895</v>
      </c>
      <c r="AF87" s="122">
        <v>352.85157966613758</v>
      </c>
      <c r="AG87" s="122">
        <v>16954.420543919208</v>
      </c>
      <c r="AH87" s="122">
        <v>4815.6924304852773</v>
      </c>
      <c r="AI87" s="122">
        <v>8333.3500000013719</v>
      </c>
      <c r="AJ87" s="122">
        <v>38999.999998983862</v>
      </c>
      <c r="AK87" s="122">
        <v>15864.24644642272</v>
      </c>
      <c r="AL87" s="122">
        <v>12103.2028469737</v>
      </c>
      <c r="AM87" s="122">
        <v>24160.880683190007</v>
      </c>
      <c r="AN87" s="122">
        <v>5734.6996333546094</v>
      </c>
      <c r="AO87" s="122">
        <v>2533.9999999997076</v>
      </c>
      <c r="AP87" s="122">
        <v>378.87777777775057</v>
      </c>
      <c r="AQ87" s="122">
        <v>1652.3770547269419</v>
      </c>
      <c r="AR87" s="122">
        <v>4584.2565101380824</v>
      </c>
      <c r="AS87" s="122">
        <v>33105.778642042722</v>
      </c>
      <c r="AT87" s="122">
        <v>95591.340709203287</v>
      </c>
      <c r="AU87" s="122">
        <v>95887.289132451697</v>
      </c>
      <c r="AV87" s="122">
        <v>104469.79340665239</v>
      </c>
      <c r="AW87" s="122">
        <v>4657.6978512327032</v>
      </c>
      <c r="AX87" s="122">
        <v>44026.406461874125</v>
      </c>
      <c r="AY87" s="122">
        <v>3134.8416289589159</v>
      </c>
      <c r="AZ87" s="122">
        <v>528.99999999999932</v>
      </c>
      <c r="BA87" s="122">
        <v>1877.7925161435605</v>
      </c>
      <c r="BB87" s="122">
        <v>2166.6666666676529</v>
      </c>
      <c r="BC87" s="122">
        <v>16199.999998970494</v>
      </c>
      <c r="BD87" s="122">
        <v>1098.1825175496385</v>
      </c>
      <c r="BE87" s="122">
        <v>1157.8001784509706</v>
      </c>
      <c r="BF87" s="122">
        <v>916.68333333291218</v>
      </c>
      <c r="BG87" s="122">
        <v>12296.800000006155</v>
      </c>
    </row>
    <row r="88" spans="1:59" x14ac:dyDescent="0.25">
      <c r="A88" s="1">
        <v>40178.999305555553</v>
      </c>
      <c r="B88" s="3">
        <v>1951.9283896151242</v>
      </c>
      <c r="C88" s="3">
        <v>3493.7000000005241</v>
      </c>
      <c r="D88" s="3">
        <v>4522.2400000005764</v>
      </c>
      <c r="E88" s="3">
        <v>10740.699999997816</v>
      </c>
      <c r="F88" s="3">
        <v>1993.3600000002282</v>
      </c>
      <c r="G88" s="3">
        <v>4668.8200000030756</v>
      </c>
      <c r="H88" s="3">
        <v>565.99999999993508</v>
      </c>
      <c r="I88" s="3">
        <v>4166.6500000021297</v>
      </c>
      <c r="J88" s="3">
        <v>4166.6500000021233</v>
      </c>
      <c r="K88" s="3">
        <v>18776.951393582076</v>
      </c>
      <c r="L88" s="3">
        <v>1799.9999999999995</v>
      </c>
      <c r="M88" s="3">
        <v>7318.3999999991938</v>
      </c>
      <c r="N88" s="3">
        <v>27833.120000031842</v>
      </c>
      <c r="O88" s="122">
        <v>23975.600000011007</v>
      </c>
      <c r="P88" s="122">
        <v>1346.7400000006844</v>
      </c>
      <c r="Q88" s="122">
        <v>542.09161038595607</v>
      </c>
      <c r="R88" s="122">
        <v>4588.9400000008773</v>
      </c>
      <c r="S88" s="122">
        <v>3183.3799999986809</v>
      </c>
      <c r="T88" s="122">
        <v>1008.9400000003277</v>
      </c>
      <c r="U88" s="122">
        <v>419.22999999996358</v>
      </c>
      <c r="V88" s="122">
        <v>11479.940000005454</v>
      </c>
      <c r="W88" s="122">
        <v>1499.983333332802</v>
      </c>
      <c r="X88" s="122">
        <v>1416.6499999990267</v>
      </c>
      <c r="Y88" s="122">
        <v>541.66666666660728</v>
      </c>
      <c r="Z88" s="122">
        <v>333.3333333334636</v>
      </c>
      <c r="AA88" s="122">
        <v>1000.0000000020067</v>
      </c>
      <c r="AB88" s="122">
        <v>1499.999999998952</v>
      </c>
      <c r="AC88" s="122">
        <v>1000.0000000020067</v>
      </c>
      <c r="AD88" s="122">
        <v>1499.999999998952</v>
      </c>
      <c r="AE88" s="122">
        <v>5895.0969213220087</v>
      </c>
      <c r="AF88" s="122">
        <v>357.99999999999881</v>
      </c>
      <c r="AG88" s="122">
        <v>16807.564460801335</v>
      </c>
      <c r="AH88" s="122">
        <v>4991.8597600865251</v>
      </c>
      <c r="AI88" s="122">
        <v>8333.3500000013701</v>
      </c>
      <c r="AJ88" s="122">
        <v>38999.999998983854</v>
      </c>
      <c r="AK88" s="122">
        <v>15864.246446422741</v>
      </c>
      <c r="AL88" s="122">
        <v>13475.682087780177</v>
      </c>
      <c r="AM88" s="122">
        <v>24160.880683190007</v>
      </c>
      <c r="AN88" s="122">
        <v>5738.4600921305801</v>
      </c>
      <c r="AO88" s="122">
        <v>2247.9999999997431</v>
      </c>
      <c r="AP88" s="122">
        <v>378.87777777775057</v>
      </c>
      <c r="AQ88" s="122">
        <v>1477.5150380488349</v>
      </c>
      <c r="AR88" s="122">
        <v>3142.9856319053852</v>
      </c>
      <c r="AS88" s="122">
        <v>33119.26666579811</v>
      </c>
      <c r="AT88" s="122">
        <v>105367.39688503377</v>
      </c>
      <c r="AU88" s="122">
        <v>105693.61173607109</v>
      </c>
      <c r="AV88" s="122">
        <v>115153.84241615186</v>
      </c>
      <c r="AW88" s="122">
        <v>4644.9719008194952</v>
      </c>
      <c r="AX88" s="122">
        <v>44853.400905020877</v>
      </c>
      <c r="AY88" s="122">
        <v>3033.4841628955787</v>
      </c>
      <c r="AZ88" s="122">
        <v>444.99999904632699</v>
      </c>
      <c r="BA88" s="122">
        <v>1913.0650741611705</v>
      </c>
      <c r="BB88" s="122">
        <v>2166.6666666676529</v>
      </c>
      <c r="BC88" s="122">
        <v>16199.99999897049</v>
      </c>
      <c r="BD88" s="122">
        <v>1219.3480142319981</v>
      </c>
      <c r="BE88" s="122">
        <v>1179.5483607533924</v>
      </c>
      <c r="BF88" s="122">
        <v>916.6833333329123</v>
      </c>
      <c r="BG88" s="122">
        <v>12296.800000006155</v>
      </c>
    </row>
    <row r="89" spans="1:59" x14ac:dyDescent="0.25">
      <c r="A89" s="1">
        <v>40543.999305555553</v>
      </c>
      <c r="B89" s="3">
        <v>2359.9451612914386</v>
      </c>
      <c r="C89" s="3">
        <v>3493.7000000005241</v>
      </c>
      <c r="D89" s="3">
        <v>4522.2400000005764</v>
      </c>
      <c r="E89" s="3">
        <v>10740.699999997816</v>
      </c>
      <c r="F89" s="3">
        <v>1993.3600000002282</v>
      </c>
      <c r="G89" s="3">
        <v>4668.8200000030756</v>
      </c>
      <c r="H89" s="3">
        <v>531.99999999993884</v>
      </c>
      <c r="I89" s="3">
        <v>4166.6500000021297</v>
      </c>
      <c r="J89" s="3">
        <v>4166.6500000021233</v>
      </c>
      <c r="K89" s="3">
        <v>17607.993388924431</v>
      </c>
      <c r="L89" s="3">
        <v>1799.9999999999995</v>
      </c>
      <c r="M89" s="3">
        <v>7318.3999999991938</v>
      </c>
      <c r="N89" s="3">
        <v>27833.120000031842</v>
      </c>
      <c r="O89" s="122">
        <v>23975.600000011007</v>
      </c>
      <c r="P89" s="122">
        <v>1346.7400000006844</v>
      </c>
      <c r="Q89" s="122">
        <v>134.07483870963742</v>
      </c>
      <c r="R89" s="122">
        <v>4588.9400000008773</v>
      </c>
      <c r="S89" s="122">
        <v>3183.3799999986809</v>
      </c>
      <c r="T89" s="122">
        <v>1008.9400000003277</v>
      </c>
      <c r="U89" s="122">
        <v>419.22999999996358</v>
      </c>
      <c r="V89" s="122">
        <v>11479.940000005454</v>
      </c>
      <c r="W89" s="122">
        <v>1499.983333332802</v>
      </c>
      <c r="X89" s="122">
        <v>1416.6499999990267</v>
      </c>
      <c r="Y89" s="122">
        <v>541.66666666660728</v>
      </c>
      <c r="Z89" s="122">
        <v>333.3333333334636</v>
      </c>
      <c r="AA89" s="122">
        <v>1000.0000000020067</v>
      </c>
      <c r="AB89" s="122">
        <v>1499.999999998952</v>
      </c>
      <c r="AC89" s="122">
        <v>1000.0000000020067</v>
      </c>
      <c r="AD89" s="122">
        <v>1499.999999998952</v>
      </c>
      <c r="AE89" s="122">
        <v>5477.4800456094026</v>
      </c>
      <c r="AF89" s="122">
        <v>600.4767456054692</v>
      </c>
      <c r="AG89" s="122">
        <v>17389.703375015761</v>
      </c>
      <c r="AH89" s="122">
        <v>4554.5406363307929</v>
      </c>
      <c r="AI89" s="122">
        <v>8333.3500000013701</v>
      </c>
      <c r="AJ89" s="122">
        <v>38999.999998983854</v>
      </c>
      <c r="AK89" s="122">
        <v>15864.246446422732</v>
      </c>
      <c r="AL89" s="122">
        <v>12691.577698693674</v>
      </c>
      <c r="AM89" s="122">
        <v>24160.880683190007</v>
      </c>
      <c r="AN89" s="122">
        <v>5819.3099558139402</v>
      </c>
      <c r="AO89" s="122">
        <v>2351.9999999997294</v>
      </c>
      <c r="AP89" s="122">
        <v>378.87777777775057</v>
      </c>
      <c r="AQ89" s="122">
        <v>1649.3560056948781</v>
      </c>
      <c r="AR89" s="122">
        <v>5416.2673132195087</v>
      </c>
      <c r="AS89" s="122">
        <v>33119.26666579811</v>
      </c>
      <c r="AT89" s="122">
        <v>99782.286134308422</v>
      </c>
      <c r="AU89" s="122">
        <v>100091.20962079235</v>
      </c>
      <c r="AV89" s="122">
        <v>109049.99072882644</v>
      </c>
      <c r="AW89" s="122">
        <v>4644.9719008194988</v>
      </c>
      <c r="AX89" s="122">
        <v>45966.055642460655</v>
      </c>
      <c r="AY89" s="122">
        <v>2830.7692307689044</v>
      </c>
      <c r="AZ89" s="122">
        <v>499.00000381469664</v>
      </c>
      <c r="BA89" s="122">
        <v>1960.5214737840986</v>
      </c>
      <c r="BB89" s="122">
        <v>2166.6666666676529</v>
      </c>
      <c r="BC89" s="122">
        <v>16199.99999897049</v>
      </c>
      <c r="BD89" s="122">
        <v>1142.4175401479595</v>
      </c>
      <c r="BE89" s="122">
        <v>1208.8087968663804</v>
      </c>
      <c r="BF89" s="122">
        <v>916.6833333329123</v>
      </c>
      <c r="BG89" s="122">
        <v>12296.800000006155</v>
      </c>
    </row>
    <row r="90" spans="1:59" x14ac:dyDescent="0.25">
      <c r="A90" s="1">
        <v>40908.999305555553</v>
      </c>
      <c r="B90" s="3">
        <v>2329.8987096783067</v>
      </c>
      <c r="C90" s="3">
        <v>3493.7000000005241</v>
      </c>
      <c r="D90" s="3">
        <v>4522.2400000005764</v>
      </c>
      <c r="E90" s="3">
        <v>10740.699999997816</v>
      </c>
      <c r="F90" s="3">
        <v>1993.3600000002282</v>
      </c>
      <c r="G90" s="3">
        <v>4668.8200000030756</v>
      </c>
      <c r="H90" s="3">
        <v>563.99999999993486</v>
      </c>
      <c r="I90" s="3">
        <v>4166.6500000021297</v>
      </c>
      <c r="J90" s="3">
        <v>4166.6500000021233</v>
      </c>
      <c r="K90" s="3">
        <v>18677.785290359207</v>
      </c>
      <c r="L90" s="3">
        <v>1799.9999999999995</v>
      </c>
      <c r="M90" s="3">
        <v>7318.3999999991938</v>
      </c>
      <c r="N90" s="3">
        <v>27833.120000031842</v>
      </c>
      <c r="O90" s="122">
        <v>23975.600000011007</v>
      </c>
      <c r="P90" s="122">
        <v>1346.7400000006844</v>
      </c>
      <c r="Q90" s="122">
        <v>164.12129032276923</v>
      </c>
      <c r="R90" s="122">
        <v>4588.9400000008773</v>
      </c>
      <c r="S90" s="122">
        <v>3183.3799999986809</v>
      </c>
      <c r="T90" s="122">
        <v>1008.9400000003277</v>
      </c>
      <c r="U90" s="122">
        <v>419.22999999996358</v>
      </c>
      <c r="V90" s="122">
        <v>11479.940000005454</v>
      </c>
      <c r="W90" s="122">
        <v>1499.983333332802</v>
      </c>
      <c r="X90" s="122">
        <v>1416.6499999990267</v>
      </c>
      <c r="Y90" s="122">
        <v>541.66666666660728</v>
      </c>
      <c r="Z90" s="122">
        <v>333.3333333334636</v>
      </c>
      <c r="AA90" s="122">
        <v>1000.0000000020067</v>
      </c>
      <c r="AB90" s="122">
        <v>1499.999999998952</v>
      </c>
      <c r="AC90" s="122">
        <v>1000.0000000020067</v>
      </c>
      <c r="AD90" s="122">
        <v>1499.999999998952</v>
      </c>
      <c r="AE90" s="122">
        <v>5580.1026225763253</v>
      </c>
      <c r="AF90" s="122">
        <v>349.99999994039581</v>
      </c>
      <c r="AG90" s="122">
        <v>17752.297924758688</v>
      </c>
      <c r="AH90" s="122">
        <v>4677.0496815169217</v>
      </c>
      <c r="AI90" s="122">
        <v>8333.3500000013701</v>
      </c>
      <c r="AJ90" s="122">
        <v>38999.999998983854</v>
      </c>
      <c r="AK90" s="122">
        <v>15864.246446422756</v>
      </c>
      <c r="AL90" s="122">
        <v>13451.957295372116</v>
      </c>
      <c r="AM90" s="122">
        <v>24160.880683190007</v>
      </c>
      <c r="AN90" s="122">
        <v>5885.117984393416</v>
      </c>
      <c r="AO90" s="122">
        <v>2341.9999999997322</v>
      </c>
      <c r="AP90" s="122">
        <v>378.87777777775057</v>
      </c>
      <c r="AQ90" s="122">
        <v>1523.8537191859696</v>
      </c>
      <c r="AR90" s="122">
        <v>3445.4932036626092</v>
      </c>
      <c r="AS90" s="122">
        <v>33119.26666579811</v>
      </c>
      <c r="AT90" s="122">
        <v>105198.40714940082</v>
      </c>
      <c r="AU90" s="122">
        <v>105524.0988124017</v>
      </c>
      <c r="AV90" s="122">
        <v>114969.15703943773</v>
      </c>
      <c r="AW90" s="122">
        <v>4644.9719008194916</v>
      </c>
      <c r="AX90" s="122">
        <v>45356.857445791509</v>
      </c>
      <c r="AY90" s="122">
        <v>2888.6877828050992</v>
      </c>
      <c r="AZ90" s="122">
        <v>419.00000000000006</v>
      </c>
      <c r="BA90" s="122">
        <v>1934.5382535650206</v>
      </c>
      <c r="BB90" s="122">
        <v>2166.6666666676529</v>
      </c>
      <c r="BC90" s="122">
        <v>16199.99999897049</v>
      </c>
      <c r="BD90" s="122">
        <v>1213.578228675696</v>
      </c>
      <c r="BE90" s="122">
        <v>1192.7881892924595</v>
      </c>
      <c r="BF90" s="122">
        <v>916.6833333329123</v>
      </c>
      <c r="BG90" s="122">
        <v>12296.800000006155</v>
      </c>
    </row>
    <row r="91" spans="1:59" x14ac:dyDescent="0.25">
      <c r="A91" s="1">
        <v>41274.999305555553</v>
      </c>
      <c r="B91" s="3">
        <v>1488.1793026030678</v>
      </c>
      <c r="C91" s="3">
        <v>3493.7000000005241</v>
      </c>
      <c r="D91" s="3">
        <v>4522.2400000005764</v>
      </c>
      <c r="E91" s="3">
        <v>10740.699999997816</v>
      </c>
      <c r="F91" s="3">
        <v>1993.3600000002282</v>
      </c>
      <c r="G91" s="3">
        <v>4668.8200000030765</v>
      </c>
      <c r="H91" s="3">
        <v>603.9999999999302</v>
      </c>
      <c r="I91" s="3">
        <v>4166.6500000021306</v>
      </c>
      <c r="J91" s="3">
        <v>4166.6500000021233</v>
      </c>
      <c r="K91" s="3">
        <v>20136.729021108047</v>
      </c>
      <c r="L91" s="3">
        <v>1799.9999999999995</v>
      </c>
      <c r="M91" s="3">
        <v>7318.3999999991929</v>
      </c>
      <c r="N91" s="3">
        <v>27833.120000031842</v>
      </c>
      <c r="O91" s="122">
        <v>23975.600000011007</v>
      </c>
      <c r="P91" s="122">
        <v>1346.7400000006844</v>
      </c>
      <c r="Q91" s="122">
        <v>1005.8406973980087</v>
      </c>
      <c r="R91" s="122">
        <v>4588.9400000008773</v>
      </c>
      <c r="S91" s="122">
        <v>3183.3799999986809</v>
      </c>
      <c r="T91" s="122">
        <v>1008.9400000003277</v>
      </c>
      <c r="U91" s="122">
        <v>419.22999999996358</v>
      </c>
      <c r="V91" s="122">
        <v>11479.940000005452</v>
      </c>
      <c r="W91" s="122">
        <v>1499.9833333328022</v>
      </c>
      <c r="X91" s="122">
        <v>1416.6499999990265</v>
      </c>
      <c r="Y91" s="122">
        <v>541.6666666666074</v>
      </c>
      <c r="Z91" s="122">
        <v>333.33333333346354</v>
      </c>
      <c r="AA91" s="122">
        <v>963.56562825254764</v>
      </c>
      <c r="AB91" s="122">
        <v>1499.9999999989695</v>
      </c>
      <c r="AC91" s="122">
        <v>1000.0000000020035</v>
      </c>
      <c r="AD91" s="122">
        <v>1499.9999999989695</v>
      </c>
      <c r="AE91" s="122">
        <v>6513.6830102615122</v>
      </c>
      <c r="AF91" s="122">
        <v>190.99999898672081</v>
      </c>
      <c r="AG91" s="122">
        <v>20155.884770674136</v>
      </c>
      <c r="AH91" s="122">
        <v>5481.862284648083</v>
      </c>
      <c r="AI91" s="122">
        <v>8333.3500000013719</v>
      </c>
      <c r="AJ91" s="122">
        <v>38999.999998983862</v>
      </c>
      <c r="AK91" s="122">
        <v>15864.246446422729</v>
      </c>
      <c r="AL91" s="122">
        <v>14436.536180306768</v>
      </c>
      <c r="AM91" s="122">
        <v>24160.880683190007</v>
      </c>
      <c r="AN91" s="122">
        <v>6342.0137256738044</v>
      </c>
      <c r="AO91" s="122">
        <v>3029.9999999996508</v>
      </c>
      <c r="AP91" s="122">
        <v>378.87777777775057</v>
      </c>
      <c r="AQ91" s="122">
        <v>1039.4440396892335</v>
      </c>
      <c r="AR91" s="122">
        <v>1176.958091126668</v>
      </c>
      <c r="AS91" s="122">
        <v>33105.778642042722</v>
      </c>
      <c r="AT91" s="122">
        <v>112211.4811648991</v>
      </c>
      <c r="AU91" s="122">
        <v>112558.88513135456</v>
      </c>
      <c r="AV91" s="122">
        <v>122633.60015854286</v>
      </c>
      <c r="AW91" s="122">
        <v>4657.6978512326959</v>
      </c>
      <c r="AX91" s="122">
        <v>49957.408594212888</v>
      </c>
      <c r="AY91" s="122">
        <v>3395.4751131217827</v>
      </c>
      <c r="AZ91" s="122">
        <v>428.99999999999949</v>
      </c>
      <c r="BA91" s="122">
        <v>2130.7586860484739</v>
      </c>
      <c r="BB91" s="122">
        <v>2166.6666666676529</v>
      </c>
      <c r="BC91" s="122">
        <v>16199.999998970494</v>
      </c>
      <c r="BD91" s="122">
        <v>1303.971535724439</v>
      </c>
      <c r="BE91" s="122">
        <v>1313.7728293908463</v>
      </c>
      <c r="BF91" s="122">
        <v>916.68333333291218</v>
      </c>
      <c r="BG91" s="122">
        <v>12296.800000006155</v>
      </c>
    </row>
    <row r="92" spans="1:59" x14ac:dyDescent="0.25">
      <c r="A92" s="1">
        <v>41639.999305555553</v>
      </c>
      <c r="B92" s="493" t="s">
        <v>678</v>
      </c>
      <c r="C92" s="493" t="s">
        <v>678</v>
      </c>
      <c r="D92" s="493" t="s">
        <v>678</v>
      </c>
      <c r="E92" s="493" t="s">
        <v>678</v>
      </c>
      <c r="F92" s="493" t="s">
        <v>678</v>
      </c>
      <c r="G92" s="493" t="s">
        <v>678</v>
      </c>
      <c r="H92" s="493" t="s">
        <v>678</v>
      </c>
      <c r="I92" s="493" t="s">
        <v>678</v>
      </c>
      <c r="J92" s="493" t="s">
        <v>678</v>
      </c>
      <c r="K92" s="493" t="s">
        <v>678</v>
      </c>
      <c r="L92" s="493" t="s">
        <v>678</v>
      </c>
      <c r="M92" s="493" t="s">
        <v>678</v>
      </c>
      <c r="N92" s="493" t="s">
        <v>678</v>
      </c>
      <c r="O92" s="493" t="s">
        <v>678</v>
      </c>
      <c r="P92" s="493" t="s">
        <v>678</v>
      </c>
      <c r="Q92" s="493" t="s">
        <v>678</v>
      </c>
      <c r="R92" s="493" t="s">
        <v>678</v>
      </c>
      <c r="S92" s="493" t="s">
        <v>678</v>
      </c>
      <c r="T92" s="493" t="s">
        <v>678</v>
      </c>
      <c r="U92" s="493" t="s">
        <v>678</v>
      </c>
      <c r="V92" s="493" t="s">
        <v>678</v>
      </c>
      <c r="W92" s="493" t="s">
        <v>678</v>
      </c>
      <c r="X92" s="493" t="s">
        <v>678</v>
      </c>
      <c r="Y92" s="493" t="s">
        <v>678</v>
      </c>
      <c r="Z92" s="493" t="s">
        <v>678</v>
      </c>
      <c r="AA92" s="493" t="s">
        <v>678</v>
      </c>
      <c r="AB92" s="493" t="s">
        <v>678</v>
      </c>
      <c r="AC92" s="493" t="s">
        <v>678</v>
      </c>
      <c r="AD92" s="493" t="s">
        <v>678</v>
      </c>
      <c r="AE92" s="493" t="s">
        <v>678</v>
      </c>
      <c r="AF92" s="493" t="s">
        <v>678</v>
      </c>
      <c r="AG92" s="493" t="s">
        <v>678</v>
      </c>
      <c r="AH92" s="493" t="s">
        <v>678</v>
      </c>
      <c r="AI92" s="493" t="s">
        <v>678</v>
      </c>
      <c r="AJ92" s="493" t="s">
        <v>678</v>
      </c>
      <c r="AK92" s="493" t="s">
        <v>678</v>
      </c>
      <c r="AL92" s="493" t="s">
        <v>678</v>
      </c>
      <c r="AM92" s="493" t="s">
        <v>678</v>
      </c>
      <c r="AN92" s="493" t="s">
        <v>678</v>
      </c>
      <c r="AO92" s="493" t="s">
        <v>678</v>
      </c>
      <c r="AP92" s="493" t="s">
        <v>678</v>
      </c>
      <c r="AQ92" s="493" t="s">
        <v>678</v>
      </c>
      <c r="AR92" s="493" t="s">
        <v>678</v>
      </c>
      <c r="AS92" s="493" t="s">
        <v>678</v>
      </c>
      <c r="AT92" s="493" t="s">
        <v>678</v>
      </c>
      <c r="AU92" s="493" t="s">
        <v>678</v>
      </c>
      <c r="AV92" s="493" t="s">
        <v>678</v>
      </c>
      <c r="AW92" s="493" t="s">
        <v>678</v>
      </c>
      <c r="AX92" s="493" t="s">
        <v>678</v>
      </c>
      <c r="AY92" s="493" t="s">
        <v>678</v>
      </c>
      <c r="AZ92" s="493" t="s">
        <v>678</v>
      </c>
      <c r="BA92" s="493" t="s">
        <v>678</v>
      </c>
      <c r="BB92" s="493" t="s">
        <v>678</v>
      </c>
      <c r="BC92" s="493" t="s">
        <v>678</v>
      </c>
      <c r="BD92" s="493" t="s">
        <v>678</v>
      </c>
      <c r="BE92" s="493" t="s">
        <v>678</v>
      </c>
      <c r="BF92" s="493" t="s">
        <v>678</v>
      </c>
      <c r="BG92" s="493" t="s">
        <v>678</v>
      </c>
    </row>
    <row r="93" spans="1:59" x14ac:dyDescent="0.25">
      <c r="A93" s="1">
        <v>42004.999305555553</v>
      </c>
    </row>
    <row r="94" spans="1:59" x14ac:dyDescent="0.25">
      <c r="A94" s="1">
        <v>42369.999305555553</v>
      </c>
    </row>
    <row r="95" spans="1:59" x14ac:dyDescent="0.25">
      <c r="A95" s="1">
        <v>42735.999305555553</v>
      </c>
    </row>
    <row r="96" spans="1:59" x14ac:dyDescent="0.25">
      <c r="A96" s="1">
        <v>43100.999305555553</v>
      </c>
    </row>
    <row r="97" spans="1:1" x14ac:dyDescent="0.25">
      <c r="A97" s="1">
        <v>43465.999305555553</v>
      </c>
    </row>
    <row r="98" spans="1:1" x14ac:dyDescent="0.25">
      <c r="A98" s="1">
        <v>43830.999305555553</v>
      </c>
    </row>
    <row r="99" spans="1:1" x14ac:dyDescent="0.25">
      <c r="A99" s="1">
        <v>44196.999305555553</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0D6DF-76B9-4F28-812C-2796617D5BD9}">
  <sheetPr codeName="Sheet12">
    <tabColor theme="9" tint="0.59996337778862885"/>
  </sheetPr>
  <dimension ref="A1:BG99"/>
  <sheetViews>
    <sheetView zoomScale="70" zoomScaleNormal="70" workbookViewId="0">
      <selection activeCell="F3" sqref="F3"/>
    </sheetView>
  </sheetViews>
  <sheetFormatPr defaultRowHeight="15" x14ac:dyDescent="0.25"/>
  <cols>
    <col min="1" max="1" width="18.140625" bestFit="1" customWidth="1"/>
    <col min="2" max="59" width="12.7109375" style="122" customWidth="1"/>
  </cols>
  <sheetData>
    <row r="1" spans="1:59" x14ac:dyDescent="0.25">
      <c r="A1" s="124" t="s">
        <v>290</v>
      </c>
      <c r="B1" s="125">
        <f t="shared" ref="B1:AG1" ca="1" si="0">AVERAGE(OFFSET(B$8,0,0,NumRunYears-1))</f>
        <v>2494.0200000010732</v>
      </c>
      <c r="C1" s="125">
        <f t="shared" ca="1" si="0"/>
        <v>3493.7000000005291</v>
      </c>
      <c r="D1" s="125">
        <f t="shared" ca="1" si="0"/>
        <v>4522.2400000005737</v>
      </c>
      <c r="E1" s="125">
        <f t="shared" ca="1" si="0"/>
        <v>10740.699999997831</v>
      </c>
      <c r="F1" s="125">
        <f t="shared" ca="1" si="0"/>
        <v>1993.360000000228</v>
      </c>
      <c r="G1" s="125">
        <f t="shared" ca="1" si="0"/>
        <v>4668.8200000030774</v>
      </c>
      <c r="H1" s="125">
        <f t="shared" ca="1" si="0"/>
        <v>537.02380952374756</v>
      </c>
      <c r="I1" s="125">
        <f t="shared" ca="1" si="0"/>
        <v>4166.6500000021242</v>
      </c>
      <c r="J1" s="125">
        <f t="shared" ca="1" si="0"/>
        <v>4166.6500000021206</v>
      </c>
      <c r="K1" s="125">
        <f t="shared" ca="1" si="0"/>
        <v>17813.033259278669</v>
      </c>
      <c r="L1" s="125">
        <f t="shared" ca="1" si="0"/>
        <v>1800</v>
      </c>
      <c r="M1" s="125">
        <f t="shared" ca="1" si="0"/>
        <v>7318.3999999992011</v>
      </c>
      <c r="N1" s="125">
        <f t="shared" ca="1" si="0"/>
        <v>27833.120000031817</v>
      </c>
      <c r="O1" s="125">
        <f t="shared" ca="1" si="0"/>
        <v>23975.600000011029</v>
      </c>
      <c r="P1" s="125">
        <f t="shared" ca="1" si="0"/>
        <v>1346.740000000686</v>
      </c>
      <c r="Q1" s="125">
        <f t="shared" ca="1" si="0"/>
        <v>160.34463800852566</v>
      </c>
      <c r="R1" s="125">
        <f t="shared" ca="1" si="0"/>
        <v>4588.9400000008773</v>
      </c>
      <c r="S1" s="125">
        <f t="shared" ca="1" si="0"/>
        <v>3183.3799999986873</v>
      </c>
      <c r="T1" s="125">
        <f t="shared" ca="1" si="0"/>
        <v>1008.940000000327</v>
      </c>
      <c r="U1" s="125">
        <f t="shared" ca="1" si="0"/>
        <v>419.22999999996347</v>
      </c>
      <c r="V1" s="125">
        <f t="shared" ca="1" si="0"/>
        <v>11479.940000005441</v>
      </c>
      <c r="W1" s="125">
        <f t="shared" ca="1" si="0"/>
        <v>1499.9833333327997</v>
      </c>
      <c r="X1" s="125">
        <f t="shared" ca="1" si="0"/>
        <v>1416.6499999990297</v>
      </c>
      <c r="Y1" s="125">
        <f t="shared" ca="1" si="0"/>
        <v>541.6666666666066</v>
      </c>
      <c r="Z1" s="125">
        <f t="shared" ca="1" si="0"/>
        <v>333.33333333346332</v>
      </c>
      <c r="AA1" s="125">
        <f t="shared" ca="1" si="0"/>
        <v>1000.0000000020068</v>
      </c>
      <c r="AB1" s="125">
        <f t="shared" ca="1" si="0"/>
        <v>1499.9999999989561</v>
      </c>
      <c r="AC1" s="125">
        <f t="shared" ca="1" si="0"/>
        <v>1000.0000000020068</v>
      </c>
      <c r="AD1" s="125">
        <f t="shared" ca="1" si="0"/>
        <v>1499.9999999989561</v>
      </c>
      <c r="AE1" s="125">
        <f t="shared" ca="1" si="0"/>
        <v>5409.09893033548</v>
      </c>
      <c r="AF1" s="125">
        <f t="shared" ca="1" si="0"/>
        <v>331.06343895554807</v>
      </c>
      <c r="AG1" s="125">
        <f t="shared" ca="1" si="0"/>
        <v>17726.148736759798</v>
      </c>
      <c r="AH1" s="125">
        <f t="shared" ref="AH1:BG1" ca="1" si="1">AVERAGE(OFFSET(AH$8,0,0,NumRunYears-1))</f>
        <v>4582.6202883387659</v>
      </c>
      <c r="AI1" s="125">
        <f t="shared" ca="1" si="1"/>
        <v>8333.3500000013719</v>
      </c>
      <c r="AJ1" s="125">
        <f t="shared" ca="1" si="1"/>
        <v>38999.999998983898</v>
      </c>
      <c r="AK1" s="125">
        <f t="shared" ca="1" si="1"/>
        <v>15821.593278774231</v>
      </c>
      <c r="AL1" s="125">
        <f t="shared" ca="1" si="1"/>
        <v>12803.860927524935</v>
      </c>
      <c r="AM1" s="125">
        <f t="shared" ca="1" si="1"/>
        <v>24160.880683189967</v>
      </c>
      <c r="AN1" s="125">
        <f t="shared" ca="1" si="1"/>
        <v>5873.9037591150773</v>
      </c>
      <c r="AO1" s="125">
        <f t="shared" ca="1" si="1"/>
        <v>2243.4761904759325</v>
      </c>
      <c r="AP1" s="125">
        <f t="shared" ca="1" si="1"/>
        <v>378.87777777775051</v>
      </c>
      <c r="AQ1" s="125">
        <f t="shared" ca="1" si="1"/>
        <v>2250.0166666667201</v>
      </c>
      <c r="AR1" s="125">
        <f t="shared" ca="1" si="1"/>
        <v>20605.503434771566</v>
      </c>
      <c r="AS1" s="125">
        <f t="shared" ca="1" si="1"/>
        <v>33115.894659859281</v>
      </c>
      <c r="AT1" s="125">
        <f t="shared" ca="1" si="1"/>
        <v>100582.07029644481</v>
      </c>
      <c r="AU1" s="125">
        <f t="shared" ca="1" si="1"/>
        <v>100893.46989488589</v>
      </c>
      <c r="AV1" s="125">
        <f t="shared" ca="1" si="1"/>
        <v>109924.058249675</v>
      </c>
      <c r="AW1" s="125">
        <f t="shared" ca="1" si="1"/>
        <v>4648.1533884228165</v>
      </c>
      <c r="AX1" s="125">
        <f t="shared" ca="1" si="1"/>
        <v>41724.158095575738</v>
      </c>
      <c r="AY1" s="125">
        <f t="shared" ca="1" si="1"/>
        <v>2915.5354449468746</v>
      </c>
      <c r="AZ1" s="125">
        <f t="shared" ca="1" si="1"/>
        <v>540.15613724326226</v>
      </c>
      <c r="BA1" s="125">
        <f t="shared" ca="1" si="1"/>
        <v>1779.5981573493091</v>
      </c>
      <c r="BB1" s="125">
        <f t="shared" ca="1" si="1"/>
        <v>2166.6666666676492</v>
      </c>
      <c r="BC1" s="125">
        <f t="shared" ca="1" si="1"/>
        <v>16199.999998970492</v>
      </c>
      <c r="BD1" s="125">
        <f t="shared" ca="1" si="1"/>
        <v>1154.7355743911776</v>
      </c>
      <c r="BE1" s="125">
        <f t="shared" ca="1" si="1"/>
        <v>1097.2559781959044</v>
      </c>
      <c r="BF1" s="125">
        <f t="shared" ca="1" si="1"/>
        <v>916.6833333329123</v>
      </c>
      <c r="BG1" s="125">
        <f t="shared" ca="1" si="1"/>
        <v>12296.800000006129</v>
      </c>
    </row>
    <row r="2" spans="1:59" x14ac:dyDescent="0.25">
      <c r="A2" s="124" t="s">
        <v>291</v>
      </c>
      <c r="B2" s="125">
        <f t="shared" ref="B2:AG2" ca="1" si="2">MIN(OFFSET(B$8,0,0,NumRunYears-1))</f>
        <v>2494.0200000010741</v>
      </c>
      <c r="C2" s="125">
        <f t="shared" ca="1" si="2"/>
        <v>3493.7000000005241</v>
      </c>
      <c r="D2" s="125">
        <f t="shared" ca="1" si="2"/>
        <v>4522.2400000005764</v>
      </c>
      <c r="E2" s="125">
        <f t="shared" ca="1" si="2"/>
        <v>10740.699999997816</v>
      </c>
      <c r="F2" s="125">
        <f t="shared" ca="1" si="2"/>
        <v>1993.3600000002282</v>
      </c>
      <c r="G2" s="125">
        <f t="shared" ca="1" si="2"/>
        <v>4668.8200000030756</v>
      </c>
      <c r="H2" s="125">
        <f t="shared" ca="1" si="2"/>
        <v>403.99999999995333</v>
      </c>
      <c r="I2" s="125">
        <f t="shared" ca="1" si="2"/>
        <v>4166.6500000021297</v>
      </c>
      <c r="J2" s="125">
        <f t="shared" ca="1" si="2"/>
        <v>4166.6500000021233</v>
      </c>
      <c r="K2" s="125">
        <f t="shared" ca="1" si="2"/>
        <v>13160.543911049497</v>
      </c>
      <c r="L2" s="125">
        <f t="shared" ca="1" si="2"/>
        <v>1799.9999999999968</v>
      </c>
      <c r="M2" s="125">
        <f t="shared" ca="1" si="2"/>
        <v>7318.3999999991929</v>
      </c>
      <c r="N2" s="125">
        <f t="shared" ca="1" si="2"/>
        <v>27833.120000031842</v>
      </c>
      <c r="O2" s="125">
        <f t="shared" ca="1" si="2"/>
        <v>23975.600000011007</v>
      </c>
      <c r="P2" s="125">
        <f t="shared" ca="1" si="2"/>
        <v>1346.7400000006844</v>
      </c>
      <c r="Q2" s="125">
        <f t="shared" ca="1" si="2"/>
        <v>0</v>
      </c>
      <c r="R2" s="125">
        <f t="shared" ca="1" si="2"/>
        <v>4588.9400000008809</v>
      </c>
      <c r="S2" s="125">
        <f t="shared" ca="1" si="2"/>
        <v>3183.3799999986809</v>
      </c>
      <c r="T2" s="125">
        <f t="shared" ca="1" si="2"/>
        <v>1008.9400000003277</v>
      </c>
      <c r="U2" s="125">
        <f t="shared" ca="1" si="2"/>
        <v>419.22999999996358</v>
      </c>
      <c r="V2" s="125">
        <f t="shared" ca="1" si="2"/>
        <v>11479.940000005452</v>
      </c>
      <c r="W2" s="125">
        <f t="shared" ca="1" si="2"/>
        <v>1499.983333332802</v>
      </c>
      <c r="X2" s="125">
        <f t="shared" ca="1" si="2"/>
        <v>1416.6499999990265</v>
      </c>
      <c r="Y2" s="125">
        <f t="shared" ca="1" si="2"/>
        <v>541.66666666660728</v>
      </c>
      <c r="Z2" s="125">
        <f t="shared" ca="1" si="2"/>
        <v>333.33333333346354</v>
      </c>
      <c r="AA2" s="125">
        <f t="shared" ca="1" si="2"/>
        <v>1000.0000000020035</v>
      </c>
      <c r="AB2" s="125">
        <f t="shared" ca="1" si="2"/>
        <v>1499.999999998952</v>
      </c>
      <c r="AC2" s="125">
        <f t="shared" ca="1" si="2"/>
        <v>1000.0000000020035</v>
      </c>
      <c r="AD2" s="125">
        <f t="shared" ca="1" si="2"/>
        <v>1499.999999998952</v>
      </c>
      <c r="AE2" s="125">
        <f t="shared" ca="1" si="2"/>
        <v>3898.2326111740108</v>
      </c>
      <c r="AF2" s="125">
        <f t="shared" ca="1" si="2"/>
        <v>229.35117758968718</v>
      </c>
      <c r="AG2" s="125">
        <f t="shared" ca="1" si="2"/>
        <v>12733.819766889465</v>
      </c>
      <c r="AH2" s="125">
        <f t="shared" ref="AH2:BG2" ca="1" si="3">MIN(OFFSET(AH$8,0,0,NumRunYears-1))</f>
        <v>3439.999999999603</v>
      </c>
      <c r="AI2" s="125">
        <f t="shared" ca="1" si="3"/>
        <v>8333.3500000013701</v>
      </c>
      <c r="AJ2" s="125">
        <f t="shared" ca="1" si="3"/>
        <v>38999.999998983854</v>
      </c>
      <c r="AK2" s="125">
        <f t="shared" ca="1" si="3"/>
        <v>12986.000199265252</v>
      </c>
      <c r="AL2" s="125">
        <f t="shared" ca="1" si="3"/>
        <v>9587.1886120985455</v>
      </c>
      <c r="AM2" s="125">
        <f t="shared" ca="1" si="3"/>
        <v>24160.880683189946</v>
      </c>
      <c r="AN2" s="125">
        <f t="shared" ca="1" si="3"/>
        <v>4270.0009401141979</v>
      </c>
      <c r="AO2" s="125">
        <f t="shared" ca="1" si="3"/>
        <v>1397.999999999839</v>
      </c>
      <c r="AP2" s="125">
        <f t="shared" ca="1" si="3"/>
        <v>378.87777777775057</v>
      </c>
      <c r="AQ2" s="125">
        <f t="shared" ca="1" si="3"/>
        <v>2250.0166666667183</v>
      </c>
      <c r="AR2" s="125">
        <f t="shared" ca="1" si="3"/>
        <v>14142.259414224325</v>
      </c>
      <c r="AS2" s="125">
        <f t="shared" ca="1" si="3"/>
        <v>33105.778642042722</v>
      </c>
      <c r="AT2" s="125">
        <f t="shared" ca="1" si="3"/>
        <v>74413.651934701236</v>
      </c>
      <c r="AU2" s="125">
        <f t="shared" ca="1" si="3"/>
        <v>74644.034758028662</v>
      </c>
      <c r="AV2" s="125">
        <f t="shared" ca="1" si="3"/>
        <v>81325.136634518974</v>
      </c>
      <c r="AW2" s="125">
        <f t="shared" ca="1" si="3"/>
        <v>4644.9719008195216</v>
      </c>
      <c r="AX2" s="125">
        <f t="shared" ca="1" si="3"/>
        <v>28240.91329325984</v>
      </c>
      <c r="AY2" s="125">
        <f t="shared" ca="1" si="3"/>
        <v>2228.0542986422779</v>
      </c>
      <c r="AZ2" s="125">
        <f t="shared" ca="1" si="3"/>
        <v>374.20455290949059</v>
      </c>
      <c r="BA2" s="125">
        <f t="shared" ca="1" si="3"/>
        <v>1204.5174678761418</v>
      </c>
      <c r="BB2" s="125">
        <f t="shared" ca="1" si="3"/>
        <v>2166.6666666676529</v>
      </c>
      <c r="BC2" s="125">
        <f t="shared" ca="1" si="3"/>
        <v>16199.99999897049</v>
      </c>
      <c r="BD2" s="125">
        <f t="shared" ca="1" si="3"/>
        <v>855.85152418491987</v>
      </c>
      <c r="BE2" s="125">
        <f t="shared" ca="1" si="3"/>
        <v>742.67552312882458</v>
      </c>
      <c r="BF2" s="125">
        <f t="shared" ca="1" si="3"/>
        <v>916.68333333291218</v>
      </c>
      <c r="BG2" s="125">
        <f t="shared" ca="1" si="3"/>
        <v>12296.800000006155</v>
      </c>
    </row>
    <row r="3" spans="1:59" x14ac:dyDescent="0.25">
      <c r="A3" s="124" t="s">
        <v>292</v>
      </c>
      <c r="B3" s="125">
        <f t="shared" ref="B3:AG3" ca="1" si="4">MAX(OFFSET(B$8,0,0,NumRunYears-1))</f>
        <v>2494.0200000010741</v>
      </c>
      <c r="C3" s="125">
        <f t="shared" ca="1" si="4"/>
        <v>3493.7000000005241</v>
      </c>
      <c r="D3" s="125">
        <f t="shared" ca="1" si="4"/>
        <v>4522.2400000005764</v>
      </c>
      <c r="E3" s="125">
        <f t="shared" ca="1" si="4"/>
        <v>10740.699999997816</v>
      </c>
      <c r="F3" s="125">
        <f t="shared" ca="1" si="4"/>
        <v>1993.3600000002282</v>
      </c>
      <c r="G3" s="125">
        <f t="shared" ca="1" si="4"/>
        <v>4668.8200000030765</v>
      </c>
      <c r="H3" s="125">
        <f t="shared" ca="1" si="4"/>
        <v>637.99999999992576</v>
      </c>
      <c r="I3" s="125">
        <f t="shared" ca="1" si="4"/>
        <v>4166.6500000021306</v>
      </c>
      <c r="J3" s="125">
        <f t="shared" ca="1" si="4"/>
        <v>4166.6500000021233</v>
      </c>
      <c r="K3" s="125">
        <f t="shared" ca="1" si="4"/>
        <v>21005.183682666073</v>
      </c>
      <c r="L3" s="125">
        <f t="shared" ca="1" si="4"/>
        <v>1800.0000000000025</v>
      </c>
      <c r="M3" s="125">
        <f t="shared" ca="1" si="4"/>
        <v>7318.3999999991938</v>
      </c>
      <c r="N3" s="125">
        <f t="shared" ca="1" si="4"/>
        <v>27833.120000031842</v>
      </c>
      <c r="O3" s="125">
        <f t="shared" ca="1" si="4"/>
        <v>23975.600000011007</v>
      </c>
      <c r="P3" s="125">
        <f t="shared" ca="1" si="4"/>
        <v>1346.7400000006844</v>
      </c>
      <c r="Q3" s="125">
        <f t="shared" ca="1" si="4"/>
        <v>1412.9646666672177</v>
      </c>
      <c r="R3" s="125">
        <f t="shared" ca="1" si="4"/>
        <v>4588.9400000008809</v>
      </c>
      <c r="S3" s="125">
        <f t="shared" ca="1" si="4"/>
        <v>3183.3799999986809</v>
      </c>
      <c r="T3" s="125">
        <f t="shared" ca="1" si="4"/>
        <v>1008.9400000003277</v>
      </c>
      <c r="U3" s="125">
        <f t="shared" ca="1" si="4"/>
        <v>419.22999999996358</v>
      </c>
      <c r="V3" s="125">
        <f t="shared" ca="1" si="4"/>
        <v>11479.940000005454</v>
      </c>
      <c r="W3" s="125">
        <f t="shared" ca="1" si="4"/>
        <v>1499.9833333328022</v>
      </c>
      <c r="X3" s="125">
        <f t="shared" ca="1" si="4"/>
        <v>1416.6499999990267</v>
      </c>
      <c r="Y3" s="125">
        <f t="shared" ca="1" si="4"/>
        <v>541.6666666666074</v>
      </c>
      <c r="Z3" s="125">
        <f t="shared" ca="1" si="4"/>
        <v>333.3333333334636</v>
      </c>
      <c r="AA3" s="125">
        <f t="shared" ca="1" si="4"/>
        <v>1000.0000000020067</v>
      </c>
      <c r="AB3" s="125">
        <f t="shared" ca="1" si="4"/>
        <v>1499.9999999989695</v>
      </c>
      <c r="AC3" s="125">
        <f t="shared" ca="1" si="4"/>
        <v>1000.0000000020067</v>
      </c>
      <c r="AD3" s="125">
        <f t="shared" ca="1" si="4"/>
        <v>1499.9999999989695</v>
      </c>
      <c r="AE3" s="125">
        <f t="shared" ca="1" si="4"/>
        <v>6513.6830102615122</v>
      </c>
      <c r="AF3" s="125">
        <f t="shared" ca="1" si="4"/>
        <v>393.38712851796214</v>
      </c>
      <c r="AG3" s="125">
        <f t="shared" ca="1" si="4"/>
        <v>21332.322562302106</v>
      </c>
      <c r="AH3" s="125">
        <f t="shared" ref="AH3:BG3" ca="1" si="5">MAX(OFFSET(AH$8,0,0,NumRunYears-1))</f>
        <v>5481.862284648083</v>
      </c>
      <c r="AI3" s="125">
        <f t="shared" ca="1" si="5"/>
        <v>8333.3500000013719</v>
      </c>
      <c r="AJ3" s="125">
        <f t="shared" ca="1" si="5"/>
        <v>38999.999998983862</v>
      </c>
      <c r="AK3" s="125">
        <f t="shared" ca="1" si="5"/>
        <v>15864.24644642276</v>
      </c>
      <c r="AL3" s="125">
        <f t="shared" ca="1" si="5"/>
        <v>15199.288256226017</v>
      </c>
      <c r="AM3" s="125">
        <f t="shared" ca="1" si="5"/>
        <v>24160.880683190033</v>
      </c>
      <c r="AN3" s="125">
        <f t="shared" ca="1" si="5"/>
        <v>6772.586255522393</v>
      </c>
      <c r="AO3" s="125">
        <f t="shared" ca="1" si="5"/>
        <v>3257.9999999996248</v>
      </c>
      <c r="AP3" s="125">
        <f t="shared" ca="1" si="5"/>
        <v>378.87777777775057</v>
      </c>
      <c r="AQ3" s="125">
        <f t="shared" ca="1" si="5"/>
        <v>2250.0166666667183</v>
      </c>
      <c r="AR3" s="125">
        <f t="shared" ca="1" si="5"/>
        <v>24557.031107874209</v>
      </c>
      <c r="AS3" s="125">
        <f t="shared" ca="1" si="5"/>
        <v>33119.26666579811</v>
      </c>
      <c r="AT3" s="125">
        <f t="shared" ca="1" si="5"/>
        <v>117156.97111029558</v>
      </c>
      <c r="AU3" s="125">
        <f t="shared" ca="1" si="5"/>
        <v>117519.68619113293</v>
      </c>
      <c r="AV3" s="125">
        <f t="shared" ca="1" si="5"/>
        <v>128038.42353540077</v>
      </c>
      <c r="AW3" s="125">
        <f t="shared" ca="1" si="5"/>
        <v>4657.697851232725</v>
      </c>
      <c r="AX3" s="125">
        <f t="shared" ca="1" si="5"/>
        <v>49957.408594212888</v>
      </c>
      <c r="AY3" s="125">
        <f t="shared" ca="1" si="5"/>
        <v>3905.8823529407277</v>
      </c>
      <c r="AZ3" s="125">
        <f t="shared" ca="1" si="5"/>
        <v>641.84215705562133</v>
      </c>
      <c r="BA3" s="125">
        <f t="shared" ca="1" si="5"/>
        <v>2130.7586860484739</v>
      </c>
      <c r="BB3" s="125">
        <f t="shared" ca="1" si="5"/>
        <v>2166.6666666676529</v>
      </c>
      <c r="BC3" s="125">
        <f t="shared" ca="1" si="5"/>
        <v>16199.999998970494</v>
      </c>
      <c r="BD3" s="125">
        <f t="shared" ca="1" si="5"/>
        <v>1361.6693912874671</v>
      </c>
      <c r="BE3" s="125">
        <f t="shared" ca="1" si="5"/>
        <v>1313.7728293908463</v>
      </c>
      <c r="BF3" s="125">
        <f t="shared" ca="1" si="5"/>
        <v>916.6833333329123</v>
      </c>
      <c r="BG3" s="125">
        <f t="shared" ca="1" si="5"/>
        <v>12296.800000006155</v>
      </c>
    </row>
    <row r="5" spans="1:59" ht="60" x14ac:dyDescent="0.25">
      <c r="A5" s="2" t="s">
        <v>539</v>
      </c>
      <c r="B5" s="2" t="str">
        <f t="shared" ref="B5:BG5" si="6">RIGHT(B$6,LEN(B$6)-FIND(".",B$6))</f>
        <v>ALPDurango</v>
      </c>
      <c r="C5" s="2" t="str">
        <f t="shared" si="6"/>
        <v>ALPNMSupplyFromAnimas__ALPAztec</v>
      </c>
      <c r="D5" s="2" t="str">
        <f t="shared" si="6"/>
        <v>ALPNMSupplyFromAnimas__ALPBloomfield</v>
      </c>
      <c r="E5" s="2" t="str">
        <f t="shared" si="6"/>
        <v>ALPNMSupplyFromAnimas__ALPFarmington</v>
      </c>
      <c r="F5" s="2" t="str">
        <f t="shared" si="6"/>
        <v>ALPNMSupplyFromAnimas__ALPKirkland</v>
      </c>
      <c r="G5" s="2" t="str">
        <f t="shared" si="6"/>
        <v>ALPNMSupplyFromAnimas__ALPShiprock</v>
      </c>
      <c r="H5" s="2" t="str">
        <f t="shared" si="6"/>
        <v>ArchuletaDitch</v>
      </c>
      <c r="I5" s="2" t="str">
        <f t="shared" si="6"/>
        <v>AztecMI</v>
      </c>
      <c r="J5" s="2" t="str">
        <f t="shared" si="6"/>
        <v>BloomfieldMI</v>
      </c>
      <c r="K5" s="2" t="str">
        <f t="shared" si="6"/>
        <v>CitizenDitch</v>
      </c>
      <c r="L5" s="2" t="str">
        <f t="shared" si="6"/>
        <v>CudeiCanal</v>
      </c>
      <c r="M5" s="2" t="str">
        <f t="shared" si="6"/>
        <v>DemandsOnRBR__AnimasFloridaMI</v>
      </c>
      <c r="N5" s="2" t="str">
        <f t="shared" si="6"/>
        <v>DemandsOnRBR__Coal</v>
      </c>
      <c r="O5" s="2" t="str">
        <f t="shared" si="6"/>
        <v>DemandsOnRBR__ColoradoBalance</v>
      </c>
      <c r="P5" s="2" t="str">
        <f t="shared" si="6"/>
        <v>DemandsOnRBR__DgoRuralMI</v>
      </c>
      <c r="Q5" s="2" t="str">
        <f t="shared" si="6"/>
        <v>DemandsOnRBR__DurangoMI</v>
      </c>
      <c r="R5" s="2" t="str">
        <f t="shared" si="6"/>
        <v>DemandsOnRBR__GasPowerPlant</v>
      </c>
      <c r="S5" s="2" t="str">
        <f t="shared" si="6"/>
        <v>DemandsOnRBR__LaPlataRuralMI</v>
      </c>
      <c r="T5" s="2" t="str">
        <f t="shared" si="6"/>
        <v>DemandsOnRBR__MancosResort</v>
      </c>
      <c r="U5" s="2" t="str">
        <f t="shared" si="6"/>
        <v>DemandsOnRBR__RidgesBasinResort</v>
      </c>
      <c r="V5" s="2" t="str">
        <f t="shared" si="6"/>
        <v>DemandsOnRBR__UteDurango</v>
      </c>
      <c r="W5" s="2" t="str">
        <f t="shared" si="6"/>
        <v>DEP_NMU2NonIr</v>
      </c>
      <c r="X5" s="2" t="str">
        <f t="shared" si="6"/>
        <v>DEP_NMU3NonIr</v>
      </c>
      <c r="Y5" s="2" t="str">
        <f t="shared" si="6"/>
        <v>DEP_NMU6NonIr</v>
      </c>
      <c r="Z5" s="2" t="str">
        <f t="shared" si="6"/>
        <v>DEP_NMU7NonIr</v>
      </c>
      <c r="AA5" s="2" t="str">
        <f t="shared" si="6"/>
        <v>DEP_Unspecified1</v>
      </c>
      <c r="AB5" s="2" t="str">
        <f t="shared" si="6"/>
        <v>DEP_Unspecified2</v>
      </c>
      <c r="AC5" s="2" t="str">
        <f t="shared" si="6"/>
        <v>DEP_Unspecified3</v>
      </c>
      <c r="AD5" s="2" t="str">
        <f t="shared" si="6"/>
        <v>DEP_Unspecified4</v>
      </c>
      <c r="AE5" s="2" t="str">
        <f t="shared" si="6"/>
        <v>EchoDitch</v>
      </c>
      <c r="AF5" s="2" t="str">
        <f t="shared" si="6"/>
        <v>Enterprise</v>
      </c>
      <c r="AG5" s="2" t="str">
        <f t="shared" si="6"/>
        <v>FarmersMutual</v>
      </c>
      <c r="AH5" s="2" t="str">
        <f t="shared" si="6"/>
        <v>FarmingtonGlade</v>
      </c>
      <c r="AI5" s="2" t="str">
        <f t="shared" si="6"/>
        <v>FarmingtonMI</v>
      </c>
      <c r="AJ5" s="2" t="str">
        <f t="shared" si="6"/>
        <v>FourCornersPP</v>
      </c>
      <c r="AK5" s="2" t="str">
        <f t="shared" si="6"/>
        <v>FruitlandAndCambridge</v>
      </c>
      <c r="AL5" s="2" t="str">
        <f t="shared" si="6"/>
        <v>Hammond</v>
      </c>
      <c r="AM5" s="2" t="str">
        <f t="shared" si="6"/>
        <v>Hogback</v>
      </c>
      <c r="AN5" s="2" t="str">
        <f t="shared" si="6"/>
        <v>JewettValley</v>
      </c>
      <c r="AO5" s="2" t="str">
        <f t="shared" si="6"/>
        <v>JicarillaIrr</v>
      </c>
      <c r="AP5" s="2" t="str">
        <f t="shared" si="6"/>
        <v>JicarillaNonIr</v>
      </c>
      <c r="AQ5" s="2" t="str">
        <f t="shared" si="6"/>
        <v>LaPlataNonIr</v>
      </c>
      <c r="AR5" s="2" t="str">
        <f t="shared" si="6"/>
        <v>LowerLaPlataIrr</v>
      </c>
      <c r="AS5" s="2" t="str">
        <f t="shared" si="6"/>
        <v>NavajoGallupBalance</v>
      </c>
      <c r="AT5" s="2" t="str">
        <f t="shared" si="6"/>
        <v>NIIP__DEP_NIIPUnit3</v>
      </c>
      <c r="AU5" s="2" t="str">
        <f t="shared" si="6"/>
        <v>NIIP__DEP_NIIPUnit5</v>
      </c>
      <c r="AV5" s="2" t="str">
        <f t="shared" si="6"/>
        <v>NIIP__DEP_NIIPUnit6</v>
      </c>
      <c r="AW5" s="2" t="str">
        <f t="shared" si="6"/>
        <v>NIIP__NavajoGallupNIIP</v>
      </c>
      <c r="AX5" s="2" t="str">
        <f t="shared" si="6"/>
        <v>NMAnimasIrr</v>
      </c>
      <c r="AY5" s="2" t="str">
        <f t="shared" si="6"/>
        <v>NMPineRiverAreaIrr</v>
      </c>
      <c r="AZ5" s="2" t="str">
        <f t="shared" si="6"/>
        <v>Pioneer</v>
      </c>
      <c r="BA5" s="2" t="str">
        <f t="shared" si="6"/>
        <v>Ralston</v>
      </c>
      <c r="BB5" s="2" t="str">
        <f t="shared" si="6"/>
        <v>ShiprockMI</v>
      </c>
      <c r="BC5" s="2" t="str">
        <f t="shared" si="6"/>
        <v>SJGeneratingStation</v>
      </c>
      <c r="BD5" s="2" t="str">
        <f t="shared" si="6"/>
        <v>TurleyDitch</v>
      </c>
      <c r="BE5" s="2" t="str">
        <f t="shared" si="6"/>
        <v>TwinRocks</v>
      </c>
      <c r="BF5" s="2" t="str">
        <f t="shared" si="6"/>
        <v>USNavajoNonIr</v>
      </c>
      <c r="BG5" s="2" t="str">
        <f t="shared" si="6"/>
        <v>UtahIrr</v>
      </c>
    </row>
    <row r="6" spans="1:59" s="2" customFormat="1" ht="120" x14ac:dyDescent="0.25">
      <c r="A6" s="2" t="s">
        <v>538</v>
      </c>
      <c r="B6" s="2" t="s">
        <v>364</v>
      </c>
      <c r="C6" s="2" t="s">
        <v>365</v>
      </c>
      <c r="D6" s="2" t="s">
        <v>366</v>
      </c>
      <c r="E6" s="2" t="s">
        <v>367</v>
      </c>
      <c r="F6" s="2" t="s">
        <v>368</v>
      </c>
      <c r="G6" s="2" t="s">
        <v>369</v>
      </c>
      <c r="H6" s="2" t="s">
        <v>370</v>
      </c>
      <c r="I6" s="2" t="s">
        <v>371</v>
      </c>
      <c r="J6" s="2" t="s">
        <v>372</v>
      </c>
      <c r="K6" s="2" t="s">
        <v>373</v>
      </c>
      <c r="L6" s="2" t="s">
        <v>374</v>
      </c>
      <c r="M6" s="2" t="s">
        <v>375</v>
      </c>
      <c r="N6" s="2" t="s">
        <v>376</v>
      </c>
      <c r="O6" s="2" t="s">
        <v>377</v>
      </c>
      <c r="P6" s="2" t="s">
        <v>378</v>
      </c>
      <c r="Q6" s="2" t="s">
        <v>379</v>
      </c>
      <c r="R6" s="2" t="s">
        <v>380</v>
      </c>
      <c r="S6" s="2" t="s">
        <v>381</v>
      </c>
      <c r="T6" s="2" t="s">
        <v>382</v>
      </c>
      <c r="U6" s="2" t="s">
        <v>383</v>
      </c>
      <c r="V6" s="2" t="s">
        <v>384</v>
      </c>
      <c r="W6" s="2" t="s">
        <v>385</v>
      </c>
      <c r="X6" s="2" t="s">
        <v>386</v>
      </c>
      <c r="Y6" s="2" t="s">
        <v>387</v>
      </c>
      <c r="Z6" s="2" t="s">
        <v>388</v>
      </c>
      <c r="AA6" s="2" t="s">
        <v>389</v>
      </c>
      <c r="AB6" s="2" t="s">
        <v>390</v>
      </c>
      <c r="AC6" s="2" t="s">
        <v>391</v>
      </c>
      <c r="AD6" s="2" t="s">
        <v>392</v>
      </c>
      <c r="AE6" s="2" t="s">
        <v>393</v>
      </c>
      <c r="AF6" s="2" t="s">
        <v>394</v>
      </c>
      <c r="AG6" s="2" t="s">
        <v>395</v>
      </c>
      <c r="AH6" s="2" t="s">
        <v>396</v>
      </c>
      <c r="AI6" s="2" t="s">
        <v>397</v>
      </c>
      <c r="AJ6" s="2" t="s">
        <v>398</v>
      </c>
      <c r="AK6" s="2" t="s">
        <v>399</v>
      </c>
      <c r="AL6" s="2" t="s">
        <v>400</v>
      </c>
      <c r="AM6" s="2" t="s">
        <v>401</v>
      </c>
      <c r="AN6" s="2" t="s">
        <v>402</v>
      </c>
      <c r="AO6" s="2" t="s">
        <v>403</v>
      </c>
      <c r="AP6" s="2" t="s">
        <v>404</v>
      </c>
      <c r="AQ6" s="2" t="s">
        <v>405</v>
      </c>
      <c r="AR6" s="2" t="s">
        <v>406</v>
      </c>
      <c r="AS6" s="2" t="s">
        <v>407</v>
      </c>
      <c r="AT6" s="2" t="s">
        <v>408</v>
      </c>
      <c r="AU6" s="2" t="s">
        <v>409</v>
      </c>
      <c r="AV6" s="2" t="s">
        <v>410</v>
      </c>
      <c r="AW6" s="2" t="s">
        <v>411</v>
      </c>
      <c r="AX6" s="2" t="s">
        <v>412</v>
      </c>
      <c r="AY6" s="2" t="s">
        <v>413</v>
      </c>
      <c r="AZ6" s="2" t="s">
        <v>414</v>
      </c>
      <c r="BA6" s="2" t="s">
        <v>415</v>
      </c>
      <c r="BB6" s="2" t="s">
        <v>416</v>
      </c>
      <c r="BC6" s="2" t="s">
        <v>417</v>
      </c>
      <c r="BD6" s="2" t="s">
        <v>418</v>
      </c>
      <c r="BE6" s="2" t="s">
        <v>419</v>
      </c>
      <c r="BF6" s="2" t="s">
        <v>420</v>
      </c>
      <c r="BG6" s="2" t="s">
        <v>421</v>
      </c>
    </row>
    <row r="7" spans="1:59" x14ac:dyDescent="0.25">
      <c r="A7" s="1">
        <v>10593.999305555555</v>
      </c>
      <c r="B7" s="493" t="s">
        <v>678</v>
      </c>
      <c r="C7" s="493" t="s">
        <v>678</v>
      </c>
      <c r="D7" s="493" t="s">
        <v>678</v>
      </c>
      <c r="E7" s="493" t="s">
        <v>678</v>
      </c>
      <c r="F7" s="493" t="s">
        <v>678</v>
      </c>
      <c r="G7" s="493" t="s">
        <v>678</v>
      </c>
      <c r="H7" s="493" t="s">
        <v>678</v>
      </c>
      <c r="I7" s="493" t="s">
        <v>678</v>
      </c>
      <c r="J7" s="493" t="s">
        <v>678</v>
      </c>
      <c r="K7" s="493" t="s">
        <v>678</v>
      </c>
      <c r="L7" s="493" t="s">
        <v>678</v>
      </c>
      <c r="M7" s="493" t="s">
        <v>678</v>
      </c>
      <c r="N7" s="493" t="s">
        <v>678</v>
      </c>
      <c r="O7" s="493" t="s">
        <v>678</v>
      </c>
      <c r="P7" s="493" t="s">
        <v>678</v>
      </c>
      <c r="Q7" s="493" t="s">
        <v>678</v>
      </c>
      <c r="R7" s="493" t="s">
        <v>678</v>
      </c>
      <c r="S7" s="493" t="s">
        <v>678</v>
      </c>
      <c r="T7" s="493" t="s">
        <v>678</v>
      </c>
      <c r="U7" s="493" t="s">
        <v>678</v>
      </c>
      <c r="V7" s="493" t="s">
        <v>678</v>
      </c>
      <c r="W7" s="493" t="s">
        <v>678</v>
      </c>
      <c r="X7" s="493" t="s">
        <v>678</v>
      </c>
      <c r="Y7" s="493" t="s">
        <v>678</v>
      </c>
      <c r="Z7" s="493" t="s">
        <v>678</v>
      </c>
      <c r="AA7" s="493" t="s">
        <v>678</v>
      </c>
      <c r="AB7" s="493" t="s">
        <v>678</v>
      </c>
      <c r="AC7" s="493" t="s">
        <v>678</v>
      </c>
      <c r="AD7" s="493" t="s">
        <v>678</v>
      </c>
      <c r="AE7" s="493" t="s">
        <v>678</v>
      </c>
      <c r="AF7" s="493" t="s">
        <v>678</v>
      </c>
      <c r="AG7" s="493" t="s">
        <v>678</v>
      </c>
      <c r="AH7" s="493" t="s">
        <v>678</v>
      </c>
      <c r="AI7" s="493" t="s">
        <v>678</v>
      </c>
      <c r="AJ7" s="493" t="s">
        <v>678</v>
      </c>
      <c r="AK7" s="493" t="s">
        <v>678</v>
      </c>
      <c r="AL7" s="493" t="s">
        <v>678</v>
      </c>
      <c r="AM7" s="493" t="s">
        <v>678</v>
      </c>
      <c r="AN7" s="493" t="s">
        <v>678</v>
      </c>
      <c r="AO7" s="493" t="s">
        <v>678</v>
      </c>
      <c r="AP7" s="493" t="s">
        <v>678</v>
      </c>
      <c r="AQ7" s="493" t="s">
        <v>678</v>
      </c>
      <c r="AR7" s="493" t="s">
        <v>678</v>
      </c>
      <c r="AS7" s="493" t="s">
        <v>678</v>
      </c>
      <c r="AT7" s="493" t="s">
        <v>678</v>
      </c>
      <c r="AU7" s="493" t="s">
        <v>678</v>
      </c>
      <c r="AV7" s="493" t="s">
        <v>678</v>
      </c>
      <c r="AW7" s="493" t="s">
        <v>678</v>
      </c>
      <c r="AX7" s="493" t="s">
        <v>678</v>
      </c>
      <c r="AY7" s="493" t="s">
        <v>678</v>
      </c>
      <c r="AZ7" s="493" t="s">
        <v>678</v>
      </c>
      <c r="BA7" s="493" t="s">
        <v>678</v>
      </c>
      <c r="BB7" s="493" t="s">
        <v>678</v>
      </c>
      <c r="BC7" s="493" t="s">
        <v>678</v>
      </c>
      <c r="BD7" s="493" t="s">
        <v>678</v>
      </c>
      <c r="BE7" s="493" t="s">
        <v>678</v>
      </c>
      <c r="BF7" s="493" t="s">
        <v>678</v>
      </c>
      <c r="BG7" s="493" t="s">
        <v>678</v>
      </c>
    </row>
    <row r="8" spans="1:59" x14ac:dyDescent="0.25">
      <c r="A8" s="1">
        <v>10958.999305555555</v>
      </c>
      <c r="B8" s="3">
        <v>2494.0200000010741</v>
      </c>
      <c r="C8" s="3">
        <v>3493.7000000005241</v>
      </c>
      <c r="D8" s="3">
        <v>4522.2400000005764</v>
      </c>
      <c r="E8" s="3">
        <v>10740.699999997816</v>
      </c>
      <c r="F8" s="3">
        <v>1993.3600000002282</v>
      </c>
      <c r="G8" s="3">
        <v>4668.8200000030756</v>
      </c>
      <c r="H8" s="3">
        <v>469.99999999994594</v>
      </c>
      <c r="I8" s="3">
        <v>4166.6500000021297</v>
      </c>
      <c r="J8" s="3">
        <v>4166.6500000021233</v>
      </c>
      <c r="K8" s="3">
        <v>15644.204041768166</v>
      </c>
      <c r="L8" s="3">
        <v>1799.9999999999995</v>
      </c>
      <c r="M8" s="3">
        <v>7318.3999999991938</v>
      </c>
      <c r="N8" s="3">
        <v>27833.120000031842</v>
      </c>
      <c r="O8" s="122">
        <v>23975.600000011007</v>
      </c>
      <c r="P8" s="122">
        <v>1346.7400000006844</v>
      </c>
      <c r="Q8" s="122">
        <v>0</v>
      </c>
      <c r="R8" s="122">
        <v>4588.9400000008809</v>
      </c>
      <c r="S8" s="122">
        <v>3183.3799999986809</v>
      </c>
      <c r="T8" s="122">
        <v>1008.9400000003277</v>
      </c>
      <c r="U8" s="122">
        <v>419.22999999996358</v>
      </c>
      <c r="V8" s="122">
        <v>11479.940000005454</v>
      </c>
      <c r="W8" s="122">
        <v>1499.983333332802</v>
      </c>
      <c r="X8" s="122">
        <v>1416.6499999990267</v>
      </c>
      <c r="Y8" s="122">
        <v>541.66666666660728</v>
      </c>
      <c r="Z8" s="122">
        <v>333.3333333334636</v>
      </c>
      <c r="AA8" s="122">
        <v>1000.0000000020067</v>
      </c>
      <c r="AB8" s="122">
        <v>1499.999999998952</v>
      </c>
      <c r="AC8" s="122">
        <v>1000.0000000020067</v>
      </c>
      <c r="AD8" s="122">
        <v>1499.999999998952</v>
      </c>
      <c r="AE8" s="122">
        <v>4776.2257696687775</v>
      </c>
      <c r="AF8" s="122">
        <v>279.21012923961899</v>
      </c>
      <c r="AG8" s="122">
        <v>15885.530180989357</v>
      </c>
      <c r="AH8" s="122">
        <v>4108.2160496331144</v>
      </c>
      <c r="AI8" s="122">
        <v>8333.3500000013701</v>
      </c>
      <c r="AJ8" s="122">
        <v>38999.999998983854</v>
      </c>
      <c r="AK8" s="122">
        <v>15864.246446422736</v>
      </c>
      <c r="AL8" s="122">
        <v>11226.571767495747</v>
      </c>
      <c r="AM8" s="122">
        <v>24160.880683190011</v>
      </c>
      <c r="AN8" s="122">
        <v>5228.917927986613</v>
      </c>
      <c r="AO8" s="122">
        <v>1841.9999999997899</v>
      </c>
      <c r="AP8" s="122">
        <v>378.87777777775057</v>
      </c>
      <c r="AQ8" s="122">
        <v>2250.0166666667183</v>
      </c>
      <c r="AR8" s="122">
        <v>17287.611424411341</v>
      </c>
      <c r="AS8" s="122">
        <v>33119.26666579811</v>
      </c>
      <c r="AT8" s="122">
        <v>82786.857807006527</v>
      </c>
      <c r="AU8" s="122">
        <v>83043.163868329299</v>
      </c>
      <c r="AV8" s="122">
        <v>90476.039646667443</v>
      </c>
      <c r="AW8" s="122">
        <v>4644.9719008195216</v>
      </c>
      <c r="AX8" s="122">
        <v>34856.868838433889</v>
      </c>
      <c r="AY8" s="122">
        <v>2320.3619909499589</v>
      </c>
      <c r="AZ8" s="122">
        <v>455.55336875937826</v>
      </c>
      <c r="BA8" s="122">
        <v>1486.6979320170149</v>
      </c>
      <c r="BB8" s="122">
        <v>2166.6666666676529</v>
      </c>
      <c r="BC8" s="122">
        <v>16199.99999897049</v>
      </c>
      <c r="BD8" s="122">
        <v>1013.5589960571969</v>
      </c>
      <c r="BE8" s="122">
        <v>916.66098154818371</v>
      </c>
      <c r="BF8" s="122">
        <v>916.6833333329123</v>
      </c>
      <c r="BG8" s="122">
        <v>12296.800000006155</v>
      </c>
    </row>
    <row r="9" spans="1:59" x14ac:dyDescent="0.25">
      <c r="A9" s="1">
        <v>11323.999305555555</v>
      </c>
      <c r="B9" s="3">
        <v>2494.0200000010741</v>
      </c>
      <c r="C9" s="3">
        <v>3493.7000000005241</v>
      </c>
      <c r="D9" s="3">
        <v>4522.2400000005764</v>
      </c>
      <c r="E9" s="3">
        <v>10740.699999997816</v>
      </c>
      <c r="F9" s="3">
        <v>1993.3600000002282</v>
      </c>
      <c r="G9" s="3">
        <v>4668.8200000030756</v>
      </c>
      <c r="H9" s="3">
        <v>533.99999999993895</v>
      </c>
      <c r="I9" s="3">
        <v>4166.6500000021297</v>
      </c>
      <c r="J9" s="3">
        <v>4166.6500000021233</v>
      </c>
      <c r="K9" s="3">
        <v>17702.651942000819</v>
      </c>
      <c r="L9" s="3">
        <v>1799.9999999999995</v>
      </c>
      <c r="M9" s="3">
        <v>7318.3999999991938</v>
      </c>
      <c r="N9" s="3">
        <v>27833.120000031842</v>
      </c>
      <c r="O9" s="122">
        <v>23975.600000011007</v>
      </c>
      <c r="P9" s="122">
        <v>1346.7400000006844</v>
      </c>
      <c r="Q9" s="122">
        <v>0</v>
      </c>
      <c r="R9" s="122">
        <v>4588.9400000008809</v>
      </c>
      <c r="S9" s="122">
        <v>3183.3799999986809</v>
      </c>
      <c r="T9" s="122">
        <v>1008.9400000003277</v>
      </c>
      <c r="U9" s="122">
        <v>419.22999999996358</v>
      </c>
      <c r="V9" s="122">
        <v>11479.940000005454</v>
      </c>
      <c r="W9" s="122">
        <v>1499.983333332802</v>
      </c>
      <c r="X9" s="122">
        <v>1416.6499999990267</v>
      </c>
      <c r="Y9" s="122">
        <v>541.66666666660728</v>
      </c>
      <c r="Z9" s="122">
        <v>333.3333333334636</v>
      </c>
      <c r="AA9" s="122">
        <v>1000.0000000020067</v>
      </c>
      <c r="AB9" s="122">
        <v>1499.999999998952</v>
      </c>
      <c r="AC9" s="122">
        <v>1000.0000000020067</v>
      </c>
      <c r="AD9" s="122">
        <v>1499.999999998952</v>
      </c>
      <c r="AE9" s="122">
        <v>5461.8015963505713</v>
      </c>
      <c r="AF9" s="122">
        <v>324.08318572455789</v>
      </c>
      <c r="AG9" s="122">
        <v>17521.084051926337</v>
      </c>
      <c r="AH9" s="122">
        <v>4717.9999999994525</v>
      </c>
      <c r="AI9" s="122">
        <v>8333.3500000013701</v>
      </c>
      <c r="AJ9" s="122">
        <v>38999.999998983854</v>
      </c>
      <c r="AK9" s="122">
        <v>15864.246446422736</v>
      </c>
      <c r="AL9" s="122">
        <v>12710.557532620132</v>
      </c>
      <c r="AM9" s="122">
        <v>24160.880683189975</v>
      </c>
      <c r="AN9" s="122">
        <v>5539.1557770041591</v>
      </c>
      <c r="AO9" s="122">
        <v>2021.9999999997676</v>
      </c>
      <c r="AP9" s="122">
        <v>378.87777777775057</v>
      </c>
      <c r="AQ9" s="122">
        <v>2250.0166666667183</v>
      </c>
      <c r="AR9" s="122">
        <v>20252.865199197237</v>
      </c>
      <c r="AS9" s="122">
        <v>33119.26666579811</v>
      </c>
      <c r="AT9" s="122">
        <v>91290.502355801436</v>
      </c>
      <c r="AU9" s="122">
        <v>91573.135490029759</v>
      </c>
      <c r="AV9" s="122">
        <v>99769.49638265559</v>
      </c>
      <c r="AW9" s="122">
        <v>4644.9719008195216</v>
      </c>
      <c r="AX9" s="122">
        <v>41106.674172138395</v>
      </c>
      <c r="AY9" s="122">
        <v>2671.4932126693757</v>
      </c>
      <c r="AZ9" s="122">
        <v>528.7673030242795</v>
      </c>
      <c r="BA9" s="122">
        <v>1753.2615384096348</v>
      </c>
      <c r="BB9" s="122">
        <v>2166.6666666676529</v>
      </c>
      <c r="BC9" s="122">
        <v>16199.99999897049</v>
      </c>
      <c r="BD9" s="122">
        <v>1148.1873257042628</v>
      </c>
      <c r="BE9" s="122">
        <v>1081.0174737573129</v>
      </c>
      <c r="BF9" s="122">
        <v>916.6833333329123</v>
      </c>
      <c r="BG9" s="122">
        <v>12296.800000006155</v>
      </c>
    </row>
    <row r="10" spans="1:59" x14ac:dyDescent="0.25">
      <c r="A10" s="1">
        <v>11688.999305555555</v>
      </c>
      <c r="B10" s="3">
        <v>2494.0200000010741</v>
      </c>
      <c r="C10" s="3">
        <v>3493.7000000005241</v>
      </c>
      <c r="D10" s="3">
        <v>4522.2400000005764</v>
      </c>
      <c r="E10" s="3">
        <v>10740.699999997816</v>
      </c>
      <c r="F10" s="3">
        <v>1993.3600000002282</v>
      </c>
      <c r="G10" s="3">
        <v>4668.8200000030756</v>
      </c>
      <c r="H10" s="3">
        <v>529.99999999993918</v>
      </c>
      <c r="I10" s="3">
        <v>4166.6500000021297</v>
      </c>
      <c r="J10" s="3">
        <v>4166.6500000021233</v>
      </c>
      <c r="K10" s="3">
        <v>17543.385170157999</v>
      </c>
      <c r="L10" s="3">
        <v>1800.0000000000025</v>
      </c>
      <c r="M10" s="3">
        <v>7318.3999999991938</v>
      </c>
      <c r="N10" s="3">
        <v>27833.120000031842</v>
      </c>
      <c r="O10" s="122">
        <v>23975.600000011007</v>
      </c>
      <c r="P10" s="122">
        <v>1346.7400000006844</v>
      </c>
      <c r="Q10" s="122">
        <v>222.66040035063654</v>
      </c>
      <c r="R10" s="122">
        <v>4588.9400000008809</v>
      </c>
      <c r="S10" s="122">
        <v>3183.3799999986809</v>
      </c>
      <c r="T10" s="122">
        <v>1008.9400000003277</v>
      </c>
      <c r="U10" s="122">
        <v>419.22999999996358</v>
      </c>
      <c r="V10" s="122">
        <v>11479.940000005454</v>
      </c>
      <c r="W10" s="122">
        <v>1499.983333332802</v>
      </c>
      <c r="X10" s="122">
        <v>1416.6499999990267</v>
      </c>
      <c r="Y10" s="122">
        <v>541.66666666660728</v>
      </c>
      <c r="Z10" s="122">
        <v>333.3333333334636</v>
      </c>
      <c r="AA10" s="122">
        <v>1000.0000000020067</v>
      </c>
      <c r="AB10" s="122">
        <v>1499.999999998952</v>
      </c>
      <c r="AC10" s="122">
        <v>1000.0000000020067</v>
      </c>
      <c r="AD10" s="122">
        <v>1499.999999998952</v>
      </c>
      <c r="AE10" s="122">
        <v>5344.9258836937988</v>
      </c>
      <c r="AF10" s="122">
        <v>313.11421636157263</v>
      </c>
      <c r="AG10" s="122">
        <v>17439.590637731333</v>
      </c>
      <c r="AH10" s="122">
        <v>4584.7011415020752</v>
      </c>
      <c r="AI10" s="122">
        <v>8333.3500000013701</v>
      </c>
      <c r="AJ10" s="122">
        <v>38999.999998983854</v>
      </c>
      <c r="AK10" s="122">
        <v>15864.246446422751</v>
      </c>
      <c r="AL10" s="122">
        <v>12650.05931197957</v>
      </c>
      <c r="AM10" s="122">
        <v>24160.880683189986</v>
      </c>
      <c r="AN10" s="122">
        <v>5721.5380276387141</v>
      </c>
      <c r="AO10" s="122">
        <v>2195.999999999749</v>
      </c>
      <c r="AP10" s="122">
        <v>378.87777777775057</v>
      </c>
      <c r="AQ10" s="122">
        <v>2250.0166666667183</v>
      </c>
      <c r="AR10" s="122">
        <v>19441.513552844779</v>
      </c>
      <c r="AS10" s="122">
        <v>33119.26666579811</v>
      </c>
      <c r="AT10" s="122">
        <v>90758.019923657674</v>
      </c>
      <c r="AU10" s="122">
        <v>91039.004505464676</v>
      </c>
      <c r="AV10" s="122">
        <v>99187.55737786692</v>
      </c>
      <c r="AW10" s="122">
        <v>4644.9719008195216</v>
      </c>
      <c r="AX10" s="122">
        <v>39171.759692562213</v>
      </c>
      <c r="AY10" s="122">
        <v>2624.4343891399699</v>
      </c>
      <c r="AZ10" s="122">
        <v>510.87056353730134</v>
      </c>
      <c r="BA10" s="122">
        <v>1670.734522895151</v>
      </c>
      <c r="BB10" s="122">
        <v>2166.6666666676529</v>
      </c>
      <c r="BC10" s="122">
        <v>16199.99999897049</v>
      </c>
      <c r="BD10" s="122">
        <v>1136.6477545916568</v>
      </c>
      <c r="BE10" s="122">
        <v>1030.1333678360022</v>
      </c>
      <c r="BF10" s="122">
        <v>916.6833333329123</v>
      </c>
      <c r="BG10" s="122">
        <v>12296.800000006155</v>
      </c>
    </row>
    <row r="11" spans="1:59" x14ac:dyDescent="0.25">
      <c r="A11" s="1">
        <v>12054.999305555555</v>
      </c>
      <c r="B11" s="3">
        <v>2494.0200000010741</v>
      </c>
      <c r="C11" s="3">
        <v>3493.7000000005241</v>
      </c>
      <c r="D11" s="3">
        <v>4522.2400000005764</v>
      </c>
      <c r="E11" s="3">
        <v>10740.699999997816</v>
      </c>
      <c r="F11" s="3">
        <v>1993.3600000002282</v>
      </c>
      <c r="G11" s="3">
        <v>4668.8200000030765</v>
      </c>
      <c r="H11" s="3">
        <v>465.99999999994628</v>
      </c>
      <c r="I11" s="3">
        <v>4166.6500000021306</v>
      </c>
      <c r="J11" s="3">
        <v>4166.6500000021233</v>
      </c>
      <c r="K11" s="3">
        <v>15551.04800540727</v>
      </c>
      <c r="L11" s="3">
        <v>1799.9999999999989</v>
      </c>
      <c r="M11" s="3">
        <v>7318.3999999991929</v>
      </c>
      <c r="N11" s="3">
        <v>27833.120000031842</v>
      </c>
      <c r="O11" s="122">
        <v>23975.600000011007</v>
      </c>
      <c r="P11" s="122">
        <v>1346.7400000006844</v>
      </c>
      <c r="Q11" s="122">
        <v>0</v>
      </c>
      <c r="R11" s="122">
        <v>4588.9400000008809</v>
      </c>
      <c r="S11" s="122">
        <v>3183.3799999986809</v>
      </c>
      <c r="T11" s="122">
        <v>1008.9400000003277</v>
      </c>
      <c r="U11" s="122">
        <v>419.22999999996358</v>
      </c>
      <c r="V11" s="122">
        <v>11479.940000005452</v>
      </c>
      <c r="W11" s="122">
        <v>1499.9833333328022</v>
      </c>
      <c r="X11" s="122">
        <v>1416.6499999990265</v>
      </c>
      <c r="Y11" s="122">
        <v>541.6666666666074</v>
      </c>
      <c r="Z11" s="122">
        <v>333.33333333346354</v>
      </c>
      <c r="AA11" s="122">
        <v>1000.0000000020035</v>
      </c>
      <c r="AB11" s="122">
        <v>1499.9999999989695</v>
      </c>
      <c r="AC11" s="122">
        <v>1000.0000000020035</v>
      </c>
      <c r="AD11" s="122">
        <v>1499.9999999989695</v>
      </c>
      <c r="AE11" s="122">
        <v>5437.5712656778242</v>
      </c>
      <c r="AF11" s="122">
        <v>311.61844781207344</v>
      </c>
      <c r="AG11" s="122">
        <v>17953.188666727783</v>
      </c>
      <c r="AH11" s="122">
        <v>4645.3059076151303</v>
      </c>
      <c r="AI11" s="122">
        <v>8333.3500000013719</v>
      </c>
      <c r="AJ11" s="122">
        <v>38999.999998983862</v>
      </c>
      <c r="AK11" s="122">
        <v>15864.246446422727</v>
      </c>
      <c r="AL11" s="122">
        <v>11112.692763937039</v>
      </c>
      <c r="AM11" s="122">
        <v>24160.880683190015</v>
      </c>
      <c r="AN11" s="122">
        <v>5606.8440349716193</v>
      </c>
      <c r="AO11" s="122">
        <v>2117.9999999997567</v>
      </c>
      <c r="AP11" s="122">
        <v>378.87777777775057</v>
      </c>
      <c r="AQ11" s="122">
        <v>2250.0166666667183</v>
      </c>
      <c r="AR11" s="122">
        <v>19490.631253408712</v>
      </c>
      <c r="AS11" s="122">
        <v>33105.778642042722</v>
      </c>
      <c r="AT11" s="122">
        <v>87132.080930521974</v>
      </c>
      <c r="AU11" s="122">
        <v>87401.839695013012</v>
      </c>
      <c r="AV11" s="122">
        <v>95224.843865245464</v>
      </c>
      <c r="AW11" s="122">
        <v>4657.697851232725</v>
      </c>
      <c r="AX11" s="122">
        <v>39599.461017166723</v>
      </c>
      <c r="AY11" s="122">
        <v>2517.6470588232396</v>
      </c>
      <c r="AZ11" s="122">
        <v>508.43009906180578</v>
      </c>
      <c r="BA11" s="122">
        <v>1688.9766282821211</v>
      </c>
      <c r="BB11" s="122">
        <v>2166.6666666676529</v>
      </c>
      <c r="BC11" s="122">
        <v>16199.999998970494</v>
      </c>
      <c r="BD11" s="122">
        <v>1007.7892105008949</v>
      </c>
      <c r="BE11" s="122">
        <v>1041.3809964695056</v>
      </c>
      <c r="BF11" s="122">
        <v>916.68333333291218</v>
      </c>
      <c r="BG11" s="122">
        <v>12296.800000006155</v>
      </c>
    </row>
    <row r="12" spans="1:59" x14ac:dyDescent="0.25">
      <c r="A12" s="1">
        <v>12419.999305555555</v>
      </c>
      <c r="B12" s="3">
        <v>2494.0200000010741</v>
      </c>
      <c r="C12" s="3">
        <v>3493.7000000005241</v>
      </c>
      <c r="D12" s="3">
        <v>4522.2400000005764</v>
      </c>
      <c r="E12" s="3">
        <v>10740.699999997816</v>
      </c>
      <c r="F12" s="3">
        <v>1993.3600000002282</v>
      </c>
      <c r="G12" s="3">
        <v>4668.8200000030756</v>
      </c>
      <c r="H12" s="3">
        <v>453.99999999994793</v>
      </c>
      <c r="I12" s="3">
        <v>4166.6500000021297</v>
      </c>
      <c r="J12" s="3">
        <v>4166.6500000021233</v>
      </c>
      <c r="K12" s="3">
        <v>15037.187288706864</v>
      </c>
      <c r="L12" s="3">
        <v>1800.0000000000002</v>
      </c>
      <c r="M12" s="3">
        <v>7318.3999999991938</v>
      </c>
      <c r="N12" s="3">
        <v>27833.120000031842</v>
      </c>
      <c r="O12" s="122">
        <v>23975.600000011007</v>
      </c>
      <c r="P12" s="122">
        <v>1346.7400000006844</v>
      </c>
      <c r="Q12" s="122">
        <v>37.349279609546279</v>
      </c>
      <c r="R12" s="122">
        <v>4588.9400000008809</v>
      </c>
      <c r="S12" s="122">
        <v>3183.3799999986809</v>
      </c>
      <c r="T12" s="122">
        <v>1008.9400000003277</v>
      </c>
      <c r="U12" s="122">
        <v>419.22999999996358</v>
      </c>
      <c r="V12" s="122">
        <v>11479.940000005454</v>
      </c>
      <c r="W12" s="122">
        <v>1499.983333332802</v>
      </c>
      <c r="X12" s="122">
        <v>1416.6499999990267</v>
      </c>
      <c r="Y12" s="122">
        <v>541.66666666660728</v>
      </c>
      <c r="Z12" s="122">
        <v>333.3333333334636</v>
      </c>
      <c r="AA12" s="122">
        <v>1000.0000000020067</v>
      </c>
      <c r="AB12" s="122">
        <v>1499.999999998952</v>
      </c>
      <c r="AC12" s="122">
        <v>1000.0000000020067</v>
      </c>
      <c r="AD12" s="122">
        <v>1499.999999998952</v>
      </c>
      <c r="AE12" s="122">
        <v>5434.7206385398549</v>
      </c>
      <c r="AF12" s="122">
        <v>313.11421636157218</v>
      </c>
      <c r="AG12" s="122">
        <v>18226.096844497079</v>
      </c>
      <c r="AH12" s="122">
        <v>4590.4612639770403</v>
      </c>
      <c r="AI12" s="122">
        <v>8333.3500000013701</v>
      </c>
      <c r="AJ12" s="122">
        <v>38999.999998983854</v>
      </c>
      <c r="AK12" s="122">
        <v>15864.246446422741</v>
      </c>
      <c r="AL12" s="122">
        <v>10814.946619215834</v>
      </c>
      <c r="AM12" s="122">
        <v>24160.880683189978</v>
      </c>
      <c r="AN12" s="122">
        <v>6131.4280342194725</v>
      </c>
      <c r="AO12" s="122">
        <v>2483.999999999714</v>
      </c>
      <c r="AP12" s="122">
        <v>378.87777777775057</v>
      </c>
      <c r="AQ12" s="122">
        <v>2250.0166666667183</v>
      </c>
      <c r="AR12" s="122">
        <v>19556.121520827299</v>
      </c>
      <c r="AS12" s="122">
        <v>33119.26666579811</v>
      </c>
      <c r="AT12" s="122">
        <v>86071.730244367398</v>
      </c>
      <c r="AU12" s="122">
        <v>86338.206189396704</v>
      </c>
      <c r="AV12" s="122">
        <v>94066.008595237538</v>
      </c>
      <c r="AW12" s="122">
        <v>4644.9719008195216</v>
      </c>
      <c r="AX12" s="122">
        <v>39515.814632649992</v>
      </c>
      <c r="AY12" s="122">
        <v>2586.4253393662198</v>
      </c>
      <c r="AZ12" s="122">
        <v>510.87056353730208</v>
      </c>
      <c r="BA12" s="122">
        <v>1685.4089840551485</v>
      </c>
      <c r="BB12" s="122">
        <v>2166.6666666676529</v>
      </c>
      <c r="BC12" s="122">
        <v>16199.99999897049</v>
      </c>
      <c r="BD12" s="122">
        <v>975.09375901517706</v>
      </c>
      <c r="BE12" s="122">
        <v>1039.1812757404439</v>
      </c>
      <c r="BF12" s="122">
        <v>916.6833333329123</v>
      </c>
      <c r="BG12" s="122">
        <v>12296.800000006155</v>
      </c>
    </row>
    <row r="13" spans="1:59" x14ac:dyDescent="0.25">
      <c r="A13" s="1">
        <v>12784.999305555555</v>
      </c>
      <c r="B13" s="3">
        <v>2494.0200000010741</v>
      </c>
      <c r="C13" s="3">
        <v>3493.7000000005241</v>
      </c>
      <c r="D13" s="3">
        <v>4522.2400000005764</v>
      </c>
      <c r="E13" s="3">
        <v>10740.699999997816</v>
      </c>
      <c r="F13" s="3">
        <v>1993.3600000002282</v>
      </c>
      <c r="G13" s="3">
        <v>4668.8200000030756</v>
      </c>
      <c r="H13" s="3">
        <v>501.99999999994259</v>
      </c>
      <c r="I13" s="3">
        <v>4166.6500000021297</v>
      </c>
      <c r="J13" s="3">
        <v>4166.6500000021233</v>
      </c>
      <c r="K13" s="3">
        <v>16859.740064606282</v>
      </c>
      <c r="L13" s="3">
        <v>1799.9999999999995</v>
      </c>
      <c r="M13" s="3">
        <v>7318.3999999991938</v>
      </c>
      <c r="N13" s="3">
        <v>27833.120000031842</v>
      </c>
      <c r="O13" s="122">
        <v>23975.600000011007</v>
      </c>
      <c r="P13" s="122">
        <v>1346.7400000006844</v>
      </c>
      <c r="Q13" s="122">
        <v>1307.2746332393381</v>
      </c>
      <c r="R13" s="122">
        <v>4588.9400000008809</v>
      </c>
      <c r="S13" s="122">
        <v>3183.3799999986809</v>
      </c>
      <c r="T13" s="122">
        <v>1008.9400000003277</v>
      </c>
      <c r="U13" s="122">
        <v>419.22999999996358</v>
      </c>
      <c r="V13" s="122">
        <v>11479.940000005454</v>
      </c>
      <c r="W13" s="122">
        <v>1499.983333332802</v>
      </c>
      <c r="X13" s="122">
        <v>1416.6499999990267</v>
      </c>
      <c r="Y13" s="122">
        <v>541.66666666660728</v>
      </c>
      <c r="Z13" s="122">
        <v>333.3333333334636</v>
      </c>
      <c r="AA13" s="122">
        <v>1000.0000000020067</v>
      </c>
      <c r="AB13" s="122">
        <v>1499.999999998952</v>
      </c>
      <c r="AC13" s="122">
        <v>1000.0000000020067</v>
      </c>
      <c r="AD13" s="122">
        <v>1499.999999998952</v>
      </c>
      <c r="AE13" s="122">
        <v>5669.8973774223823</v>
      </c>
      <c r="AF13" s="122">
        <v>334.55356557104255</v>
      </c>
      <c r="AG13" s="122">
        <v>18328.437411160619</v>
      </c>
      <c r="AH13" s="122">
        <v>4824.139235312723</v>
      </c>
      <c r="AI13" s="122">
        <v>8333.3500000013701</v>
      </c>
      <c r="AJ13" s="122">
        <v>38999.999998983854</v>
      </c>
      <c r="AK13" s="122">
        <v>15864.246446422745</v>
      </c>
      <c r="AL13" s="122">
        <v>12021.352313165868</v>
      </c>
      <c r="AM13" s="122">
        <v>24160.880683189996</v>
      </c>
      <c r="AN13" s="122">
        <v>6116.3861991155864</v>
      </c>
      <c r="AO13" s="122">
        <v>2815.9999999996735</v>
      </c>
      <c r="AP13" s="122">
        <v>378.87777777775057</v>
      </c>
      <c r="AQ13" s="122">
        <v>2250.0166666667183</v>
      </c>
      <c r="AR13" s="122">
        <v>21156.994724392687</v>
      </c>
      <c r="AS13" s="122">
        <v>33119.26666579811</v>
      </c>
      <c r="AT13" s="122">
        <v>83641.299383760794</v>
      </c>
      <c r="AU13" s="122">
        <v>83900.250775042252</v>
      </c>
      <c r="AV13" s="122">
        <v>91409.841122190628</v>
      </c>
      <c r="AW13" s="122">
        <v>4644.9719008195216</v>
      </c>
      <c r="AX13" s="122">
        <v>43840.174888799076</v>
      </c>
      <c r="AY13" s="122">
        <v>2941.1764705878977</v>
      </c>
      <c r="AZ13" s="122">
        <v>545.85055435275353</v>
      </c>
      <c r="BA13" s="122">
        <v>1869.8494591853964</v>
      </c>
      <c r="BB13" s="122">
        <v>2166.6666666676529</v>
      </c>
      <c r="BC13" s="122">
        <v>16199.99999897049</v>
      </c>
      <c r="BD13" s="122">
        <v>1090.4894701412341</v>
      </c>
      <c r="BE13" s="122">
        <v>1152.9026870164562</v>
      </c>
      <c r="BF13" s="122">
        <v>916.6833333329123</v>
      </c>
      <c r="BG13" s="122">
        <v>12296.800000006155</v>
      </c>
    </row>
    <row r="14" spans="1:59" x14ac:dyDescent="0.25">
      <c r="A14" s="1">
        <v>13149.999305555555</v>
      </c>
      <c r="B14" s="3">
        <v>2494.0200000010741</v>
      </c>
      <c r="C14" s="3">
        <v>3493.7000000005241</v>
      </c>
      <c r="D14" s="3">
        <v>4522.2400000005764</v>
      </c>
      <c r="E14" s="3">
        <v>10740.699999997816</v>
      </c>
      <c r="F14" s="3">
        <v>1993.3600000002282</v>
      </c>
      <c r="G14" s="3">
        <v>4668.8200000030756</v>
      </c>
      <c r="H14" s="3">
        <v>431.99999999995032</v>
      </c>
      <c r="I14" s="3">
        <v>4166.6500000021297</v>
      </c>
      <c r="J14" s="3">
        <v>4166.6500000021233</v>
      </c>
      <c r="K14" s="3">
        <v>14288.933964388718</v>
      </c>
      <c r="L14" s="3">
        <v>1799.9999999999995</v>
      </c>
      <c r="M14" s="3">
        <v>7318.3999999991938</v>
      </c>
      <c r="N14" s="3">
        <v>27833.120000031842</v>
      </c>
      <c r="O14" s="122">
        <v>23975.600000011007</v>
      </c>
      <c r="P14" s="122">
        <v>1346.7400000006844</v>
      </c>
      <c r="Q14" s="122">
        <v>0</v>
      </c>
      <c r="R14" s="122">
        <v>4588.9400000008809</v>
      </c>
      <c r="S14" s="122">
        <v>3183.3799999986809</v>
      </c>
      <c r="T14" s="122">
        <v>1008.9400000003277</v>
      </c>
      <c r="U14" s="122">
        <v>419.22999999996358</v>
      </c>
      <c r="V14" s="122">
        <v>11479.940000005454</v>
      </c>
      <c r="W14" s="122">
        <v>1499.983333332802</v>
      </c>
      <c r="X14" s="122">
        <v>1416.6499999990267</v>
      </c>
      <c r="Y14" s="122">
        <v>541.66666666660728</v>
      </c>
      <c r="Z14" s="122">
        <v>333.3333333334636</v>
      </c>
      <c r="AA14" s="122">
        <v>1000.0000000020067</v>
      </c>
      <c r="AB14" s="122">
        <v>1499.999999998952</v>
      </c>
      <c r="AC14" s="122">
        <v>1000.0000000020067</v>
      </c>
      <c r="AD14" s="122">
        <v>1499.999999998952</v>
      </c>
      <c r="AE14" s="122">
        <v>5417.616875712034</v>
      </c>
      <c r="AF14" s="122">
        <v>289.68050908610496</v>
      </c>
      <c r="AG14" s="122">
        <v>17706.813228463812</v>
      </c>
      <c r="AH14" s="122">
        <v>4633.5193717380416</v>
      </c>
      <c r="AI14" s="122">
        <v>8333.3500000013701</v>
      </c>
      <c r="AJ14" s="122">
        <v>38999.999998983854</v>
      </c>
      <c r="AK14" s="122">
        <v>15864.246446422751</v>
      </c>
      <c r="AL14" s="122">
        <v>10232.502965597865</v>
      </c>
      <c r="AM14" s="122">
        <v>24160.880683189982</v>
      </c>
      <c r="AN14" s="122">
        <v>5871.9563786775225</v>
      </c>
      <c r="AO14" s="122">
        <v>2013.9999999997674</v>
      </c>
      <c r="AP14" s="122">
        <v>378.87777777775057</v>
      </c>
      <c r="AQ14" s="122">
        <v>2250.0166666667183</v>
      </c>
      <c r="AR14" s="122">
        <v>18048.026196104904</v>
      </c>
      <c r="AS14" s="122">
        <v>33119.26666579811</v>
      </c>
      <c r="AT14" s="122">
        <v>81564.443292229495</v>
      </c>
      <c r="AU14" s="122">
        <v>81816.964788490091</v>
      </c>
      <c r="AV14" s="122">
        <v>89140.088180052466</v>
      </c>
      <c r="AW14" s="122">
        <v>4644.9719008195216</v>
      </c>
      <c r="AX14" s="122">
        <v>36465.088948293698</v>
      </c>
      <c r="AY14" s="122">
        <v>2228.0542986422779</v>
      </c>
      <c r="AZ14" s="122">
        <v>472.63662008785457</v>
      </c>
      <c r="BA14" s="122">
        <v>1555.290940833703</v>
      </c>
      <c r="BB14" s="122">
        <v>2166.6666666676529</v>
      </c>
      <c r="BC14" s="122">
        <v>16199.99999897049</v>
      </c>
      <c r="BD14" s="122">
        <v>923.16568900845198</v>
      </c>
      <c r="BE14" s="122">
        <v>958.9537253767453</v>
      </c>
      <c r="BF14" s="122">
        <v>916.6833333329123</v>
      </c>
      <c r="BG14" s="122">
        <v>12296.800000006155</v>
      </c>
    </row>
    <row r="15" spans="1:59" x14ac:dyDescent="0.25">
      <c r="A15" s="1">
        <v>13515.999305555555</v>
      </c>
      <c r="B15" s="3">
        <v>2494.0200000010741</v>
      </c>
      <c r="C15" s="3">
        <v>3493.7000000005241</v>
      </c>
      <c r="D15" s="3">
        <v>4522.2400000005764</v>
      </c>
      <c r="E15" s="3">
        <v>10740.699999997816</v>
      </c>
      <c r="F15" s="3">
        <v>1993.3600000002282</v>
      </c>
      <c r="G15" s="3">
        <v>4668.8200000030765</v>
      </c>
      <c r="H15" s="3">
        <v>513.99999999994111</v>
      </c>
      <c r="I15" s="3">
        <v>4166.6500000021306</v>
      </c>
      <c r="J15" s="3">
        <v>4166.6500000021233</v>
      </c>
      <c r="K15" s="3">
        <v>16991.961535570143</v>
      </c>
      <c r="L15" s="3">
        <v>1799.9999999999991</v>
      </c>
      <c r="M15" s="3">
        <v>7318.3999999991929</v>
      </c>
      <c r="N15" s="3">
        <v>27833.120000031842</v>
      </c>
      <c r="O15" s="122">
        <v>23975.600000011007</v>
      </c>
      <c r="P15" s="122">
        <v>1346.7400000006844</v>
      </c>
      <c r="Q15" s="122">
        <v>0</v>
      </c>
      <c r="R15" s="122">
        <v>4588.9400000008809</v>
      </c>
      <c r="S15" s="122">
        <v>3183.3799999986809</v>
      </c>
      <c r="T15" s="122">
        <v>1008.9400000003277</v>
      </c>
      <c r="U15" s="122">
        <v>419.22999999996358</v>
      </c>
      <c r="V15" s="122">
        <v>11479.940000005452</v>
      </c>
      <c r="W15" s="122">
        <v>1499.9833333328022</v>
      </c>
      <c r="X15" s="122">
        <v>1416.6499999990265</v>
      </c>
      <c r="Y15" s="122">
        <v>541.6666666666074</v>
      </c>
      <c r="Z15" s="122">
        <v>333.33333333346354</v>
      </c>
      <c r="AA15" s="122">
        <v>1000.0000000020035</v>
      </c>
      <c r="AB15" s="122">
        <v>1499.9999999989695</v>
      </c>
      <c r="AC15" s="122">
        <v>1000.0000000020035</v>
      </c>
      <c r="AD15" s="122">
        <v>1499.9999999989695</v>
      </c>
      <c r="AE15" s="122">
        <v>5399.087799315228</v>
      </c>
      <c r="AF15" s="122">
        <v>320.09446959256343</v>
      </c>
      <c r="AG15" s="122">
        <v>17788.306642658827</v>
      </c>
      <c r="AH15" s="122">
        <v>4549.0121770912901</v>
      </c>
      <c r="AI15" s="122">
        <v>8333.3500000013719</v>
      </c>
      <c r="AJ15" s="122">
        <v>38999.999998983862</v>
      </c>
      <c r="AK15" s="122">
        <v>15864.246446422729</v>
      </c>
      <c r="AL15" s="122">
        <v>12224.199288254822</v>
      </c>
      <c r="AM15" s="122">
        <v>24160.880683189946</v>
      </c>
      <c r="AN15" s="122">
        <v>5875.7168374534858</v>
      </c>
      <c r="AO15" s="122">
        <v>2145.999999999754</v>
      </c>
      <c r="AP15" s="122">
        <v>378.87777777775057</v>
      </c>
      <c r="AQ15" s="122">
        <v>2250.0166666667183</v>
      </c>
      <c r="AR15" s="122">
        <v>20018.191740947328</v>
      </c>
      <c r="AS15" s="122">
        <v>33105.778642042722</v>
      </c>
      <c r="AT15" s="122">
        <v>100455.52873871477</v>
      </c>
      <c r="AU15" s="122">
        <v>100766.53656762696</v>
      </c>
      <c r="AV15" s="122">
        <v>109785.76360608754</v>
      </c>
      <c r="AW15" s="122">
        <v>4657.697851232725</v>
      </c>
      <c r="AX15" s="122">
        <v>40660.034043492342</v>
      </c>
      <c r="AY15" s="122">
        <v>2620.814479637706</v>
      </c>
      <c r="AZ15" s="122">
        <v>522.25939775628774</v>
      </c>
      <c r="BA15" s="122">
        <v>1734.2116645184444</v>
      </c>
      <c r="BB15" s="122">
        <v>2166.6666666676529</v>
      </c>
      <c r="BC15" s="122">
        <v>16199.999998970494</v>
      </c>
      <c r="BD15" s="122">
        <v>1102.0290412538398</v>
      </c>
      <c r="BE15" s="122">
        <v>1069.2717951474192</v>
      </c>
      <c r="BF15" s="122">
        <v>916.68333333291218</v>
      </c>
      <c r="BG15" s="122">
        <v>12296.800000006155</v>
      </c>
    </row>
    <row r="16" spans="1:59" x14ac:dyDescent="0.25">
      <c r="A16" s="1">
        <v>13880.999305555555</v>
      </c>
      <c r="B16" s="3">
        <v>2494.0200000010741</v>
      </c>
      <c r="C16" s="3">
        <v>3493.7000000005241</v>
      </c>
      <c r="D16" s="3">
        <v>4522.2400000005764</v>
      </c>
      <c r="E16" s="3">
        <v>10740.699999997816</v>
      </c>
      <c r="F16" s="3">
        <v>1993.3600000002282</v>
      </c>
      <c r="G16" s="3">
        <v>4668.8200000030756</v>
      </c>
      <c r="H16" s="3">
        <v>545.99999999993747</v>
      </c>
      <c r="I16" s="3">
        <v>4166.6500000021297</v>
      </c>
      <c r="J16" s="3">
        <v>4166.6500000021233</v>
      </c>
      <c r="K16" s="3">
        <v>18145.894373072802</v>
      </c>
      <c r="L16" s="3">
        <v>1800.0000000000023</v>
      </c>
      <c r="M16" s="3">
        <v>7318.3999999991938</v>
      </c>
      <c r="N16" s="3">
        <v>27833.120000031842</v>
      </c>
      <c r="O16" s="122">
        <v>23975.600000011007</v>
      </c>
      <c r="P16" s="122">
        <v>1346.7400000006844</v>
      </c>
      <c r="Q16" s="122">
        <v>66.985079545736312</v>
      </c>
      <c r="R16" s="122">
        <v>4588.9400000008809</v>
      </c>
      <c r="S16" s="122">
        <v>3183.3799999986809</v>
      </c>
      <c r="T16" s="122">
        <v>1008.9400000003277</v>
      </c>
      <c r="U16" s="122">
        <v>419.22999999996358</v>
      </c>
      <c r="V16" s="122">
        <v>11479.940000005454</v>
      </c>
      <c r="W16" s="122">
        <v>1499.983333332802</v>
      </c>
      <c r="X16" s="122">
        <v>1416.6499999990267</v>
      </c>
      <c r="Y16" s="122">
        <v>541.66666666660728</v>
      </c>
      <c r="Z16" s="122">
        <v>333.3333333334636</v>
      </c>
      <c r="AA16" s="122">
        <v>1000.0000000020067</v>
      </c>
      <c r="AB16" s="122">
        <v>1499.999999998952</v>
      </c>
      <c r="AC16" s="122">
        <v>1000.0000000020067</v>
      </c>
      <c r="AD16" s="122">
        <v>1499.999999998952</v>
      </c>
      <c r="AE16" s="122">
        <v>5417.616875712034</v>
      </c>
      <c r="AF16" s="122">
        <v>299.65229941609061</v>
      </c>
      <c r="AG16" s="122">
        <v>17771.249881548221</v>
      </c>
      <c r="AH16" s="122">
        <v>4671.9642063309084</v>
      </c>
      <c r="AI16" s="122">
        <v>8333.3500000013701</v>
      </c>
      <c r="AJ16" s="122">
        <v>38999.999998983854</v>
      </c>
      <c r="AK16" s="122">
        <v>15864.24644642276</v>
      </c>
      <c r="AL16" s="122">
        <v>13002.372479239311</v>
      </c>
      <c r="AM16" s="122">
        <v>24160.880683190011</v>
      </c>
      <c r="AN16" s="122">
        <v>6076.9013819678967</v>
      </c>
      <c r="AO16" s="122">
        <v>2373.9999999997262</v>
      </c>
      <c r="AP16" s="122">
        <v>378.87777777775057</v>
      </c>
      <c r="AQ16" s="122">
        <v>2250.0166666667183</v>
      </c>
      <c r="AR16" s="122">
        <v>18795.706749133744</v>
      </c>
      <c r="AS16" s="122">
        <v>33119.26666579811</v>
      </c>
      <c r="AT16" s="122">
        <v>90980.338727350987</v>
      </c>
      <c r="AU16" s="122">
        <v>91262.011602667946</v>
      </c>
      <c r="AV16" s="122">
        <v>99430.524986857316</v>
      </c>
      <c r="AW16" s="122">
        <v>4644.9719008195216</v>
      </c>
      <c r="AX16" s="122">
        <v>38382.642857498511</v>
      </c>
      <c r="AY16" s="122">
        <v>2856.1085972847386</v>
      </c>
      <c r="AZ16" s="122">
        <v>488.90638325783283</v>
      </c>
      <c r="BA16" s="122">
        <v>1637.077501885982</v>
      </c>
      <c r="BB16" s="122">
        <v>2166.6666666676529</v>
      </c>
      <c r="BC16" s="122">
        <v>16199.99999897049</v>
      </c>
      <c r="BD16" s="122">
        <v>1175.1129916336756</v>
      </c>
      <c r="BE16" s="122">
        <v>1009.3812854863644</v>
      </c>
      <c r="BF16" s="122">
        <v>916.6833333329123</v>
      </c>
      <c r="BG16" s="122">
        <v>12296.800000006155</v>
      </c>
    </row>
    <row r="17" spans="1:59" x14ac:dyDescent="0.25">
      <c r="A17" s="1">
        <v>14245.999305555555</v>
      </c>
      <c r="B17" s="3">
        <v>2494.0200000010741</v>
      </c>
      <c r="C17" s="3">
        <v>3493.7000000005241</v>
      </c>
      <c r="D17" s="3">
        <v>4522.2400000005764</v>
      </c>
      <c r="E17" s="3">
        <v>10740.699999997816</v>
      </c>
      <c r="F17" s="3">
        <v>1993.3600000002282</v>
      </c>
      <c r="G17" s="3">
        <v>4668.8200000030756</v>
      </c>
      <c r="H17" s="3">
        <v>497.99999999994264</v>
      </c>
      <c r="I17" s="3">
        <v>4166.6500000021297</v>
      </c>
      <c r="J17" s="3">
        <v>4166.6500000021233</v>
      </c>
      <c r="K17" s="3">
        <v>16670.422958453491</v>
      </c>
      <c r="L17" s="3">
        <v>1800.0000000000011</v>
      </c>
      <c r="M17" s="3">
        <v>7318.3999999991938</v>
      </c>
      <c r="N17" s="3">
        <v>27833.120000031842</v>
      </c>
      <c r="O17" s="122">
        <v>23975.600000011007</v>
      </c>
      <c r="P17" s="122">
        <v>1346.7400000006844</v>
      </c>
      <c r="Q17" s="122">
        <v>0</v>
      </c>
      <c r="R17" s="122">
        <v>4588.9400000008809</v>
      </c>
      <c r="S17" s="122">
        <v>3183.3799999986809</v>
      </c>
      <c r="T17" s="122">
        <v>1008.9400000003277</v>
      </c>
      <c r="U17" s="122">
        <v>419.22999999996358</v>
      </c>
      <c r="V17" s="122">
        <v>11479.940000005454</v>
      </c>
      <c r="W17" s="122">
        <v>1499.983333332802</v>
      </c>
      <c r="X17" s="122">
        <v>1416.6499999990267</v>
      </c>
      <c r="Y17" s="122">
        <v>541.66666666660728</v>
      </c>
      <c r="Z17" s="122">
        <v>333.3333333334636</v>
      </c>
      <c r="AA17" s="122">
        <v>1000.0000000020067</v>
      </c>
      <c r="AB17" s="122">
        <v>1499.999999998952</v>
      </c>
      <c r="AC17" s="122">
        <v>1000.0000000020067</v>
      </c>
      <c r="AD17" s="122">
        <v>1499.999999998952</v>
      </c>
      <c r="AE17" s="122">
        <v>5601.4823261111023</v>
      </c>
      <c r="AF17" s="122">
        <v>290.17909860260363</v>
      </c>
      <c r="AG17" s="122">
        <v>18550.175305598164</v>
      </c>
      <c r="AH17" s="122">
        <v>4706.0418751514107</v>
      </c>
      <c r="AI17" s="122">
        <v>8333.3500000013701</v>
      </c>
      <c r="AJ17" s="122">
        <v>38999.999998983854</v>
      </c>
      <c r="AK17" s="122">
        <v>15864.246446422736</v>
      </c>
      <c r="AL17" s="122">
        <v>11926.453143533625</v>
      </c>
      <c r="AM17" s="122">
        <v>24160.880683189982</v>
      </c>
      <c r="AN17" s="122">
        <v>6065.6200056399866</v>
      </c>
      <c r="AO17" s="122">
        <v>2283.9999999997358</v>
      </c>
      <c r="AP17" s="122">
        <v>378.87777777775057</v>
      </c>
      <c r="AQ17" s="122">
        <v>2250.0166666667183</v>
      </c>
      <c r="AR17" s="122">
        <v>18038.930325630088</v>
      </c>
      <c r="AS17" s="122">
        <v>33119.26666579811</v>
      </c>
      <c r="AT17" s="122">
        <v>98553.41568663287</v>
      </c>
      <c r="AU17" s="122">
        <v>98858.534620647231</v>
      </c>
      <c r="AV17" s="122">
        <v>107706.9837070631</v>
      </c>
      <c r="AW17" s="122">
        <v>4644.9719008195216</v>
      </c>
      <c r="AX17" s="122">
        <v>36471.401882974234</v>
      </c>
      <c r="AY17" s="122">
        <v>2685.9728506784236</v>
      </c>
      <c r="AZ17" s="122">
        <v>473.45010824635267</v>
      </c>
      <c r="BA17" s="122">
        <v>1555.5601970017751</v>
      </c>
      <c r="BB17" s="122">
        <v>2166.6666666676529</v>
      </c>
      <c r="BC17" s="122">
        <v>16199.99999897049</v>
      </c>
      <c r="BD17" s="122">
        <v>1080.8731608807291</v>
      </c>
      <c r="BE17" s="122">
        <v>959.11974203554314</v>
      </c>
      <c r="BF17" s="122">
        <v>916.6833333329123</v>
      </c>
      <c r="BG17" s="122">
        <v>12296.800000006155</v>
      </c>
    </row>
    <row r="18" spans="1:59" x14ac:dyDescent="0.25">
      <c r="A18" s="1">
        <v>14610.999305555555</v>
      </c>
      <c r="B18" s="3">
        <v>2494.0200000010741</v>
      </c>
      <c r="C18" s="3">
        <v>3493.7000000005241</v>
      </c>
      <c r="D18" s="3">
        <v>4522.2400000005764</v>
      </c>
      <c r="E18" s="3">
        <v>10740.699999997816</v>
      </c>
      <c r="F18" s="3">
        <v>1993.3600000002282</v>
      </c>
      <c r="G18" s="3">
        <v>4668.8200000030756</v>
      </c>
      <c r="H18" s="3">
        <v>577.99999999993349</v>
      </c>
      <c r="I18" s="3">
        <v>4166.6500000021297</v>
      </c>
      <c r="J18" s="3">
        <v>4166.6500000021233</v>
      </c>
      <c r="K18" s="3">
        <v>19299.82721057551</v>
      </c>
      <c r="L18" s="3">
        <v>1799.9999999999991</v>
      </c>
      <c r="M18" s="3">
        <v>7318.3999999991938</v>
      </c>
      <c r="N18" s="3">
        <v>27833.120000031842</v>
      </c>
      <c r="O18" s="122">
        <v>23975.600000011007</v>
      </c>
      <c r="P18" s="122">
        <v>1346.7400000006844</v>
      </c>
      <c r="Q18" s="122">
        <v>424.04064516150169</v>
      </c>
      <c r="R18" s="122">
        <v>4588.9400000008809</v>
      </c>
      <c r="S18" s="122">
        <v>3183.3799999986809</v>
      </c>
      <c r="T18" s="122">
        <v>1008.9400000003277</v>
      </c>
      <c r="U18" s="122">
        <v>419.22999999996358</v>
      </c>
      <c r="V18" s="122">
        <v>11479.940000005454</v>
      </c>
      <c r="W18" s="122">
        <v>1499.983333332802</v>
      </c>
      <c r="X18" s="122">
        <v>1416.6499999990267</v>
      </c>
      <c r="Y18" s="122">
        <v>541.66666666660728</v>
      </c>
      <c r="Z18" s="122">
        <v>333.3333333334636</v>
      </c>
      <c r="AA18" s="122">
        <v>1000.0000000020067</v>
      </c>
      <c r="AB18" s="122">
        <v>1499.999999998952</v>
      </c>
      <c r="AC18" s="122">
        <v>1000.0000000020067</v>
      </c>
      <c r="AD18" s="122">
        <v>1499.999999998952</v>
      </c>
      <c r="AE18" s="122">
        <v>5460.3762827815835</v>
      </c>
      <c r="AF18" s="122">
        <v>353.99855671451724</v>
      </c>
      <c r="AG18" s="122">
        <v>20369.56315739367</v>
      </c>
      <c r="AH18" s="122">
        <v>4581.7908751030745</v>
      </c>
      <c r="AI18" s="122">
        <v>8333.3500000013701</v>
      </c>
      <c r="AJ18" s="122">
        <v>38999.999998983854</v>
      </c>
      <c r="AK18" s="122">
        <v>15864.246446422745</v>
      </c>
      <c r="AL18" s="122">
        <v>13812.574139974677</v>
      </c>
      <c r="AM18" s="122">
        <v>24160.880683189996</v>
      </c>
      <c r="AN18" s="122">
        <v>6264.9243207664085</v>
      </c>
      <c r="AO18" s="122">
        <v>2449.999999999719</v>
      </c>
      <c r="AP18" s="122">
        <v>378.87777777775057</v>
      </c>
      <c r="AQ18" s="122">
        <v>2250.0166666667183</v>
      </c>
      <c r="AR18" s="122">
        <v>22064.762597778066</v>
      </c>
      <c r="AS18" s="122">
        <v>33119.26666579811</v>
      </c>
      <c r="AT18" s="122">
        <v>110250.9555613533</v>
      </c>
      <c r="AU18" s="122">
        <v>110592.28978909769</v>
      </c>
      <c r="AV18" s="122">
        <v>120490.98239367717</v>
      </c>
      <c r="AW18" s="122">
        <v>4644.9719008195216</v>
      </c>
      <c r="AX18" s="122">
        <v>44679.795201306857</v>
      </c>
      <c r="AY18" s="122">
        <v>3035.2941176467116</v>
      </c>
      <c r="AZ18" s="122">
        <v>577.57659253421036</v>
      </c>
      <c r="BA18" s="122">
        <v>1905.6605295391516</v>
      </c>
      <c r="BB18" s="122">
        <v>2166.6666666676529</v>
      </c>
      <c r="BC18" s="122">
        <v>16199.99999897049</v>
      </c>
      <c r="BD18" s="122">
        <v>1250.1202038656127</v>
      </c>
      <c r="BE18" s="122">
        <v>1174.9829026364714</v>
      </c>
      <c r="BF18" s="122">
        <v>916.6833333329123</v>
      </c>
      <c r="BG18" s="122">
        <v>12296.800000006155</v>
      </c>
    </row>
    <row r="19" spans="1:59" x14ac:dyDescent="0.25">
      <c r="A19" s="1">
        <v>14976.999305555555</v>
      </c>
      <c r="B19" s="3">
        <v>2494.0200000010741</v>
      </c>
      <c r="C19" s="3">
        <v>3493.7000000005241</v>
      </c>
      <c r="D19" s="3">
        <v>4522.2400000005764</v>
      </c>
      <c r="E19" s="3">
        <v>10740.699999997816</v>
      </c>
      <c r="F19" s="3">
        <v>1993.3600000002282</v>
      </c>
      <c r="G19" s="3">
        <v>4668.8200000030765</v>
      </c>
      <c r="H19" s="3">
        <v>507.99999999994156</v>
      </c>
      <c r="I19" s="3">
        <v>4166.6500000021306</v>
      </c>
      <c r="J19" s="3">
        <v>4166.6500000021233</v>
      </c>
      <c r="K19" s="3">
        <v>16877.770265192274</v>
      </c>
      <c r="L19" s="3">
        <v>1799.9999999999989</v>
      </c>
      <c r="M19" s="3">
        <v>7318.3999999991929</v>
      </c>
      <c r="N19" s="3">
        <v>27833.120000031842</v>
      </c>
      <c r="O19" s="122">
        <v>23975.600000011007</v>
      </c>
      <c r="P19" s="122">
        <v>1346.7400000006844</v>
      </c>
      <c r="Q19" s="122">
        <v>559.56286850691481</v>
      </c>
      <c r="R19" s="122">
        <v>4588.9400000008809</v>
      </c>
      <c r="S19" s="122">
        <v>3183.3799999986809</v>
      </c>
      <c r="T19" s="122">
        <v>1008.9400000003277</v>
      </c>
      <c r="U19" s="122">
        <v>419.22999999996358</v>
      </c>
      <c r="V19" s="122">
        <v>11479.940000005452</v>
      </c>
      <c r="W19" s="122">
        <v>1499.9833333328022</v>
      </c>
      <c r="X19" s="122">
        <v>1416.6499999990265</v>
      </c>
      <c r="Y19" s="122">
        <v>541.6666666666074</v>
      </c>
      <c r="Z19" s="122">
        <v>333.33333333346354</v>
      </c>
      <c r="AA19" s="122">
        <v>1000.0000000020035</v>
      </c>
      <c r="AB19" s="122">
        <v>1499.9999999989695</v>
      </c>
      <c r="AC19" s="122">
        <v>1000.0000000020035</v>
      </c>
      <c r="AD19" s="122">
        <v>1499.9999999989695</v>
      </c>
      <c r="AE19" s="122">
        <v>5483.1812998853429</v>
      </c>
      <c r="AF19" s="122">
        <v>314.11139539457145</v>
      </c>
      <c r="AG19" s="122">
        <v>19183.170662368684</v>
      </c>
      <c r="AH19" s="122">
        <v>4699.4007017815966</v>
      </c>
      <c r="AI19" s="122">
        <v>8333.3500000013719</v>
      </c>
      <c r="AJ19" s="122">
        <v>38999.999998983862</v>
      </c>
      <c r="AK19" s="122">
        <v>15864.246446422727</v>
      </c>
      <c r="AL19" s="122">
        <v>12118.623962038948</v>
      </c>
      <c r="AM19" s="122">
        <v>24160.880683190004</v>
      </c>
      <c r="AN19" s="122">
        <v>6313.8102848540293</v>
      </c>
      <c r="AO19" s="122">
        <v>2433.9999999997199</v>
      </c>
      <c r="AP19" s="122">
        <v>378.87777777775057</v>
      </c>
      <c r="AQ19" s="122">
        <v>2250.0166666667183</v>
      </c>
      <c r="AR19" s="122">
        <v>19670.729488809822</v>
      </c>
      <c r="AS19" s="122">
        <v>33105.778642042722</v>
      </c>
      <c r="AT19" s="122">
        <v>94223.96081625369</v>
      </c>
      <c r="AU19" s="122">
        <v>94515.675865220226</v>
      </c>
      <c r="AV19" s="122">
        <v>102975.41228525559</v>
      </c>
      <c r="AW19" s="122">
        <v>4657.697851232725</v>
      </c>
      <c r="AX19" s="122">
        <v>40058.72701517379</v>
      </c>
      <c r="AY19" s="122">
        <v>2767.4208144793206</v>
      </c>
      <c r="AZ19" s="122">
        <v>512.49753985430084</v>
      </c>
      <c r="BA19" s="122">
        <v>1708.565014509458</v>
      </c>
      <c r="BB19" s="122">
        <v>2166.6666666676529</v>
      </c>
      <c r="BC19" s="122">
        <v>16199.999998970494</v>
      </c>
      <c r="BD19" s="122">
        <v>1094.335993845436</v>
      </c>
      <c r="BE19" s="122">
        <v>1053.458708396995</v>
      </c>
      <c r="BF19" s="122">
        <v>916.68333333291218</v>
      </c>
      <c r="BG19" s="122">
        <v>12296.800000006155</v>
      </c>
    </row>
    <row r="20" spans="1:59" x14ac:dyDescent="0.25">
      <c r="A20" s="1">
        <v>15341.999305555555</v>
      </c>
      <c r="B20" s="3">
        <v>2494.0200000010741</v>
      </c>
      <c r="C20" s="3">
        <v>3493.7000000005241</v>
      </c>
      <c r="D20" s="3">
        <v>4522.2400000005764</v>
      </c>
      <c r="E20" s="3">
        <v>10740.699999997816</v>
      </c>
      <c r="F20" s="3">
        <v>1993.3600000002282</v>
      </c>
      <c r="G20" s="3">
        <v>4668.8200000030756</v>
      </c>
      <c r="H20" s="3">
        <v>403.99999999995333</v>
      </c>
      <c r="I20" s="3">
        <v>4166.6500000021297</v>
      </c>
      <c r="J20" s="3">
        <v>4166.6500000021233</v>
      </c>
      <c r="K20" s="3">
        <v>13160.543911049497</v>
      </c>
      <c r="L20" s="3">
        <v>1799.999999999998</v>
      </c>
      <c r="M20" s="3">
        <v>7318.3999999991938</v>
      </c>
      <c r="N20" s="3">
        <v>27833.120000031842</v>
      </c>
      <c r="O20" s="122">
        <v>23975.600000011007</v>
      </c>
      <c r="P20" s="122">
        <v>1346.7400000006844</v>
      </c>
      <c r="Q20" s="122">
        <v>0</v>
      </c>
      <c r="R20" s="122">
        <v>4588.9400000008809</v>
      </c>
      <c r="S20" s="122">
        <v>3183.3799999986809</v>
      </c>
      <c r="T20" s="122">
        <v>1008.9400000003277</v>
      </c>
      <c r="U20" s="122">
        <v>419.22999999996358</v>
      </c>
      <c r="V20" s="122">
        <v>11479.940000005454</v>
      </c>
      <c r="W20" s="122">
        <v>1499.983333332802</v>
      </c>
      <c r="X20" s="122">
        <v>1416.6499999990267</v>
      </c>
      <c r="Y20" s="122">
        <v>541.66666666660728</v>
      </c>
      <c r="Z20" s="122">
        <v>333.3333333334636</v>
      </c>
      <c r="AA20" s="122">
        <v>1000.0000000020067</v>
      </c>
      <c r="AB20" s="122">
        <v>1499.999999998952</v>
      </c>
      <c r="AC20" s="122">
        <v>1000.0000000020067</v>
      </c>
      <c r="AD20" s="122">
        <v>1499.999999998952</v>
      </c>
      <c r="AE20" s="122">
        <v>4526.7958950963975</v>
      </c>
      <c r="AF20" s="122">
        <v>229.35117758968718</v>
      </c>
      <c r="AG20" s="122">
        <v>14689.661707569616</v>
      </c>
      <c r="AH20" s="122">
        <v>3765.2418386323307</v>
      </c>
      <c r="AI20" s="122">
        <v>8333.3500000013701</v>
      </c>
      <c r="AJ20" s="122">
        <v>38999.999998983854</v>
      </c>
      <c r="AK20" s="122">
        <v>15864.246446422711</v>
      </c>
      <c r="AL20" s="122">
        <v>9587.1886120985455</v>
      </c>
      <c r="AM20" s="122">
        <v>24160.880683190004</v>
      </c>
      <c r="AN20" s="122">
        <v>4890.4766381492909</v>
      </c>
      <c r="AO20" s="122">
        <v>2377.9999999997281</v>
      </c>
      <c r="AP20" s="122">
        <v>378.87777777775057</v>
      </c>
      <c r="AQ20" s="122">
        <v>2250.0166666667183</v>
      </c>
      <c r="AR20" s="122">
        <v>14142.259414224325</v>
      </c>
      <c r="AS20" s="122">
        <v>33119.26666579811</v>
      </c>
      <c r="AT20" s="122">
        <v>74413.651934701236</v>
      </c>
      <c r="AU20" s="122">
        <v>74644.034758028662</v>
      </c>
      <c r="AV20" s="122">
        <v>81325.136634518974</v>
      </c>
      <c r="AW20" s="122">
        <v>4644.9719008195216</v>
      </c>
      <c r="AX20" s="122">
        <v>28240.91329325984</v>
      </c>
      <c r="AY20" s="122">
        <v>2296.8325791852553</v>
      </c>
      <c r="AZ20" s="122">
        <v>374.20455290949059</v>
      </c>
      <c r="BA20" s="122">
        <v>1204.5174678761418</v>
      </c>
      <c r="BB20" s="122">
        <v>2166.6666666676529</v>
      </c>
      <c r="BC20" s="122">
        <v>16199.99999897049</v>
      </c>
      <c r="BD20" s="122">
        <v>855.85152418491987</v>
      </c>
      <c r="BE20" s="122">
        <v>742.67552312882458</v>
      </c>
      <c r="BF20" s="122">
        <v>916.6833333329123</v>
      </c>
      <c r="BG20" s="122">
        <v>12296.800000006155</v>
      </c>
    </row>
    <row r="21" spans="1:59" x14ac:dyDescent="0.25">
      <c r="A21" s="1">
        <v>15706.999305555555</v>
      </c>
      <c r="B21" s="3">
        <v>2494.0200000010741</v>
      </c>
      <c r="C21" s="3">
        <v>3493.7000000005241</v>
      </c>
      <c r="D21" s="3">
        <v>4522.2400000005764</v>
      </c>
      <c r="E21" s="3">
        <v>10740.699999997816</v>
      </c>
      <c r="F21" s="3">
        <v>1993.3600000002282</v>
      </c>
      <c r="G21" s="3">
        <v>4668.8200000030756</v>
      </c>
      <c r="H21" s="3">
        <v>541.99999999993747</v>
      </c>
      <c r="I21" s="3">
        <v>4166.6500000021297</v>
      </c>
      <c r="J21" s="3">
        <v>4166.6500000021233</v>
      </c>
      <c r="K21" s="3">
        <v>17929.531966041068</v>
      </c>
      <c r="L21" s="3">
        <v>1799.9999999999995</v>
      </c>
      <c r="M21" s="3">
        <v>7318.3999999991938</v>
      </c>
      <c r="N21" s="3">
        <v>27833.120000031842</v>
      </c>
      <c r="O21" s="122">
        <v>23975.600000011007</v>
      </c>
      <c r="P21" s="122">
        <v>1346.7400000006844</v>
      </c>
      <c r="Q21" s="122">
        <v>0</v>
      </c>
      <c r="R21" s="122">
        <v>4588.9400000008809</v>
      </c>
      <c r="S21" s="122">
        <v>3183.3799999986809</v>
      </c>
      <c r="T21" s="122">
        <v>1008.9400000003277</v>
      </c>
      <c r="U21" s="122">
        <v>419.22999999996358</v>
      </c>
      <c r="V21" s="122">
        <v>11479.940000005454</v>
      </c>
      <c r="W21" s="122">
        <v>1499.983333332802</v>
      </c>
      <c r="X21" s="122">
        <v>1416.6499999990267</v>
      </c>
      <c r="Y21" s="122">
        <v>541.66666666660728</v>
      </c>
      <c r="Z21" s="122">
        <v>333.3333333334636</v>
      </c>
      <c r="AA21" s="122">
        <v>1000.0000000020067</v>
      </c>
      <c r="AB21" s="122">
        <v>1499.999999998952</v>
      </c>
      <c r="AC21" s="122">
        <v>1000.0000000020067</v>
      </c>
      <c r="AD21" s="122">
        <v>1499.999999998952</v>
      </c>
      <c r="AE21" s="122">
        <v>5500.285062713162</v>
      </c>
      <c r="AF21" s="122">
        <v>344.525355901029</v>
      </c>
      <c r="AG21" s="122">
        <v>19124.41959632112</v>
      </c>
      <c r="AH21" s="122">
        <v>4632.3851552278729</v>
      </c>
      <c r="AI21" s="122">
        <v>8333.3500000013701</v>
      </c>
      <c r="AJ21" s="122">
        <v>38999.999998983854</v>
      </c>
      <c r="AK21" s="122">
        <v>15864.246446422729</v>
      </c>
      <c r="AL21" s="122">
        <v>12920.521945431479</v>
      </c>
      <c r="AM21" s="122">
        <v>24160.880683190007</v>
      </c>
      <c r="AN21" s="122">
        <v>6106.9850521756653</v>
      </c>
      <c r="AO21" s="122">
        <v>2633.9999999996953</v>
      </c>
      <c r="AP21" s="122">
        <v>378.87777777775057</v>
      </c>
      <c r="AQ21" s="122">
        <v>2250.0166666667183</v>
      </c>
      <c r="AR21" s="122">
        <v>21433.509186826715</v>
      </c>
      <c r="AS21" s="122">
        <v>33119.26666579811</v>
      </c>
      <c r="AT21" s="122">
        <v>104182.76018217194</v>
      </c>
      <c r="AU21" s="122">
        <v>104505.30742731811</v>
      </c>
      <c r="AV21" s="122">
        <v>113859.17753655324</v>
      </c>
      <c r="AW21" s="122">
        <v>4644.9719008195216</v>
      </c>
      <c r="AX21" s="122">
        <v>43308.310141966133</v>
      </c>
      <c r="AY21" s="122">
        <v>2971.945701357125</v>
      </c>
      <c r="AZ21" s="122">
        <v>562.1203175227331</v>
      </c>
      <c r="BA21" s="122">
        <v>1847.1646270252174</v>
      </c>
      <c r="BB21" s="122">
        <v>2166.6666666676529</v>
      </c>
      <c r="BC21" s="122">
        <v>16199.99999897049</v>
      </c>
      <c r="BD21" s="122">
        <v>1161.6501586689694</v>
      </c>
      <c r="BE21" s="122">
        <v>1138.9157835128024</v>
      </c>
      <c r="BF21" s="122">
        <v>916.6833333329123</v>
      </c>
      <c r="BG21" s="122">
        <v>12296.800000006155</v>
      </c>
    </row>
    <row r="22" spans="1:59" x14ac:dyDescent="0.25">
      <c r="A22" s="1">
        <v>16071.999305555555</v>
      </c>
      <c r="B22" s="3">
        <v>2494.0200000010741</v>
      </c>
      <c r="C22" s="3">
        <v>3493.7000000005241</v>
      </c>
      <c r="D22" s="3">
        <v>4522.2400000005764</v>
      </c>
      <c r="E22" s="3">
        <v>10740.699999997816</v>
      </c>
      <c r="F22" s="3">
        <v>1993.3600000002282</v>
      </c>
      <c r="G22" s="3">
        <v>4668.8200000030756</v>
      </c>
      <c r="H22" s="3">
        <v>539.99999999993781</v>
      </c>
      <c r="I22" s="3">
        <v>4166.6500000021297</v>
      </c>
      <c r="J22" s="3">
        <v>4166.6500000021233</v>
      </c>
      <c r="K22" s="3">
        <v>17837.878446395651</v>
      </c>
      <c r="L22" s="3">
        <v>1799.9999999999995</v>
      </c>
      <c r="M22" s="3">
        <v>7318.3999999991938</v>
      </c>
      <c r="N22" s="3">
        <v>27833.120000031842</v>
      </c>
      <c r="O22" s="122">
        <v>23975.600000011007</v>
      </c>
      <c r="P22" s="122">
        <v>1346.7400000006844</v>
      </c>
      <c r="Q22" s="122">
        <v>0</v>
      </c>
      <c r="R22" s="122">
        <v>4588.9400000008809</v>
      </c>
      <c r="S22" s="122">
        <v>3183.3799999986809</v>
      </c>
      <c r="T22" s="122">
        <v>1008.9400000003277</v>
      </c>
      <c r="U22" s="122">
        <v>419.22999999996358</v>
      </c>
      <c r="V22" s="122">
        <v>11479.940000005454</v>
      </c>
      <c r="W22" s="122">
        <v>1499.983333332802</v>
      </c>
      <c r="X22" s="122">
        <v>1416.6499999990267</v>
      </c>
      <c r="Y22" s="122">
        <v>541.66666666660728</v>
      </c>
      <c r="Z22" s="122">
        <v>333.3333333334636</v>
      </c>
      <c r="AA22" s="122">
        <v>1000.0000000020067</v>
      </c>
      <c r="AB22" s="122">
        <v>1499.999999998952</v>
      </c>
      <c r="AC22" s="122">
        <v>1000.0000000020067</v>
      </c>
      <c r="AD22" s="122">
        <v>1499.999999998952</v>
      </c>
      <c r="AE22" s="122">
        <v>5657.0695553015148</v>
      </c>
      <c r="AF22" s="122">
        <v>345.02394541752824</v>
      </c>
      <c r="AG22" s="122">
        <v>19389.746991374646</v>
      </c>
      <c r="AH22" s="122">
        <v>4802.3060067593597</v>
      </c>
      <c r="AI22" s="122">
        <v>8333.3500000013701</v>
      </c>
      <c r="AJ22" s="122">
        <v>38999.999998983854</v>
      </c>
      <c r="AK22" s="122">
        <v>15864.246446422732</v>
      </c>
      <c r="AL22" s="122">
        <v>12899.169632264235</v>
      </c>
      <c r="AM22" s="122">
        <v>24160.880683190007</v>
      </c>
      <c r="AN22" s="122">
        <v>6152.1105574873063</v>
      </c>
      <c r="AO22" s="122">
        <v>2515.9999999997103</v>
      </c>
      <c r="AP22" s="122">
        <v>378.87777777775057</v>
      </c>
      <c r="AQ22" s="122">
        <v>2250.0166666667183</v>
      </c>
      <c r="AR22" s="122">
        <v>21377.114789882951</v>
      </c>
      <c r="AS22" s="122">
        <v>33119.26666579811</v>
      </c>
      <c r="AT22" s="122">
        <v>99333.901260405619</v>
      </c>
      <c r="AU22" s="122">
        <v>99641.436558425412</v>
      </c>
      <c r="AV22" s="122">
        <v>108559.96020100075</v>
      </c>
      <c r="AW22" s="122">
        <v>4644.9719008195216</v>
      </c>
      <c r="AX22" s="122">
        <v>43257.806664522046</v>
      </c>
      <c r="AY22" s="122">
        <v>2912.2171945698005</v>
      </c>
      <c r="AZ22" s="122">
        <v>562.93380568123553</v>
      </c>
      <c r="BA22" s="122">
        <v>1845.0105776806295</v>
      </c>
      <c r="BB22" s="122">
        <v>2166.6666666676529</v>
      </c>
      <c r="BC22" s="122">
        <v>16199.99999897049</v>
      </c>
      <c r="BD22" s="122">
        <v>1159.7268968168678</v>
      </c>
      <c r="BE22" s="122">
        <v>1137.5876502424251</v>
      </c>
      <c r="BF22" s="122">
        <v>916.6833333329123</v>
      </c>
      <c r="BG22" s="122">
        <v>12296.800000006155</v>
      </c>
    </row>
    <row r="23" spans="1:59" x14ac:dyDescent="0.25">
      <c r="A23" s="1">
        <v>16437.999305555557</v>
      </c>
      <c r="B23" s="3">
        <v>2494.0200000010741</v>
      </c>
      <c r="C23" s="3">
        <v>3493.7000000005241</v>
      </c>
      <c r="D23" s="3">
        <v>4522.2400000005764</v>
      </c>
      <c r="E23" s="3">
        <v>10740.699999997816</v>
      </c>
      <c r="F23" s="3">
        <v>1993.3600000002282</v>
      </c>
      <c r="G23" s="3">
        <v>4668.8200000030765</v>
      </c>
      <c r="H23" s="3">
        <v>525.99999999993906</v>
      </c>
      <c r="I23" s="3">
        <v>4166.6500000021306</v>
      </c>
      <c r="J23" s="3">
        <v>4166.6500000021233</v>
      </c>
      <c r="K23" s="3">
        <v>17534.370069865032</v>
      </c>
      <c r="L23" s="3">
        <v>1799.9999999999991</v>
      </c>
      <c r="M23" s="3">
        <v>7318.3999999991929</v>
      </c>
      <c r="N23" s="3">
        <v>27833.120000031842</v>
      </c>
      <c r="O23" s="122">
        <v>23975.600000011007</v>
      </c>
      <c r="P23" s="122">
        <v>1346.7400000006844</v>
      </c>
      <c r="Q23" s="122">
        <v>0</v>
      </c>
      <c r="R23" s="122">
        <v>4588.9400000008809</v>
      </c>
      <c r="S23" s="122">
        <v>3183.3799999986809</v>
      </c>
      <c r="T23" s="122">
        <v>1008.9400000003277</v>
      </c>
      <c r="U23" s="122">
        <v>419.22999999996358</v>
      </c>
      <c r="V23" s="122">
        <v>11479.940000005452</v>
      </c>
      <c r="W23" s="122">
        <v>1499.9833333328022</v>
      </c>
      <c r="X23" s="122">
        <v>1416.6499999990265</v>
      </c>
      <c r="Y23" s="122">
        <v>541.6666666666074</v>
      </c>
      <c r="Z23" s="122">
        <v>333.33333333346354</v>
      </c>
      <c r="AA23" s="122">
        <v>1000.0000000020035</v>
      </c>
      <c r="AB23" s="122">
        <v>1499.9999999989695</v>
      </c>
      <c r="AC23" s="122">
        <v>1000.0000000020035</v>
      </c>
      <c r="AD23" s="122">
        <v>1499.9999999989695</v>
      </c>
      <c r="AE23" s="122">
        <v>5438.9965792468101</v>
      </c>
      <c r="AF23" s="122">
        <v>312.61562684507248</v>
      </c>
      <c r="AG23" s="122">
        <v>17701.127641426941</v>
      </c>
      <c r="AH23" s="122">
        <v>4633.5585720884101</v>
      </c>
      <c r="AI23" s="122">
        <v>8333.3500000013719</v>
      </c>
      <c r="AJ23" s="122">
        <v>38999.999998983862</v>
      </c>
      <c r="AK23" s="122">
        <v>15864.246446422723</v>
      </c>
      <c r="AL23" s="122">
        <v>12655.990510081592</v>
      </c>
      <c r="AM23" s="122">
        <v>24160.880683190026</v>
      </c>
      <c r="AN23" s="122">
        <v>5982.8899125686439</v>
      </c>
      <c r="AO23" s="122">
        <v>2185.9999999997481</v>
      </c>
      <c r="AP23" s="122">
        <v>378.87777777775057</v>
      </c>
      <c r="AQ23" s="122">
        <v>2250.0166666667183</v>
      </c>
      <c r="AR23" s="122">
        <v>19466.981990174208</v>
      </c>
      <c r="AS23" s="122">
        <v>33105.778642042722</v>
      </c>
      <c r="AT23" s="122">
        <v>98853.277078401792</v>
      </c>
      <c r="AU23" s="122">
        <v>99159.324375858094</v>
      </c>
      <c r="AV23" s="122">
        <v>108034.69600209237</v>
      </c>
      <c r="AW23" s="122">
        <v>4657.697851232725</v>
      </c>
      <c r="AX23" s="122">
        <v>39353.256564626863</v>
      </c>
      <c r="AY23" s="122">
        <v>2675.11312217164</v>
      </c>
      <c r="AZ23" s="122">
        <v>510.05707537880272</v>
      </c>
      <c r="BA23" s="122">
        <v>1678.4756377272604</v>
      </c>
      <c r="BB23" s="122">
        <v>2166.6666666676529</v>
      </c>
      <c r="BC23" s="122">
        <v>16199.999998970494</v>
      </c>
      <c r="BD23" s="122">
        <v>1138.5710164437583</v>
      </c>
      <c r="BE23" s="122">
        <v>1034.9063467764183</v>
      </c>
      <c r="BF23" s="122">
        <v>916.68333333291218</v>
      </c>
      <c r="BG23" s="122">
        <v>12296.800000006155</v>
      </c>
    </row>
    <row r="24" spans="1:59" x14ac:dyDescent="0.25">
      <c r="A24" s="1">
        <v>16802.999305555557</v>
      </c>
      <c r="B24" s="3">
        <v>2494.0200000010741</v>
      </c>
      <c r="C24" s="3">
        <v>3493.7000000005241</v>
      </c>
      <c r="D24" s="3">
        <v>4522.2400000005764</v>
      </c>
      <c r="E24" s="3">
        <v>10740.699999997816</v>
      </c>
      <c r="F24" s="3">
        <v>1993.3600000002282</v>
      </c>
      <c r="G24" s="3">
        <v>4668.8200000030756</v>
      </c>
      <c r="H24" s="3">
        <v>535.9999999999385</v>
      </c>
      <c r="I24" s="3">
        <v>4166.6500000021297</v>
      </c>
      <c r="J24" s="3">
        <v>4166.6500000021233</v>
      </c>
      <c r="K24" s="3">
        <v>17726.692209448793</v>
      </c>
      <c r="L24" s="3">
        <v>1799.9999999999989</v>
      </c>
      <c r="M24" s="3">
        <v>7318.3999999991938</v>
      </c>
      <c r="N24" s="3">
        <v>27833.120000031842</v>
      </c>
      <c r="O24" s="122">
        <v>23975.600000011007</v>
      </c>
      <c r="P24" s="122">
        <v>1346.7400000006844</v>
      </c>
      <c r="Q24" s="122">
        <v>124.20705497483335</v>
      </c>
      <c r="R24" s="122">
        <v>4588.9400000008809</v>
      </c>
      <c r="S24" s="122">
        <v>3183.3799999986809</v>
      </c>
      <c r="T24" s="122">
        <v>1008.9400000003277</v>
      </c>
      <c r="U24" s="122">
        <v>419.22999999996358</v>
      </c>
      <c r="V24" s="122">
        <v>11479.940000005454</v>
      </c>
      <c r="W24" s="122">
        <v>1499.983333332802</v>
      </c>
      <c r="X24" s="122">
        <v>1416.6499999990267</v>
      </c>
      <c r="Y24" s="122">
        <v>541.66666666660728</v>
      </c>
      <c r="Z24" s="122">
        <v>333.3333333334636</v>
      </c>
      <c r="AA24" s="122">
        <v>1000.0000000020067</v>
      </c>
      <c r="AB24" s="122">
        <v>1499.999999998952</v>
      </c>
      <c r="AC24" s="122">
        <v>1000.0000000020067</v>
      </c>
      <c r="AD24" s="122">
        <v>1499.999999998952</v>
      </c>
      <c r="AE24" s="122">
        <v>5497.4344355751964</v>
      </c>
      <c r="AF24" s="122">
        <v>322.58741717505944</v>
      </c>
      <c r="AG24" s="122">
        <v>18148.393821659996</v>
      </c>
      <c r="AH24" s="122">
        <v>4663.6357763797578</v>
      </c>
      <c r="AI24" s="122">
        <v>8333.3500000013701</v>
      </c>
      <c r="AJ24" s="122">
        <v>38999.999998983854</v>
      </c>
      <c r="AK24" s="122">
        <v>15864.246446422727</v>
      </c>
      <c r="AL24" s="122">
        <v>12753.262158954638</v>
      </c>
      <c r="AM24" s="122">
        <v>24160.880683190011</v>
      </c>
      <c r="AN24" s="122">
        <v>6059.9793174760362</v>
      </c>
      <c r="AO24" s="122">
        <v>2187.9999999997476</v>
      </c>
      <c r="AP24" s="122">
        <v>378.87777777775057</v>
      </c>
      <c r="AQ24" s="122">
        <v>2250.0166666667183</v>
      </c>
      <c r="AR24" s="122">
        <v>20110.969619790289</v>
      </c>
      <c r="AS24" s="122">
        <v>33119.26666579811</v>
      </c>
      <c r="AT24" s="122">
        <v>105338.21404090195</v>
      </c>
      <c r="AU24" s="122">
        <v>105664.33854257681</v>
      </c>
      <c r="AV24" s="122">
        <v>115121.94909114056</v>
      </c>
      <c r="AW24" s="122">
        <v>4644.9719008195216</v>
      </c>
      <c r="AX24" s="122">
        <v>40554.292387593807</v>
      </c>
      <c r="AY24" s="122">
        <v>2733.0316742078326</v>
      </c>
      <c r="AZ24" s="122">
        <v>526.32683854878132</v>
      </c>
      <c r="BA24" s="122">
        <v>1729.7016237032155</v>
      </c>
      <c r="BB24" s="122">
        <v>2166.6666666676529</v>
      </c>
      <c r="BC24" s="122">
        <v>16199.99999897049</v>
      </c>
      <c r="BD24" s="122">
        <v>1150.1105875563642</v>
      </c>
      <c r="BE24" s="122">
        <v>1066.4910161125665</v>
      </c>
      <c r="BF24" s="122">
        <v>916.6833333329123</v>
      </c>
      <c r="BG24" s="122">
        <v>12296.800000006155</v>
      </c>
    </row>
    <row r="25" spans="1:59" x14ac:dyDescent="0.25">
      <c r="A25" s="1">
        <v>17167.999305555557</v>
      </c>
      <c r="B25" s="3">
        <v>2494.0200000010741</v>
      </c>
      <c r="C25" s="3">
        <v>3493.7000000005241</v>
      </c>
      <c r="D25" s="3">
        <v>4522.2400000005764</v>
      </c>
      <c r="E25" s="3">
        <v>10740.699999997816</v>
      </c>
      <c r="F25" s="3">
        <v>1993.3600000002282</v>
      </c>
      <c r="G25" s="3">
        <v>4668.8200000030756</v>
      </c>
      <c r="H25" s="3">
        <v>565.9999999999344</v>
      </c>
      <c r="I25" s="3">
        <v>4166.6500000021297</v>
      </c>
      <c r="J25" s="3">
        <v>4166.6500000021233</v>
      </c>
      <c r="K25" s="3">
        <v>18805.499211176557</v>
      </c>
      <c r="L25" s="3">
        <v>1800.0000000000002</v>
      </c>
      <c r="M25" s="3">
        <v>7318.3999999991938</v>
      </c>
      <c r="N25" s="3">
        <v>27833.120000031842</v>
      </c>
      <c r="O25" s="122">
        <v>23975.600000011007</v>
      </c>
      <c r="P25" s="122">
        <v>1346.7400000006844</v>
      </c>
      <c r="Q25" s="122">
        <v>0</v>
      </c>
      <c r="R25" s="122">
        <v>4588.9400000008809</v>
      </c>
      <c r="S25" s="122">
        <v>3183.3799999986809</v>
      </c>
      <c r="T25" s="122">
        <v>1008.9400000003277</v>
      </c>
      <c r="U25" s="122">
        <v>419.22999999996358</v>
      </c>
      <c r="V25" s="122">
        <v>11479.940000005454</v>
      </c>
      <c r="W25" s="122">
        <v>1499.983333332802</v>
      </c>
      <c r="X25" s="122">
        <v>1416.6499999990267</v>
      </c>
      <c r="Y25" s="122">
        <v>541.66666666660728</v>
      </c>
      <c r="Z25" s="122">
        <v>333.3333333334636</v>
      </c>
      <c r="AA25" s="122">
        <v>1000.0000000020067</v>
      </c>
      <c r="AB25" s="122">
        <v>1499.999999998952</v>
      </c>
      <c r="AC25" s="122">
        <v>1000.0000000020067</v>
      </c>
      <c r="AD25" s="122">
        <v>1499.999999998952</v>
      </c>
      <c r="AE25" s="122">
        <v>5317.8449258830824</v>
      </c>
      <c r="AF25" s="122">
        <v>337.04651315354113</v>
      </c>
      <c r="AG25" s="122">
        <v>18265.895953755124</v>
      </c>
      <c r="AH25" s="122">
        <v>4551.9375787138715</v>
      </c>
      <c r="AI25" s="122">
        <v>8333.3500000013701</v>
      </c>
      <c r="AJ25" s="122">
        <v>38999.999998983854</v>
      </c>
      <c r="AK25" s="122">
        <v>15864.246446422745</v>
      </c>
      <c r="AL25" s="122">
        <v>13436.536180306868</v>
      </c>
      <c r="AM25" s="122">
        <v>24160.880683190007</v>
      </c>
      <c r="AN25" s="122">
        <v>6135.1884929954431</v>
      </c>
      <c r="AO25" s="122">
        <v>2429.9999999997208</v>
      </c>
      <c r="AP25" s="122">
        <v>378.87777777775057</v>
      </c>
      <c r="AQ25" s="122">
        <v>2250.0166666667183</v>
      </c>
      <c r="AR25" s="122">
        <v>20924.140440237734</v>
      </c>
      <c r="AS25" s="122">
        <v>33119.26666579811</v>
      </c>
      <c r="AT25" s="122">
        <v>108104.69576163108</v>
      </c>
      <c r="AU25" s="122">
        <v>108439.38522219313</v>
      </c>
      <c r="AV25" s="122">
        <v>118145.37957850071</v>
      </c>
      <c r="AW25" s="122">
        <v>4644.9719008195216</v>
      </c>
      <c r="AX25" s="122">
        <v>42334.539967497542</v>
      </c>
      <c r="AY25" s="122">
        <v>2970.1357466059926</v>
      </c>
      <c r="AZ25" s="122">
        <v>549.91799514524928</v>
      </c>
      <c r="BA25" s="122">
        <v>1805.6318630999031</v>
      </c>
      <c r="BB25" s="122">
        <v>2166.6666666676529</v>
      </c>
      <c r="BC25" s="122">
        <v>16199.99999897049</v>
      </c>
      <c r="BD25" s="122">
        <v>1217.424752379897</v>
      </c>
      <c r="BE25" s="122">
        <v>1113.3077138933488</v>
      </c>
      <c r="BF25" s="122">
        <v>916.6833333329123</v>
      </c>
      <c r="BG25" s="122">
        <v>12296.800000006155</v>
      </c>
    </row>
    <row r="26" spans="1:59" x14ac:dyDescent="0.25">
      <c r="A26" s="1">
        <v>17532.999305555557</v>
      </c>
      <c r="B26" s="3">
        <v>2494.0200000010741</v>
      </c>
      <c r="C26" s="3">
        <v>3493.7000000005241</v>
      </c>
      <c r="D26" s="3">
        <v>4522.2400000005764</v>
      </c>
      <c r="E26" s="3">
        <v>10740.699999997816</v>
      </c>
      <c r="F26" s="3">
        <v>1993.3600000002282</v>
      </c>
      <c r="G26" s="3">
        <v>4668.8200000030756</v>
      </c>
      <c r="H26" s="3">
        <v>515.99999999994088</v>
      </c>
      <c r="I26" s="3">
        <v>4166.6500000021297</v>
      </c>
      <c r="J26" s="3">
        <v>4166.6500000021233</v>
      </c>
      <c r="K26" s="3">
        <v>17028.021936742083</v>
      </c>
      <c r="L26" s="3">
        <v>1799.9999999999991</v>
      </c>
      <c r="M26" s="3">
        <v>7318.3999999991938</v>
      </c>
      <c r="N26" s="3">
        <v>27833.120000031842</v>
      </c>
      <c r="O26" s="122">
        <v>23975.600000011007</v>
      </c>
      <c r="P26" s="122">
        <v>1346.7400000006844</v>
      </c>
      <c r="Q26" s="122">
        <v>0</v>
      </c>
      <c r="R26" s="122">
        <v>4588.9400000008809</v>
      </c>
      <c r="S26" s="122">
        <v>3183.3799999986809</v>
      </c>
      <c r="T26" s="122">
        <v>1008.9400000003277</v>
      </c>
      <c r="U26" s="122">
        <v>419.22999999996358</v>
      </c>
      <c r="V26" s="122">
        <v>11479.940000005454</v>
      </c>
      <c r="W26" s="122">
        <v>1499.983333332802</v>
      </c>
      <c r="X26" s="122">
        <v>1416.6499999990267</v>
      </c>
      <c r="Y26" s="122">
        <v>541.66666666660728</v>
      </c>
      <c r="Z26" s="122">
        <v>333.3333333334636</v>
      </c>
      <c r="AA26" s="122">
        <v>1000.0000000020067</v>
      </c>
      <c r="AB26" s="122">
        <v>1499.999999998952</v>
      </c>
      <c r="AC26" s="122">
        <v>1000.0000000020067</v>
      </c>
      <c r="AD26" s="122">
        <v>1499.999999998952</v>
      </c>
      <c r="AE26" s="122">
        <v>4950.1140250849421</v>
      </c>
      <c r="AF26" s="122">
        <v>297.15935183359483</v>
      </c>
      <c r="AG26" s="122">
        <v>17428.219463657621</v>
      </c>
      <c r="AH26" s="122">
        <v>4179.5506001209551</v>
      </c>
      <c r="AI26" s="122">
        <v>8333.3500000013701</v>
      </c>
      <c r="AJ26" s="122">
        <v>38999.999998983854</v>
      </c>
      <c r="AK26" s="122">
        <v>15864.246446422714</v>
      </c>
      <c r="AL26" s="122">
        <v>12270.462633450546</v>
      </c>
      <c r="AM26" s="122">
        <v>24160.88068319</v>
      </c>
      <c r="AN26" s="122">
        <v>5845.6331672457309</v>
      </c>
      <c r="AO26" s="122">
        <v>2405.9999999997231</v>
      </c>
      <c r="AP26" s="122">
        <v>378.87777777775057</v>
      </c>
      <c r="AQ26" s="122">
        <v>2250.0166666667183</v>
      </c>
      <c r="AR26" s="122">
        <v>18451.88284518617</v>
      </c>
      <c r="AS26" s="122">
        <v>33119.26666579811</v>
      </c>
      <c r="AT26" s="122">
        <v>101937.2405459119</v>
      </c>
      <c r="AU26" s="122">
        <v>102252.83571788078</v>
      </c>
      <c r="AV26" s="122">
        <v>111405.09570497494</v>
      </c>
      <c r="AW26" s="122">
        <v>4644.9719008195216</v>
      </c>
      <c r="AX26" s="122">
        <v>37243.158147666501</v>
      </c>
      <c r="AY26" s="122">
        <v>2723.9819004521751</v>
      </c>
      <c r="AZ26" s="122">
        <v>484.8389424653393</v>
      </c>
      <c r="BA26" s="122">
        <v>1588.4767635487428</v>
      </c>
      <c r="BB26" s="122">
        <v>2166.6666666676529</v>
      </c>
      <c r="BC26" s="122">
        <v>16199.99999897049</v>
      </c>
      <c r="BD26" s="122">
        <v>1102.0290412538398</v>
      </c>
      <c r="BE26" s="122">
        <v>979.41527857348785</v>
      </c>
      <c r="BF26" s="122">
        <v>916.6833333329123</v>
      </c>
      <c r="BG26" s="122">
        <v>12296.800000006155</v>
      </c>
    </row>
    <row r="27" spans="1:59" x14ac:dyDescent="0.25">
      <c r="A27" s="1">
        <v>17898.999305555557</v>
      </c>
      <c r="B27" s="3">
        <v>2494.0200000010741</v>
      </c>
      <c r="C27" s="3">
        <v>3493.7000000005241</v>
      </c>
      <c r="D27" s="3">
        <v>4522.2400000005764</v>
      </c>
      <c r="E27" s="3">
        <v>10740.699999997816</v>
      </c>
      <c r="F27" s="3">
        <v>1993.3600000002282</v>
      </c>
      <c r="G27" s="3">
        <v>4668.8200000030765</v>
      </c>
      <c r="H27" s="3">
        <v>537.99999999993872</v>
      </c>
      <c r="I27" s="3">
        <v>4166.6500000021306</v>
      </c>
      <c r="J27" s="3">
        <v>4166.6500000021233</v>
      </c>
      <c r="K27" s="3">
        <v>17785.290361353247</v>
      </c>
      <c r="L27" s="3">
        <v>1800</v>
      </c>
      <c r="M27" s="3">
        <v>7318.3999999991929</v>
      </c>
      <c r="N27" s="3">
        <v>27833.120000031842</v>
      </c>
      <c r="O27" s="122">
        <v>23975.600000011007</v>
      </c>
      <c r="P27" s="122">
        <v>1346.7400000006844</v>
      </c>
      <c r="Q27" s="122">
        <v>4.6277111067586754</v>
      </c>
      <c r="R27" s="122">
        <v>4588.9400000008809</v>
      </c>
      <c r="S27" s="122">
        <v>3183.3799999986809</v>
      </c>
      <c r="T27" s="122">
        <v>1008.9400000003277</v>
      </c>
      <c r="U27" s="122">
        <v>419.22999999996358</v>
      </c>
      <c r="V27" s="122">
        <v>11479.940000005452</v>
      </c>
      <c r="W27" s="122">
        <v>1499.9833333328022</v>
      </c>
      <c r="X27" s="122">
        <v>1416.6499999990265</v>
      </c>
      <c r="Y27" s="122">
        <v>541.6666666666074</v>
      </c>
      <c r="Z27" s="122">
        <v>333.33333333346354</v>
      </c>
      <c r="AA27" s="122">
        <v>1000.0000000020035</v>
      </c>
      <c r="AB27" s="122">
        <v>1499.9999999989695</v>
      </c>
      <c r="AC27" s="122">
        <v>1000.0000000020035</v>
      </c>
      <c r="AD27" s="122">
        <v>1499.9999999989695</v>
      </c>
      <c r="AE27" s="122">
        <v>4972.9190421887097</v>
      </c>
      <c r="AF27" s="122">
        <v>302.64383651508535</v>
      </c>
      <c r="AG27" s="122">
        <v>17234.909504404353</v>
      </c>
      <c r="AH27" s="122">
        <v>4191.5106844939373</v>
      </c>
      <c r="AI27" s="122">
        <v>8333.3500000013719</v>
      </c>
      <c r="AJ27" s="122">
        <v>38999.999998983862</v>
      </c>
      <c r="AK27" s="122">
        <v>15864.246446422736</v>
      </c>
      <c r="AL27" s="122">
        <v>12843.416370105291</v>
      </c>
      <c r="AM27" s="122">
        <v>24160.880683189996</v>
      </c>
      <c r="AN27" s="122">
        <v>5591.8021998677359</v>
      </c>
      <c r="AO27" s="122">
        <v>2425.9999999997208</v>
      </c>
      <c r="AP27" s="122">
        <v>378.87777777775057</v>
      </c>
      <c r="AQ27" s="122">
        <v>2250.0166666667183</v>
      </c>
      <c r="AR27" s="122">
        <v>18812.079315988358</v>
      </c>
      <c r="AS27" s="122">
        <v>33105.778642042722</v>
      </c>
      <c r="AT27" s="122">
        <v>100520.47744419372</v>
      </c>
      <c r="AU27" s="122">
        <v>100831.68635268969</v>
      </c>
      <c r="AV27" s="122">
        <v>109856.74469907241</v>
      </c>
      <c r="AW27" s="122">
        <v>4657.697851232725</v>
      </c>
      <c r="AX27" s="122">
        <v>38014.914412358819</v>
      </c>
      <c r="AY27" s="122">
        <v>3158.3710407236204</v>
      </c>
      <c r="AZ27" s="122">
        <v>493.78731220882452</v>
      </c>
      <c r="BA27" s="122">
        <v>1621.393330095709</v>
      </c>
      <c r="BB27" s="122">
        <v>2166.6666666676529</v>
      </c>
      <c r="BC27" s="122">
        <v>16199.999998970494</v>
      </c>
      <c r="BD27" s="122">
        <v>1150.1105875563635</v>
      </c>
      <c r="BE27" s="122">
        <v>999.71081511143325</v>
      </c>
      <c r="BF27" s="122">
        <v>916.68333333291218</v>
      </c>
      <c r="BG27" s="122">
        <v>12296.800000006155</v>
      </c>
    </row>
    <row r="28" spans="1:59" x14ac:dyDescent="0.25">
      <c r="A28" s="1">
        <v>18263.999305555557</v>
      </c>
      <c r="B28" s="3">
        <v>2494.0200000010741</v>
      </c>
      <c r="C28" s="3">
        <v>3493.7000000005241</v>
      </c>
      <c r="D28" s="3">
        <v>4522.2400000005764</v>
      </c>
      <c r="E28" s="3">
        <v>10740.699999997816</v>
      </c>
      <c r="F28" s="3">
        <v>1993.3600000002282</v>
      </c>
      <c r="G28" s="3">
        <v>4668.8200000030756</v>
      </c>
      <c r="H28" s="3">
        <v>509.99999999994094</v>
      </c>
      <c r="I28" s="3">
        <v>4166.6500000021297</v>
      </c>
      <c r="J28" s="3">
        <v>4166.6500000021233</v>
      </c>
      <c r="K28" s="3">
        <v>17076.102471638023</v>
      </c>
      <c r="L28" s="3">
        <v>1799.9999999999968</v>
      </c>
      <c r="M28" s="3">
        <v>7318.3999999991938</v>
      </c>
      <c r="N28" s="3">
        <v>27833.120000031842</v>
      </c>
      <c r="O28" s="122">
        <v>23975.600000011007</v>
      </c>
      <c r="P28" s="122">
        <v>1346.7400000006844</v>
      </c>
      <c r="Q28" s="122">
        <v>2.3092453037652416</v>
      </c>
      <c r="R28" s="122">
        <v>4588.9400000008809</v>
      </c>
      <c r="S28" s="122">
        <v>3183.3799999986809</v>
      </c>
      <c r="T28" s="122">
        <v>1008.9400000003277</v>
      </c>
      <c r="U28" s="122">
        <v>419.22999999996358</v>
      </c>
      <c r="V28" s="122">
        <v>11479.940000005454</v>
      </c>
      <c r="W28" s="122">
        <v>1499.983333332802</v>
      </c>
      <c r="X28" s="122">
        <v>1416.6499999990267</v>
      </c>
      <c r="Y28" s="122">
        <v>541.66666666660728</v>
      </c>
      <c r="Z28" s="122">
        <v>333.3333333334636</v>
      </c>
      <c r="AA28" s="122">
        <v>1000.0000000020067</v>
      </c>
      <c r="AB28" s="122">
        <v>1499.999999998952</v>
      </c>
      <c r="AC28" s="122">
        <v>1000.0000000020067</v>
      </c>
      <c r="AD28" s="122">
        <v>1499.999999998952</v>
      </c>
      <c r="AE28" s="122">
        <v>5076.9669327246165</v>
      </c>
      <c r="AF28" s="122">
        <v>281.20448730561617</v>
      </c>
      <c r="AG28" s="122">
        <v>17521.08405192634</v>
      </c>
      <c r="AH28" s="122">
        <v>4344.6366100847363</v>
      </c>
      <c r="AI28" s="122">
        <v>8333.3500000013701</v>
      </c>
      <c r="AJ28" s="122">
        <v>38999.999998983854</v>
      </c>
      <c r="AK28" s="122">
        <v>15864.246446422718</v>
      </c>
      <c r="AL28" s="122">
        <v>12129.30011862257</v>
      </c>
      <c r="AM28" s="122">
        <v>24160.880683189989</v>
      </c>
      <c r="AN28" s="122">
        <v>5589.9219704797561</v>
      </c>
      <c r="AO28" s="122">
        <v>1595.9999999998167</v>
      </c>
      <c r="AP28" s="122">
        <v>378.87777777775057</v>
      </c>
      <c r="AQ28" s="122">
        <v>2250.0166666667183</v>
      </c>
      <c r="AR28" s="122">
        <v>17518.646534471329</v>
      </c>
      <c r="AS28" s="122">
        <v>33119.26666579811</v>
      </c>
      <c r="AT28" s="122">
        <v>95004.857333338572</v>
      </c>
      <c r="AU28" s="122">
        <v>95298.990018581098</v>
      </c>
      <c r="AV28" s="122">
        <v>103828.83789061451</v>
      </c>
      <c r="AW28" s="122">
        <v>4644.9719008195216</v>
      </c>
      <c r="AX28" s="122">
        <v>35519.726979887397</v>
      </c>
      <c r="AY28" s="122">
        <v>3067.8733031670681</v>
      </c>
      <c r="AZ28" s="122">
        <v>458.80732139337204</v>
      </c>
      <c r="BA28" s="122">
        <v>1514.9698296647173</v>
      </c>
      <c r="BB28" s="122">
        <v>2166.6666666676529</v>
      </c>
      <c r="BC28" s="122">
        <v>16199.99999897049</v>
      </c>
      <c r="BD28" s="122">
        <v>1103.9523031059416</v>
      </c>
      <c r="BE28" s="122">
        <v>934.09273072187978</v>
      </c>
      <c r="BF28" s="122">
        <v>916.6833333329123</v>
      </c>
      <c r="BG28" s="122">
        <v>12296.800000006155</v>
      </c>
    </row>
    <row r="29" spans="1:59" x14ac:dyDescent="0.25">
      <c r="A29" s="1">
        <v>18628.999305555557</v>
      </c>
      <c r="B29" s="3">
        <v>2494.0200000010741</v>
      </c>
      <c r="C29" s="3">
        <v>3493.7000000005241</v>
      </c>
      <c r="D29" s="3">
        <v>4522.2400000005764</v>
      </c>
      <c r="E29" s="3">
        <v>10740.699999997816</v>
      </c>
      <c r="F29" s="3">
        <v>1993.3600000002282</v>
      </c>
      <c r="G29" s="3">
        <v>4668.8200000030756</v>
      </c>
      <c r="H29" s="3">
        <v>623.99999999992781</v>
      </c>
      <c r="I29" s="3">
        <v>4166.6500000021297</v>
      </c>
      <c r="J29" s="3">
        <v>4166.6500000021233</v>
      </c>
      <c r="K29" s="3">
        <v>20676.13252197194</v>
      </c>
      <c r="L29" s="3">
        <v>1800.0000000000018</v>
      </c>
      <c r="M29" s="3">
        <v>7318.3999999991938</v>
      </c>
      <c r="N29" s="3">
        <v>27833.120000031842</v>
      </c>
      <c r="O29" s="122">
        <v>23975.600000011007</v>
      </c>
      <c r="P29" s="122">
        <v>1346.7400000006844</v>
      </c>
      <c r="Q29" s="122">
        <v>462.53760328022946</v>
      </c>
      <c r="R29" s="122">
        <v>4588.9400000008809</v>
      </c>
      <c r="S29" s="122">
        <v>3183.3799999986809</v>
      </c>
      <c r="T29" s="122">
        <v>1008.9400000003277</v>
      </c>
      <c r="U29" s="122">
        <v>419.22999999996358</v>
      </c>
      <c r="V29" s="122">
        <v>11479.940000005454</v>
      </c>
      <c r="W29" s="122">
        <v>1499.983333332802</v>
      </c>
      <c r="X29" s="122">
        <v>1416.6499999990267</v>
      </c>
      <c r="Y29" s="122">
        <v>541.66666666660728</v>
      </c>
      <c r="Z29" s="122">
        <v>333.3333333334636</v>
      </c>
      <c r="AA29" s="122">
        <v>1000.0000000020067</v>
      </c>
      <c r="AB29" s="122">
        <v>1499.999999998952</v>
      </c>
      <c r="AC29" s="122">
        <v>1000.0000000020067</v>
      </c>
      <c r="AD29" s="122">
        <v>1499.999999998952</v>
      </c>
      <c r="AE29" s="122">
        <v>5612.8848346629829</v>
      </c>
      <c r="AF29" s="122">
        <v>348.51407203302273</v>
      </c>
      <c r="AG29" s="122">
        <v>19095.991661136821</v>
      </c>
      <c r="AH29" s="122">
        <v>4803.9999999994498</v>
      </c>
      <c r="AI29" s="122">
        <v>8333.3500000013701</v>
      </c>
      <c r="AJ29" s="122">
        <v>38999.999998983854</v>
      </c>
      <c r="AK29" s="122">
        <v>15864.246446422729</v>
      </c>
      <c r="AL29" s="122">
        <v>14836.298932382628</v>
      </c>
      <c r="AM29" s="122">
        <v>24160.880683189996</v>
      </c>
      <c r="AN29" s="122">
        <v>6426.6240481331261</v>
      </c>
      <c r="AO29" s="122">
        <v>2475.9999999997126</v>
      </c>
      <c r="AP29" s="122">
        <v>378.87777777775057</v>
      </c>
      <c r="AQ29" s="122">
        <v>2250.0166666667183</v>
      </c>
      <c r="AR29" s="122">
        <v>21662.725122791777</v>
      </c>
      <c r="AS29" s="122">
        <v>33119.26666579811</v>
      </c>
      <c r="AT29" s="122">
        <v>110405.7001199978</v>
      </c>
      <c r="AU29" s="122">
        <v>110747.51343306307</v>
      </c>
      <c r="AV29" s="122">
        <v>120660.09951194812</v>
      </c>
      <c r="AW29" s="122">
        <v>4644.9719008195216</v>
      </c>
      <c r="AX29" s="122">
        <v>43786.514944014751</v>
      </c>
      <c r="AY29" s="122">
        <v>3460.6334841624989</v>
      </c>
      <c r="AZ29" s="122">
        <v>568.62822279072032</v>
      </c>
      <c r="BA29" s="122">
        <v>1867.5607817567713</v>
      </c>
      <c r="BB29" s="122">
        <v>2166.6666666676529</v>
      </c>
      <c r="BC29" s="122">
        <v>16199.99999897049</v>
      </c>
      <c r="BD29" s="122">
        <v>1340.5135109143569</v>
      </c>
      <c r="BE29" s="122">
        <v>1151.4915454166819</v>
      </c>
      <c r="BF29" s="122">
        <v>916.6833333329123</v>
      </c>
      <c r="BG29" s="122">
        <v>12296.800000006155</v>
      </c>
    </row>
    <row r="30" spans="1:59" x14ac:dyDescent="0.25">
      <c r="A30" s="1">
        <v>18993.999305555557</v>
      </c>
      <c r="B30" s="3">
        <v>2494.0200000010741</v>
      </c>
      <c r="C30" s="3">
        <v>3493.7000000005241</v>
      </c>
      <c r="D30" s="3">
        <v>4522.2400000005764</v>
      </c>
      <c r="E30" s="3">
        <v>10740.699999997816</v>
      </c>
      <c r="F30" s="3">
        <v>1993.3600000002282</v>
      </c>
      <c r="G30" s="3">
        <v>4668.8200000030756</v>
      </c>
      <c r="H30" s="3">
        <v>561.99999999993543</v>
      </c>
      <c r="I30" s="3">
        <v>4166.6500000021297</v>
      </c>
      <c r="J30" s="3">
        <v>4166.6500000021233</v>
      </c>
      <c r="K30" s="3">
        <v>18683.795357221195</v>
      </c>
      <c r="L30" s="3">
        <v>1799.999999999998</v>
      </c>
      <c r="M30" s="3">
        <v>7318.3999999991938</v>
      </c>
      <c r="N30" s="3">
        <v>27833.120000031842</v>
      </c>
      <c r="O30" s="122">
        <v>23975.600000011007</v>
      </c>
      <c r="P30" s="122">
        <v>1346.7400000006844</v>
      </c>
      <c r="Q30" s="122">
        <v>260.24133333348715</v>
      </c>
      <c r="R30" s="122">
        <v>4588.9400000008809</v>
      </c>
      <c r="S30" s="122">
        <v>3183.3799999986809</v>
      </c>
      <c r="T30" s="122">
        <v>1008.9400000003277</v>
      </c>
      <c r="U30" s="122">
        <v>419.22999999996358</v>
      </c>
      <c r="V30" s="122">
        <v>11479.940000005454</v>
      </c>
      <c r="W30" s="122">
        <v>1499.983333332802</v>
      </c>
      <c r="X30" s="122">
        <v>1416.6499999990267</v>
      </c>
      <c r="Y30" s="122">
        <v>541.66666666660728</v>
      </c>
      <c r="Z30" s="122">
        <v>333.3333333334636</v>
      </c>
      <c r="AA30" s="122">
        <v>1000.0000000020067</v>
      </c>
      <c r="AB30" s="122">
        <v>1499.999999998952</v>
      </c>
      <c r="AC30" s="122">
        <v>1000.0000000020067</v>
      </c>
      <c r="AD30" s="122">
        <v>1499.999999998952</v>
      </c>
      <c r="AE30" s="122">
        <v>5600.0570125421136</v>
      </c>
      <c r="AF30" s="122">
        <v>344.02676638453016</v>
      </c>
      <c r="AG30" s="122">
        <v>18065.005211786032</v>
      </c>
      <c r="AH30" s="122">
        <v>4611.0560223766779</v>
      </c>
      <c r="AI30" s="122">
        <v>8333.3500000013701</v>
      </c>
      <c r="AJ30" s="122">
        <v>38999.999998983854</v>
      </c>
      <c r="AK30" s="122">
        <v>15864.246446422747</v>
      </c>
      <c r="AL30" s="122">
        <v>13410.438908658003</v>
      </c>
      <c r="AM30" s="122">
        <v>24160.880683189978</v>
      </c>
      <c r="AN30" s="122">
        <v>5977.2492244046898</v>
      </c>
      <c r="AO30" s="122">
        <v>2431.9999999997208</v>
      </c>
      <c r="AP30" s="122">
        <v>378.87777777775057</v>
      </c>
      <c r="AQ30" s="122">
        <v>2250.0166666667183</v>
      </c>
      <c r="AR30" s="122">
        <v>21471.711842820892</v>
      </c>
      <c r="AS30" s="122">
        <v>33119.26666579811</v>
      </c>
      <c r="AT30" s="122">
        <v>108673.0722379334</v>
      </c>
      <c r="AU30" s="122">
        <v>109009.52137798889</v>
      </c>
      <c r="AV30" s="122">
        <v>118766.546439599</v>
      </c>
      <c r="AW30" s="122">
        <v>4644.9719008195216</v>
      </c>
      <c r="AX30" s="122">
        <v>43545.04519248526</v>
      </c>
      <c r="AY30" s="122">
        <v>3221.7194570132037</v>
      </c>
      <c r="AZ30" s="122">
        <v>561.30682936423284</v>
      </c>
      <c r="BA30" s="122">
        <v>1857.261733327967</v>
      </c>
      <c r="BB30" s="122">
        <v>2166.6666666676529</v>
      </c>
      <c r="BC30" s="122">
        <v>16199.99999897049</v>
      </c>
      <c r="BD30" s="122">
        <v>1211.6549668235921</v>
      </c>
      <c r="BE30" s="122">
        <v>1145.1414082176932</v>
      </c>
      <c r="BF30" s="122">
        <v>916.6833333329123</v>
      </c>
      <c r="BG30" s="122">
        <v>12296.800000006155</v>
      </c>
    </row>
    <row r="31" spans="1:59" x14ac:dyDescent="0.25">
      <c r="A31" s="1">
        <v>19359.999305555557</v>
      </c>
      <c r="B31" s="3">
        <v>2494.0200000010741</v>
      </c>
      <c r="C31" s="3">
        <v>3493.7000000005241</v>
      </c>
      <c r="D31" s="3">
        <v>4522.2400000005764</v>
      </c>
      <c r="E31" s="3">
        <v>10740.699999997816</v>
      </c>
      <c r="F31" s="3">
        <v>1993.3600000002282</v>
      </c>
      <c r="G31" s="3">
        <v>4668.8200000030765</v>
      </c>
      <c r="H31" s="3">
        <v>567.99999999993508</v>
      </c>
      <c r="I31" s="3">
        <v>4166.6500000021306</v>
      </c>
      <c r="J31" s="3">
        <v>4166.6500000021233</v>
      </c>
      <c r="K31" s="3">
        <v>18749.906092703131</v>
      </c>
      <c r="L31" s="3">
        <v>1799.9999999999989</v>
      </c>
      <c r="M31" s="3">
        <v>7318.3999999991929</v>
      </c>
      <c r="N31" s="3">
        <v>27833.120000031842</v>
      </c>
      <c r="O31" s="122">
        <v>23975.600000011007</v>
      </c>
      <c r="P31" s="122">
        <v>1346.7400000006844</v>
      </c>
      <c r="Q31" s="122">
        <v>0</v>
      </c>
      <c r="R31" s="122">
        <v>4588.9400000008809</v>
      </c>
      <c r="S31" s="122">
        <v>3183.3799999986809</v>
      </c>
      <c r="T31" s="122">
        <v>1008.9400000003277</v>
      </c>
      <c r="U31" s="122">
        <v>419.22999999996358</v>
      </c>
      <c r="V31" s="122">
        <v>11479.940000005452</v>
      </c>
      <c r="W31" s="122">
        <v>1499.9833333328022</v>
      </c>
      <c r="X31" s="122">
        <v>1416.6499999990265</v>
      </c>
      <c r="Y31" s="122">
        <v>541.6666666666074</v>
      </c>
      <c r="Z31" s="122">
        <v>333.33333333346354</v>
      </c>
      <c r="AA31" s="122">
        <v>1000.0000000020035</v>
      </c>
      <c r="AB31" s="122">
        <v>1499.9999999989695</v>
      </c>
      <c r="AC31" s="122">
        <v>1000.0000000020035</v>
      </c>
      <c r="AD31" s="122">
        <v>1499.9999999989695</v>
      </c>
      <c r="AE31" s="122">
        <v>5816.7046750278387</v>
      </c>
      <c r="AF31" s="122">
        <v>345.52253493402685</v>
      </c>
      <c r="AG31" s="122">
        <v>19348.052686437652</v>
      </c>
      <c r="AH31" s="122">
        <v>5001.3547336436859</v>
      </c>
      <c r="AI31" s="122">
        <v>8333.3500000013719</v>
      </c>
      <c r="AJ31" s="122">
        <v>38999.999998983862</v>
      </c>
      <c r="AK31" s="122">
        <v>15864.246446422732</v>
      </c>
      <c r="AL31" s="122">
        <v>13571.767497032839</v>
      </c>
      <c r="AM31" s="122">
        <v>24160.880683189993</v>
      </c>
      <c r="AN31" s="122">
        <v>6214.1581272908179</v>
      </c>
      <c r="AO31" s="122">
        <v>2451.9999999997176</v>
      </c>
      <c r="AP31" s="122">
        <v>378.87777777775057</v>
      </c>
      <c r="AQ31" s="122">
        <v>2250.0166666667183</v>
      </c>
      <c r="AR31" s="122">
        <v>21482.626887390667</v>
      </c>
      <c r="AS31" s="122">
        <v>33105.778642042722</v>
      </c>
      <c r="AT31" s="122">
        <v>105975.41384813964</v>
      </c>
      <c r="AU31" s="122">
        <v>106303.51110463537</v>
      </c>
      <c r="AV31" s="122">
        <v>115818.33154301328</v>
      </c>
      <c r="AW31" s="122">
        <v>4657.697851232725</v>
      </c>
      <c r="AX31" s="122">
        <v>43428.255900895856</v>
      </c>
      <c r="AY31" s="122">
        <v>3355.6561085968997</v>
      </c>
      <c r="AZ31" s="122">
        <v>563.74729383973147</v>
      </c>
      <c r="BA31" s="122">
        <v>1852.2804942186092</v>
      </c>
      <c r="BB31" s="122">
        <v>2166.6666666676529</v>
      </c>
      <c r="BC31" s="122">
        <v>16199.999998970494</v>
      </c>
      <c r="BD31" s="122">
        <v>1217.4247523798963</v>
      </c>
      <c r="BE31" s="122">
        <v>1142.0701000299473</v>
      </c>
      <c r="BF31" s="122">
        <v>916.68333333291218</v>
      </c>
      <c r="BG31" s="122">
        <v>12296.800000006155</v>
      </c>
    </row>
    <row r="32" spans="1:59" x14ac:dyDescent="0.25">
      <c r="A32" s="1">
        <v>19724.999305555557</v>
      </c>
      <c r="B32" s="3">
        <v>2494.0200000010741</v>
      </c>
      <c r="C32" s="3">
        <v>3493.7000000005241</v>
      </c>
      <c r="D32" s="3">
        <v>4522.2400000005764</v>
      </c>
      <c r="E32" s="3">
        <v>10740.699999997816</v>
      </c>
      <c r="F32" s="3">
        <v>1993.3600000002282</v>
      </c>
      <c r="G32" s="3">
        <v>4668.8200000030756</v>
      </c>
      <c r="H32" s="3">
        <v>561.99999999993508</v>
      </c>
      <c r="I32" s="3">
        <v>4166.6500000021297</v>
      </c>
      <c r="J32" s="3">
        <v>4166.6500000021233</v>
      </c>
      <c r="K32" s="3">
        <v>18640.222372471748</v>
      </c>
      <c r="L32" s="3">
        <v>1800.0000000000014</v>
      </c>
      <c r="M32" s="3">
        <v>7318.3999999991938</v>
      </c>
      <c r="N32" s="3">
        <v>27833.120000031842</v>
      </c>
      <c r="O32" s="122">
        <v>23975.600000011007</v>
      </c>
      <c r="P32" s="122">
        <v>1346.7400000006844</v>
      </c>
      <c r="Q32" s="122">
        <v>254.81733333352858</v>
      </c>
      <c r="R32" s="122">
        <v>4588.9400000008809</v>
      </c>
      <c r="S32" s="122">
        <v>3183.3799999986809</v>
      </c>
      <c r="T32" s="122">
        <v>1008.9400000003277</v>
      </c>
      <c r="U32" s="122">
        <v>419.22999999996358</v>
      </c>
      <c r="V32" s="122">
        <v>11479.940000005454</v>
      </c>
      <c r="W32" s="122">
        <v>1499.983333332802</v>
      </c>
      <c r="X32" s="122">
        <v>1416.6499999990267</v>
      </c>
      <c r="Y32" s="122">
        <v>541.66666666660728</v>
      </c>
      <c r="Z32" s="122">
        <v>333.3333333334636</v>
      </c>
      <c r="AA32" s="122">
        <v>1000.0000000020067</v>
      </c>
      <c r="AB32" s="122">
        <v>1499.999999998952</v>
      </c>
      <c r="AC32" s="122">
        <v>1000.0000000020067</v>
      </c>
      <c r="AD32" s="122">
        <v>1499.999999998952</v>
      </c>
      <c r="AE32" s="122">
        <v>5575.826681869371</v>
      </c>
      <c r="AF32" s="122">
        <v>354.49714623101733</v>
      </c>
      <c r="AG32" s="122">
        <v>18375.81730313443</v>
      </c>
      <c r="AH32" s="122">
        <v>4675.8872069257441</v>
      </c>
      <c r="AI32" s="122">
        <v>8333.3500000013701</v>
      </c>
      <c r="AJ32" s="122">
        <v>38999.999998983854</v>
      </c>
      <c r="AK32" s="122">
        <v>15864.246446422741</v>
      </c>
      <c r="AL32" s="122">
        <v>13353.499406878653</v>
      </c>
      <c r="AM32" s="122">
        <v>24160.88068319</v>
      </c>
      <c r="AN32" s="122">
        <v>5954.6864717488725</v>
      </c>
      <c r="AO32" s="122">
        <v>2623.9999999996985</v>
      </c>
      <c r="AP32" s="122">
        <v>378.87777777775057</v>
      </c>
      <c r="AQ32" s="122">
        <v>2250.0166666667183</v>
      </c>
      <c r="AR32" s="122">
        <v>22061.124249588163</v>
      </c>
      <c r="AS32" s="122">
        <v>33119.26666579811</v>
      </c>
      <c r="AT32" s="122">
        <v>108875.29623878469</v>
      </c>
      <c r="AU32" s="122">
        <v>109212.37145933814</v>
      </c>
      <c r="AV32" s="122">
        <v>118987.55285539002</v>
      </c>
      <c r="AW32" s="122">
        <v>4644.9719008195216</v>
      </c>
      <c r="AX32" s="122">
        <v>44626.135256522517</v>
      </c>
      <c r="AY32" s="122">
        <v>3098.6425339362968</v>
      </c>
      <c r="AZ32" s="122">
        <v>578.3900806927096</v>
      </c>
      <c r="BA32" s="122">
        <v>1903.3718521105263</v>
      </c>
      <c r="BB32" s="122">
        <v>2166.6666666676529</v>
      </c>
      <c r="BC32" s="122">
        <v>16199.99999897049</v>
      </c>
      <c r="BD32" s="122">
        <v>1209.7317049714925</v>
      </c>
      <c r="BE32" s="122">
        <v>1173.5717610366962</v>
      </c>
      <c r="BF32" s="122">
        <v>916.6833333329123</v>
      </c>
      <c r="BG32" s="122">
        <v>12296.800000006155</v>
      </c>
    </row>
    <row r="33" spans="1:59" x14ac:dyDescent="0.25">
      <c r="A33" s="1">
        <v>20089.999305555557</v>
      </c>
      <c r="B33" s="3">
        <v>2494.0200000010741</v>
      </c>
      <c r="C33" s="3">
        <v>3493.7000000005241</v>
      </c>
      <c r="D33" s="3">
        <v>4522.2400000005764</v>
      </c>
      <c r="E33" s="3">
        <v>10740.699999997816</v>
      </c>
      <c r="F33" s="3">
        <v>1993.3600000002282</v>
      </c>
      <c r="G33" s="3">
        <v>4668.8200000030756</v>
      </c>
      <c r="H33" s="3">
        <v>575.99999999993361</v>
      </c>
      <c r="I33" s="3">
        <v>4166.6500000021297</v>
      </c>
      <c r="J33" s="3">
        <v>4166.6500000021233</v>
      </c>
      <c r="K33" s="3">
        <v>19095.484937267749</v>
      </c>
      <c r="L33" s="3">
        <v>1799.9999999999995</v>
      </c>
      <c r="M33" s="3">
        <v>7318.3999999991938</v>
      </c>
      <c r="N33" s="3">
        <v>27833.120000031842</v>
      </c>
      <c r="O33" s="122">
        <v>23975.600000011007</v>
      </c>
      <c r="P33" s="122">
        <v>1346.7400000006844</v>
      </c>
      <c r="Q33" s="122">
        <v>3.1659999999982831</v>
      </c>
      <c r="R33" s="122">
        <v>4588.9400000008809</v>
      </c>
      <c r="S33" s="122">
        <v>3183.3799999986809</v>
      </c>
      <c r="T33" s="122">
        <v>1008.9400000003277</v>
      </c>
      <c r="U33" s="122">
        <v>419.22999999996358</v>
      </c>
      <c r="V33" s="122">
        <v>11479.940000005454</v>
      </c>
      <c r="W33" s="122">
        <v>1499.983333332802</v>
      </c>
      <c r="X33" s="122">
        <v>1416.6499999990267</v>
      </c>
      <c r="Y33" s="122">
        <v>541.66666666660728</v>
      </c>
      <c r="Z33" s="122">
        <v>333.3333333334636</v>
      </c>
      <c r="AA33" s="122">
        <v>1000.0000000020067</v>
      </c>
      <c r="AB33" s="122">
        <v>1499.999999998952</v>
      </c>
      <c r="AC33" s="122">
        <v>1000.0000000020067</v>
      </c>
      <c r="AD33" s="122">
        <v>1499.999999998952</v>
      </c>
      <c r="AE33" s="122">
        <v>5450.3990877986898</v>
      </c>
      <c r="AF33" s="122">
        <v>360.97880994550616</v>
      </c>
      <c r="AG33" s="122">
        <v>17450.961811805068</v>
      </c>
      <c r="AH33" s="122">
        <v>4707.9999999994643</v>
      </c>
      <c r="AI33" s="122">
        <v>8333.3500000013701</v>
      </c>
      <c r="AJ33" s="122">
        <v>38999.999998983854</v>
      </c>
      <c r="AK33" s="122">
        <v>15864.246446422741</v>
      </c>
      <c r="AL33" s="122">
        <v>13722.41992882404</v>
      </c>
      <c r="AM33" s="122">
        <v>24160.880683190015</v>
      </c>
      <c r="AN33" s="122">
        <v>5941.5248660329717</v>
      </c>
      <c r="AO33" s="122">
        <v>2853.9999999996721</v>
      </c>
      <c r="AP33" s="122">
        <v>378.87777777775057</v>
      </c>
      <c r="AQ33" s="122">
        <v>2250.0166666667183</v>
      </c>
      <c r="AR33" s="122">
        <v>22395.852283060929</v>
      </c>
      <c r="AS33" s="122">
        <v>33119.26666579811</v>
      </c>
      <c r="AT33" s="122">
        <v>101041.54232650272</v>
      </c>
      <c r="AU33" s="122">
        <v>101354.36443896822</v>
      </c>
      <c r="AV33" s="122">
        <v>110426.20570048124</v>
      </c>
      <c r="AW33" s="122">
        <v>4644.9719008195216</v>
      </c>
      <c r="AX33" s="122">
        <v>45255.850490903402</v>
      </c>
      <c r="AY33" s="122">
        <v>3406.3348416285694</v>
      </c>
      <c r="AZ33" s="122">
        <v>588.96542675319574</v>
      </c>
      <c r="BA33" s="122">
        <v>1930.2301548758464</v>
      </c>
      <c r="BB33" s="122">
        <v>2166.6666666676529</v>
      </c>
      <c r="BC33" s="122">
        <v>16199.99999897049</v>
      </c>
      <c r="BD33" s="122">
        <v>1238.5806327530065</v>
      </c>
      <c r="BE33" s="122">
        <v>1190.1319227517067</v>
      </c>
      <c r="BF33" s="122">
        <v>916.6833333329123</v>
      </c>
      <c r="BG33" s="122">
        <v>12296.800000006155</v>
      </c>
    </row>
    <row r="34" spans="1:59" x14ac:dyDescent="0.25">
      <c r="A34" s="1">
        <v>20454.999305555557</v>
      </c>
      <c r="B34" s="3">
        <v>2494.0200000010741</v>
      </c>
      <c r="C34" s="3">
        <v>3493.7000000005241</v>
      </c>
      <c r="D34" s="3">
        <v>4522.2400000005764</v>
      </c>
      <c r="E34" s="3">
        <v>10740.699999997816</v>
      </c>
      <c r="F34" s="3">
        <v>1993.3600000002282</v>
      </c>
      <c r="G34" s="3">
        <v>4668.8200000030756</v>
      </c>
      <c r="H34" s="3">
        <v>555.99999999993577</v>
      </c>
      <c r="I34" s="3">
        <v>4166.6500000021297</v>
      </c>
      <c r="J34" s="3">
        <v>4166.6500000021233</v>
      </c>
      <c r="K34" s="3">
        <v>18465.930433473954</v>
      </c>
      <c r="L34" s="3">
        <v>1800.0000000000014</v>
      </c>
      <c r="M34" s="3">
        <v>7318.3999999991938</v>
      </c>
      <c r="N34" s="3">
        <v>27833.120000031842</v>
      </c>
      <c r="O34" s="122">
        <v>23975.600000011007</v>
      </c>
      <c r="P34" s="122">
        <v>1346.7400000006844</v>
      </c>
      <c r="Q34" s="122">
        <v>130.71174330002663</v>
      </c>
      <c r="R34" s="122">
        <v>4588.9400000008809</v>
      </c>
      <c r="S34" s="122">
        <v>3183.3799999986809</v>
      </c>
      <c r="T34" s="122">
        <v>1008.9400000003277</v>
      </c>
      <c r="U34" s="122">
        <v>419.22999999996358</v>
      </c>
      <c r="V34" s="122">
        <v>11479.940000005454</v>
      </c>
      <c r="W34" s="122">
        <v>1499.983333332802</v>
      </c>
      <c r="X34" s="122">
        <v>1416.6499999990267</v>
      </c>
      <c r="Y34" s="122">
        <v>541.66666666660728</v>
      </c>
      <c r="Z34" s="122">
        <v>333.3333333334636</v>
      </c>
      <c r="AA34" s="122">
        <v>1000.0000000020067</v>
      </c>
      <c r="AB34" s="122">
        <v>1499.999999998952</v>
      </c>
      <c r="AC34" s="122">
        <v>1000.0000000020067</v>
      </c>
      <c r="AD34" s="122">
        <v>1499.999999998952</v>
      </c>
      <c r="AE34" s="122">
        <v>5035.6328392240484</v>
      </c>
      <c r="AF34" s="122">
        <v>341.53381880203273</v>
      </c>
      <c r="AG34" s="122">
        <v>17841.372121669508</v>
      </c>
      <c r="AH34" s="122">
        <v>4407.9999999994916</v>
      </c>
      <c r="AI34" s="122">
        <v>8333.3500000013701</v>
      </c>
      <c r="AJ34" s="122">
        <v>38999.999998983854</v>
      </c>
      <c r="AK34" s="122">
        <v>15864.246446422738</v>
      </c>
      <c r="AL34" s="122">
        <v>13201.660735467043</v>
      </c>
      <c r="AM34" s="122">
        <v>24160.880683189986</v>
      </c>
      <c r="AN34" s="122">
        <v>5736.5798627425966</v>
      </c>
      <c r="AO34" s="122">
        <v>2129.9999999997563</v>
      </c>
      <c r="AP34" s="122">
        <v>378.87777777775057</v>
      </c>
      <c r="AQ34" s="122">
        <v>2250.0166666667183</v>
      </c>
      <c r="AR34" s="122">
        <v>21233.400036381034</v>
      </c>
      <c r="AS34" s="122">
        <v>33119.26666579811</v>
      </c>
      <c r="AT34" s="122">
        <v>98462.487710688176</v>
      </c>
      <c r="AU34" s="122">
        <v>98767.325133941136</v>
      </c>
      <c r="AV34" s="122">
        <v>107607.61040827504</v>
      </c>
      <c r="AW34" s="122">
        <v>4644.9719008195216</v>
      </c>
      <c r="AX34" s="122">
        <v>42953.207566187499</v>
      </c>
      <c r="AY34" s="122">
        <v>3049.7737556557581</v>
      </c>
      <c r="AZ34" s="122">
        <v>557.23938857173903</v>
      </c>
      <c r="BA34" s="122">
        <v>1832.0189675710883</v>
      </c>
      <c r="BB34" s="122">
        <v>2166.6666666676529</v>
      </c>
      <c r="BC34" s="122">
        <v>16199.99999897049</v>
      </c>
      <c r="BD34" s="122">
        <v>1200.1153957109875</v>
      </c>
      <c r="BE34" s="122">
        <v>1129.5773464554654</v>
      </c>
      <c r="BF34" s="122">
        <v>916.6833333329123</v>
      </c>
      <c r="BG34" s="122">
        <v>12296.800000006155</v>
      </c>
    </row>
    <row r="35" spans="1:59" x14ac:dyDescent="0.25">
      <c r="A35" s="1">
        <v>20820.999305555557</v>
      </c>
      <c r="B35" s="3">
        <v>2494.0200000010741</v>
      </c>
      <c r="C35" s="3">
        <v>3493.7000000005241</v>
      </c>
      <c r="D35" s="3">
        <v>4522.2400000005764</v>
      </c>
      <c r="E35" s="3">
        <v>10740.699999997816</v>
      </c>
      <c r="F35" s="3">
        <v>1993.3600000002282</v>
      </c>
      <c r="G35" s="3">
        <v>4668.8200000030765</v>
      </c>
      <c r="H35" s="3">
        <v>611.99999999992974</v>
      </c>
      <c r="I35" s="3">
        <v>4166.6500000021306</v>
      </c>
      <c r="J35" s="3">
        <v>4166.6500000021233</v>
      </c>
      <c r="K35" s="3">
        <v>20321.538577114341</v>
      </c>
      <c r="L35" s="3">
        <v>1799.9999999999991</v>
      </c>
      <c r="M35" s="3">
        <v>7318.3999999991929</v>
      </c>
      <c r="N35" s="3">
        <v>27833.120000031842</v>
      </c>
      <c r="O35" s="122">
        <v>23975.600000011007</v>
      </c>
      <c r="P35" s="122">
        <v>1346.7400000006844</v>
      </c>
      <c r="Q35" s="122">
        <v>562.27677419398628</v>
      </c>
      <c r="R35" s="122">
        <v>4588.9400000008809</v>
      </c>
      <c r="S35" s="122">
        <v>3183.3799999986809</v>
      </c>
      <c r="T35" s="122">
        <v>1008.9400000003277</v>
      </c>
      <c r="U35" s="122">
        <v>419.22999999996358</v>
      </c>
      <c r="V35" s="122">
        <v>11479.940000005452</v>
      </c>
      <c r="W35" s="122">
        <v>1499.9833333328022</v>
      </c>
      <c r="X35" s="122">
        <v>1416.6499999990265</v>
      </c>
      <c r="Y35" s="122">
        <v>541.6666666666074</v>
      </c>
      <c r="Z35" s="122">
        <v>333.33333333346354</v>
      </c>
      <c r="AA35" s="122">
        <v>1000.0000000020035</v>
      </c>
      <c r="AB35" s="122">
        <v>1499.9999999989695</v>
      </c>
      <c r="AC35" s="122">
        <v>1000.0000000020035</v>
      </c>
      <c r="AD35" s="122">
        <v>1499.9999999989695</v>
      </c>
      <c r="AE35" s="122">
        <v>5550.1710376276369</v>
      </c>
      <c r="AF35" s="122">
        <v>379.92521157248154</v>
      </c>
      <c r="AG35" s="122">
        <v>19296.882403105916</v>
      </c>
      <c r="AH35" s="122">
        <v>4779.5678444651921</v>
      </c>
      <c r="AI35" s="122">
        <v>8333.3500000013719</v>
      </c>
      <c r="AJ35" s="122">
        <v>38999.999998983862</v>
      </c>
      <c r="AK35" s="122">
        <v>15864.246446422727</v>
      </c>
      <c r="AL35" s="122">
        <v>14552.787663106266</v>
      </c>
      <c r="AM35" s="122">
        <v>24160.88068319</v>
      </c>
      <c r="AN35" s="122">
        <v>6364.5764783296218</v>
      </c>
      <c r="AO35" s="122">
        <v>2453.9999999997167</v>
      </c>
      <c r="AP35" s="122">
        <v>378.87777777775057</v>
      </c>
      <c r="AQ35" s="122">
        <v>2250.0166666667183</v>
      </c>
      <c r="AR35" s="122">
        <v>23636.5290158241</v>
      </c>
      <c r="AS35" s="122">
        <v>33105.778642042722</v>
      </c>
      <c r="AT35" s="122">
        <v>110449.48951042985</v>
      </c>
      <c r="AU35" s="122">
        <v>110791.43839436292</v>
      </c>
      <c r="AV35" s="122">
        <v>120707.9560284264</v>
      </c>
      <c r="AW35" s="122">
        <v>4657.697851232725</v>
      </c>
      <c r="AX35" s="122">
        <v>47844.153709912331</v>
      </c>
      <c r="AY35" s="122">
        <v>3493.2126696828523</v>
      </c>
      <c r="AZ35" s="122">
        <v>619.8779767761547</v>
      </c>
      <c r="BA35" s="122">
        <v>2040.6251837859197</v>
      </c>
      <c r="BB35" s="122">
        <v>2166.6666666676529</v>
      </c>
      <c r="BC35" s="122">
        <v>16199.999998970494</v>
      </c>
      <c r="BD35" s="122">
        <v>1317.4343686891448</v>
      </c>
      <c r="BE35" s="122">
        <v>1258.1987528585173</v>
      </c>
      <c r="BF35" s="122">
        <v>916.68333333291218</v>
      </c>
      <c r="BG35" s="122">
        <v>12296.800000006155</v>
      </c>
    </row>
    <row r="36" spans="1:59" x14ac:dyDescent="0.25">
      <c r="A36" s="1">
        <v>21185.999305555557</v>
      </c>
      <c r="B36" s="3">
        <v>2494.0200000010741</v>
      </c>
      <c r="C36" s="3">
        <v>3493.7000000005241</v>
      </c>
      <c r="D36" s="3">
        <v>4522.2400000005764</v>
      </c>
      <c r="E36" s="3">
        <v>10740.699999997816</v>
      </c>
      <c r="F36" s="3">
        <v>1993.3600000002282</v>
      </c>
      <c r="G36" s="3">
        <v>4668.8200000030756</v>
      </c>
      <c r="H36" s="3">
        <v>435.99999999994992</v>
      </c>
      <c r="I36" s="3">
        <v>4166.6500000021297</v>
      </c>
      <c r="J36" s="3">
        <v>4166.6500000021233</v>
      </c>
      <c r="K36" s="3">
        <v>14473.743520395006</v>
      </c>
      <c r="L36" s="3">
        <v>1800</v>
      </c>
      <c r="M36" s="3">
        <v>7318.3999999991938</v>
      </c>
      <c r="N36" s="3">
        <v>27833.120000031842</v>
      </c>
      <c r="O36" s="122">
        <v>23975.600000011007</v>
      </c>
      <c r="P36" s="122">
        <v>1346.7400000006844</v>
      </c>
      <c r="Q36" s="122">
        <v>0</v>
      </c>
      <c r="R36" s="122">
        <v>4588.9400000008809</v>
      </c>
      <c r="S36" s="122">
        <v>3183.3799999986809</v>
      </c>
      <c r="T36" s="122">
        <v>1008.9400000003277</v>
      </c>
      <c r="U36" s="122">
        <v>419.22999999996358</v>
      </c>
      <c r="V36" s="122">
        <v>11479.940000005454</v>
      </c>
      <c r="W36" s="122">
        <v>1499.983333332802</v>
      </c>
      <c r="X36" s="122">
        <v>1416.6499999990267</v>
      </c>
      <c r="Y36" s="122">
        <v>541.66666666660728</v>
      </c>
      <c r="Z36" s="122">
        <v>333.3333333334636</v>
      </c>
      <c r="AA36" s="122">
        <v>1000.0000000020067</v>
      </c>
      <c r="AB36" s="122">
        <v>1499.999999998952</v>
      </c>
      <c r="AC36" s="122">
        <v>1000.0000000020067</v>
      </c>
      <c r="AD36" s="122">
        <v>1499.999999998952</v>
      </c>
      <c r="AE36" s="122">
        <v>4672.1778791328743</v>
      </c>
      <c r="AF36" s="122">
        <v>279.70871875611891</v>
      </c>
      <c r="AG36" s="122">
        <v>14738.936795222415</v>
      </c>
      <c r="AH36" s="122">
        <v>3989.9999999995443</v>
      </c>
      <c r="AI36" s="122">
        <v>8333.3500000013701</v>
      </c>
      <c r="AJ36" s="122">
        <v>38999.999998983854</v>
      </c>
      <c r="AK36" s="122">
        <v>15748.800141550188</v>
      </c>
      <c r="AL36" s="122">
        <v>10442.467378409228</v>
      </c>
      <c r="AM36" s="122">
        <v>24160.880683189996</v>
      </c>
      <c r="AN36" s="122">
        <v>4918.6800789690697</v>
      </c>
      <c r="AO36" s="122">
        <v>1397.999999999839</v>
      </c>
      <c r="AP36" s="122">
        <v>378.87777777775057</v>
      </c>
      <c r="AQ36" s="122">
        <v>2250.0166666667183</v>
      </c>
      <c r="AR36" s="122">
        <v>17331.271602690387</v>
      </c>
      <c r="AS36" s="122">
        <v>33119.26666579811</v>
      </c>
      <c r="AT36" s="122">
        <v>90184.695371136666</v>
      </c>
      <c r="AU36" s="122">
        <v>90463.904954329031</v>
      </c>
      <c r="AV36" s="122">
        <v>98560.982866908031</v>
      </c>
      <c r="AW36" s="122">
        <v>4644.9719008195216</v>
      </c>
      <c r="AX36" s="122">
        <v>34931.045820929881</v>
      </c>
      <c r="AY36" s="122">
        <v>2524.8868778277656</v>
      </c>
      <c r="AZ36" s="122">
        <v>456.36685691787528</v>
      </c>
      <c r="BA36" s="122">
        <v>1489.8616919918779</v>
      </c>
      <c r="BB36" s="122">
        <v>2166.6666666676529</v>
      </c>
      <c r="BC36" s="122">
        <v>16199.99999897049</v>
      </c>
      <c r="BD36" s="122">
        <v>940.47504567736144</v>
      </c>
      <c r="BE36" s="122">
        <v>918.61167728905059</v>
      </c>
      <c r="BF36" s="122">
        <v>916.6833333329123</v>
      </c>
      <c r="BG36" s="122">
        <v>12296.800000006155</v>
      </c>
    </row>
    <row r="37" spans="1:59" x14ac:dyDescent="0.25">
      <c r="A37" s="1">
        <v>21550.999305555557</v>
      </c>
      <c r="B37" s="3">
        <v>2494.0200000010741</v>
      </c>
      <c r="C37" s="3">
        <v>3493.7000000005241</v>
      </c>
      <c r="D37" s="3">
        <v>4522.2400000005764</v>
      </c>
      <c r="E37" s="3">
        <v>10740.699999997816</v>
      </c>
      <c r="F37" s="3">
        <v>1993.3600000002282</v>
      </c>
      <c r="G37" s="3">
        <v>4668.8200000030756</v>
      </c>
      <c r="H37" s="3">
        <v>567.99999999993429</v>
      </c>
      <c r="I37" s="3">
        <v>4166.6500000021297</v>
      </c>
      <c r="J37" s="3">
        <v>4166.6500000021233</v>
      </c>
      <c r="K37" s="3">
        <v>18888.137630528974</v>
      </c>
      <c r="L37" s="3">
        <v>1799.9999999999991</v>
      </c>
      <c r="M37" s="3">
        <v>7318.3999999991938</v>
      </c>
      <c r="N37" s="3">
        <v>27833.120000031842</v>
      </c>
      <c r="O37" s="122">
        <v>23975.600000011007</v>
      </c>
      <c r="P37" s="122">
        <v>1346.7400000006844</v>
      </c>
      <c r="Q37" s="122">
        <v>0</v>
      </c>
      <c r="R37" s="122">
        <v>4588.9400000008809</v>
      </c>
      <c r="S37" s="122">
        <v>3183.3799999986809</v>
      </c>
      <c r="T37" s="122">
        <v>1008.9400000003277</v>
      </c>
      <c r="U37" s="122">
        <v>419.22999999996358</v>
      </c>
      <c r="V37" s="122">
        <v>11479.940000005454</v>
      </c>
      <c r="W37" s="122">
        <v>1499.983333332802</v>
      </c>
      <c r="X37" s="122">
        <v>1416.6499999990267</v>
      </c>
      <c r="Y37" s="122">
        <v>541.66666666660728</v>
      </c>
      <c r="Z37" s="122">
        <v>333.3333333334636</v>
      </c>
      <c r="AA37" s="122">
        <v>1000.0000000020067</v>
      </c>
      <c r="AB37" s="122">
        <v>1499.999999998952</v>
      </c>
      <c r="AC37" s="122">
        <v>1000.0000000020067</v>
      </c>
      <c r="AD37" s="122">
        <v>1499.999999998952</v>
      </c>
      <c r="AE37" s="122">
        <v>5705.5302166470074</v>
      </c>
      <c r="AF37" s="122">
        <v>360.97880994550644</v>
      </c>
      <c r="AG37" s="122">
        <v>18284.84791054466</v>
      </c>
      <c r="AH37" s="122">
        <v>4809.932585716143</v>
      </c>
      <c r="AI37" s="122">
        <v>8333.3500000013701</v>
      </c>
      <c r="AJ37" s="122">
        <v>38999.999998983854</v>
      </c>
      <c r="AK37" s="122">
        <v>15864.246446422705</v>
      </c>
      <c r="AL37" s="122">
        <v>13552.787663106394</v>
      </c>
      <c r="AM37" s="122">
        <v>24160.880683190015</v>
      </c>
      <c r="AN37" s="122">
        <v>6022.3747297163327</v>
      </c>
      <c r="AO37" s="122">
        <v>2265.999999999739</v>
      </c>
      <c r="AP37" s="122">
        <v>378.87777777775057</v>
      </c>
      <c r="AQ37" s="122">
        <v>2250.0166666667183</v>
      </c>
      <c r="AR37" s="122">
        <v>22388.575586681061</v>
      </c>
      <c r="AS37" s="122">
        <v>33119.26666579811</v>
      </c>
      <c r="AT37" s="122">
        <v>109916.42534120026</v>
      </c>
      <c r="AU37" s="122">
        <v>110256.7238716679</v>
      </c>
      <c r="AV37" s="122">
        <v>120125.38125524319</v>
      </c>
      <c r="AW37" s="122">
        <v>4644.9719008195216</v>
      </c>
      <c r="AX37" s="122">
        <v>45197.45584510862</v>
      </c>
      <c r="AY37" s="122">
        <v>2883.2579185517034</v>
      </c>
      <c r="AZ37" s="122">
        <v>588.96542675319597</v>
      </c>
      <c r="BA37" s="122">
        <v>1927.7395353211655</v>
      </c>
      <c r="BB37" s="122">
        <v>2166.6666666676529</v>
      </c>
      <c r="BC37" s="122">
        <v>16199.99999897049</v>
      </c>
      <c r="BD37" s="122">
        <v>1225.1177997883001</v>
      </c>
      <c r="BE37" s="122">
        <v>1188.5962686578332</v>
      </c>
      <c r="BF37" s="122">
        <v>916.6833333329123</v>
      </c>
      <c r="BG37" s="122">
        <v>12296.800000006155</v>
      </c>
    </row>
    <row r="38" spans="1:59" x14ac:dyDescent="0.25">
      <c r="A38" s="1">
        <v>21915.999305555557</v>
      </c>
      <c r="B38" s="3">
        <v>2494.0200000010741</v>
      </c>
      <c r="C38" s="3">
        <v>3493.7000000005241</v>
      </c>
      <c r="D38" s="3">
        <v>4522.2400000005764</v>
      </c>
      <c r="E38" s="3">
        <v>10740.699999997816</v>
      </c>
      <c r="F38" s="3">
        <v>1993.3600000002282</v>
      </c>
      <c r="G38" s="3">
        <v>4668.8200000030756</v>
      </c>
      <c r="H38" s="3">
        <v>541.99999999993804</v>
      </c>
      <c r="I38" s="3">
        <v>4166.6500000021297</v>
      </c>
      <c r="J38" s="3">
        <v>4166.6500000021233</v>
      </c>
      <c r="K38" s="3">
        <v>17909.999248739579</v>
      </c>
      <c r="L38" s="3">
        <v>1800</v>
      </c>
      <c r="M38" s="3">
        <v>7318.3999999991938</v>
      </c>
      <c r="N38" s="3">
        <v>27833.120000031842</v>
      </c>
      <c r="O38" s="122">
        <v>23975.600000011007</v>
      </c>
      <c r="P38" s="122">
        <v>1346.7400000006844</v>
      </c>
      <c r="Q38" s="122">
        <v>486.90463346365635</v>
      </c>
      <c r="R38" s="122">
        <v>4588.9400000008809</v>
      </c>
      <c r="S38" s="122">
        <v>3183.3799999986809</v>
      </c>
      <c r="T38" s="122">
        <v>1008.9400000003277</v>
      </c>
      <c r="U38" s="122">
        <v>419.22999999996358</v>
      </c>
      <c r="V38" s="122">
        <v>11479.940000005454</v>
      </c>
      <c r="W38" s="122">
        <v>1499.983333332802</v>
      </c>
      <c r="X38" s="122">
        <v>1416.6499999990267</v>
      </c>
      <c r="Y38" s="122">
        <v>541.66666666660728</v>
      </c>
      <c r="Z38" s="122">
        <v>333.3333333334636</v>
      </c>
      <c r="AA38" s="122">
        <v>1000.0000000020067</v>
      </c>
      <c r="AB38" s="122">
        <v>1499.999999998952</v>
      </c>
      <c r="AC38" s="122">
        <v>1000.0000000020067</v>
      </c>
      <c r="AD38" s="122">
        <v>1499.999999998952</v>
      </c>
      <c r="AE38" s="122">
        <v>5326.3968072969928</v>
      </c>
      <c r="AF38" s="122">
        <v>356.49150429701257</v>
      </c>
      <c r="AG38" s="122">
        <v>17466.123377236683</v>
      </c>
      <c r="AH38" s="122">
        <v>4465.3303338994419</v>
      </c>
      <c r="AI38" s="122">
        <v>8333.3500000013701</v>
      </c>
      <c r="AJ38" s="122">
        <v>38999.999998983854</v>
      </c>
      <c r="AK38" s="122">
        <v>15864.246446422732</v>
      </c>
      <c r="AL38" s="122">
        <v>12962.040332145607</v>
      </c>
      <c r="AM38" s="122">
        <v>24160.880683189978</v>
      </c>
      <c r="AN38" s="122">
        <v>6150.230328099321</v>
      </c>
      <c r="AO38" s="122">
        <v>2083.9999999997617</v>
      </c>
      <c r="AP38" s="122">
        <v>378.87777777775057</v>
      </c>
      <c r="AQ38" s="122">
        <v>2250.0166666667183</v>
      </c>
      <c r="AR38" s="122">
        <v>22073.858468252882</v>
      </c>
      <c r="AS38" s="122">
        <v>33119.26666579811</v>
      </c>
      <c r="AT38" s="122">
        <v>102775.61394505033</v>
      </c>
      <c r="AU38" s="122">
        <v>103093.80470029837</v>
      </c>
      <c r="AV38" s="122">
        <v>112321.33660248565</v>
      </c>
      <c r="AW38" s="122">
        <v>4644.9719008195216</v>
      </c>
      <c r="AX38" s="122">
        <v>44454.10778647862</v>
      </c>
      <c r="AY38" s="122">
        <v>2751.1312217191398</v>
      </c>
      <c r="AZ38" s="122">
        <v>581.64403332670486</v>
      </c>
      <c r="BA38" s="122">
        <v>1896.0346215305292</v>
      </c>
      <c r="BB38" s="122">
        <v>2166.6666666676529</v>
      </c>
      <c r="BC38" s="122">
        <v>16199.99999897049</v>
      </c>
      <c r="BD38" s="122">
        <v>1161.6501586689699</v>
      </c>
      <c r="BE38" s="122">
        <v>1169.0478070844749</v>
      </c>
      <c r="BF38" s="122">
        <v>916.6833333329123</v>
      </c>
      <c r="BG38" s="122">
        <v>12296.800000006155</v>
      </c>
    </row>
    <row r="39" spans="1:59" x14ac:dyDescent="0.25">
      <c r="A39" s="1">
        <v>22281.999305555557</v>
      </c>
      <c r="B39" s="3">
        <v>2494.0200000010741</v>
      </c>
      <c r="C39" s="3">
        <v>3493.7000000005241</v>
      </c>
      <c r="D39" s="3">
        <v>4522.2400000005764</v>
      </c>
      <c r="E39" s="3">
        <v>10740.699999997816</v>
      </c>
      <c r="F39" s="3">
        <v>1993.3600000002282</v>
      </c>
      <c r="G39" s="3">
        <v>4668.8200000030765</v>
      </c>
      <c r="H39" s="3">
        <v>615.9999999999294</v>
      </c>
      <c r="I39" s="3">
        <v>4166.6500000021306</v>
      </c>
      <c r="J39" s="3">
        <v>4166.6500000021233</v>
      </c>
      <c r="K39" s="3">
        <v>20431.222297345706</v>
      </c>
      <c r="L39" s="3">
        <v>1799.9999999999995</v>
      </c>
      <c r="M39" s="3">
        <v>7318.3999999991929</v>
      </c>
      <c r="N39" s="3">
        <v>27833.120000031842</v>
      </c>
      <c r="O39" s="122">
        <v>23975.600000011007</v>
      </c>
      <c r="P39" s="122">
        <v>1346.7400000006844</v>
      </c>
      <c r="Q39" s="122">
        <v>297.23372043041974</v>
      </c>
      <c r="R39" s="122">
        <v>4588.9400000008809</v>
      </c>
      <c r="S39" s="122">
        <v>3183.3799999986809</v>
      </c>
      <c r="T39" s="122">
        <v>1008.9400000003277</v>
      </c>
      <c r="U39" s="122">
        <v>419.22999999996358</v>
      </c>
      <c r="V39" s="122">
        <v>11479.940000005452</v>
      </c>
      <c r="W39" s="122">
        <v>1499.9833333328022</v>
      </c>
      <c r="X39" s="122">
        <v>1416.6499999990265</v>
      </c>
      <c r="Y39" s="122">
        <v>541.6666666666074</v>
      </c>
      <c r="Z39" s="122">
        <v>333.33333333346354</v>
      </c>
      <c r="AA39" s="122">
        <v>1000.0000000020035</v>
      </c>
      <c r="AB39" s="122">
        <v>1499.9999999989695</v>
      </c>
      <c r="AC39" s="122">
        <v>1000.0000000020035</v>
      </c>
      <c r="AD39" s="122">
        <v>1499.9999999989695</v>
      </c>
      <c r="AE39" s="122">
        <v>5390.5359179013158</v>
      </c>
      <c r="AF39" s="122">
        <v>390.89418093546715</v>
      </c>
      <c r="AG39" s="122">
        <v>19365.109447548242</v>
      </c>
      <c r="AH39" s="122">
        <v>4632.843831683087</v>
      </c>
      <c r="AI39" s="122">
        <v>8333.3500000013719</v>
      </c>
      <c r="AJ39" s="122">
        <v>38999.999998983862</v>
      </c>
      <c r="AK39" s="122">
        <v>15864.246446422732</v>
      </c>
      <c r="AL39" s="122">
        <v>14666.666666664962</v>
      </c>
      <c r="AM39" s="122">
        <v>24160.880683189993</v>
      </c>
      <c r="AN39" s="122">
        <v>6469.8693240567891</v>
      </c>
      <c r="AO39" s="122">
        <v>2271.999999999739</v>
      </c>
      <c r="AP39" s="122">
        <v>378.87777777775057</v>
      </c>
      <c r="AQ39" s="122">
        <v>2250.0166666667183</v>
      </c>
      <c r="AR39" s="122">
        <v>24245.952337635939</v>
      </c>
      <c r="AS39" s="122">
        <v>33105.778642042722</v>
      </c>
      <c r="AT39" s="122">
        <v>113092.68713460694</v>
      </c>
      <c r="AU39" s="122">
        <v>113442.81929291843</v>
      </c>
      <c r="AV39" s="122">
        <v>123596.65188395145</v>
      </c>
      <c r="AW39" s="122">
        <v>4657.697851232725</v>
      </c>
      <c r="AX39" s="122">
        <v>49027.828962507854</v>
      </c>
      <c r="AY39" s="122">
        <v>2953.8461538458159</v>
      </c>
      <c r="AZ39" s="122">
        <v>637.77471626313331</v>
      </c>
      <c r="BA39" s="122">
        <v>2091.1107152996738</v>
      </c>
      <c r="BB39" s="122">
        <v>2166.6666666676529</v>
      </c>
      <c r="BC39" s="122">
        <v>16199.999998970494</v>
      </c>
      <c r="BD39" s="122">
        <v>1323.2041542454494</v>
      </c>
      <c r="BE39" s="122">
        <v>1289.3268763829742</v>
      </c>
      <c r="BF39" s="122">
        <v>916.68333333291218</v>
      </c>
      <c r="BG39" s="122">
        <v>12296.800000006155</v>
      </c>
    </row>
    <row r="40" spans="1:59" x14ac:dyDescent="0.25">
      <c r="A40" s="1">
        <v>22646.999305555557</v>
      </c>
      <c r="B40" s="3">
        <v>2494.0200000010741</v>
      </c>
      <c r="C40" s="3">
        <v>3493.7000000005241</v>
      </c>
      <c r="D40" s="3">
        <v>4522.2400000005764</v>
      </c>
      <c r="E40" s="3">
        <v>10740.699999997816</v>
      </c>
      <c r="F40" s="3">
        <v>1993.3600000002282</v>
      </c>
      <c r="G40" s="3">
        <v>4668.8200000030756</v>
      </c>
      <c r="H40" s="3">
        <v>523.99999999993963</v>
      </c>
      <c r="I40" s="3">
        <v>4166.6500000021297</v>
      </c>
      <c r="J40" s="3">
        <v>4166.6500000021233</v>
      </c>
      <c r="K40" s="3">
        <v>17272.932161368302</v>
      </c>
      <c r="L40" s="3">
        <v>1799.9999999999991</v>
      </c>
      <c r="M40" s="3">
        <v>7318.3999999991938</v>
      </c>
      <c r="N40" s="3">
        <v>27833.120000031842</v>
      </c>
      <c r="O40" s="122">
        <v>23975.600000011007</v>
      </c>
      <c r="P40" s="122">
        <v>1346.7400000006844</v>
      </c>
      <c r="Q40" s="122">
        <v>0</v>
      </c>
      <c r="R40" s="122">
        <v>4588.9400000008809</v>
      </c>
      <c r="S40" s="122">
        <v>3183.3799999986809</v>
      </c>
      <c r="T40" s="122">
        <v>1008.9400000003277</v>
      </c>
      <c r="U40" s="122">
        <v>419.22999999996358</v>
      </c>
      <c r="V40" s="122">
        <v>11479.940000005454</v>
      </c>
      <c r="W40" s="122">
        <v>1499.983333332802</v>
      </c>
      <c r="X40" s="122">
        <v>1416.6499999990267</v>
      </c>
      <c r="Y40" s="122">
        <v>541.66666666660728</v>
      </c>
      <c r="Z40" s="122">
        <v>333.3333333334636</v>
      </c>
      <c r="AA40" s="122">
        <v>1000.0000000020067</v>
      </c>
      <c r="AB40" s="122">
        <v>1499.999999998952</v>
      </c>
      <c r="AC40" s="122">
        <v>1000.0000000020067</v>
      </c>
      <c r="AD40" s="122">
        <v>1499.999999998952</v>
      </c>
      <c r="AE40" s="122">
        <v>4613.7400228044853</v>
      </c>
      <c r="AF40" s="122">
        <v>333.05779702154501</v>
      </c>
      <c r="AG40" s="122">
        <v>21332.322562302106</v>
      </c>
      <c r="AH40" s="122">
        <v>3961.1766805451589</v>
      </c>
      <c r="AI40" s="122">
        <v>8333.3500000013701</v>
      </c>
      <c r="AJ40" s="122">
        <v>38999.999998983854</v>
      </c>
      <c r="AK40" s="122">
        <v>15864.246446422705</v>
      </c>
      <c r="AL40" s="122">
        <v>12480.427046261908</v>
      </c>
      <c r="AM40" s="122">
        <v>24160.880683190004</v>
      </c>
      <c r="AN40" s="122">
        <v>6490.5518473246248</v>
      </c>
      <c r="AO40" s="122">
        <v>2103.9999999997585</v>
      </c>
      <c r="AP40" s="122">
        <v>378.87777777775057</v>
      </c>
      <c r="AQ40" s="122">
        <v>2250.0166666667183</v>
      </c>
      <c r="AR40" s="122">
        <v>20718.57376750718</v>
      </c>
      <c r="AS40" s="122">
        <v>33119.26666579811</v>
      </c>
      <c r="AT40" s="122">
        <v>91602.091688590168</v>
      </c>
      <c r="AU40" s="122">
        <v>91885.689495676095</v>
      </c>
      <c r="AV40" s="122">
        <v>100110.02590115303</v>
      </c>
      <c r="AW40" s="122">
        <v>4644.9719008195216</v>
      </c>
      <c r="AX40" s="122">
        <v>41821.614024706141</v>
      </c>
      <c r="AY40" s="122">
        <v>2709.5022624431276</v>
      </c>
      <c r="AZ40" s="122">
        <v>543.41008987725832</v>
      </c>
      <c r="BA40" s="122">
        <v>1783.754799443941</v>
      </c>
      <c r="BB40" s="122">
        <v>2166.6666666676529</v>
      </c>
      <c r="BC40" s="122">
        <v>16199.99999897049</v>
      </c>
      <c r="BD40" s="122">
        <v>1123.1849216269509</v>
      </c>
      <c r="BE40" s="122">
        <v>1099.8188603660851</v>
      </c>
      <c r="BF40" s="122">
        <v>916.6833333329123</v>
      </c>
      <c r="BG40" s="122">
        <v>12296.800000006155</v>
      </c>
    </row>
    <row r="41" spans="1:59" x14ac:dyDescent="0.25">
      <c r="A41" s="1">
        <v>23011.999305555557</v>
      </c>
      <c r="B41" s="3">
        <v>2494.0200000010741</v>
      </c>
      <c r="C41" s="3">
        <v>3493.7000000005241</v>
      </c>
      <c r="D41" s="3">
        <v>4522.2400000005764</v>
      </c>
      <c r="E41" s="3">
        <v>10740.699999997816</v>
      </c>
      <c r="F41" s="3">
        <v>1993.3600000002282</v>
      </c>
      <c r="G41" s="3">
        <v>4668.8200000030756</v>
      </c>
      <c r="H41" s="3">
        <v>587.99999999993236</v>
      </c>
      <c r="I41" s="3">
        <v>4166.6500000021297</v>
      </c>
      <c r="J41" s="3">
        <v>4166.6500000021233</v>
      </c>
      <c r="K41" s="3">
        <v>19382.465629927916</v>
      </c>
      <c r="L41" s="3">
        <v>1800.0000000000023</v>
      </c>
      <c r="M41" s="3">
        <v>7318.3999999991938</v>
      </c>
      <c r="N41" s="3">
        <v>27833.120000031842</v>
      </c>
      <c r="O41" s="122">
        <v>23975.600000011007</v>
      </c>
      <c r="P41" s="122">
        <v>1346.7400000006844</v>
      </c>
      <c r="Q41" s="122">
        <v>27.353548387128264</v>
      </c>
      <c r="R41" s="122">
        <v>4588.9400000008809</v>
      </c>
      <c r="S41" s="122">
        <v>3183.3799999986809</v>
      </c>
      <c r="T41" s="122">
        <v>1008.9400000003277</v>
      </c>
      <c r="U41" s="122">
        <v>419.22999999996358</v>
      </c>
      <c r="V41" s="122">
        <v>11479.940000005454</v>
      </c>
      <c r="W41" s="122">
        <v>1499.983333332802</v>
      </c>
      <c r="X41" s="122">
        <v>1416.6499999990267</v>
      </c>
      <c r="Y41" s="122">
        <v>541.66666666660728</v>
      </c>
      <c r="Z41" s="122">
        <v>333.3333333334636</v>
      </c>
      <c r="AA41" s="122">
        <v>1000.0000000020067</v>
      </c>
      <c r="AB41" s="122">
        <v>1499.999999998952</v>
      </c>
      <c r="AC41" s="122">
        <v>1000.0000000020067</v>
      </c>
      <c r="AD41" s="122">
        <v>1499.999999998952</v>
      </c>
      <c r="AE41" s="122">
        <v>5427.5940706949277</v>
      </c>
      <c r="AF41" s="122">
        <v>355.494325264015</v>
      </c>
      <c r="AG41" s="122">
        <v>19414.384535201014</v>
      </c>
      <c r="AH41" s="122">
        <v>4570.2938241874199</v>
      </c>
      <c r="AI41" s="122">
        <v>8333.3500000013701</v>
      </c>
      <c r="AJ41" s="122">
        <v>38999.999998983854</v>
      </c>
      <c r="AK41" s="122">
        <v>15864.246446422738</v>
      </c>
      <c r="AL41" s="122">
        <v>13982.206405692335</v>
      </c>
      <c r="AM41" s="122">
        <v>24160.880683190011</v>
      </c>
      <c r="AN41" s="122">
        <v>6385.259001597462</v>
      </c>
      <c r="AO41" s="122">
        <v>1805.9999999997926</v>
      </c>
      <c r="AP41" s="122">
        <v>378.87777777775057</v>
      </c>
      <c r="AQ41" s="122">
        <v>2250.0166666667183</v>
      </c>
      <c r="AR41" s="122">
        <v>22055.666727303273</v>
      </c>
      <c r="AS41" s="122">
        <v>33119.26666579811</v>
      </c>
      <c r="AT41" s="122">
        <v>109958.33088857553</v>
      </c>
      <c r="AU41" s="122">
        <v>110298.75915757999</v>
      </c>
      <c r="AV41" s="122">
        <v>120171.17895872127</v>
      </c>
      <c r="AW41" s="122">
        <v>4644.9719008195216</v>
      </c>
      <c r="AX41" s="122">
        <v>44457.264253818888</v>
      </c>
      <c r="AY41" s="122">
        <v>2912.2171945698001</v>
      </c>
      <c r="AZ41" s="122">
        <v>580.0170570097132</v>
      </c>
      <c r="BA41" s="122">
        <v>1896.1692496145677</v>
      </c>
      <c r="BB41" s="122">
        <v>2166.6666666676529</v>
      </c>
      <c r="BC41" s="122">
        <v>16199.99999897049</v>
      </c>
      <c r="BD41" s="122">
        <v>1257.8132512740165</v>
      </c>
      <c r="BE41" s="122">
        <v>1169.130815413874</v>
      </c>
      <c r="BF41" s="122">
        <v>916.6833333329123</v>
      </c>
      <c r="BG41" s="122">
        <v>12296.800000006155</v>
      </c>
    </row>
    <row r="42" spans="1:59" x14ac:dyDescent="0.25">
      <c r="A42" s="1">
        <v>23376.999305555557</v>
      </c>
      <c r="B42" s="3">
        <v>2494.0200000010741</v>
      </c>
      <c r="C42" s="3">
        <v>3493.7000000005241</v>
      </c>
      <c r="D42" s="3">
        <v>4522.2400000005764</v>
      </c>
      <c r="E42" s="3">
        <v>10740.699999997816</v>
      </c>
      <c r="F42" s="3">
        <v>1993.3600000002282</v>
      </c>
      <c r="G42" s="3">
        <v>4668.8200000030756</v>
      </c>
      <c r="H42" s="3">
        <v>595.99999999993202</v>
      </c>
      <c r="I42" s="3">
        <v>4166.6500000021297</v>
      </c>
      <c r="J42" s="3">
        <v>4166.6500000021233</v>
      </c>
      <c r="K42" s="3">
        <v>19670.948839303568</v>
      </c>
      <c r="L42" s="3">
        <v>1799.9999999999995</v>
      </c>
      <c r="M42" s="3">
        <v>7318.3999999991938</v>
      </c>
      <c r="N42" s="3">
        <v>27833.120000031842</v>
      </c>
      <c r="O42" s="122">
        <v>23975.600000011007</v>
      </c>
      <c r="P42" s="122">
        <v>1346.7400000006844</v>
      </c>
      <c r="Q42" s="122">
        <v>136.79806451614803</v>
      </c>
      <c r="R42" s="122">
        <v>4588.9400000008809</v>
      </c>
      <c r="S42" s="122">
        <v>3183.3799999986809</v>
      </c>
      <c r="T42" s="122">
        <v>1008.9400000003277</v>
      </c>
      <c r="U42" s="122">
        <v>419.22999999996358</v>
      </c>
      <c r="V42" s="122">
        <v>11479.940000005454</v>
      </c>
      <c r="W42" s="122">
        <v>1499.983333332802</v>
      </c>
      <c r="X42" s="122">
        <v>1416.6499999990267</v>
      </c>
      <c r="Y42" s="122">
        <v>541.66666666660728</v>
      </c>
      <c r="Z42" s="122">
        <v>333.3333333334636</v>
      </c>
      <c r="AA42" s="122">
        <v>1000.0000000020067</v>
      </c>
      <c r="AB42" s="122">
        <v>1499.999999998952</v>
      </c>
      <c r="AC42" s="122">
        <v>1000.0000000020067</v>
      </c>
      <c r="AD42" s="122">
        <v>1499.999999998952</v>
      </c>
      <c r="AE42" s="122">
        <v>5738.3124287336568</v>
      </c>
      <c r="AF42" s="122">
        <v>378.42944302298412</v>
      </c>
      <c r="AG42" s="122">
        <v>20145.930067277128</v>
      </c>
      <c r="AH42" s="122">
        <v>4746.7812919079834</v>
      </c>
      <c r="AI42" s="122">
        <v>8333.3500000013701</v>
      </c>
      <c r="AJ42" s="122">
        <v>38999.999998983854</v>
      </c>
      <c r="AK42" s="122">
        <v>15864.246446422741</v>
      </c>
      <c r="AL42" s="122">
        <v>14190.984578883299</v>
      </c>
      <c r="AM42" s="122">
        <v>24160.880683189996</v>
      </c>
      <c r="AN42" s="122">
        <v>6648.491115915378</v>
      </c>
      <c r="AO42" s="122">
        <v>2211.9999999997453</v>
      </c>
      <c r="AP42" s="122">
        <v>378.87777777775057</v>
      </c>
      <c r="AQ42" s="122">
        <v>2250.0166666667183</v>
      </c>
      <c r="AR42" s="122">
        <v>23452.792432233069</v>
      </c>
      <c r="AS42" s="122">
        <v>33119.26666579811</v>
      </c>
      <c r="AT42" s="122">
        <v>108970.14045452981</v>
      </c>
      <c r="AU42" s="122">
        <v>109307.50931042632</v>
      </c>
      <c r="AV42" s="122">
        <v>119091.20613142104</v>
      </c>
      <c r="AW42" s="122">
        <v>4644.9719008195216</v>
      </c>
      <c r="AX42" s="122">
        <v>47370.683608874053</v>
      </c>
      <c r="AY42" s="122">
        <v>2941.1764705878954</v>
      </c>
      <c r="AZ42" s="122">
        <v>617.43751230065754</v>
      </c>
      <c r="BA42" s="122">
        <v>2020.4309711804183</v>
      </c>
      <c r="BB42" s="122">
        <v>2166.6666666676529</v>
      </c>
      <c r="BC42" s="122">
        <v>16199.99999897049</v>
      </c>
      <c r="BD42" s="122">
        <v>1277.0458697950248</v>
      </c>
      <c r="BE42" s="122">
        <v>1245.747503448735</v>
      </c>
      <c r="BF42" s="122">
        <v>916.6833333329123</v>
      </c>
      <c r="BG42" s="122">
        <v>12296.800000006155</v>
      </c>
    </row>
    <row r="43" spans="1:59" x14ac:dyDescent="0.25">
      <c r="A43" s="1">
        <v>23742.999305555557</v>
      </c>
      <c r="B43" s="3">
        <v>2494.0200000010741</v>
      </c>
      <c r="C43" s="3">
        <v>3493.7000000005241</v>
      </c>
      <c r="D43" s="3">
        <v>4522.2400000005764</v>
      </c>
      <c r="E43" s="3">
        <v>10740.699999997816</v>
      </c>
      <c r="F43" s="3">
        <v>1993.3600000002282</v>
      </c>
      <c r="G43" s="3">
        <v>4668.8200000030765</v>
      </c>
      <c r="H43" s="3">
        <v>527.99999999993952</v>
      </c>
      <c r="I43" s="3">
        <v>4166.6500000021306</v>
      </c>
      <c r="J43" s="3">
        <v>4166.6500000021233</v>
      </c>
      <c r="K43" s="3">
        <v>17547.892720304495</v>
      </c>
      <c r="L43" s="3">
        <v>1800.0000000000002</v>
      </c>
      <c r="M43" s="3">
        <v>7318.3999999991929</v>
      </c>
      <c r="N43" s="3">
        <v>27833.120000031842</v>
      </c>
      <c r="O43" s="122">
        <v>23975.600000011007</v>
      </c>
      <c r="P43" s="122">
        <v>1346.7400000006844</v>
      </c>
      <c r="Q43" s="122">
        <v>206.21192408771395</v>
      </c>
      <c r="R43" s="122">
        <v>4588.9400000008809</v>
      </c>
      <c r="S43" s="122">
        <v>3183.3799999986809</v>
      </c>
      <c r="T43" s="122">
        <v>1008.9400000003277</v>
      </c>
      <c r="U43" s="122">
        <v>419.22999999996358</v>
      </c>
      <c r="V43" s="122">
        <v>11479.940000005452</v>
      </c>
      <c r="W43" s="122">
        <v>1499.9833333328022</v>
      </c>
      <c r="X43" s="122">
        <v>1416.6499999990265</v>
      </c>
      <c r="Y43" s="122">
        <v>541.6666666666074</v>
      </c>
      <c r="Z43" s="122">
        <v>333.33333333346354</v>
      </c>
      <c r="AA43" s="122">
        <v>1000.0000000020035</v>
      </c>
      <c r="AB43" s="122">
        <v>1499.9999999989695</v>
      </c>
      <c r="AC43" s="122">
        <v>1000.0000000020035</v>
      </c>
      <c r="AD43" s="122">
        <v>1499.9999999989695</v>
      </c>
      <c r="AE43" s="122">
        <v>5146.8072976048861</v>
      </c>
      <c r="AF43" s="122">
        <v>346.02112445052734</v>
      </c>
      <c r="AG43" s="122">
        <v>17936.131905617185</v>
      </c>
      <c r="AH43" s="122">
        <v>4286.8695969997798</v>
      </c>
      <c r="AI43" s="122">
        <v>8333.3500000013719</v>
      </c>
      <c r="AJ43" s="122">
        <v>38999.999998983862</v>
      </c>
      <c r="AK43" s="122">
        <v>15864.246446422736</v>
      </c>
      <c r="AL43" s="122">
        <v>12679.715302489649</v>
      </c>
      <c r="AM43" s="122">
        <v>24160.880683190015</v>
      </c>
      <c r="AN43" s="122">
        <v>5969.7283068527449</v>
      </c>
      <c r="AO43" s="122">
        <v>1961.9999999997751</v>
      </c>
      <c r="AP43" s="122">
        <v>378.87777777775057</v>
      </c>
      <c r="AQ43" s="122">
        <v>2250.0166666667183</v>
      </c>
      <c r="AR43" s="122">
        <v>21533.563762049565</v>
      </c>
      <c r="AS43" s="122">
        <v>33105.778642042722</v>
      </c>
      <c r="AT43" s="122">
        <v>99145.157472318286</v>
      </c>
      <c r="AU43" s="122">
        <v>99452.108424245176</v>
      </c>
      <c r="AV43" s="122">
        <v>108353.68603011903</v>
      </c>
      <c r="AW43" s="122">
        <v>4657.697851232725</v>
      </c>
      <c r="AX43" s="122">
        <v>43447.194704937334</v>
      </c>
      <c r="AY43" s="122">
        <v>2740.2714932123554</v>
      </c>
      <c r="AZ43" s="122">
        <v>564.560781998229</v>
      </c>
      <c r="BA43" s="122">
        <v>1853.0882627228302</v>
      </c>
      <c r="BB43" s="122">
        <v>2166.6666666676529</v>
      </c>
      <c r="BC43" s="122">
        <v>16199.999998970494</v>
      </c>
      <c r="BD43" s="122">
        <v>1136.6477545916562</v>
      </c>
      <c r="BE43" s="122">
        <v>1142.5681500063386</v>
      </c>
      <c r="BF43" s="122">
        <v>916.68333333291218</v>
      </c>
      <c r="BG43" s="122">
        <v>12296.800000006155</v>
      </c>
    </row>
    <row r="44" spans="1:59" x14ac:dyDescent="0.25">
      <c r="A44" s="1">
        <v>24107.999305555557</v>
      </c>
      <c r="B44" s="3">
        <v>2494.0200000010741</v>
      </c>
      <c r="C44" s="3">
        <v>3493.7000000005241</v>
      </c>
      <c r="D44" s="3">
        <v>4522.2400000005764</v>
      </c>
      <c r="E44" s="3">
        <v>10740.699999997816</v>
      </c>
      <c r="F44" s="3">
        <v>1993.3600000002282</v>
      </c>
      <c r="G44" s="3">
        <v>4668.8200000030756</v>
      </c>
      <c r="H44" s="3">
        <v>441.99999999994913</v>
      </c>
      <c r="I44" s="3">
        <v>4166.6500000021297</v>
      </c>
      <c r="J44" s="3">
        <v>4166.6500000021233</v>
      </c>
      <c r="K44" s="3">
        <v>14642.025392530815</v>
      </c>
      <c r="L44" s="3">
        <v>1800</v>
      </c>
      <c r="M44" s="3">
        <v>7318.3999999991938</v>
      </c>
      <c r="N44" s="3">
        <v>27833.120000031842</v>
      </c>
      <c r="O44" s="122">
        <v>23975.600000011007</v>
      </c>
      <c r="P44" s="122">
        <v>1346.7400000006844</v>
      </c>
      <c r="Q44" s="122">
        <v>0</v>
      </c>
      <c r="R44" s="122">
        <v>4588.9400000008809</v>
      </c>
      <c r="S44" s="122">
        <v>3183.3799999986809</v>
      </c>
      <c r="T44" s="122">
        <v>1008.9400000003277</v>
      </c>
      <c r="U44" s="122">
        <v>419.22999999996358</v>
      </c>
      <c r="V44" s="122">
        <v>11479.940000005454</v>
      </c>
      <c r="W44" s="122">
        <v>1499.983333332802</v>
      </c>
      <c r="X44" s="122">
        <v>1416.6499999990267</v>
      </c>
      <c r="Y44" s="122">
        <v>541.66666666660728</v>
      </c>
      <c r="Z44" s="122">
        <v>333.3333333334636</v>
      </c>
      <c r="AA44" s="122">
        <v>1000.0000000020067</v>
      </c>
      <c r="AB44" s="122">
        <v>1499.999999998952</v>
      </c>
      <c r="AC44" s="122">
        <v>1000.0000000020067</v>
      </c>
      <c r="AD44" s="122">
        <v>1499.999999998952</v>
      </c>
      <c r="AE44" s="122">
        <v>3898.2326111740108</v>
      </c>
      <c r="AF44" s="122">
        <v>267.24398084363565</v>
      </c>
      <c r="AG44" s="122">
        <v>16963.896522313993</v>
      </c>
      <c r="AH44" s="122">
        <v>3439.999999999603</v>
      </c>
      <c r="AI44" s="122">
        <v>8333.3500000013701</v>
      </c>
      <c r="AJ44" s="122">
        <v>38999.999998983854</v>
      </c>
      <c r="AK44" s="122">
        <v>15864.24644642272</v>
      </c>
      <c r="AL44" s="122">
        <v>10622.775800710528</v>
      </c>
      <c r="AM44" s="122">
        <v>24160.880683189986</v>
      </c>
      <c r="AN44" s="122">
        <v>5494.0302716925107</v>
      </c>
      <c r="AO44" s="122">
        <v>1535.9999999998226</v>
      </c>
      <c r="AP44" s="122">
        <v>378.87777777775057</v>
      </c>
      <c r="AQ44" s="122">
        <v>2250.0166666667183</v>
      </c>
      <c r="AR44" s="122">
        <v>16698.199017644089</v>
      </c>
      <c r="AS44" s="122">
        <v>33119.26666579811</v>
      </c>
      <c r="AT44" s="122">
        <v>78194.869545354421</v>
      </c>
      <c r="AU44" s="122">
        <v>78436.958924751743</v>
      </c>
      <c r="AV44" s="122">
        <v>85457.550927276039</v>
      </c>
      <c r="AW44" s="122">
        <v>4644.9719008195216</v>
      </c>
      <c r="AX44" s="122">
        <v>34042.500264648108</v>
      </c>
      <c r="AY44" s="122">
        <v>2486.87782805401</v>
      </c>
      <c r="AZ44" s="122">
        <v>436.02965295540582</v>
      </c>
      <c r="BA44" s="122">
        <v>1451.9638863355531</v>
      </c>
      <c r="BB44" s="122">
        <v>2166.6666666676529</v>
      </c>
      <c r="BC44" s="122">
        <v>16199.99999897049</v>
      </c>
      <c r="BD44" s="122">
        <v>948.16809308576512</v>
      </c>
      <c r="BE44" s="122">
        <v>895.2448325633585</v>
      </c>
      <c r="BF44" s="122">
        <v>916.6833333329123</v>
      </c>
      <c r="BG44" s="122">
        <v>12296.800000006155</v>
      </c>
    </row>
    <row r="45" spans="1:59" x14ac:dyDescent="0.25">
      <c r="A45" s="1">
        <v>24472.999305555557</v>
      </c>
      <c r="B45" s="3">
        <v>2494.0200000010741</v>
      </c>
      <c r="C45" s="3">
        <v>3493.7000000005241</v>
      </c>
      <c r="D45" s="3">
        <v>4522.2400000005764</v>
      </c>
      <c r="E45" s="3">
        <v>10740.699999997816</v>
      </c>
      <c r="F45" s="3">
        <v>1993.3600000002282</v>
      </c>
      <c r="G45" s="3">
        <v>4668.8200000030756</v>
      </c>
      <c r="H45" s="3">
        <v>569.99999999993418</v>
      </c>
      <c r="I45" s="3">
        <v>4166.6500000021297</v>
      </c>
      <c r="J45" s="3">
        <v>4166.6500000021233</v>
      </c>
      <c r="K45" s="3">
        <v>19122.530238146715</v>
      </c>
      <c r="L45" s="3">
        <v>1800.0000000000007</v>
      </c>
      <c r="M45" s="3">
        <v>7318.3999999991938</v>
      </c>
      <c r="N45" s="3">
        <v>27833.120000031842</v>
      </c>
      <c r="O45" s="122">
        <v>23975.600000011007</v>
      </c>
      <c r="P45" s="122">
        <v>1346.7400000006844</v>
      </c>
      <c r="Q45" s="122">
        <v>80.53126749077633</v>
      </c>
      <c r="R45" s="122">
        <v>4588.9400000008809</v>
      </c>
      <c r="S45" s="122">
        <v>3183.3799999986809</v>
      </c>
      <c r="T45" s="122">
        <v>1008.9400000003277</v>
      </c>
      <c r="U45" s="122">
        <v>419.22999999996358</v>
      </c>
      <c r="V45" s="122">
        <v>11479.940000005454</v>
      </c>
      <c r="W45" s="122">
        <v>1499.983333332802</v>
      </c>
      <c r="X45" s="122">
        <v>1416.6499999990267</v>
      </c>
      <c r="Y45" s="122">
        <v>541.66666666660728</v>
      </c>
      <c r="Z45" s="122">
        <v>333.3333333334636</v>
      </c>
      <c r="AA45" s="122">
        <v>1000.0000000020067</v>
      </c>
      <c r="AB45" s="122">
        <v>1499.999999998952</v>
      </c>
      <c r="AC45" s="122">
        <v>1000.0000000020067</v>
      </c>
      <c r="AD45" s="122">
        <v>1499.999999998952</v>
      </c>
      <c r="AE45" s="122">
        <v>5959.2360319263371</v>
      </c>
      <c r="AF45" s="122">
        <v>377.93085350648442</v>
      </c>
      <c r="AG45" s="122">
        <v>21290.628257365119</v>
      </c>
      <c r="AH45" s="122">
        <v>5043.6982322207004</v>
      </c>
      <c r="AI45" s="122">
        <v>8333.3500000013701</v>
      </c>
      <c r="AJ45" s="122">
        <v>38999.999998983854</v>
      </c>
      <c r="AK45" s="122">
        <v>15864.246446422723</v>
      </c>
      <c r="AL45" s="122">
        <v>13562.277580069611</v>
      </c>
      <c r="AM45" s="122">
        <v>24160.880683190007</v>
      </c>
      <c r="AN45" s="122">
        <v>6772.586255522393</v>
      </c>
      <c r="AO45" s="122">
        <v>2211.9999999997453</v>
      </c>
      <c r="AP45" s="122">
        <v>378.87777777775057</v>
      </c>
      <c r="AQ45" s="122">
        <v>2250.0166666667183</v>
      </c>
      <c r="AR45" s="122">
        <v>23569.219574310559</v>
      </c>
      <c r="AS45" s="122">
        <v>33119.26666579811</v>
      </c>
      <c r="AT45" s="122">
        <v>110196.74835754102</v>
      </c>
      <c r="AU45" s="122">
        <v>110537.91476112434</v>
      </c>
      <c r="AV45" s="122">
        <v>120431.74046505208</v>
      </c>
      <c r="AW45" s="122">
        <v>4644.9719008195216</v>
      </c>
      <c r="AX45" s="122">
        <v>47927.800094429091</v>
      </c>
      <c r="AY45" s="122">
        <v>3263.3484162892187</v>
      </c>
      <c r="AZ45" s="122">
        <v>616.62402414215728</v>
      </c>
      <c r="BA45" s="122">
        <v>2044.1928280128905</v>
      </c>
      <c r="BB45" s="122">
        <v>2166.6666666676529</v>
      </c>
      <c r="BC45" s="122">
        <v>16199.99999897049</v>
      </c>
      <c r="BD45" s="122">
        <v>1236.6573709009049</v>
      </c>
      <c r="BE45" s="122">
        <v>1260.3984735875788</v>
      </c>
      <c r="BF45" s="122">
        <v>916.6833333329123</v>
      </c>
      <c r="BG45" s="122">
        <v>12296.800000006155</v>
      </c>
    </row>
    <row r="46" spans="1:59" x14ac:dyDescent="0.25">
      <c r="A46" s="1">
        <v>24837.999305555557</v>
      </c>
      <c r="B46" s="3">
        <v>2494.0200000010741</v>
      </c>
      <c r="C46" s="3">
        <v>3493.7000000005241</v>
      </c>
      <c r="D46" s="3">
        <v>4522.2400000005764</v>
      </c>
      <c r="E46" s="3">
        <v>10740.699999997816</v>
      </c>
      <c r="F46" s="3">
        <v>1993.3600000002282</v>
      </c>
      <c r="G46" s="3">
        <v>4668.8200000030756</v>
      </c>
      <c r="H46" s="3">
        <v>545.99999999993747</v>
      </c>
      <c r="I46" s="3">
        <v>4166.6500000021297</v>
      </c>
      <c r="J46" s="3">
        <v>4166.6500000021233</v>
      </c>
      <c r="K46" s="3">
        <v>18192.472391253268</v>
      </c>
      <c r="L46" s="3">
        <v>1800</v>
      </c>
      <c r="M46" s="3">
        <v>7318.3999999991938</v>
      </c>
      <c r="N46" s="3">
        <v>27833.120000031842</v>
      </c>
      <c r="O46" s="122">
        <v>23975.600000011007</v>
      </c>
      <c r="P46" s="122">
        <v>1346.7400000006844</v>
      </c>
      <c r="Q46" s="122">
        <v>49.069816909359737</v>
      </c>
      <c r="R46" s="122">
        <v>4588.9400000008809</v>
      </c>
      <c r="S46" s="122">
        <v>3183.3799999986809</v>
      </c>
      <c r="T46" s="122">
        <v>1008.9400000003277</v>
      </c>
      <c r="U46" s="122">
        <v>419.22999999996358</v>
      </c>
      <c r="V46" s="122">
        <v>11479.940000005454</v>
      </c>
      <c r="W46" s="122">
        <v>1499.983333332802</v>
      </c>
      <c r="X46" s="122">
        <v>1416.6499999990267</v>
      </c>
      <c r="Y46" s="122">
        <v>541.66666666660728</v>
      </c>
      <c r="Z46" s="122">
        <v>333.3333333334636</v>
      </c>
      <c r="AA46" s="122">
        <v>1000.0000000020067</v>
      </c>
      <c r="AB46" s="122">
        <v>1499.999999998952</v>
      </c>
      <c r="AC46" s="122">
        <v>1000.0000000020067</v>
      </c>
      <c r="AD46" s="122">
        <v>1499.999999998952</v>
      </c>
      <c r="AE46" s="122">
        <v>5349.2018244007504</v>
      </c>
      <c r="AF46" s="122">
        <v>335.05215508754384</v>
      </c>
      <c r="AG46" s="122">
        <v>16620.86610442336</v>
      </c>
      <c r="AH46" s="122">
        <v>4567.1812482182277</v>
      </c>
      <c r="AI46" s="122">
        <v>8333.3500000013701</v>
      </c>
      <c r="AJ46" s="122">
        <v>38999.999998983854</v>
      </c>
      <c r="AK46" s="122">
        <v>15864.246446422727</v>
      </c>
      <c r="AL46" s="122">
        <v>12966.78529062722</v>
      </c>
      <c r="AM46" s="122">
        <v>24160.880683190007</v>
      </c>
      <c r="AN46" s="122">
        <v>5747.8612390705066</v>
      </c>
      <c r="AO46" s="122">
        <v>1807.9999999997917</v>
      </c>
      <c r="AP46" s="122">
        <v>378.87777777775057</v>
      </c>
      <c r="AQ46" s="122">
        <v>2250.0166666667183</v>
      </c>
      <c r="AR46" s="122">
        <v>20916.863743857884</v>
      </c>
      <c r="AS46" s="122">
        <v>33119.26666579811</v>
      </c>
      <c r="AT46" s="122">
        <v>99223.891732215474</v>
      </c>
      <c r="AU46" s="122">
        <v>99531.086443460677</v>
      </c>
      <c r="AV46" s="122">
        <v>108439.73306957283</v>
      </c>
      <c r="AW46" s="122">
        <v>4644.9719008195216</v>
      </c>
      <c r="AX46" s="122">
        <v>42724.363684019008</v>
      </c>
      <c r="AY46" s="122">
        <v>2838.0090497734295</v>
      </c>
      <c r="AZ46" s="122">
        <v>546.66404251125311</v>
      </c>
      <c r="BA46" s="122">
        <v>1822.2584314784328</v>
      </c>
      <c r="BB46" s="122">
        <v>2166.6666666676529</v>
      </c>
      <c r="BC46" s="122">
        <v>16199.99999897049</v>
      </c>
      <c r="BD46" s="122">
        <v>1178.9595153378773</v>
      </c>
      <c r="BE46" s="122">
        <v>1123.5592425740704</v>
      </c>
      <c r="BF46" s="122">
        <v>916.6833333329123</v>
      </c>
      <c r="BG46" s="122">
        <v>12296.800000006155</v>
      </c>
    </row>
    <row r="47" spans="1:59" x14ac:dyDescent="0.25">
      <c r="A47" s="1">
        <v>25203.999305555557</v>
      </c>
      <c r="B47" s="3">
        <v>2494.0200000010741</v>
      </c>
      <c r="C47" s="3">
        <v>3493.7000000005241</v>
      </c>
      <c r="D47" s="3">
        <v>4522.2400000005764</v>
      </c>
      <c r="E47" s="3">
        <v>10740.699999997816</v>
      </c>
      <c r="F47" s="3">
        <v>1993.3600000002282</v>
      </c>
      <c r="G47" s="3">
        <v>4668.8200000030765</v>
      </c>
      <c r="H47" s="3">
        <v>545.9999999999377</v>
      </c>
      <c r="I47" s="3">
        <v>4166.6500000021306</v>
      </c>
      <c r="J47" s="3">
        <v>4166.6500000021233</v>
      </c>
      <c r="K47" s="3">
        <v>18198.482458115246</v>
      </c>
      <c r="L47" s="3">
        <v>1799.9999999999973</v>
      </c>
      <c r="M47" s="3">
        <v>7318.3999999991929</v>
      </c>
      <c r="N47" s="3">
        <v>27833.120000031842</v>
      </c>
      <c r="O47" s="122">
        <v>23975.600000011007</v>
      </c>
      <c r="P47" s="122">
        <v>1346.7400000006844</v>
      </c>
      <c r="Q47" s="122">
        <v>156.81066666678677</v>
      </c>
      <c r="R47" s="122">
        <v>4588.9400000008809</v>
      </c>
      <c r="S47" s="122">
        <v>3183.3799999986809</v>
      </c>
      <c r="T47" s="122">
        <v>1008.9400000003277</v>
      </c>
      <c r="U47" s="122">
        <v>419.22999999996358</v>
      </c>
      <c r="V47" s="122">
        <v>11479.940000005452</v>
      </c>
      <c r="W47" s="122">
        <v>1499.9833333328022</v>
      </c>
      <c r="X47" s="122">
        <v>1416.6499999990265</v>
      </c>
      <c r="Y47" s="122">
        <v>541.6666666666074</v>
      </c>
      <c r="Z47" s="122">
        <v>333.33333333346354</v>
      </c>
      <c r="AA47" s="122">
        <v>1000.0000000020035</v>
      </c>
      <c r="AB47" s="122">
        <v>1499.9999999989695</v>
      </c>
      <c r="AC47" s="122">
        <v>1000.0000000020035</v>
      </c>
      <c r="AD47" s="122">
        <v>1499.9999999989695</v>
      </c>
      <c r="AE47" s="122">
        <v>4972.9190421887106</v>
      </c>
      <c r="AF47" s="122">
        <v>317.10293249356596</v>
      </c>
      <c r="AG47" s="122">
        <v>15184.307779776513</v>
      </c>
      <c r="AH47" s="122">
        <v>4300.2936844562037</v>
      </c>
      <c r="AI47" s="122">
        <v>8333.3500000013719</v>
      </c>
      <c r="AJ47" s="122">
        <v>38999.999998983862</v>
      </c>
      <c r="AK47" s="122">
        <v>15864.246446422723</v>
      </c>
      <c r="AL47" s="122">
        <v>12991.696322655693</v>
      </c>
      <c r="AM47" s="122">
        <v>24160.880683190011</v>
      </c>
      <c r="AN47" s="122">
        <v>5249.6004512544487</v>
      </c>
      <c r="AO47" s="122">
        <v>1653.9999999998086</v>
      </c>
      <c r="AP47" s="122">
        <v>378.87777777775057</v>
      </c>
      <c r="AQ47" s="122">
        <v>2250.0166666667183</v>
      </c>
      <c r="AR47" s="122">
        <v>19685.28288156951</v>
      </c>
      <c r="AS47" s="122">
        <v>33105.778642042722</v>
      </c>
      <c r="AT47" s="122">
        <v>97119.03044927778</v>
      </c>
      <c r="AU47" s="122">
        <v>97419.708562123924</v>
      </c>
      <c r="AV47" s="122">
        <v>106139.37383465985</v>
      </c>
      <c r="AW47" s="122">
        <v>4657.697851232725</v>
      </c>
      <c r="AX47" s="122">
        <v>39743.080281148323</v>
      </c>
      <c r="AY47" s="122">
        <v>2866.9683257915249</v>
      </c>
      <c r="AZ47" s="122">
        <v>517.37846880529514</v>
      </c>
      <c r="BA47" s="122">
        <v>1695.102206105789</v>
      </c>
      <c r="BB47" s="122">
        <v>2166.6666666676529</v>
      </c>
      <c r="BC47" s="122">
        <v>16199.999998970494</v>
      </c>
      <c r="BD47" s="122">
        <v>1177.0362534857768</v>
      </c>
      <c r="BE47" s="122">
        <v>1045.1578754571401</v>
      </c>
      <c r="BF47" s="122">
        <v>916.68333333291218</v>
      </c>
      <c r="BG47" s="122">
        <v>12296.800000006155</v>
      </c>
    </row>
    <row r="48" spans="1:59" x14ac:dyDescent="0.25">
      <c r="A48" s="1">
        <v>25568.999305555557</v>
      </c>
      <c r="B48" s="3">
        <v>2494.0200000010741</v>
      </c>
      <c r="C48" s="3">
        <v>3493.7000000005241</v>
      </c>
      <c r="D48" s="3">
        <v>4522.2400000005764</v>
      </c>
      <c r="E48" s="3">
        <v>10740.699999997816</v>
      </c>
      <c r="F48" s="3">
        <v>1993.3600000002282</v>
      </c>
      <c r="G48" s="3">
        <v>4668.8200000030756</v>
      </c>
      <c r="H48" s="3">
        <v>497.99999999994304</v>
      </c>
      <c r="I48" s="3">
        <v>4166.6500000021297</v>
      </c>
      <c r="J48" s="3">
        <v>4166.6500000021233</v>
      </c>
      <c r="K48" s="3">
        <v>16369.919615353825</v>
      </c>
      <c r="L48" s="3">
        <v>1800</v>
      </c>
      <c r="M48" s="3">
        <v>7318.3999999991938</v>
      </c>
      <c r="N48" s="3">
        <v>27833.120000031842</v>
      </c>
      <c r="O48" s="122">
        <v>23975.600000011007</v>
      </c>
      <c r="P48" s="122">
        <v>1346.7400000006844</v>
      </c>
      <c r="Q48" s="122">
        <v>0</v>
      </c>
      <c r="R48" s="122">
        <v>4588.9400000008809</v>
      </c>
      <c r="S48" s="122">
        <v>3183.3799999986809</v>
      </c>
      <c r="T48" s="122">
        <v>1008.9400000003277</v>
      </c>
      <c r="U48" s="122">
        <v>419.22999999996358</v>
      </c>
      <c r="V48" s="122">
        <v>11479.940000005454</v>
      </c>
      <c r="W48" s="122">
        <v>1499.983333332802</v>
      </c>
      <c r="X48" s="122">
        <v>1416.6499999990267</v>
      </c>
      <c r="Y48" s="122">
        <v>541.66666666660728</v>
      </c>
      <c r="Z48" s="122">
        <v>333.3333333334636</v>
      </c>
      <c r="AA48" s="122">
        <v>1000.0000000020067</v>
      </c>
      <c r="AB48" s="122">
        <v>1499.999999998952</v>
      </c>
      <c r="AC48" s="122">
        <v>1000.0000000020067</v>
      </c>
      <c r="AD48" s="122">
        <v>1499.999999998952</v>
      </c>
      <c r="AE48" s="122">
        <v>4962.9418472058151</v>
      </c>
      <c r="AF48" s="122">
        <v>333.0577970215449</v>
      </c>
      <c r="AG48" s="122">
        <v>15620.202785935868</v>
      </c>
      <c r="AH48" s="122">
        <v>4225.6509075589793</v>
      </c>
      <c r="AI48" s="122">
        <v>8333.3500000013701</v>
      </c>
      <c r="AJ48" s="122">
        <v>38999.999998983854</v>
      </c>
      <c r="AK48" s="122">
        <v>15864.246446422727</v>
      </c>
      <c r="AL48" s="122">
        <v>11882.562277578707</v>
      </c>
      <c r="AM48" s="122">
        <v>24160.880683190007</v>
      </c>
      <c r="AN48" s="122">
        <v>5027.7333834722031</v>
      </c>
      <c r="AO48" s="122">
        <v>1915.999999999779</v>
      </c>
      <c r="AP48" s="122">
        <v>378.87777777775057</v>
      </c>
      <c r="AQ48" s="122">
        <v>2250.0166666667183</v>
      </c>
      <c r="AR48" s="122">
        <v>20671.275241038191</v>
      </c>
      <c r="AS48" s="122">
        <v>33119.26666579811</v>
      </c>
      <c r="AT48" s="122">
        <v>95633.181658004381</v>
      </c>
      <c r="AU48" s="122">
        <v>95929.259619794073</v>
      </c>
      <c r="AV48" s="122">
        <v>104515.52051168946</v>
      </c>
      <c r="AW48" s="122">
        <v>4644.9719008195216</v>
      </c>
      <c r="AX48" s="122">
        <v>41651.164788332368</v>
      </c>
      <c r="AY48" s="122">
        <v>2542.9864253390729</v>
      </c>
      <c r="AZ48" s="122">
        <v>543.41008987725843</v>
      </c>
      <c r="BA48" s="122">
        <v>1776.4848829059604</v>
      </c>
      <c r="BB48" s="122">
        <v>2166.6666666676529</v>
      </c>
      <c r="BC48" s="122">
        <v>16199.99999897049</v>
      </c>
      <c r="BD48" s="122">
        <v>1061.6405423597212</v>
      </c>
      <c r="BE48" s="122">
        <v>1095.3364105785629</v>
      </c>
      <c r="BF48" s="122">
        <v>916.6833333329123</v>
      </c>
      <c r="BG48" s="122">
        <v>12296.800000006155</v>
      </c>
    </row>
    <row r="49" spans="1:59" x14ac:dyDescent="0.25">
      <c r="A49" s="1">
        <v>25933.999305555557</v>
      </c>
      <c r="B49" s="3">
        <v>2494.0200000010741</v>
      </c>
      <c r="C49" s="3">
        <v>3493.7000000005241</v>
      </c>
      <c r="D49" s="3">
        <v>4522.2400000005764</v>
      </c>
      <c r="E49" s="3">
        <v>10740.699999997816</v>
      </c>
      <c r="F49" s="3">
        <v>1993.3600000002282</v>
      </c>
      <c r="G49" s="3">
        <v>4668.8200000030756</v>
      </c>
      <c r="H49" s="3">
        <v>501.9999999999423</v>
      </c>
      <c r="I49" s="3">
        <v>4166.6500000021297</v>
      </c>
      <c r="J49" s="3">
        <v>4166.6500000021233</v>
      </c>
      <c r="K49" s="3">
        <v>16671.925475169006</v>
      </c>
      <c r="L49" s="3">
        <v>1799.9999999999989</v>
      </c>
      <c r="M49" s="3">
        <v>7318.3999999991938</v>
      </c>
      <c r="N49" s="3">
        <v>27833.120000031842</v>
      </c>
      <c r="O49" s="122">
        <v>23975.600000011007</v>
      </c>
      <c r="P49" s="122">
        <v>1346.7400000006844</v>
      </c>
      <c r="Q49" s="122">
        <v>18.995999999989699</v>
      </c>
      <c r="R49" s="122">
        <v>4588.9400000008809</v>
      </c>
      <c r="S49" s="122">
        <v>3183.3799999986809</v>
      </c>
      <c r="T49" s="122">
        <v>1008.9400000003277</v>
      </c>
      <c r="U49" s="122">
        <v>419.22999999996358</v>
      </c>
      <c r="V49" s="122">
        <v>11479.940000005454</v>
      </c>
      <c r="W49" s="122">
        <v>1499.983333332802</v>
      </c>
      <c r="X49" s="122">
        <v>1416.6499999990267</v>
      </c>
      <c r="Y49" s="122">
        <v>541.66666666660728</v>
      </c>
      <c r="Z49" s="122">
        <v>333.3333333334636</v>
      </c>
      <c r="AA49" s="122">
        <v>1000.0000000020067</v>
      </c>
      <c r="AB49" s="122">
        <v>1499.999999998952</v>
      </c>
      <c r="AC49" s="122">
        <v>1000.0000000020067</v>
      </c>
      <c r="AD49" s="122">
        <v>1499.999999998952</v>
      </c>
      <c r="AE49" s="122">
        <v>5017.1037628272443</v>
      </c>
      <c r="AF49" s="122">
        <v>316.10575346056856</v>
      </c>
      <c r="AG49" s="122">
        <v>15455.320761866891</v>
      </c>
      <c r="AH49" s="122">
        <v>4183.7825561724994</v>
      </c>
      <c r="AI49" s="122">
        <v>8333.3500000013701</v>
      </c>
      <c r="AJ49" s="122">
        <v>38999.999998983854</v>
      </c>
      <c r="AK49" s="122">
        <v>15864.246446422745</v>
      </c>
      <c r="AL49" s="122">
        <v>11946.619217080486</v>
      </c>
      <c r="AM49" s="122">
        <v>24160.880683189971</v>
      </c>
      <c r="AN49" s="122">
        <v>5439.5036194409413</v>
      </c>
      <c r="AO49" s="122">
        <v>1801.9999999997924</v>
      </c>
      <c r="AP49" s="122">
        <v>378.87777777775057</v>
      </c>
      <c r="AQ49" s="122">
        <v>2250.0166666667183</v>
      </c>
      <c r="AR49" s="122">
        <v>19728.943059848549</v>
      </c>
      <c r="AS49" s="122">
        <v>33119.26666579811</v>
      </c>
      <c r="AT49" s="122">
        <v>98172.908503643674</v>
      </c>
      <c r="AU49" s="122">
        <v>98476.8493968439</v>
      </c>
      <c r="AV49" s="122">
        <v>107291.13529964768</v>
      </c>
      <c r="AW49" s="122">
        <v>4644.9719008195216</v>
      </c>
      <c r="AX49" s="122">
        <v>39735.1891127977</v>
      </c>
      <c r="AY49" s="122">
        <v>2427.1493212666869</v>
      </c>
      <c r="AZ49" s="122">
        <v>515.75149248829484</v>
      </c>
      <c r="BA49" s="122">
        <v>1694.7656358956988</v>
      </c>
      <c r="BB49" s="122">
        <v>2166.6666666676529</v>
      </c>
      <c r="BC49" s="122">
        <v>16199.99999897049</v>
      </c>
      <c r="BD49" s="122">
        <v>1078.9498990286286</v>
      </c>
      <c r="BE49" s="122">
        <v>1044.950354633643</v>
      </c>
      <c r="BF49" s="122">
        <v>916.6833333329123</v>
      </c>
      <c r="BG49" s="122">
        <v>12296.800000006155</v>
      </c>
    </row>
    <row r="50" spans="1:59" x14ac:dyDescent="0.25">
      <c r="A50" s="1">
        <v>26298.999305555557</v>
      </c>
      <c r="B50" s="3">
        <v>2494.0200000010741</v>
      </c>
      <c r="C50" s="3">
        <v>3493.7000000005241</v>
      </c>
      <c r="D50" s="3">
        <v>4522.2400000005764</v>
      </c>
      <c r="E50" s="3">
        <v>10740.699999997816</v>
      </c>
      <c r="F50" s="3">
        <v>1993.3600000002282</v>
      </c>
      <c r="G50" s="3">
        <v>4668.8200000030756</v>
      </c>
      <c r="H50" s="3">
        <v>501.9999999999427</v>
      </c>
      <c r="I50" s="3">
        <v>4166.6500000021297</v>
      </c>
      <c r="J50" s="3">
        <v>4166.6500000021233</v>
      </c>
      <c r="K50" s="3">
        <v>16811.659529710323</v>
      </c>
      <c r="L50" s="3">
        <v>1800.0000000000014</v>
      </c>
      <c r="M50" s="3">
        <v>7318.3999999991938</v>
      </c>
      <c r="N50" s="3">
        <v>27833.120000031842</v>
      </c>
      <c r="O50" s="122">
        <v>23975.600000011007</v>
      </c>
      <c r="P50" s="122">
        <v>1346.7400000006844</v>
      </c>
      <c r="Q50" s="122">
        <v>5.5929460573014875</v>
      </c>
      <c r="R50" s="122">
        <v>4588.9400000008809</v>
      </c>
      <c r="S50" s="122">
        <v>3183.3799999986809</v>
      </c>
      <c r="T50" s="122">
        <v>1008.9400000003277</v>
      </c>
      <c r="U50" s="122">
        <v>419.22999999996358</v>
      </c>
      <c r="V50" s="122">
        <v>11479.940000005454</v>
      </c>
      <c r="W50" s="122">
        <v>1499.983333332802</v>
      </c>
      <c r="X50" s="122">
        <v>1416.6499999990267</v>
      </c>
      <c r="Y50" s="122">
        <v>541.66666666660728</v>
      </c>
      <c r="Z50" s="122">
        <v>333.3333333334636</v>
      </c>
      <c r="AA50" s="122">
        <v>1000.0000000020067</v>
      </c>
      <c r="AB50" s="122">
        <v>1499.999999998952</v>
      </c>
      <c r="AC50" s="122">
        <v>1000.0000000020067</v>
      </c>
      <c r="AD50" s="122">
        <v>1499.999999998952</v>
      </c>
      <c r="AE50" s="122">
        <v>5356.3283922456803</v>
      </c>
      <c r="AF50" s="122">
        <v>318.59870104306583</v>
      </c>
      <c r="AG50" s="122">
        <v>14886.762058180811</v>
      </c>
      <c r="AH50" s="122">
        <v>4559.1222026596024</v>
      </c>
      <c r="AI50" s="122">
        <v>8333.3500000013701</v>
      </c>
      <c r="AJ50" s="122">
        <v>38999.999998983854</v>
      </c>
      <c r="AK50" s="122">
        <v>15573.640281185075</v>
      </c>
      <c r="AL50" s="122">
        <v>12078.291814945225</v>
      </c>
      <c r="AM50" s="122">
        <v>24160.880683189996</v>
      </c>
      <c r="AN50" s="122">
        <v>4922.4405377450394</v>
      </c>
      <c r="AO50" s="122">
        <v>1783.9999999997956</v>
      </c>
      <c r="AP50" s="122">
        <v>378.87777777775057</v>
      </c>
      <c r="AQ50" s="122">
        <v>2250.0166666667183</v>
      </c>
      <c r="AR50" s="122">
        <v>19854.46607240085</v>
      </c>
      <c r="AS50" s="122">
        <v>33119.26666579811</v>
      </c>
      <c r="AT50" s="122">
        <v>101724.98911365231</v>
      </c>
      <c r="AU50" s="122">
        <v>102039.92716044368</v>
      </c>
      <c r="AV50" s="122">
        <v>111173.13051739705</v>
      </c>
      <c r="AW50" s="122">
        <v>4644.9719008195216</v>
      </c>
      <c r="AX50" s="122">
        <v>40061.883482514044</v>
      </c>
      <c r="AY50" s="122">
        <v>2490.4977375562767</v>
      </c>
      <c r="AZ50" s="122">
        <v>519.81893328078763</v>
      </c>
      <c r="BA50" s="122">
        <v>1708.6996425934949</v>
      </c>
      <c r="BB50" s="122">
        <v>2166.6666666676529</v>
      </c>
      <c r="BC50" s="122">
        <v>16199.99999897049</v>
      </c>
      <c r="BD50" s="122">
        <v>1088.5662082891324</v>
      </c>
      <c r="BE50" s="122">
        <v>1053.5417167263936</v>
      </c>
      <c r="BF50" s="122">
        <v>916.6833333329123</v>
      </c>
      <c r="BG50" s="122">
        <v>12296.800000006155</v>
      </c>
    </row>
    <row r="51" spans="1:59" x14ac:dyDescent="0.25">
      <c r="A51" s="1">
        <v>26664.999305555557</v>
      </c>
      <c r="B51" s="3">
        <v>2494.0200000010741</v>
      </c>
      <c r="C51" s="3">
        <v>3493.7000000005241</v>
      </c>
      <c r="D51" s="3">
        <v>4522.2400000005764</v>
      </c>
      <c r="E51" s="3">
        <v>10740.699999997816</v>
      </c>
      <c r="F51" s="3">
        <v>1993.3600000002282</v>
      </c>
      <c r="G51" s="3">
        <v>4668.8200000030765</v>
      </c>
      <c r="H51" s="3">
        <v>567.99999999993463</v>
      </c>
      <c r="I51" s="3">
        <v>4166.6500000021306</v>
      </c>
      <c r="J51" s="3">
        <v>4166.6500000021233</v>
      </c>
      <c r="K51" s="3">
        <v>18834.047028771045</v>
      </c>
      <c r="L51" s="3">
        <v>1800.0000000000025</v>
      </c>
      <c r="M51" s="3">
        <v>7318.3999999991929</v>
      </c>
      <c r="N51" s="3">
        <v>27833.120000031842</v>
      </c>
      <c r="O51" s="122">
        <v>23975.600000011007</v>
      </c>
      <c r="P51" s="122">
        <v>1346.7400000006844</v>
      </c>
      <c r="Q51" s="122">
        <v>420.16453763461169</v>
      </c>
      <c r="R51" s="122">
        <v>4588.9400000008809</v>
      </c>
      <c r="S51" s="122">
        <v>3183.3799999986809</v>
      </c>
      <c r="T51" s="122">
        <v>1008.9400000003277</v>
      </c>
      <c r="U51" s="122">
        <v>419.22999999996358</v>
      </c>
      <c r="V51" s="122">
        <v>11479.940000005452</v>
      </c>
      <c r="W51" s="122">
        <v>1499.9833333328022</v>
      </c>
      <c r="X51" s="122">
        <v>1416.6499999990265</v>
      </c>
      <c r="Y51" s="122">
        <v>541.6666666666074</v>
      </c>
      <c r="Z51" s="122">
        <v>333.33333333346354</v>
      </c>
      <c r="AA51" s="122">
        <v>1000.0000000020035</v>
      </c>
      <c r="AB51" s="122">
        <v>1499.9999999989695</v>
      </c>
      <c r="AC51" s="122">
        <v>1000.0000000020035</v>
      </c>
      <c r="AD51" s="122">
        <v>1499.9999999989695</v>
      </c>
      <c r="AE51" s="122">
        <v>5551.5963511966274</v>
      </c>
      <c r="AF51" s="122">
        <v>332.06061798854643</v>
      </c>
      <c r="AG51" s="122">
        <v>17469.913768594608</v>
      </c>
      <c r="AH51" s="122">
        <v>4637.7086849952884</v>
      </c>
      <c r="AI51" s="122">
        <v>8333.3500000013719</v>
      </c>
      <c r="AJ51" s="122">
        <v>38999.999998983862</v>
      </c>
      <c r="AK51" s="122">
        <v>15864.246446422741</v>
      </c>
      <c r="AL51" s="122">
        <v>13520.75919335551</v>
      </c>
      <c r="AM51" s="122">
        <v>24160.880683189986</v>
      </c>
      <c r="AN51" s="122">
        <v>5800.5076619340871</v>
      </c>
      <c r="AO51" s="122">
        <v>2403.999999999724</v>
      </c>
      <c r="AP51" s="122">
        <v>378.87777777775057</v>
      </c>
      <c r="AQ51" s="122">
        <v>2250.0166666667183</v>
      </c>
      <c r="AR51" s="122">
        <v>20749.499727121518</v>
      </c>
      <c r="AS51" s="122">
        <v>33105.778642042722</v>
      </c>
      <c r="AT51" s="122">
        <v>109062.79245584532</v>
      </c>
      <c r="AU51" s="122">
        <v>109400.44816004323</v>
      </c>
      <c r="AV51" s="122">
        <v>119192.4635817755</v>
      </c>
      <c r="AW51" s="122">
        <v>4657.697851232725</v>
      </c>
      <c r="AX51" s="122">
        <v>42146.730160752348</v>
      </c>
      <c r="AY51" s="122">
        <v>2984.6153846150396</v>
      </c>
      <c r="AZ51" s="122">
        <v>541.7831135602604</v>
      </c>
      <c r="BA51" s="122">
        <v>1797.621492099719</v>
      </c>
      <c r="BB51" s="122">
        <v>2166.6666666676529</v>
      </c>
      <c r="BC51" s="122">
        <v>16199.999998970494</v>
      </c>
      <c r="BD51" s="122">
        <v>1223.1945379361987</v>
      </c>
      <c r="BE51" s="122">
        <v>1108.3687182941351</v>
      </c>
      <c r="BF51" s="122">
        <v>916.68333333291218</v>
      </c>
      <c r="BG51" s="122">
        <v>12296.800000006155</v>
      </c>
    </row>
    <row r="52" spans="1:59" x14ac:dyDescent="0.25">
      <c r="A52" s="1">
        <v>27029.999305555557</v>
      </c>
      <c r="B52" s="3">
        <v>2494.0200000010741</v>
      </c>
      <c r="C52" s="3">
        <v>3493.7000000005241</v>
      </c>
      <c r="D52" s="3">
        <v>4522.2400000005764</v>
      </c>
      <c r="E52" s="3">
        <v>10740.699999997816</v>
      </c>
      <c r="F52" s="3">
        <v>1993.3600000002282</v>
      </c>
      <c r="G52" s="3">
        <v>4668.8200000030756</v>
      </c>
      <c r="H52" s="3">
        <v>503.99999999994225</v>
      </c>
      <c r="I52" s="3">
        <v>4166.6500000021297</v>
      </c>
      <c r="J52" s="3">
        <v>4166.6500000021233</v>
      </c>
      <c r="K52" s="3">
        <v>16610.322289833573</v>
      </c>
      <c r="L52" s="3">
        <v>1800.0000000000011</v>
      </c>
      <c r="M52" s="3">
        <v>7318.3999999991938</v>
      </c>
      <c r="N52" s="3">
        <v>27833.120000031842</v>
      </c>
      <c r="O52" s="122">
        <v>23975.600000011007</v>
      </c>
      <c r="P52" s="122">
        <v>1346.7400000006844</v>
      </c>
      <c r="Q52" s="122">
        <v>0</v>
      </c>
      <c r="R52" s="122">
        <v>4588.9400000008809</v>
      </c>
      <c r="S52" s="122">
        <v>3183.3799999986809</v>
      </c>
      <c r="T52" s="122">
        <v>1008.9400000003277</v>
      </c>
      <c r="U52" s="122">
        <v>419.22999999996358</v>
      </c>
      <c r="V52" s="122">
        <v>11479.940000005454</v>
      </c>
      <c r="W52" s="122">
        <v>1499.983333332802</v>
      </c>
      <c r="X52" s="122">
        <v>1416.6499999990267</v>
      </c>
      <c r="Y52" s="122">
        <v>541.66666666660728</v>
      </c>
      <c r="Z52" s="122">
        <v>333.3333333334636</v>
      </c>
      <c r="AA52" s="122">
        <v>1000.0000000020067</v>
      </c>
      <c r="AB52" s="122">
        <v>1499.999999998952</v>
      </c>
      <c r="AC52" s="122">
        <v>1000.0000000020067</v>
      </c>
      <c r="AD52" s="122">
        <v>1499.999999998952</v>
      </c>
      <c r="AE52" s="122">
        <v>4796.1801596345686</v>
      </c>
      <c r="AF52" s="122">
        <v>283.69743488811247</v>
      </c>
      <c r="AG52" s="122">
        <v>15021.320951386506</v>
      </c>
      <c r="AH52" s="122">
        <v>4194.9748236350415</v>
      </c>
      <c r="AI52" s="122">
        <v>8333.3500000013701</v>
      </c>
      <c r="AJ52" s="122">
        <v>38999.999998983854</v>
      </c>
      <c r="AK52" s="122">
        <v>15864.246446422736</v>
      </c>
      <c r="AL52" s="122">
        <v>12010.67615658224</v>
      </c>
      <c r="AM52" s="122">
        <v>24160.880683189993</v>
      </c>
      <c r="AN52" s="122">
        <v>5048.4159067400415</v>
      </c>
      <c r="AO52" s="122">
        <v>1753.9999999997988</v>
      </c>
      <c r="AP52" s="122">
        <v>378.87777777775057</v>
      </c>
      <c r="AQ52" s="122">
        <v>2250.0166666667183</v>
      </c>
      <c r="AR52" s="122">
        <v>17826.086956519677</v>
      </c>
      <c r="AS52" s="122">
        <v>33119.26666579811</v>
      </c>
      <c r="AT52" s="122">
        <v>94213.300705068992</v>
      </c>
      <c r="AU52" s="122">
        <v>94504.982750595605</v>
      </c>
      <c r="AV52" s="122">
        <v>102963.76207086472</v>
      </c>
      <c r="AW52" s="122">
        <v>4644.9719008195216</v>
      </c>
      <c r="AX52" s="122">
        <v>36256.762103836918</v>
      </c>
      <c r="AY52" s="122">
        <v>2544.7963800902057</v>
      </c>
      <c r="AZ52" s="122">
        <v>462.87476218586812</v>
      </c>
      <c r="BA52" s="122">
        <v>1546.4054872872805</v>
      </c>
      <c r="BB52" s="122">
        <v>2166.6666666676529</v>
      </c>
      <c r="BC52" s="122">
        <v>16199.99999897049</v>
      </c>
      <c r="BD52" s="122">
        <v>1075.1033753244265</v>
      </c>
      <c r="BE52" s="122">
        <v>953.47517563644101</v>
      </c>
      <c r="BF52" s="122">
        <v>916.6833333329123</v>
      </c>
      <c r="BG52" s="122">
        <v>12296.800000006155</v>
      </c>
    </row>
    <row r="53" spans="1:59" x14ac:dyDescent="0.25">
      <c r="A53" s="1">
        <v>27394.999305555557</v>
      </c>
      <c r="B53" s="3">
        <v>2494.0200000010741</v>
      </c>
      <c r="C53" s="3">
        <v>3493.7000000005241</v>
      </c>
      <c r="D53" s="3">
        <v>4522.2400000005764</v>
      </c>
      <c r="E53" s="3">
        <v>10740.699999997816</v>
      </c>
      <c r="F53" s="3">
        <v>1993.3600000002282</v>
      </c>
      <c r="G53" s="3">
        <v>4668.8200000030756</v>
      </c>
      <c r="H53" s="3">
        <v>575.99999999993327</v>
      </c>
      <c r="I53" s="3">
        <v>4166.6500000021297</v>
      </c>
      <c r="J53" s="3">
        <v>4166.6500000021233</v>
      </c>
      <c r="K53" s="3">
        <v>19092.47990383676</v>
      </c>
      <c r="L53" s="3">
        <v>1800.0000000000007</v>
      </c>
      <c r="M53" s="3">
        <v>7318.3999999991938</v>
      </c>
      <c r="N53" s="3">
        <v>27833.120000031842</v>
      </c>
      <c r="O53" s="122">
        <v>23975.600000011007</v>
      </c>
      <c r="P53" s="122">
        <v>1346.7400000006844</v>
      </c>
      <c r="Q53" s="122">
        <v>540.20193548437976</v>
      </c>
      <c r="R53" s="122">
        <v>4588.9400000008809</v>
      </c>
      <c r="S53" s="122">
        <v>3183.3799999986809</v>
      </c>
      <c r="T53" s="122">
        <v>1008.9400000003277</v>
      </c>
      <c r="U53" s="122">
        <v>419.22999999996358</v>
      </c>
      <c r="V53" s="122">
        <v>11479.940000005454</v>
      </c>
      <c r="W53" s="122">
        <v>1499.983333332802</v>
      </c>
      <c r="X53" s="122">
        <v>1416.6499999990267</v>
      </c>
      <c r="Y53" s="122">
        <v>541.66666666660728</v>
      </c>
      <c r="Z53" s="122">
        <v>333.3333333334636</v>
      </c>
      <c r="AA53" s="122">
        <v>1000.0000000020067</v>
      </c>
      <c r="AB53" s="122">
        <v>1499.999999998952</v>
      </c>
      <c r="AC53" s="122">
        <v>1000.0000000020067</v>
      </c>
      <c r="AD53" s="122">
        <v>1499.999999998952</v>
      </c>
      <c r="AE53" s="122">
        <v>5668.472063853399</v>
      </c>
      <c r="AF53" s="122">
        <v>325.57895427405441</v>
      </c>
      <c r="AG53" s="122">
        <v>17676.490097600552</v>
      </c>
      <c r="AH53" s="122">
        <v>4895.0177138077761</v>
      </c>
      <c r="AI53" s="122">
        <v>8333.3500000013701</v>
      </c>
      <c r="AJ53" s="122">
        <v>38999.999998983854</v>
      </c>
      <c r="AK53" s="122">
        <v>15864.246446422732</v>
      </c>
      <c r="AL53" s="122">
        <v>13733.096085407666</v>
      </c>
      <c r="AM53" s="122">
        <v>24160.880683190007</v>
      </c>
      <c r="AN53" s="122">
        <v>5824.9506439778906</v>
      </c>
      <c r="AO53" s="122">
        <v>2549.9999999997067</v>
      </c>
      <c r="AP53" s="122">
        <v>378.87777777775057</v>
      </c>
      <c r="AQ53" s="122">
        <v>2250.0166666667183</v>
      </c>
      <c r="AR53" s="122">
        <v>20356.558122609986</v>
      </c>
      <c r="AS53" s="122">
        <v>33119.26666579811</v>
      </c>
      <c r="AT53" s="122">
        <v>110778.3379662323</v>
      </c>
      <c r="AU53" s="122">
        <v>111121.30495683964</v>
      </c>
      <c r="AV53" s="122">
        <v>121067.34768445819</v>
      </c>
      <c r="AW53" s="122">
        <v>4644.9719008195216</v>
      </c>
      <c r="AX53" s="122">
        <v>41406.538569462617</v>
      </c>
      <c r="AY53" s="122">
        <v>2807.2398190041995</v>
      </c>
      <c r="AZ53" s="122">
        <v>531.20776749977415</v>
      </c>
      <c r="BA53" s="122">
        <v>1766.0512063931199</v>
      </c>
      <c r="BB53" s="122">
        <v>2166.6666666676529</v>
      </c>
      <c r="BC53" s="122">
        <v>16199.99999897049</v>
      </c>
      <c r="BD53" s="122">
        <v>1236.6573709009058</v>
      </c>
      <c r="BE53" s="122">
        <v>1088.9032650501758</v>
      </c>
      <c r="BF53" s="122">
        <v>916.6833333329123</v>
      </c>
      <c r="BG53" s="122">
        <v>12296.800000006155</v>
      </c>
    </row>
    <row r="54" spans="1:59" x14ac:dyDescent="0.25">
      <c r="A54" s="1">
        <v>27759.999305555557</v>
      </c>
      <c r="B54" s="3">
        <v>2494.0200000010741</v>
      </c>
      <c r="C54" s="3">
        <v>3493.7000000005241</v>
      </c>
      <c r="D54" s="3">
        <v>4522.2400000005764</v>
      </c>
      <c r="E54" s="3">
        <v>10740.699999997816</v>
      </c>
      <c r="F54" s="3">
        <v>1993.3600000002282</v>
      </c>
      <c r="G54" s="3">
        <v>4668.8200000030756</v>
      </c>
      <c r="H54" s="3">
        <v>503.99999999994191</v>
      </c>
      <c r="I54" s="3">
        <v>4166.6500000021297</v>
      </c>
      <c r="J54" s="3">
        <v>4166.6500000021233</v>
      </c>
      <c r="K54" s="3">
        <v>16674.930508599999</v>
      </c>
      <c r="L54" s="3">
        <v>1799.9999999999995</v>
      </c>
      <c r="M54" s="3">
        <v>7318.3999999991938</v>
      </c>
      <c r="N54" s="3">
        <v>27833.120000031842</v>
      </c>
      <c r="O54" s="122">
        <v>23975.600000011007</v>
      </c>
      <c r="P54" s="122">
        <v>1346.7400000006844</v>
      </c>
      <c r="Q54" s="122">
        <v>0</v>
      </c>
      <c r="R54" s="122">
        <v>4588.9400000008809</v>
      </c>
      <c r="S54" s="122">
        <v>3183.3799999986809</v>
      </c>
      <c r="T54" s="122">
        <v>1008.9400000003277</v>
      </c>
      <c r="U54" s="122">
        <v>419.22999999996358</v>
      </c>
      <c r="V54" s="122">
        <v>11479.940000005454</v>
      </c>
      <c r="W54" s="122">
        <v>1499.983333332802</v>
      </c>
      <c r="X54" s="122">
        <v>1416.6499999990267</v>
      </c>
      <c r="Y54" s="122">
        <v>541.66666666660728</v>
      </c>
      <c r="Z54" s="122">
        <v>333.3333333334636</v>
      </c>
      <c r="AA54" s="122">
        <v>1000.0000000020067</v>
      </c>
      <c r="AB54" s="122">
        <v>1499.999999998952</v>
      </c>
      <c r="AC54" s="122">
        <v>1000.0000000020067</v>
      </c>
      <c r="AD54" s="122">
        <v>1499.999999998952</v>
      </c>
      <c r="AE54" s="122">
        <v>4850.3420752560023</v>
      </c>
      <c r="AF54" s="122">
        <v>298.65512038309186</v>
      </c>
      <c r="AG54" s="122">
        <v>12733.819766889465</v>
      </c>
      <c r="AH54" s="122">
        <v>4211.9999999995152</v>
      </c>
      <c r="AI54" s="122">
        <v>8333.3500000013701</v>
      </c>
      <c r="AJ54" s="122">
        <v>38999.999998983854</v>
      </c>
      <c r="AK54" s="122">
        <v>12986.000199265252</v>
      </c>
      <c r="AL54" s="122">
        <v>12001.186239619021</v>
      </c>
      <c r="AM54" s="122">
        <v>24160.880683189975</v>
      </c>
      <c r="AN54" s="122">
        <v>4270.0009401141979</v>
      </c>
      <c r="AO54" s="122">
        <v>1919.9999999997806</v>
      </c>
      <c r="AP54" s="122">
        <v>378.87777777775057</v>
      </c>
      <c r="AQ54" s="122">
        <v>2250.0166666667183</v>
      </c>
      <c r="AR54" s="122">
        <v>18746.589048569804</v>
      </c>
      <c r="AS54" s="122">
        <v>33119.26666579811</v>
      </c>
      <c r="AT54" s="122">
        <v>96059.788272697391</v>
      </c>
      <c r="AU54" s="122">
        <v>96357.186997999539</v>
      </c>
      <c r="AV54" s="122">
        <v>104981.75003177146</v>
      </c>
      <c r="AW54" s="122">
        <v>4644.9719008195216</v>
      </c>
      <c r="AX54" s="122">
        <v>37928.111560501791</v>
      </c>
      <c r="AY54" s="122">
        <v>2472.3981900449635</v>
      </c>
      <c r="AZ54" s="122">
        <v>487.27940694083537</v>
      </c>
      <c r="BA54" s="122">
        <v>1617.6910577847016</v>
      </c>
      <c r="BB54" s="122">
        <v>2166.6666666676529</v>
      </c>
      <c r="BC54" s="122">
        <v>16199.99999897049</v>
      </c>
      <c r="BD54" s="122">
        <v>1080.8731608807288</v>
      </c>
      <c r="BE54" s="122">
        <v>997.42808605297307</v>
      </c>
      <c r="BF54" s="122">
        <v>916.6833333329123</v>
      </c>
      <c r="BG54" s="122">
        <v>12296.800000006155</v>
      </c>
    </row>
    <row r="55" spans="1:59" x14ac:dyDescent="0.25">
      <c r="A55" s="1">
        <v>28125.999305555557</v>
      </c>
      <c r="B55" s="3">
        <v>2494.0200000010741</v>
      </c>
      <c r="C55" s="3">
        <v>3493.7000000005241</v>
      </c>
      <c r="D55" s="3">
        <v>4522.2400000005764</v>
      </c>
      <c r="E55" s="3">
        <v>10740.699999997816</v>
      </c>
      <c r="F55" s="3">
        <v>1993.3600000002282</v>
      </c>
      <c r="G55" s="3">
        <v>4668.8200000030765</v>
      </c>
      <c r="H55" s="3">
        <v>503.99999999994191</v>
      </c>
      <c r="I55" s="3">
        <v>4166.6500000021306</v>
      </c>
      <c r="J55" s="3">
        <v>4166.6500000021233</v>
      </c>
      <c r="K55" s="3">
        <v>16789.12177897786</v>
      </c>
      <c r="L55" s="3">
        <v>1799.9999999999989</v>
      </c>
      <c r="M55" s="3">
        <v>7318.3999999991929</v>
      </c>
      <c r="N55" s="3">
        <v>27833.120000031842</v>
      </c>
      <c r="O55" s="122">
        <v>23975.600000011007</v>
      </c>
      <c r="P55" s="122">
        <v>1346.7400000006844</v>
      </c>
      <c r="Q55" s="122">
        <v>0</v>
      </c>
      <c r="R55" s="122">
        <v>4588.9400000008809</v>
      </c>
      <c r="S55" s="122">
        <v>3183.3799999986809</v>
      </c>
      <c r="T55" s="122">
        <v>1008.9400000003277</v>
      </c>
      <c r="U55" s="122">
        <v>419.22999999996358</v>
      </c>
      <c r="V55" s="122">
        <v>11479.940000005452</v>
      </c>
      <c r="W55" s="122">
        <v>1499.9833333328022</v>
      </c>
      <c r="X55" s="122">
        <v>1416.6499999990265</v>
      </c>
      <c r="Y55" s="122">
        <v>541.6666666666074</v>
      </c>
      <c r="Z55" s="122">
        <v>333.33333333346354</v>
      </c>
      <c r="AA55" s="122">
        <v>1000.0000000020035</v>
      </c>
      <c r="AB55" s="122">
        <v>1499.9999999989695</v>
      </c>
      <c r="AC55" s="122">
        <v>1000.0000000020035</v>
      </c>
      <c r="AD55" s="122">
        <v>1499.9999999989695</v>
      </c>
      <c r="AE55" s="122">
        <v>5352.0524515387169</v>
      </c>
      <c r="AF55" s="122">
        <v>314.11139539457173</v>
      </c>
      <c r="AG55" s="122">
        <v>17720.079598216485</v>
      </c>
      <c r="AH55" s="122">
        <v>4642.0942314177537</v>
      </c>
      <c r="AI55" s="122">
        <v>8333.3500000013719</v>
      </c>
      <c r="AJ55" s="122">
        <v>38999.999998983862</v>
      </c>
      <c r="AK55" s="122">
        <v>15864.246446422738</v>
      </c>
      <c r="AL55" s="122">
        <v>12008.303677341441</v>
      </c>
      <c r="AM55" s="122">
        <v>24160.880683189993</v>
      </c>
      <c r="AN55" s="122">
        <v>5494.0302716925116</v>
      </c>
      <c r="AO55" s="122">
        <v>2215.9999999997453</v>
      </c>
      <c r="AP55" s="122">
        <v>378.87777777775057</v>
      </c>
      <c r="AQ55" s="122">
        <v>2250.0166666667183</v>
      </c>
      <c r="AR55" s="122">
        <v>19639.803529195491</v>
      </c>
      <c r="AS55" s="122">
        <v>33105.778642042722</v>
      </c>
      <c r="AT55" s="122">
        <v>100343.05246544526</v>
      </c>
      <c r="AU55" s="122">
        <v>100653.71207060154</v>
      </c>
      <c r="AV55" s="122">
        <v>109662.84062013056</v>
      </c>
      <c r="AW55" s="122">
        <v>4657.697851232725</v>
      </c>
      <c r="AX55" s="122">
        <v>39727.297944447062</v>
      </c>
      <c r="AY55" s="122">
        <v>2604.5248868775293</v>
      </c>
      <c r="AZ55" s="122">
        <v>512.49753985430027</v>
      </c>
      <c r="BA55" s="122">
        <v>1694.4290656856067</v>
      </c>
      <c r="BB55" s="122">
        <v>2166.6666666676529</v>
      </c>
      <c r="BC55" s="122">
        <v>16199.999998970494</v>
      </c>
      <c r="BD55" s="122">
        <v>1090.4894701412345</v>
      </c>
      <c r="BE55" s="122">
        <v>1044.7428338101474</v>
      </c>
      <c r="BF55" s="122">
        <v>916.68333333291218</v>
      </c>
      <c r="BG55" s="122">
        <v>12296.800000006155</v>
      </c>
    </row>
    <row r="56" spans="1:59" x14ac:dyDescent="0.25">
      <c r="A56" s="1">
        <v>28490.999305555557</v>
      </c>
      <c r="B56" s="3">
        <v>2494.0200000010741</v>
      </c>
      <c r="C56" s="3">
        <v>3493.7000000005241</v>
      </c>
      <c r="D56" s="3">
        <v>4522.2400000005764</v>
      </c>
      <c r="E56" s="3">
        <v>10740.699999997816</v>
      </c>
      <c r="F56" s="3">
        <v>1993.3600000002282</v>
      </c>
      <c r="G56" s="3">
        <v>4668.8200000030756</v>
      </c>
      <c r="H56" s="3">
        <v>587.99999999993236</v>
      </c>
      <c r="I56" s="3">
        <v>4166.6500000021297</v>
      </c>
      <c r="J56" s="3">
        <v>4166.6500000021233</v>
      </c>
      <c r="K56" s="3">
        <v>19370.445496203924</v>
      </c>
      <c r="L56" s="3">
        <v>1800</v>
      </c>
      <c r="M56" s="3">
        <v>7318.3999999991938</v>
      </c>
      <c r="N56" s="3">
        <v>27833.120000031842</v>
      </c>
      <c r="O56" s="122">
        <v>23975.600000011007</v>
      </c>
      <c r="P56" s="122">
        <v>1346.7400000006844</v>
      </c>
      <c r="Q56" s="122">
        <v>586.04745142556396</v>
      </c>
      <c r="R56" s="122">
        <v>4588.9400000008809</v>
      </c>
      <c r="S56" s="122">
        <v>3183.3799999986809</v>
      </c>
      <c r="T56" s="122">
        <v>1008.9400000003277</v>
      </c>
      <c r="U56" s="122">
        <v>419.22999999996358</v>
      </c>
      <c r="V56" s="122">
        <v>11479.940000005454</v>
      </c>
      <c r="W56" s="122">
        <v>1499.983333332802</v>
      </c>
      <c r="X56" s="122">
        <v>1416.6499999990267</v>
      </c>
      <c r="Y56" s="122">
        <v>541.66666666660728</v>
      </c>
      <c r="Z56" s="122">
        <v>333.3333333334636</v>
      </c>
      <c r="AA56" s="122">
        <v>1000.0000000020067</v>
      </c>
      <c r="AB56" s="122">
        <v>1499.999999998952</v>
      </c>
      <c r="AC56" s="122">
        <v>1000.0000000020067</v>
      </c>
      <c r="AD56" s="122">
        <v>1499.999999998952</v>
      </c>
      <c r="AE56" s="122">
        <v>5802.4515393379806</v>
      </c>
      <c r="AF56" s="122">
        <v>302.6438365150857</v>
      </c>
      <c r="AG56" s="122">
        <v>18140.813038944198</v>
      </c>
      <c r="AH56" s="122">
        <v>4918.164352688188</v>
      </c>
      <c r="AI56" s="122">
        <v>8333.3500000013701</v>
      </c>
      <c r="AJ56" s="122">
        <v>38999.999998983854</v>
      </c>
      <c r="AK56" s="122">
        <v>15864.246446422747</v>
      </c>
      <c r="AL56" s="122">
        <v>13944.246737839436</v>
      </c>
      <c r="AM56" s="122">
        <v>24160.880683189996</v>
      </c>
      <c r="AN56" s="122">
        <v>5958.4469305248404</v>
      </c>
      <c r="AO56" s="122">
        <v>2033.999999999766</v>
      </c>
      <c r="AP56" s="122">
        <v>378.87777777775057</v>
      </c>
      <c r="AQ56" s="122">
        <v>2250.0166666667183</v>
      </c>
      <c r="AR56" s="122">
        <v>19126.796434416567</v>
      </c>
      <c r="AS56" s="122">
        <v>33119.26666579811</v>
      </c>
      <c r="AT56" s="122">
        <v>108685.00100858352</v>
      </c>
      <c r="AU56" s="122">
        <v>109021.48707981795</v>
      </c>
      <c r="AV56" s="122">
        <v>118779.583145604</v>
      </c>
      <c r="AW56" s="122">
        <v>4644.9719008195216</v>
      </c>
      <c r="AX56" s="122">
        <v>39345.365396276226</v>
      </c>
      <c r="AY56" s="122">
        <v>2962.8959276014675</v>
      </c>
      <c r="AZ56" s="122">
        <v>493.78731220882327</v>
      </c>
      <c r="BA56" s="122">
        <v>1678.139067517169</v>
      </c>
      <c r="BB56" s="122">
        <v>2166.6666666676529</v>
      </c>
      <c r="BC56" s="122">
        <v>16199.99999897049</v>
      </c>
      <c r="BD56" s="122">
        <v>1255.889989421916</v>
      </c>
      <c r="BE56" s="122">
        <v>1034.6988259529228</v>
      </c>
      <c r="BF56" s="122">
        <v>916.6833333329123</v>
      </c>
      <c r="BG56" s="122">
        <v>12296.800000006155</v>
      </c>
    </row>
    <row r="57" spans="1:59" x14ac:dyDescent="0.25">
      <c r="A57" s="1">
        <v>28855.999305555557</v>
      </c>
      <c r="B57" s="3">
        <v>2494.0200000010741</v>
      </c>
      <c r="C57" s="3">
        <v>3493.7000000005241</v>
      </c>
      <c r="D57" s="3">
        <v>4522.2400000005764</v>
      </c>
      <c r="E57" s="3">
        <v>10740.699999997816</v>
      </c>
      <c r="F57" s="3">
        <v>1993.3600000002282</v>
      </c>
      <c r="G57" s="3">
        <v>4668.8200000030756</v>
      </c>
      <c r="H57" s="3">
        <v>539.99999999993793</v>
      </c>
      <c r="I57" s="3">
        <v>4166.6500000021297</v>
      </c>
      <c r="J57" s="3">
        <v>4166.6500000021233</v>
      </c>
      <c r="K57" s="3">
        <v>17732.702276310778</v>
      </c>
      <c r="L57" s="3">
        <v>1799.9999999999977</v>
      </c>
      <c r="M57" s="3">
        <v>7318.3999999991938</v>
      </c>
      <c r="N57" s="3">
        <v>27833.120000031842</v>
      </c>
      <c r="O57" s="122">
        <v>23975.600000011007</v>
      </c>
      <c r="P57" s="122">
        <v>1346.7400000006844</v>
      </c>
      <c r="Q57" s="122">
        <v>402.53783808559757</v>
      </c>
      <c r="R57" s="122">
        <v>4588.9400000008809</v>
      </c>
      <c r="S57" s="122">
        <v>3183.3799999986809</v>
      </c>
      <c r="T57" s="122">
        <v>1008.9400000003277</v>
      </c>
      <c r="U57" s="122">
        <v>419.22999999996358</v>
      </c>
      <c r="V57" s="122">
        <v>11479.940000005454</v>
      </c>
      <c r="W57" s="122">
        <v>1499.983333332802</v>
      </c>
      <c r="X57" s="122">
        <v>1416.6499999990267</v>
      </c>
      <c r="Y57" s="122">
        <v>541.66666666660728</v>
      </c>
      <c r="Z57" s="122">
        <v>333.3333333334636</v>
      </c>
      <c r="AA57" s="122">
        <v>1000.0000000020067</v>
      </c>
      <c r="AB57" s="122">
        <v>1499.999999998952</v>
      </c>
      <c r="AC57" s="122">
        <v>1000.0000000020067</v>
      </c>
      <c r="AD57" s="122">
        <v>1499.999999998952</v>
      </c>
      <c r="AE57" s="122">
        <v>5480.3306727473773</v>
      </c>
      <c r="AF57" s="122">
        <v>303.64101554808508</v>
      </c>
      <c r="AG57" s="122">
        <v>16253.198142706364</v>
      </c>
      <c r="AH57" s="122">
        <v>4521.1700675154598</v>
      </c>
      <c r="AI57" s="122">
        <v>8333.3500000013701</v>
      </c>
      <c r="AJ57" s="122">
        <v>38999.999998983854</v>
      </c>
      <c r="AK57" s="122">
        <v>15864.246446422747</v>
      </c>
      <c r="AL57" s="122">
        <v>12816.132858836007</v>
      </c>
      <c r="AM57" s="122">
        <v>24160.880683189986</v>
      </c>
      <c r="AN57" s="122">
        <v>5525.9941712882628</v>
      </c>
      <c r="AO57" s="122">
        <v>2171.999999999749</v>
      </c>
      <c r="AP57" s="122">
        <v>378.87777777775057</v>
      </c>
      <c r="AQ57" s="122">
        <v>2250.0166666667183</v>
      </c>
      <c r="AR57" s="122">
        <v>19075.859559757686</v>
      </c>
      <c r="AS57" s="122">
        <v>33119.26666579811</v>
      </c>
      <c r="AT57" s="122">
        <v>105522.7814674229</v>
      </c>
      <c r="AU57" s="122">
        <v>105849.47738527841</v>
      </c>
      <c r="AV57" s="122">
        <v>115323.65900309711</v>
      </c>
      <c r="AW57" s="122">
        <v>4644.9719008195216</v>
      </c>
      <c r="AX57" s="122">
        <v>38988.684586827432</v>
      </c>
      <c r="AY57" s="122">
        <v>3017.1945701354007</v>
      </c>
      <c r="AZ57" s="122">
        <v>495.4142885258251</v>
      </c>
      <c r="BA57" s="122">
        <v>1662.9260940210252</v>
      </c>
      <c r="BB57" s="122">
        <v>2166.6666666676529</v>
      </c>
      <c r="BC57" s="122">
        <v>16199.99999897049</v>
      </c>
      <c r="BD57" s="122">
        <v>1152.0338494084649</v>
      </c>
      <c r="BE57" s="122">
        <v>1025.3188847308859</v>
      </c>
      <c r="BF57" s="122">
        <v>916.6833333329123</v>
      </c>
      <c r="BG57" s="122">
        <v>12296.800000006155</v>
      </c>
    </row>
    <row r="58" spans="1:59" x14ac:dyDescent="0.25">
      <c r="A58" s="1">
        <v>29220.999305555557</v>
      </c>
      <c r="B58" s="3">
        <v>2494.0200000010741</v>
      </c>
      <c r="C58" s="3">
        <v>3493.7000000005241</v>
      </c>
      <c r="D58" s="3">
        <v>4522.2400000005764</v>
      </c>
      <c r="E58" s="3">
        <v>10740.699999997816</v>
      </c>
      <c r="F58" s="3">
        <v>1993.3600000002282</v>
      </c>
      <c r="G58" s="3">
        <v>4668.8200000030756</v>
      </c>
      <c r="H58" s="3">
        <v>493.99999999994338</v>
      </c>
      <c r="I58" s="3">
        <v>4166.6500000021297</v>
      </c>
      <c r="J58" s="3">
        <v>4166.6500000021233</v>
      </c>
      <c r="K58" s="3">
        <v>16439.035384266761</v>
      </c>
      <c r="L58" s="3">
        <v>1799.9999999999977</v>
      </c>
      <c r="M58" s="3">
        <v>7318.3999999991938</v>
      </c>
      <c r="N58" s="3">
        <v>27833.120000031842</v>
      </c>
      <c r="O58" s="122">
        <v>23975.600000011007</v>
      </c>
      <c r="P58" s="122">
        <v>1346.7400000006844</v>
      </c>
      <c r="Q58" s="122">
        <v>71.963792812031826</v>
      </c>
      <c r="R58" s="122">
        <v>4588.9400000008809</v>
      </c>
      <c r="S58" s="122">
        <v>3183.3799999986809</v>
      </c>
      <c r="T58" s="122">
        <v>1008.9400000003277</v>
      </c>
      <c r="U58" s="122">
        <v>419.22999999996358</v>
      </c>
      <c r="V58" s="122">
        <v>11479.940000005454</v>
      </c>
      <c r="W58" s="122">
        <v>1499.983333332802</v>
      </c>
      <c r="X58" s="122">
        <v>1416.6499999990267</v>
      </c>
      <c r="Y58" s="122">
        <v>541.66666666660728</v>
      </c>
      <c r="Z58" s="122">
        <v>333.3333333334636</v>
      </c>
      <c r="AA58" s="122">
        <v>1000.0000000020067</v>
      </c>
      <c r="AB58" s="122">
        <v>1499.999999998952</v>
      </c>
      <c r="AC58" s="122">
        <v>1000.0000000020067</v>
      </c>
      <c r="AD58" s="122">
        <v>1499.999999998952</v>
      </c>
      <c r="AE58" s="122">
        <v>5377.7080957804537</v>
      </c>
      <c r="AF58" s="122">
        <v>339.53946073603578</v>
      </c>
      <c r="AG58" s="122">
        <v>17468.018572915647</v>
      </c>
      <c r="AH58" s="122">
        <v>4601.9999999994743</v>
      </c>
      <c r="AI58" s="122">
        <v>8333.3500000013701</v>
      </c>
      <c r="AJ58" s="122">
        <v>38999.999998983854</v>
      </c>
      <c r="AK58" s="122">
        <v>15864.246446422723</v>
      </c>
      <c r="AL58" s="122">
        <v>11805.456702252497</v>
      </c>
      <c r="AM58" s="122">
        <v>24160.880683190033</v>
      </c>
      <c r="AN58" s="122">
        <v>5565.4789884359507</v>
      </c>
      <c r="AO58" s="122">
        <v>2315.9999999997344</v>
      </c>
      <c r="AP58" s="122">
        <v>378.87777777775057</v>
      </c>
      <c r="AQ58" s="122">
        <v>2250.0166666667183</v>
      </c>
      <c r="AR58" s="122">
        <v>21089.685282879153</v>
      </c>
      <c r="AS58" s="122">
        <v>33119.26666579811</v>
      </c>
      <c r="AT58" s="122">
        <v>101043.67058019408</v>
      </c>
      <c r="AU58" s="122">
        <v>101356.49928168075</v>
      </c>
      <c r="AV58" s="122">
        <v>110428.53162479411</v>
      </c>
      <c r="AW58" s="122">
        <v>4644.9719008195216</v>
      </c>
      <c r="AX58" s="122">
        <v>42564.962083336155</v>
      </c>
      <c r="AY58" s="122">
        <v>2933.9366515833735</v>
      </c>
      <c r="AZ58" s="122">
        <v>553.98543593774275</v>
      </c>
      <c r="BA58" s="122">
        <v>1815.4597132345791</v>
      </c>
      <c r="BB58" s="122">
        <v>2166.6666666676529</v>
      </c>
      <c r="BC58" s="122">
        <v>16199.99999897049</v>
      </c>
      <c r="BD58" s="122">
        <v>1065.4870660639219</v>
      </c>
      <c r="BE58" s="122">
        <v>1119.3673219394436</v>
      </c>
      <c r="BF58" s="122">
        <v>916.6833333329123</v>
      </c>
      <c r="BG58" s="122">
        <v>12296.800000006155</v>
      </c>
    </row>
    <row r="59" spans="1:59" x14ac:dyDescent="0.25">
      <c r="A59" s="1">
        <v>29586.999305555557</v>
      </c>
      <c r="B59" s="3">
        <v>2494.0200000010741</v>
      </c>
      <c r="C59" s="3">
        <v>3493.7000000005241</v>
      </c>
      <c r="D59" s="3">
        <v>4522.2400000005764</v>
      </c>
      <c r="E59" s="3">
        <v>10740.699999997816</v>
      </c>
      <c r="F59" s="3">
        <v>1993.3600000002282</v>
      </c>
      <c r="G59" s="3">
        <v>4668.8200000030765</v>
      </c>
      <c r="H59" s="3">
        <v>523.99999999993963</v>
      </c>
      <c r="I59" s="3">
        <v>4166.6500000021306</v>
      </c>
      <c r="J59" s="3">
        <v>4166.6500000021233</v>
      </c>
      <c r="K59" s="3">
        <v>17454.7366839436</v>
      </c>
      <c r="L59" s="3">
        <v>1799.9999999999995</v>
      </c>
      <c r="M59" s="3">
        <v>7318.3999999991929</v>
      </c>
      <c r="N59" s="3">
        <v>27833.120000031842</v>
      </c>
      <c r="O59" s="122">
        <v>23975.600000011007</v>
      </c>
      <c r="P59" s="122">
        <v>1346.7400000006844</v>
      </c>
      <c r="Q59" s="122">
        <v>0</v>
      </c>
      <c r="R59" s="122">
        <v>4588.9400000008809</v>
      </c>
      <c r="S59" s="122">
        <v>3183.3799999986809</v>
      </c>
      <c r="T59" s="122">
        <v>1008.9400000003277</v>
      </c>
      <c r="U59" s="122">
        <v>419.22999999996358</v>
      </c>
      <c r="V59" s="122">
        <v>11479.940000005452</v>
      </c>
      <c r="W59" s="122">
        <v>1499.9833333328022</v>
      </c>
      <c r="X59" s="122">
        <v>1416.6499999990265</v>
      </c>
      <c r="Y59" s="122">
        <v>541.6666666666074</v>
      </c>
      <c r="Z59" s="122">
        <v>333.33333333346354</v>
      </c>
      <c r="AA59" s="122">
        <v>1000.0000000020035</v>
      </c>
      <c r="AB59" s="122">
        <v>1499.9999999989695</v>
      </c>
      <c r="AC59" s="122">
        <v>1000.0000000020035</v>
      </c>
      <c r="AD59" s="122">
        <v>1499.9999999989695</v>
      </c>
      <c r="AE59" s="122">
        <v>5454.6750285056451</v>
      </c>
      <c r="AF59" s="122">
        <v>337.54510267003917</v>
      </c>
      <c r="AG59" s="122">
        <v>18091.537951291393</v>
      </c>
      <c r="AH59" s="122">
        <v>4531.6823120245654</v>
      </c>
      <c r="AI59" s="122">
        <v>8333.3500000013719</v>
      </c>
      <c r="AJ59" s="122">
        <v>38999.999998983862</v>
      </c>
      <c r="AK59" s="122">
        <v>15864.246446422732</v>
      </c>
      <c r="AL59" s="122">
        <v>12499.406880188359</v>
      </c>
      <c r="AM59" s="122">
        <v>24160.880683189971</v>
      </c>
      <c r="AN59" s="122">
        <v>5368.0549026975114</v>
      </c>
      <c r="AO59" s="122">
        <v>2383.9999999997267</v>
      </c>
      <c r="AP59" s="122">
        <v>378.87777777775057</v>
      </c>
      <c r="AQ59" s="122">
        <v>2250.0166666667183</v>
      </c>
      <c r="AR59" s="122">
        <v>21007.822448605912</v>
      </c>
      <c r="AS59" s="122">
        <v>33105.778642042722</v>
      </c>
      <c r="AT59" s="122">
        <v>105344.35380222944</v>
      </c>
      <c r="AU59" s="122">
        <v>105670.49731245334</v>
      </c>
      <c r="AV59" s="122">
        <v>115128.65910893855</v>
      </c>
      <c r="AW59" s="122">
        <v>4657.697851232725</v>
      </c>
      <c r="AX59" s="122">
        <v>42400.825781642889</v>
      </c>
      <c r="AY59" s="122">
        <v>2816.2895927598584</v>
      </c>
      <c r="AZ59" s="122">
        <v>550.73148330374499</v>
      </c>
      <c r="BA59" s="122">
        <v>1808.4590528646702</v>
      </c>
      <c r="BB59" s="122">
        <v>2166.6666666676529</v>
      </c>
      <c r="BC59" s="122">
        <v>16199.999998970494</v>
      </c>
      <c r="BD59" s="122">
        <v>1130.8779690353538</v>
      </c>
      <c r="BE59" s="122">
        <v>1115.0508888107186</v>
      </c>
      <c r="BF59" s="122">
        <v>916.68333333291218</v>
      </c>
      <c r="BG59" s="122">
        <v>12296.800000006155</v>
      </c>
    </row>
    <row r="60" spans="1:59" x14ac:dyDescent="0.25">
      <c r="A60" s="1">
        <v>29951.999305555557</v>
      </c>
      <c r="B60" s="3">
        <v>2494.0200000010741</v>
      </c>
      <c r="C60" s="3">
        <v>3493.7000000005241</v>
      </c>
      <c r="D60" s="3">
        <v>4522.2400000005764</v>
      </c>
      <c r="E60" s="3">
        <v>10740.699999997816</v>
      </c>
      <c r="F60" s="3">
        <v>1993.3600000002282</v>
      </c>
      <c r="G60" s="3">
        <v>4668.8200000030756</v>
      </c>
      <c r="H60" s="3">
        <v>523.99999999993952</v>
      </c>
      <c r="I60" s="3">
        <v>4166.6500000021297</v>
      </c>
      <c r="J60" s="3">
        <v>4166.6500000021233</v>
      </c>
      <c r="K60" s="3">
        <v>17301.479978962772</v>
      </c>
      <c r="L60" s="3">
        <v>1799.9999999999991</v>
      </c>
      <c r="M60" s="3">
        <v>7318.3999999991938</v>
      </c>
      <c r="N60" s="3">
        <v>27833.120000031842</v>
      </c>
      <c r="O60" s="122">
        <v>23975.600000011007</v>
      </c>
      <c r="P60" s="122">
        <v>1346.7400000006844</v>
      </c>
      <c r="Q60" s="122">
        <v>28.493999999984545</v>
      </c>
      <c r="R60" s="122">
        <v>4588.9400000008809</v>
      </c>
      <c r="S60" s="122">
        <v>3183.3799999986809</v>
      </c>
      <c r="T60" s="122">
        <v>1008.9400000003277</v>
      </c>
      <c r="U60" s="122">
        <v>419.22999999996358</v>
      </c>
      <c r="V60" s="122">
        <v>11479.940000005454</v>
      </c>
      <c r="W60" s="122">
        <v>1499.983333332802</v>
      </c>
      <c r="X60" s="122">
        <v>1416.6499999990267</v>
      </c>
      <c r="Y60" s="122">
        <v>541.66666666660728</v>
      </c>
      <c r="Z60" s="122">
        <v>333.3333333334636</v>
      </c>
      <c r="AA60" s="122">
        <v>1000.0000000020067</v>
      </c>
      <c r="AB60" s="122">
        <v>1499.999999998952</v>
      </c>
      <c r="AC60" s="122">
        <v>1000.0000000020067</v>
      </c>
      <c r="AD60" s="122">
        <v>1499.999999998952</v>
      </c>
      <c r="AE60" s="122">
        <v>5453.2497149366573</v>
      </c>
      <c r="AF60" s="122">
        <v>359.98163091250797</v>
      </c>
      <c r="AG60" s="122">
        <v>18006.254145738498</v>
      </c>
      <c r="AH60" s="122">
        <v>4642.9158754267974</v>
      </c>
      <c r="AI60" s="122">
        <v>8333.3500000013701</v>
      </c>
      <c r="AJ60" s="122">
        <v>38999.999998983854</v>
      </c>
      <c r="AK60" s="122">
        <v>15864.246446422736</v>
      </c>
      <c r="AL60" s="122">
        <v>12482.799525502709</v>
      </c>
      <c r="AM60" s="122">
        <v>24160.880683190007</v>
      </c>
      <c r="AN60" s="122">
        <v>5988.5306007325971</v>
      </c>
      <c r="AO60" s="122">
        <v>1973.9999999997719</v>
      </c>
      <c r="AP60" s="122">
        <v>378.87777777775057</v>
      </c>
      <c r="AQ60" s="122">
        <v>2250.0166666667183</v>
      </c>
      <c r="AR60" s="122">
        <v>22304.893578312891</v>
      </c>
      <c r="AS60" s="122">
        <v>33119.26666579811</v>
      </c>
      <c r="AT60" s="122">
        <v>101517.05459269433</v>
      </c>
      <c r="AU60" s="122">
        <v>101831.34887935933</v>
      </c>
      <c r="AV60" s="122">
        <v>110945.88319263497</v>
      </c>
      <c r="AW60" s="122">
        <v>4644.9719008195216</v>
      </c>
      <c r="AX60" s="122">
        <v>44989.129000651825</v>
      </c>
      <c r="AY60" s="122">
        <v>2912.2171945698005</v>
      </c>
      <c r="AZ60" s="122">
        <v>587.33845043619908</v>
      </c>
      <c r="BA60" s="122">
        <v>1918.8540817747471</v>
      </c>
      <c r="BB60" s="122">
        <v>2166.6666666676529</v>
      </c>
      <c r="BC60" s="122">
        <v>16199.99999897049</v>
      </c>
      <c r="BD60" s="122">
        <v>1123.1849216269502</v>
      </c>
      <c r="BE60" s="122">
        <v>1183.1177189175294</v>
      </c>
      <c r="BF60" s="122">
        <v>916.6833333329123</v>
      </c>
      <c r="BG60" s="122">
        <v>12296.800000006155</v>
      </c>
    </row>
    <row r="61" spans="1:59" x14ac:dyDescent="0.25">
      <c r="A61" s="1">
        <v>30316.999305555557</v>
      </c>
      <c r="B61" s="3">
        <v>2494.0200000010741</v>
      </c>
      <c r="C61" s="3">
        <v>3493.7000000005241</v>
      </c>
      <c r="D61" s="3">
        <v>4522.2400000005764</v>
      </c>
      <c r="E61" s="3">
        <v>10740.699999997816</v>
      </c>
      <c r="F61" s="3">
        <v>1993.3600000002282</v>
      </c>
      <c r="G61" s="3">
        <v>4668.8200000030756</v>
      </c>
      <c r="H61" s="3">
        <v>465.99999999994583</v>
      </c>
      <c r="I61" s="3">
        <v>4166.6500000021297</v>
      </c>
      <c r="J61" s="3">
        <v>4166.6500000021233</v>
      </c>
      <c r="K61" s="3">
        <v>15566.073172562245</v>
      </c>
      <c r="L61" s="3">
        <v>1800.0000000000011</v>
      </c>
      <c r="M61" s="3">
        <v>7318.3999999991938</v>
      </c>
      <c r="N61" s="3">
        <v>27833.120000031842</v>
      </c>
      <c r="O61" s="122">
        <v>23975.600000011007</v>
      </c>
      <c r="P61" s="122">
        <v>1346.7400000006844</v>
      </c>
      <c r="Q61" s="122">
        <v>0</v>
      </c>
      <c r="R61" s="122">
        <v>4588.9400000008809</v>
      </c>
      <c r="S61" s="122">
        <v>3183.3799999986809</v>
      </c>
      <c r="T61" s="122">
        <v>1008.9400000003277</v>
      </c>
      <c r="U61" s="122">
        <v>419.22999999996358</v>
      </c>
      <c r="V61" s="122">
        <v>11479.940000005454</v>
      </c>
      <c r="W61" s="122">
        <v>1499.983333332802</v>
      </c>
      <c r="X61" s="122">
        <v>1416.6499999990267</v>
      </c>
      <c r="Y61" s="122">
        <v>541.66666666660728</v>
      </c>
      <c r="Z61" s="122">
        <v>333.3333333334636</v>
      </c>
      <c r="AA61" s="122">
        <v>1000.0000000020067</v>
      </c>
      <c r="AB61" s="122">
        <v>1499.999999998952</v>
      </c>
      <c r="AC61" s="122">
        <v>1000.0000000020067</v>
      </c>
      <c r="AD61" s="122">
        <v>1499.999999998952</v>
      </c>
      <c r="AE61" s="122">
        <v>4595.2109464076793</v>
      </c>
      <c r="AF61" s="122">
        <v>329.56767040605064</v>
      </c>
      <c r="AG61" s="122">
        <v>16399.128209985804</v>
      </c>
      <c r="AH61" s="122">
        <v>3987.9999999995403</v>
      </c>
      <c r="AI61" s="122">
        <v>8333.3500000013701</v>
      </c>
      <c r="AJ61" s="122">
        <v>38999.999998983854</v>
      </c>
      <c r="AK61" s="122">
        <v>15864.246446422736</v>
      </c>
      <c r="AL61" s="122">
        <v>11104.389086594208</v>
      </c>
      <c r="AM61" s="122">
        <v>24160.880683189986</v>
      </c>
      <c r="AN61" s="122">
        <v>5322.9293973858667</v>
      </c>
      <c r="AO61" s="122">
        <v>1805.9999999997915</v>
      </c>
      <c r="AP61" s="122">
        <v>378.87777777775057</v>
      </c>
      <c r="AQ61" s="122">
        <v>2250.0166666667183</v>
      </c>
      <c r="AR61" s="122">
        <v>20582.135710385111</v>
      </c>
      <c r="AS61" s="122">
        <v>33119.26666579811</v>
      </c>
      <c r="AT61" s="122">
        <v>87881.669769291213</v>
      </c>
      <c r="AU61" s="122">
        <v>88153.749242260921</v>
      </c>
      <c r="AV61" s="122">
        <v>96044.053958389282</v>
      </c>
      <c r="AW61" s="122">
        <v>4644.9719008195216</v>
      </c>
      <c r="AX61" s="122">
        <v>41801.096986994482</v>
      </c>
      <c r="AY61" s="122">
        <v>2470.5882352938324</v>
      </c>
      <c r="AZ61" s="122">
        <v>537.71567276776602</v>
      </c>
      <c r="BA61" s="122">
        <v>1782.8797168977026</v>
      </c>
      <c r="BB61" s="122">
        <v>2166.6666666676529</v>
      </c>
      <c r="BC61" s="122">
        <v>16199.99999897049</v>
      </c>
      <c r="BD61" s="122">
        <v>1009.7124723529943</v>
      </c>
      <c r="BE61" s="122">
        <v>1099.2793062249937</v>
      </c>
      <c r="BF61" s="122">
        <v>916.6833333329123</v>
      </c>
      <c r="BG61" s="122">
        <v>12296.800000006155</v>
      </c>
    </row>
    <row r="62" spans="1:59" x14ac:dyDescent="0.25">
      <c r="A62" s="1">
        <v>30681.999305555557</v>
      </c>
      <c r="B62" s="3">
        <v>2494.0200000010741</v>
      </c>
      <c r="C62" s="3">
        <v>3493.7000000005241</v>
      </c>
      <c r="D62" s="3">
        <v>4522.2400000005764</v>
      </c>
      <c r="E62" s="3">
        <v>10740.699999997816</v>
      </c>
      <c r="F62" s="3">
        <v>1993.3600000002282</v>
      </c>
      <c r="G62" s="3">
        <v>4668.8200000030756</v>
      </c>
      <c r="H62" s="3">
        <v>487.99999999994378</v>
      </c>
      <c r="I62" s="3">
        <v>4166.6500000021297</v>
      </c>
      <c r="J62" s="3">
        <v>4166.6500000021233</v>
      </c>
      <c r="K62" s="3">
        <v>16093.456539702167</v>
      </c>
      <c r="L62" s="3">
        <v>1800.0000000000002</v>
      </c>
      <c r="M62" s="3">
        <v>7318.3999999991938</v>
      </c>
      <c r="N62" s="3">
        <v>27833.120000031842</v>
      </c>
      <c r="O62" s="122">
        <v>23975.600000011007</v>
      </c>
      <c r="P62" s="122">
        <v>1346.7400000006844</v>
      </c>
      <c r="Q62" s="122">
        <v>0</v>
      </c>
      <c r="R62" s="122">
        <v>4588.9400000008809</v>
      </c>
      <c r="S62" s="122">
        <v>3183.3799999986809</v>
      </c>
      <c r="T62" s="122">
        <v>1008.9400000003277</v>
      </c>
      <c r="U62" s="122">
        <v>419.22999999996358</v>
      </c>
      <c r="V62" s="122">
        <v>11479.940000005454</v>
      </c>
      <c r="W62" s="122">
        <v>1499.983333332802</v>
      </c>
      <c r="X62" s="122">
        <v>1416.6499999990267</v>
      </c>
      <c r="Y62" s="122">
        <v>541.66666666660728</v>
      </c>
      <c r="Z62" s="122">
        <v>333.3333333334636</v>
      </c>
      <c r="AA62" s="122">
        <v>1000.0000000020067</v>
      </c>
      <c r="AB62" s="122">
        <v>1499.999999998952</v>
      </c>
      <c r="AC62" s="122">
        <v>1000.0000000020067</v>
      </c>
      <c r="AD62" s="122">
        <v>1499.999999998952</v>
      </c>
      <c r="AE62" s="122">
        <v>5163.911060432707</v>
      </c>
      <c r="AF62" s="122">
        <v>325.08036475755557</v>
      </c>
      <c r="AG62" s="122">
        <v>16829.337629108264</v>
      </c>
      <c r="AH62" s="122">
        <v>4379.999999999497</v>
      </c>
      <c r="AI62" s="122">
        <v>8333.3500000013701</v>
      </c>
      <c r="AJ62" s="122">
        <v>38999.999998983854</v>
      </c>
      <c r="AK62" s="122">
        <v>15864.246446422738</v>
      </c>
      <c r="AL62" s="122">
        <v>11597.864768681937</v>
      </c>
      <c r="AM62" s="122">
        <v>24160.880683189993</v>
      </c>
      <c r="AN62" s="122">
        <v>5578.6405941518415</v>
      </c>
      <c r="AO62" s="122">
        <v>1751.9999999997983</v>
      </c>
      <c r="AP62" s="122">
        <v>378.87777777775057</v>
      </c>
      <c r="AQ62" s="122">
        <v>2250.0166666667183</v>
      </c>
      <c r="AR62" s="122">
        <v>20227.396761867774</v>
      </c>
      <c r="AS62" s="122">
        <v>33119.26666579811</v>
      </c>
      <c r="AT62" s="122">
        <v>97573.46596469963</v>
      </c>
      <c r="AU62" s="122">
        <v>97875.550998646184</v>
      </c>
      <c r="AV62" s="122">
        <v>106636.01698309231</v>
      </c>
      <c r="AW62" s="122">
        <v>4644.9719008195216</v>
      </c>
      <c r="AX62" s="122">
        <v>40623.734669079444</v>
      </c>
      <c r="AY62" s="122">
        <v>2673.3031674205054</v>
      </c>
      <c r="AZ62" s="122">
        <v>530.39427934127571</v>
      </c>
      <c r="BA62" s="122">
        <v>1732.6634415520234</v>
      </c>
      <c r="BB62" s="122">
        <v>2166.6666666676529</v>
      </c>
      <c r="BC62" s="122">
        <v>16199.99999897049</v>
      </c>
      <c r="BD62" s="122">
        <v>1044.3311856908119</v>
      </c>
      <c r="BE62" s="122">
        <v>1068.3171993593362</v>
      </c>
      <c r="BF62" s="122">
        <v>916.6833333329123</v>
      </c>
      <c r="BG62" s="122">
        <v>12296.800000006155</v>
      </c>
    </row>
    <row r="63" spans="1:59" x14ac:dyDescent="0.25">
      <c r="A63" s="1">
        <v>31047.999305555557</v>
      </c>
      <c r="B63" s="3">
        <v>2494.0200000010741</v>
      </c>
      <c r="C63" s="3">
        <v>3493.7000000005241</v>
      </c>
      <c r="D63" s="3">
        <v>4522.2400000005764</v>
      </c>
      <c r="E63" s="3">
        <v>10740.699999997816</v>
      </c>
      <c r="F63" s="3">
        <v>1993.3600000002282</v>
      </c>
      <c r="G63" s="3">
        <v>4668.8200000030765</v>
      </c>
      <c r="H63" s="3">
        <v>509.99999999994151</v>
      </c>
      <c r="I63" s="3">
        <v>4166.6500000021306</v>
      </c>
      <c r="J63" s="3">
        <v>4166.6500000021233</v>
      </c>
      <c r="K63" s="3">
        <v>16895.800465778251</v>
      </c>
      <c r="L63" s="3">
        <v>1800.0000000000002</v>
      </c>
      <c r="M63" s="3">
        <v>7318.3999999991929</v>
      </c>
      <c r="N63" s="3">
        <v>27833.120000031842</v>
      </c>
      <c r="O63" s="122">
        <v>23975.600000011007</v>
      </c>
      <c r="P63" s="122">
        <v>1346.7400000006844</v>
      </c>
      <c r="Q63" s="122">
        <v>0</v>
      </c>
      <c r="R63" s="122">
        <v>4588.9400000008809</v>
      </c>
      <c r="S63" s="122">
        <v>3183.3799999986809</v>
      </c>
      <c r="T63" s="122">
        <v>1008.9400000003277</v>
      </c>
      <c r="U63" s="122">
        <v>419.22999999996358</v>
      </c>
      <c r="V63" s="122">
        <v>11479.940000005452</v>
      </c>
      <c r="W63" s="122">
        <v>1499.9833333328022</v>
      </c>
      <c r="X63" s="122">
        <v>1416.6499999990265</v>
      </c>
      <c r="Y63" s="122">
        <v>541.6666666666074</v>
      </c>
      <c r="Z63" s="122">
        <v>333.33333333346354</v>
      </c>
      <c r="AA63" s="122">
        <v>1000.0000000020035</v>
      </c>
      <c r="AB63" s="122">
        <v>1499.9999999989695</v>
      </c>
      <c r="AC63" s="122">
        <v>1000.0000000020035</v>
      </c>
      <c r="AD63" s="122">
        <v>1499.9999999989695</v>
      </c>
      <c r="AE63" s="122">
        <v>5327.8221208659752</v>
      </c>
      <c r="AF63" s="122">
        <v>333.55638653804471</v>
      </c>
      <c r="AG63" s="122">
        <v>17593.101487726592</v>
      </c>
      <c r="AH63" s="122">
        <v>4490.6366369099132</v>
      </c>
      <c r="AI63" s="122">
        <v>8333.3500000013719</v>
      </c>
      <c r="AJ63" s="122">
        <v>38999.999998983862</v>
      </c>
      <c r="AK63" s="122">
        <v>15864.246446422727</v>
      </c>
      <c r="AL63" s="122">
        <v>12200.474495846764</v>
      </c>
      <c r="AM63" s="122">
        <v>24160.880683189986</v>
      </c>
      <c r="AN63" s="122">
        <v>5864.4354611255812</v>
      </c>
      <c r="AO63" s="122">
        <v>2205.9999999997467</v>
      </c>
      <c r="AP63" s="122">
        <v>378.87777777775057</v>
      </c>
      <c r="AQ63" s="122">
        <v>2250.0166666667183</v>
      </c>
      <c r="AR63" s="122">
        <v>20674.913589228105</v>
      </c>
      <c r="AS63" s="122">
        <v>33105.778642042722</v>
      </c>
      <c r="AT63" s="122">
        <v>88208.934377387151</v>
      </c>
      <c r="AU63" s="122">
        <v>88482.027053478072</v>
      </c>
      <c r="AV63" s="122">
        <v>96401.714660116384</v>
      </c>
      <c r="AW63" s="122">
        <v>4657.697851232725</v>
      </c>
      <c r="AX63" s="122">
        <v>41569.096637485738</v>
      </c>
      <c r="AY63" s="122">
        <v>2836.1990950222976</v>
      </c>
      <c r="AZ63" s="122">
        <v>544.22357803575699</v>
      </c>
      <c r="BA63" s="122">
        <v>1772.9845527210073</v>
      </c>
      <c r="BB63" s="122">
        <v>2166.6666666676529</v>
      </c>
      <c r="BC63" s="122">
        <v>16199.999998970494</v>
      </c>
      <c r="BD63" s="122">
        <v>1094.335993845436</v>
      </c>
      <c r="BE63" s="122">
        <v>1093.1781940142005</v>
      </c>
      <c r="BF63" s="122">
        <v>916.68333333291218</v>
      </c>
      <c r="BG63" s="122">
        <v>12296.800000006155</v>
      </c>
    </row>
    <row r="64" spans="1:59" x14ac:dyDescent="0.25">
      <c r="A64" s="1">
        <v>31412.999305555557</v>
      </c>
      <c r="B64" s="3">
        <v>2494.0200000010741</v>
      </c>
      <c r="C64" s="3">
        <v>3493.7000000005241</v>
      </c>
      <c r="D64" s="3">
        <v>4522.2400000005764</v>
      </c>
      <c r="E64" s="3">
        <v>10740.699999997816</v>
      </c>
      <c r="F64" s="3">
        <v>1993.3600000002282</v>
      </c>
      <c r="G64" s="3">
        <v>4668.8200000030756</v>
      </c>
      <c r="H64" s="3">
        <v>517.99999999994066</v>
      </c>
      <c r="I64" s="3">
        <v>4166.6500000021297</v>
      </c>
      <c r="J64" s="3">
        <v>4166.6500000021233</v>
      </c>
      <c r="K64" s="3">
        <v>17127.188039964974</v>
      </c>
      <c r="L64" s="3">
        <v>1799.9999999999991</v>
      </c>
      <c r="M64" s="3">
        <v>7318.3999999991938</v>
      </c>
      <c r="N64" s="3">
        <v>27833.120000031842</v>
      </c>
      <c r="O64" s="122">
        <v>23975.600000011007</v>
      </c>
      <c r="P64" s="122">
        <v>1346.7400000006844</v>
      </c>
      <c r="Q64" s="122">
        <v>0</v>
      </c>
      <c r="R64" s="122">
        <v>4588.9400000008809</v>
      </c>
      <c r="S64" s="122">
        <v>3183.3799999986809</v>
      </c>
      <c r="T64" s="122">
        <v>1008.9400000003277</v>
      </c>
      <c r="U64" s="122">
        <v>419.22999999996358</v>
      </c>
      <c r="V64" s="122">
        <v>11479.940000005454</v>
      </c>
      <c r="W64" s="122">
        <v>1499.983333332802</v>
      </c>
      <c r="X64" s="122">
        <v>1416.6499999990267</v>
      </c>
      <c r="Y64" s="122">
        <v>541.66666666660728</v>
      </c>
      <c r="Z64" s="122">
        <v>333.3333333334636</v>
      </c>
      <c r="AA64" s="122">
        <v>1000.0000000020067</v>
      </c>
      <c r="AB64" s="122">
        <v>1499.999999998952</v>
      </c>
      <c r="AC64" s="122">
        <v>1000.0000000020067</v>
      </c>
      <c r="AD64" s="122">
        <v>1499.999999998952</v>
      </c>
      <c r="AE64" s="122">
        <v>5397.6624857462421</v>
      </c>
      <c r="AF64" s="122">
        <v>333.55638653804465</v>
      </c>
      <c r="AG64" s="122">
        <v>17333.459679709933</v>
      </c>
      <c r="AH64" s="122">
        <v>4573.1067568230592</v>
      </c>
      <c r="AI64" s="122">
        <v>8333.3500000013701</v>
      </c>
      <c r="AJ64" s="122">
        <v>38999.999998983854</v>
      </c>
      <c r="AK64" s="122">
        <v>15864.246446422736</v>
      </c>
      <c r="AL64" s="122">
        <v>12441.281138788599</v>
      </c>
      <c r="AM64" s="122">
        <v>24160.88068319</v>
      </c>
      <c r="AN64" s="122">
        <v>5531.6348594522196</v>
      </c>
      <c r="AO64" s="122">
        <v>1901.9999999997801</v>
      </c>
      <c r="AP64" s="122">
        <v>378.87777777775057</v>
      </c>
      <c r="AQ64" s="122">
        <v>2250.0166666667183</v>
      </c>
      <c r="AR64" s="122">
        <v>20724.031289792059</v>
      </c>
      <c r="AS64" s="122">
        <v>33119.26666579811</v>
      </c>
      <c r="AT64" s="122">
        <v>100814.47257323074</v>
      </c>
      <c r="AU64" s="122">
        <v>101126.59168336466</v>
      </c>
      <c r="AV64" s="122">
        <v>110178.04587724604</v>
      </c>
      <c r="AW64" s="122">
        <v>4644.9719008195216</v>
      </c>
      <c r="AX64" s="122">
        <v>41979.437391718864</v>
      </c>
      <c r="AY64" s="122">
        <v>2821.7194570132501</v>
      </c>
      <c r="AZ64" s="122">
        <v>544.22357803575665</v>
      </c>
      <c r="BA64" s="122">
        <v>1790.4862036457778</v>
      </c>
      <c r="BB64" s="122">
        <v>2166.6666666676529</v>
      </c>
      <c r="BC64" s="122">
        <v>16199.99999897049</v>
      </c>
      <c r="BD64" s="122">
        <v>1111.645350514344</v>
      </c>
      <c r="BE64" s="122">
        <v>1103.9692768360123</v>
      </c>
      <c r="BF64" s="122">
        <v>916.6833333329123</v>
      </c>
      <c r="BG64" s="122">
        <v>12296.800000006155</v>
      </c>
    </row>
    <row r="65" spans="1:59" x14ac:dyDescent="0.25">
      <c r="A65" s="1">
        <v>31777.999305555557</v>
      </c>
      <c r="B65" s="3">
        <v>2494.0200000010741</v>
      </c>
      <c r="C65" s="3">
        <v>3493.7000000005241</v>
      </c>
      <c r="D65" s="3">
        <v>4522.2400000005764</v>
      </c>
      <c r="E65" s="3">
        <v>10740.699999997816</v>
      </c>
      <c r="F65" s="3">
        <v>1993.3600000002282</v>
      </c>
      <c r="G65" s="3">
        <v>4668.8200000030756</v>
      </c>
      <c r="H65" s="3">
        <v>447.99999999994839</v>
      </c>
      <c r="I65" s="3">
        <v>4166.6500000021297</v>
      </c>
      <c r="J65" s="3">
        <v>4166.6500000021233</v>
      </c>
      <c r="K65" s="3">
        <v>14798.287130942625</v>
      </c>
      <c r="L65" s="3">
        <v>1799.9999999999968</v>
      </c>
      <c r="M65" s="3">
        <v>7318.3999999991938</v>
      </c>
      <c r="N65" s="3">
        <v>27833.120000031842</v>
      </c>
      <c r="O65" s="122">
        <v>23975.600000011007</v>
      </c>
      <c r="P65" s="122">
        <v>1346.7400000006844</v>
      </c>
      <c r="Q65" s="122">
        <v>0</v>
      </c>
      <c r="R65" s="122">
        <v>4588.9400000008809</v>
      </c>
      <c r="S65" s="122">
        <v>3183.3799999986809</v>
      </c>
      <c r="T65" s="122">
        <v>1008.9400000003277</v>
      </c>
      <c r="U65" s="122">
        <v>419.22999999996358</v>
      </c>
      <c r="V65" s="122">
        <v>11479.940000005454</v>
      </c>
      <c r="W65" s="122">
        <v>1499.983333332802</v>
      </c>
      <c r="X65" s="122">
        <v>1416.6499999990267</v>
      </c>
      <c r="Y65" s="122">
        <v>541.66666666660728</v>
      </c>
      <c r="Z65" s="122">
        <v>333.3333333334636</v>
      </c>
      <c r="AA65" s="122">
        <v>1000.0000000020067</v>
      </c>
      <c r="AB65" s="122">
        <v>1499.999999998952</v>
      </c>
      <c r="AC65" s="122">
        <v>1000.0000000020067</v>
      </c>
      <c r="AD65" s="122">
        <v>1499.999999998952</v>
      </c>
      <c r="AE65" s="122">
        <v>4626.5678449253528</v>
      </c>
      <c r="AF65" s="122">
        <v>268.24115987663407</v>
      </c>
      <c r="AG65" s="122">
        <v>14771.155121764625</v>
      </c>
      <c r="AH65" s="122">
        <v>4005.9999999995393</v>
      </c>
      <c r="AI65" s="122">
        <v>8333.3500000013701</v>
      </c>
      <c r="AJ65" s="122">
        <v>38999.999998983854</v>
      </c>
      <c r="AK65" s="122">
        <v>15565.679081214977</v>
      </c>
      <c r="AL65" s="122">
        <v>10685.646500591884</v>
      </c>
      <c r="AM65" s="122">
        <v>24160.880683189982</v>
      </c>
      <c r="AN65" s="122">
        <v>4975.0869606086162</v>
      </c>
      <c r="AO65" s="122">
        <v>2225.999999999744</v>
      </c>
      <c r="AP65" s="122">
        <v>378.87777777775057</v>
      </c>
      <c r="AQ65" s="122">
        <v>2250.0166666667183</v>
      </c>
      <c r="AR65" s="122">
        <v>16518.10078224296</v>
      </c>
      <c r="AS65" s="122">
        <v>33119.26666579811</v>
      </c>
      <c r="AT65" s="122">
        <v>83898.050897068169</v>
      </c>
      <c r="AU65" s="122">
        <v>84157.79718467535</v>
      </c>
      <c r="AV65" s="122">
        <v>91690.439525278722</v>
      </c>
      <c r="AW65" s="122">
        <v>4644.9719008195216</v>
      </c>
      <c r="AX65" s="122">
        <v>33319.669243729782</v>
      </c>
      <c r="AY65" s="122">
        <v>2450.6787330313923</v>
      </c>
      <c r="AZ65" s="122">
        <v>437.65662927240368</v>
      </c>
      <c r="BA65" s="122">
        <v>1421.1340550911546</v>
      </c>
      <c r="BB65" s="122">
        <v>2166.6666666676529</v>
      </c>
      <c r="BC65" s="122">
        <v>16199.99999897049</v>
      </c>
      <c r="BD65" s="122">
        <v>957.7844023462701</v>
      </c>
      <c r="BE65" s="122">
        <v>876.23592513109111</v>
      </c>
      <c r="BF65" s="122">
        <v>916.6833333329123</v>
      </c>
      <c r="BG65" s="122">
        <v>12296.800000006155</v>
      </c>
    </row>
    <row r="66" spans="1:59" x14ac:dyDescent="0.25">
      <c r="A66" s="1">
        <v>32142.999305555557</v>
      </c>
      <c r="B66" s="3">
        <v>2494.0200000010741</v>
      </c>
      <c r="C66" s="3">
        <v>3493.7000000005241</v>
      </c>
      <c r="D66" s="3">
        <v>4522.2400000005764</v>
      </c>
      <c r="E66" s="3">
        <v>10740.699999997816</v>
      </c>
      <c r="F66" s="3">
        <v>1993.3600000002282</v>
      </c>
      <c r="G66" s="3">
        <v>4668.8200000030756</v>
      </c>
      <c r="H66" s="3">
        <v>517.99999999994077</v>
      </c>
      <c r="I66" s="3">
        <v>4166.6500000021297</v>
      </c>
      <c r="J66" s="3">
        <v>4166.6500000021233</v>
      </c>
      <c r="K66" s="3">
        <v>17152.730824128445</v>
      </c>
      <c r="L66" s="3">
        <v>1799.999999999998</v>
      </c>
      <c r="M66" s="3">
        <v>7318.3999999991938</v>
      </c>
      <c r="N66" s="3">
        <v>27833.120000031842</v>
      </c>
      <c r="O66" s="122">
        <v>23975.600000011007</v>
      </c>
      <c r="P66" s="122">
        <v>1346.7400000006844</v>
      </c>
      <c r="Q66" s="122">
        <v>0</v>
      </c>
      <c r="R66" s="122">
        <v>4588.9400000008809</v>
      </c>
      <c r="S66" s="122">
        <v>3183.3799999986809</v>
      </c>
      <c r="T66" s="122">
        <v>1008.9400000003277</v>
      </c>
      <c r="U66" s="122">
        <v>419.22999999996358</v>
      </c>
      <c r="V66" s="122">
        <v>11479.940000005454</v>
      </c>
      <c r="W66" s="122">
        <v>1499.983333332802</v>
      </c>
      <c r="X66" s="122">
        <v>1416.6499999990267</v>
      </c>
      <c r="Y66" s="122">
        <v>541.66666666660728</v>
      </c>
      <c r="Z66" s="122">
        <v>333.3333333334636</v>
      </c>
      <c r="AA66" s="122">
        <v>1000.0000000020067</v>
      </c>
      <c r="AB66" s="122">
        <v>1499.999999998952</v>
      </c>
      <c r="AC66" s="122">
        <v>1000.0000000020067</v>
      </c>
      <c r="AD66" s="122">
        <v>1499.999999998952</v>
      </c>
      <c r="AE66" s="122">
        <v>5612.8848346629829</v>
      </c>
      <c r="AF66" s="122">
        <v>332.06061798854728</v>
      </c>
      <c r="AG66" s="122">
        <v>17016.962001324679</v>
      </c>
      <c r="AH66" s="122">
        <v>4718.0315671171393</v>
      </c>
      <c r="AI66" s="122">
        <v>8333.3500000013701</v>
      </c>
      <c r="AJ66" s="122">
        <v>38999.999998983854</v>
      </c>
      <c r="AK66" s="122">
        <v>15864.246446422754</v>
      </c>
      <c r="AL66" s="122">
        <v>12391.459074731667</v>
      </c>
      <c r="AM66" s="122">
        <v>24160.880683189986</v>
      </c>
      <c r="AN66" s="122">
        <v>5520.3534831243041</v>
      </c>
      <c r="AO66" s="122">
        <v>2525.9999999997094</v>
      </c>
      <c r="AP66" s="122">
        <v>378.87777777775057</v>
      </c>
      <c r="AQ66" s="122">
        <v>2250.0166666667183</v>
      </c>
      <c r="AR66" s="122">
        <v>20605.784973619619</v>
      </c>
      <c r="AS66" s="122">
        <v>33119.26666579811</v>
      </c>
      <c r="AT66" s="122">
        <v>102710.27989384228</v>
      </c>
      <c r="AU66" s="122">
        <v>103028.26837648585</v>
      </c>
      <c r="AV66" s="122">
        <v>112249.93437314656</v>
      </c>
      <c r="AW66" s="122">
        <v>4644.9719008195216</v>
      </c>
      <c r="AX66" s="122">
        <v>41648.008320992107</v>
      </c>
      <c r="AY66" s="122">
        <v>3210.859728506417</v>
      </c>
      <c r="AZ66" s="122">
        <v>541.78311356025517</v>
      </c>
      <c r="BA66" s="122">
        <v>1776.3502548219242</v>
      </c>
      <c r="BB66" s="122">
        <v>2166.6666666676529</v>
      </c>
      <c r="BC66" s="122">
        <v>16199.99999897049</v>
      </c>
      <c r="BD66" s="122">
        <v>1109.7220886622438</v>
      </c>
      <c r="BE66" s="122">
        <v>1095.2534022491645</v>
      </c>
      <c r="BF66" s="122">
        <v>916.6833333329123</v>
      </c>
      <c r="BG66" s="122">
        <v>12296.800000006155</v>
      </c>
    </row>
    <row r="67" spans="1:59" x14ac:dyDescent="0.25">
      <c r="A67" s="1">
        <v>32508.999305555557</v>
      </c>
      <c r="B67" s="3">
        <v>2494.0200000010741</v>
      </c>
      <c r="C67" s="3">
        <v>3493.7000000005241</v>
      </c>
      <c r="D67" s="3">
        <v>4522.2400000005764</v>
      </c>
      <c r="E67" s="3">
        <v>10740.699999997816</v>
      </c>
      <c r="F67" s="3">
        <v>1993.3600000002282</v>
      </c>
      <c r="G67" s="3">
        <v>4668.8200000030765</v>
      </c>
      <c r="H67" s="3">
        <v>527.99999999993906</v>
      </c>
      <c r="I67" s="3">
        <v>4166.6500000021306</v>
      </c>
      <c r="J67" s="3">
        <v>4166.6500000021233</v>
      </c>
      <c r="K67" s="3">
        <v>17514.837352563525</v>
      </c>
      <c r="L67" s="3">
        <v>1800.0000000000002</v>
      </c>
      <c r="M67" s="3">
        <v>7318.3999999991929</v>
      </c>
      <c r="N67" s="3">
        <v>27833.120000031842</v>
      </c>
      <c r="O67" s="122">
        <v>23975.600000011007</v>
      </c>
      <c r="P67" s="122">
        <v>1346.7400000006844</v>
      </c>
      <c r="Q67" s="122">
        <v>0</v>
      </c>
      <c r="R67" s="122">
        <v>4588.9400000008809</v>
      </c>
      <c r="S67" s="122">
        <v>3183.3799999986809</v>
      </c>
      <c r="T67" s="122">
        <v>1008.9400000003277</v>
      </c>
      <c r="U67" s="122">
        <v>419.22999999996358</v>
      </c>
      <c r="V67" s="122">
        <v>11479.940000005452</v>
      </c>
      <c r="W67" s="122">
        <v>1499.9833333328022</v>
      </c>
      <c r="X67" s="122">
        <v>1416.6499999990265</v>
      </c>
      <c r="Y67" s="122">
        <v>541.6666666666074</v>
      </c>
      <c r="Z67" s="122">
        <v>333.33333333346354</v>
      </c>
      <c r="AA67" s="122">
        <v>1000.0000000020035</v>
      </c>
      <c r="AB67" s="122">
        <v>1499.9999999989695</v>
      </c>
      <c r="AC67" s="122">
        <v>1000.0000000020035</v>
      </c>
      <c r="AD67" s="122">
        <v>1499.9999999989695</v>
      </c>
      <c r="AE67" s="122">
        <v>5557.2976054725632</v>
      </c>
      <c r="AF67" s="122">
        <v>326.57613330705408</v>
      </c>
      <c r="AG67" s="122">
        <v>18612.716763003631</v>
      </c>
      <c r="AH67" s="122">
        <v>4601.2690281887953</v>
      </c>
      <c r="AI67" s="122">
        <v>8333.3500000013719</v>
      </c>
      <c r="AJ67" s="122">
        <v>38999.999998983862</v>
      </c>
      <c r="AK67" s="122">
        <v>15864.246446422701</v>
      </c>
      <c r="AL67" s="122">
        <v>12609.727164885857</v>
      </c>
      <c r="AM67" s="122">
        <v>24160.880683189975</v>
      </c>
      <c r="AN67" s="122">
        <v>6315.6905142420119</v>
      </c>
      <c r="AO67" s="122">
        <v>2267.9999999997394</v>
      </c>
      <c r="AP67" s="122">
        <v>378.87777777775057</v>
      </c>
      <c r="AQ67" s="122">
        <v>2250.0166666667183</v>
      </c>
      <c r="AR67" s="122">
        <v>20194.651628158503</v>
      </c>
      <c r="AS67" s="122">
        <v>33105.778642042722</v>
      </c>
      <c r="AT67" s="122">
        <v>99692.461525388178</v>
      </c>
      <c r="AU67" s="122">
        <v>100001.10691710754</v>
      </c>
      <c r="AV67" s="122">
        <v>108951.82327697182</v>
      </c>
      <c r="AW67" s="122">
        <v>4657.697851232725</v>
      </c>
      <c r="AX67" s="122">
        <v>40697.911651575421</v>
      </c>
      <c r="AY67" s="122">
        <v>2980.9954751127784</v>
      </c>
      <c r="AZ67" s="122">
        <v>532.83474381677092</v>
      </c>
      <c r="BA67" s="122">
        <v>1735.8272015268828</v>
      </c>
      <c r="BB67" s="122">
        <v>2166.6666666676529</v>
      </c>
      <c r="BC67" s="122">
        <v>16199.999998970494</v>
      </c>
      <c r="BD67" s="122">
        <v>1134.7244927395561</v>
      </c>
      <c r="BE67" s="122">
        <v>1070.2678951002026</v>
      </c>
      <c r="BF67" s="122">
        <v>916.68333333291218</v>
      </c>
      <c r="BG67" s="122">
        <v>12296.800000006155</v>
      </c>
    </row>
    <row r="68" spans="1:59" x14ac:dyDescent="0.25">
      <c r="A68" s="1">
        <v>32873.999305555553</v>
      </c>
      <c r="B68" s="3">
        <v>2494.0200000010741</v>
      </c>
      <c r="C68" s="3">
        <v>3493.7000000005241</v>
      </c>
      <c r="D68" s="3">
        <v>4522.2400000005764</v>
      </c>
      <c r="E68" s="3">
        <v>10740.699999997816</v>
      </c>
      <c r="F68" s="3">
        <v>1993.3600000002282</v>
      </c>
      <c r="G68" s="3">
        <v>4668.8200000030756</v>
      </c>
      <c r="H68" s="3">
        <v>609.99999999992986</v>
      </c>
      <c r="I68" s="3">
        <v>4166.6500000021297</v>
      </c>
      <c r="J68" s="3">
        <v>4166.6500000021233</v>
      </c>
      <c r="K68" s="3">
        <v>20268.950492071886</v>
      </c>
      <c r="L68" s="3">
        <v>1799.999999999998</v>
      </c>
      <c r="M68" s="3">
        <v>7318.3999999991938</v>
      </c>
      <c r="N68" s="3">
        <v>27833.120000031842</v>
      </c>
      <c r="O68" s="122">
        <v>23975.600000011007</v>
      </c>
      <c r="P68" s="122">
        <v>1346.7400000006844</v>
      </c>
      <c r="Q68" s="122">
        <v>171.4380342019671</v>
      </c>
      <c r="R68" s="122">
        <v>4588.9400000008809</v>
      </c>
      <c r="S68" s="122">
        <v>3183.3799999986809</v>
      </c>
      <c r="T68" s="122">
        <v>1008.9400000003277</v>
      </c>
      <c r="U68" s="122">
        <v>419.22999999996358</v>
      </c>
      <c r="V68" s="122">
        <v>11479.940000005454</v>
      </c>
      <c r="W68" s="122">
        <v>1499.983333332802</v>
      </c>
      <c r="X68" s="122">
        <v>1416.6499999990267</v>
      </c>
      <c r="Y68" s="122">
        <v>541.66666666660728</v>
      </c>
      <c r="Z68" s="122">
        <v>333.3333333334636</v>
      </c>
      <c r="AA68" s="122">
        <v>1000.0000000020067</v>
      </c>
      <c r="AB68" s="122">
        <v>1499.999999998952</v>
      </c>
      <c r="AC68" s="122">
        <v>1000.0000000020067</v>
      </c>
      <c r="AD68" s="122">
        <v>1499.999999998952</v>
      </c>
      <c r="AE68" s="122">
        <v>6281.3568985169541</v>
      </c>
      <c r="AF68" s="122">
        <v>363.97034704450363</v>
      </c>
      <c r="AG68" s="122">
        <v>19433.336491990569</v>
      </c>
      <c r="AH68" s="122">
        <v>5310.4759095030886</v>
      </c>
      <c r="AI68" s="122">
        <v>8333.3500000013701</v>
      </c>
      <c r="AJ68" s="122">
        <v>38999.999998983854</v>
      </c>
      <c r="AK68" s="122">
        <v>15864.246446422736</v>
      </c>
      <c r="AL68" s="122">
        <v>14531.435349939007</v>
      </c>
      <c r="AM68" s="122">
        <v>24160.880683190011</v>
      </c>
      <c r="AN68" s="122">
        <v>6479.2704709967138</v>
      </c>
      <c r="AO68" s="122">
        <v>2491.9999999997158</v>
      </c>
      <c r="AP68" s="122">
        <v>378.87777777775057</v>
      </c>
      <c r="AQ68" s="122">
        <v>2250.0166666667183</v>
      </c>
      <c r="AR68" s="122">
        <v>22561.397125702344</v>
      </c>
      <c r="AS68" s="122">
        <v>33119.26666579811</v>
      </c>
      <c r="AT68" s="122">
        <v>112864.8052837165</v>
      </c>
      <c r="AU68" s="122">
        <v>113214.2319254617</v>
      </c>
      <c r="AV68" s="122">
        <v>123347.60453607429</v>
      </c>
      <c r="AW68" s="122">
        <v>4644.9719008195216</v>
      </c>
      <c r="AX68" s="122">
        <v>45607.79659934176</v>
      </c>
      <c r="AY68" s="122">
        <v>3601.809954750715</v>
      </c>
      <c r="AZ68" s="122">
        <v>593.84635570418845</v>
      </c>
      <c r="BA68" s="122">
        <v>1945.2411862459342</v>
      </c>
      <c r="BB68" s="122">
        <v>2166.6666666676529</v>
      </c>
      <c r="BC68" s="122">
        <v>16199.99999897049</v>
      </c>
      <c r="BD68" s="122">
        <v>1313.5878449849438</v>
      </c>
      <c r="BE68" s="122">
        <v>1199.3873514796464</v>
      </c>
      <c r="BF68" s="122">
        <v>916.6833333329123</v>
      </c>
      <c r="BG68" s="122">
        <v>12296.800000006155</v>
      </c>
    </row>
    <row r="69" spans="1:59" x14ac:dyDescent="0.25">
      <c r="A69" s="1">
        <v>33238.999305555553</v>
      </c>
      <c r="B69" s="3">
        <v>2494.0200000010741</v>
      </c>
      <c r="C69" s="3">
        <v>3493.7000000005241</v>
      </c>
      <c r="D69" s="3">
        <v>4522.2400000005764</v>
      </c>
      <c r="E69" s="3">
        <v>10740.699999997816</v>
      </c>
      <c r="F69" s="3">
        <v>1993.3600000002282</v>
      </c>
      <c r="G69" s="3">
        <v>4668.8200000030756</v>
      </c>
      <c r="H69" s="3">
        <v>541.99999999993759</v>
      </c>
      <c r="I69" s="3">
        <v>4166.6500000021297</v>
      </c>
      <c r="J69" s="3">
        <v>4166.6500000021233</v>
      </c>
      <c r="K69" s="3">
        <v>17934.039516187549</v>
      </c>
      <c r="L69" s="3">
        <v>1800.0000000000025</v>
      </c>
      <c r="M69" s="3">
        <v>7318.3999999991938</v>
      </c>
      <c r="N69" s="3">
        <v>27833.120000031842</v>
      </c>
      <c r="O69" s="122">
        <v>23975.600000011007</v>
      </c>
      <c r="P69" s="122">
        <v>1346.7400000006844</v>
      </c>
      <c r="Q69" s="122">
        <v>28.493999999984545</v>
      </c>
      <c r="R69" s="122">
        <v>4588.9400000008809</v>
      </c>
      <c r="S69" s="122">
        <v>3183.3799999986809</v>
      </c>
      <c r="T69" s="122">
        <v>1008.9400000003277</v>
      </c>
      <c r="U69" s="122">
        <v>419.22999999996358</v>
      </c>
      <c r="V69" s="122">
        <v>11479.940000005454</v>
      </c>
      <c r="W69" s="122">
        <v>1499.983333332802</v>
      </c>
      <c r="X69" s="122">
        <v>1416.6499999990267</v>
      </c>
      <c r="Y69" s="122">
        <v>541.66666666660728</v>
      </c>
      <c r="Z69" s="122">
        <v>333.3333333334636</v>
      </c>
      <c r="AA69" s="122">
        <v>1000.0000000020067</v>
      </c>
      <c r="AB69" s="122">
        <v>1499.999999998952</v>
      </c>
      <c r="AC69" s="122">
        <v>1000.0000000020067</v>
      </c>
      <c r="AD69" s="122">
        <v>1499.999999998952</v>
      </c>
      <c r="AE69" s="122">
        <v>5704.1049030780196</v>
      </c>
      <c r="AF69" s="122">
        <v>326.5761333070555</v>
      </c>
      <c r="AG69" s="122">
        <v>17162.892068604117</v>
      </c>
      <c r="AH69" s="122">
        <v>4616.2866566473504</v>
      </c>
      <c r="AI69" s="122">
        <v>8333.3500000013701</v>
      </c>
      <c r="AJ69" s="122">
        <v>38999.999998983854</v>
      </c>
      <c r="AK69" s="122">
        <v>15864.246446422736</v>
      </c>
      <c r="AL69" s="122">
        <v>12896.797153023424</v>
      </c>
      <c r="AM69" s="122">
        <v>24160.880683190004</v>
      </c>
      <c r="AN69" s="122">
        <v>5856.9145435736391</v>
      </c>
      <c r="AO69" s="122">
        <v>1981.9999999997724</v>
      </c>
      <c r="AP69" s="122">
        <v>378.87777777775057</v>
      </c>
      <c r="AQ69" s="122">
        <v>2250.0166666667183</v>
      </c>
      <c r="AR69" s="122">
        <v>20220.120065487947</v>
      </c>
      <c r="AS69" s="122">
        <v>33119.26666579811</v>
      </c>
      <c r="AT69" s="122">
        <v>105131.98543787062</v>
      </c>
      <c r="AU69" s="122">
        <v>105457.47146089781</v>
      </c>
      <c r="AV69" s="122">
        <v>114896.56612869467</v>
      </c>
      <c r="AW69" s="122">
        <v>4644.9719008195216</v>
      </c>
      <c r="AX69" s="122">
        <v>40980.415478528237</v>
      </c>
      <c r="AY69" s="122">
        <v>2698.6425339363414</v>
      </c>
      <c r="AZ69" s="122">
        <v>532.83474381676899</v>
      </c>
      <c r="BA69" s="122">
        <v>1747.8764150481657</v>
      </c>
      <c r="BB69" s="122">
        <v>2166.6666666676529</v>
      </c>
      <c r="BC69" s="122">
        <v>16199.99999897049</v>
      </c>
      <c r="BD69" s="122">
        <v>1163.5734205210699</v>
      </c>
      <c r="BE69" s="122">
        <v>1077.6971405813717</v>
      </c>
      <c r="BF69" s="122">
        <v>916.6833333329123</v>
      </c>
      <c r="BG69" s="122">
        <v>12296.800000006155</v>
      </c>
    </row>
    <row r="70" spans="1:59" x14ac:dyDescent="0.25">
      <c r="A70" s="1">
        <v>33603.999305555553</v>
      </c>
      <c r="B70" s="3">
        <v>2494.0200000010741</v>
      </c>
      <c r="C70" s="3">
        <v>3493.7000000005241</v>
      </c>
      <c r="D70" s="3">
        <v>4522.2400000005764</v>
      </c>
      <c r="E70" s="3">
        <v>10740.699999997816</v>
      </c>
      <c r="F70" s="3">
        <v>1993.3600000002282</v>
      </c>
      <c r="G70" s="3">
        <v>4668.8200000030756</v>
      </c>
      <c r="H70" s="3">
        <v>543.9999999999377</v>
      </c>
      <c r="I70" s="3">
        <v>4166.6500000021297</v>
      </c>
      <c r="J70" s="3">
        <v>4166.6500000021233</v>
      </c>
      <c r="K70" s="3">
        <v>18129.366689202328</v>
      </c>
      <c r="L70" s="3">
        <v>1800.0000000000007</v>
      </c>
      <c r="M70" s="3">
        <v>7318.3999999991938</v>
      </c>
      <c r="N70" s="3">
        <v>27833.120000031842</v>
      </c>
      <c r="O70" s="122">
        <v>23975.600000011007</v>
      </c>
      <c r="P70" s="122">
        <v>1346.7400000006844</v>
      </c>
      <c r="Q70" s="122">
        <v>0</v>
      </c>
      <c r="R70" s="122">
        <v>4588.9400000008809</v>
      </c>
      <c r="S70" s="122">
        <v>3183.3799999986809</v>
      </c>
      <c r="T70" s="122">
        <v>1008.9400000003277</v>
      </c>
      <c r="U70" s="122">
        <v>419.22999999996358</v>
      </c>
      <c r="V70" s="122">
        <v>11479.940000005454</v>
      </c>
      <c r="W70" s="122">
        <v>1499.983333332802</v>
      </c>
      <c r="X70" s="122">
        <v>1416.6499999990267</v>
      </c>
      <c r="Y70" s="122">
        <v>541.66666666660728</v>
      </c>
      <c r="Z70" s="122">
        <v>333.3333333334636</v>
      </c>
      <c r="AA70" s="122">
        <v>1000.0000000020067</v>
      </c>
      <c r="AB70" s="122">
        <v>1499.999999998952</v>
      </c>
      <c r="AC70" s="122">
        <v>1000.0000000020067</v>
      </c>
      <c r="AD70" s="122">
        <v>1499.999999998952</v>
      </c>
      <c r="AE70" s="122">
        <v>5500.285062713162</v>
      </c>
      <c r="AF70" s="122">
        <v>333.55638653804505</v>
      </c>
      <c r="AG70" s="122">
        <v>16950.630152561302</v>
      </c>
      <c r="AH70" s="122">
        <v>4662.575969817035</v>
      </c>
      <c r="AI70" s="122">
        <v>8333.3500000013701</v>
      </c>
      <c r="AJ70" s="122">
        <v>38999.999998983854</v>
      </c>
      <c r="AK70" s="122">
        <v>15864.246446422736</v>
      </c>
      <c r="AL70" s="122">
        <v>13002.37247923931</v>
      </c>
      <c r="AM70" s="122">
        <v>24160.88068319</v>
      </c>
      <c r="AN70" s="122">
        <v>6016.7340415523786</v>
      </c>
      <c r="AO70" s="122">
        <v>2021.9999999997658</v>
      </c>
      <c r="AP70" s="122">
        <v>378.87777777775057</v>
      </c>
      <c r="AQ70" s="122">
        <v>2250.0166666667183</v>
      </c>
      <c r="AR70" s="122">
        <v>20753.138075311414</v>
      </c>
      <c r="AS70" s="122">
        <v>33119.26666579811</v>
      </c>
      <c r="AT70" s="122">
        <v>103603.60487753169</v>
      </c>
      <c r="AU70" s="122">
        <v>103924.35907219919</v>
      </c>
      <c r="AV70" s="122">
        <v>113226.23071754977</v>
      </c>
      <c r="AW70" s="122">
        <v>4644.9719008195216</v>
      </c>
      <c r="AX70" s="122">
        <v>41913.151577573495</v>
      </c>
      <c r="AY70" s="122">
        <v>2832.5791855200368</v>
      </c>
      <c r="AZ70" s="122">
        <v>544.2235780357571</v>
      </c>
      <c r="BA70" s="122">
        <v>1787.6590138810066</v>
      </c>
      <c r="BB70" s="122">
        <v>2166.6666666676529</v>
      </c>
      <c r="BC70" s="122">
        <v>16199.99999897049</v>
      </c>
      <c r="BD70" s="122">
        <v>1175.1129916336752</v>
      </c>
      <c r="BE70" s="122">
        <v>1102.2261019186419</v>
      </c>
      <c r="BF70" s="122">
        <v>916.6833333329123</v>
      </c>
      <c r="BG70" s="122">
        <v>12296.800000006155</v>
      </c>
    </row>
    <row r="71" spans="1:59" x14ac:dyDescent="0.25">
      <c r="A71" s="1">
        <v>33969.999305555553</v>
      </c>
      <c r="B71" s="3">
        <v>2494.0200000010741</v>
      </c>
      <c r="C71" s="3">
        <v>3493.7000000005241</v>
      </c>
      <c r="D71" s="3">
        <v>4522.2400000005764</v>
      </c>
      <c r="E71" s="3">
        <v>10740.699999997816</v>
      </c>
      <c r="F71" s="3">
        <v>1993.3600000002282</v>
      </c>
      <c r="G71" s="3">
        <v>4668.8200000030765</v>
      </c>
      <c r="H71" s="3">
        <v>535.99999999993781</v>
      </c>
      <c r="I71" s="3">
        <v>4166.6500000021306</v>
      </c>
      <c r="J71" s="3">
        <v>4166.6500000021233</v>
      </c>
      <c r="K71" s="3">
        <v>17747.727443465756</v>
      </c>
      <c r="L71" s="3">
        <v>1800</v>
      </c>
      <c r="M71" s="3">
        <v>7318.3999999991929</v>
      </c>
      <c r="N71" s="3">
        <v>27833.120000031842</v>
      </c>
      <c r="O71" s="122">
        <v>23975.600000011007</v>
      </c>
      <c r="P71" s="122">
        <v>1346.7400000006844</v>
      </c>
      <c r="Q71" s="122">
        <v>0</v>
      </c>
      <c r="R71" s="122">
        <v>4588.9400000008809</v>
      </c>
      <c r="S71" s="122">
        <v>3183.3799999986809</v>
      </c>
      <c r="T71" s="122">
        <v>1008.9400000003277</v>
      </c>
      <c r="U71" s="122">
        <v>419.22999999996358</v>
      </c>
      <c r="V71" s="122">
        <v>11479.940000005452</v>
      </c>
      <c r="W71" s="122">
        <v>1499.9833333328022</v>
      </c>
      <c r="X71" s="122">
        <v>1416.6499999990265</v>
      </c>
      <c r="Y71" s="122">
        <v>541.6666666666074</v>
      </c>
      <c r="Z71" s="122">
        <v>333.33333333346354</v>
      </c>
      <c r="AA71" s="122">
        <v>1000.0000000020035</v>
      </c>
      <c r="AB71" s="122">
        <v>1499.9999999989695</v>
      </c>
      <c r="AC71" s="122">
        <v>1000.0000000020035</v>
      </c>
      <c r="AD71" s="122">
        <v>1499.9999999989695</v>
      </c>
      <c r="AE71" s="122">
        <v>5344.9258836938034</v>
      </c>
      <c r="AF71" s="122">
        <v>321.59023814206176</v>
      </c>
      <c r="AG71" s="122">
        <v>15993.556334689723</v>
      </c>
      <c r="AH71" s="122">
        <v>4639.9999999994652</v>
      </c>
      <c r="AI71" s="122">
        <v>8333.3500000013719</v>
      </c>
      <c r="AJ71" s="122">
        <v>38999.999998983862</v>
      </c>
      <c r="AK71" s="122">
        <v>15864.246446422714</v>
      </c>
      <c r="AL71" s="122">
        <v>12818.505338076822</v>
      </c>
      <c r="AM71" s="122">
        <v>24160.880683190007</v>
      </c>
      <c r="AN71" s="122">
        <v>5287.2050390141503</v>
      </c>
      <c r="AO71" s="122">
        <v>1923.9999999997779</v>
      </c>
      <c r="AP71" s="122">
        <v>378.87777777775057</v>
      </c>
      <c r="AQ71" s="122">
        <v>2250.0166666667183</v>
      </c>
      <c r="AR71" s="122">
        <v>19959.978169908562</v>
      </c>
      <c r="AS71" s="122">
        <v>33105.778642042722</v>
      </c>
      <c r="AT71" s="122">
        <v>97483.83945688972</v>
      </c>
      <c r="AU71" s="122">
        <v>97785.647009388238</v>
      </c>
      <c r="AV71" s="122">
        <v>106538.06603183306</v>
      </c>
      <c r="AW71" s="122">
        <v>4657.697851232725</v>
      </c>
      <c r="AX71" s="122">
        <v>40529.040648871771</v>
      </c>
      <c r="AY71" s="122">
        <v>2962.8959276014707</v>
      </c>
      <c r="AZ71" s="122">
        <v>524.69986223178398</v>
      </c>
      <c r="BA71" s="122">
        <v>1728.6245990309224</v>
      </c>
      <c r="BB71" s="122">
        <v>2166.6666666676529</v>
      </c>
      <c r="BC71" s="122">
        <v>16199.999998970494</v>
      </c>
      <c r="BD71" s="122">
        <v>1155.8803731126661</v>
      </c>
      <c r="BE71" s="122">
        <v>1065.8269494773776</v>
      </c>
      <c r="BF71" s="122">
        <v>916.68333333291218</v>
      </c>
      <c r="BG71" s="122">
        <v>12296.800000006155</v>
      </c>
    </row>
    <row r="72" spans="1:59" x14ac:dyDescent="0.25">
      <c r="A72" s="1">
        <v>34334.999305555553</v>
      </c>
      <c r="B72" s="3">
        <v>2494.0200000010741</v>
      </c>
      <c r="C72" s="3">
        <v>3493.7000000005241</v>
      </c>
      <c r="D72" s="3">
        <v>4522.2400000005764</v>
      </c>
      <c r="E72" s="3">
        <v>10740.699999997816</v>
      </c>
      <c r="F72" s="3">
        <v>1993.3600000002282</v>
      </c>
      <c r="G72" s="3">
        <v>4668.8200000030756</v>
      </c>
      <c r="H72" s="3">
        <v>545.9999999999369</v>
      </c>
      <c r="I72" s="3">
        <v>4166.6500000021297</v>
      </c>
      <c r="J72" s="3">
        <v>4166.6500000021233</v>
      </c>
      <c r="K72" s="3">
        <v>18117.346555478351</v>
      </c>
      <c r="L72" s="3">
        <v>1800.0000000000002</v>
      </c>
      <c r="M72" s="3">
        <v>7318.3999999991938</v>
      </c>
      <c r="N72" s="3">
        <v>27833.120000031842</v>
      </c>
      <c r="O72" s="122">
        <v>23975.600000011007</v>
      </c>
      <c r="P72" s="122">
        <v>1346.7400000006844</v>
      </c>
      <c r="Q72" s="122">
        <v>0</v>
      </c>
      <c r="R72" s="122">
        <v>4588.9400000008809</v>
      </c>
      <c r="S72" s="122">
        <v>3183.3799999986809</v>
      </c>
      <c r="T72" s="122">
        <v>1008.9400000003277</v>
      </c>
      <c r="U72" s="122">
        <v>419.22999999996358</v>
      </c>
      <c r="V72" s="122">
        <v>11479.940000005454</v>
      </c>
      <c r="W72" s="122">
        <v>1499.983333332802</v>
      </c>
      <c r="X72" s="122">
        <v>1416.6499999990267</v>
      </c>
      <c r="Y72" s="122">
        <v>541.66666666660728</v>
      </c>
      <c r="Z72" s="122">
        <v>333.3333333334636</v>
      </c>
      <c r="AA72" s="122">
        <v>1000.0000000020067</v>
      </c>
      <c r="AB72" s="122">
        <v>1499.999999998952</v>
      </c>
      <c r="AC72" s="122">
        <v>1000.0000000020067</v>
      </c>
      <c r="AD72" s="122">
        <v>1499.999999998952</v>
      </c>
      <c r="AE72" s="122">
        <v>5299.3158494862791</v>
      </c>
      <c r="AF72" s="122">
        <v>328.57049137305103</v>
      </c>
      <c r="AG72" s="122">
        <v>15660.001895193884</v>
      </c>
      <c r="AH72" s="122">
        <v>4460.2465149421369</v>
      </c>
      <c r="AI72" s="122">
        <v>8333.3500000013701</v>
      </c>
      <c r="AJ72" s="122">
        <v>38999.999998983854</v>
      </c>
      <c r="AK72" s="122">
        <v>15864.246446422736</v>
      </c>
      <c r="AL72" s="122">
        <v>13016.607354684154</v>
      </c>
      <c r="AM72" s="122">
        <v>24160.880683189982</v>
      </c>
      <c r="AN72" s="122">
        <v>5616.2451819115504</v>
      </c>
      <c r="AO72" s="122">
        <v>1965.9999999997747</v>
      </c>
      <c r="AP72" s="122">
        <v>378.87777777775057</v>
      </c>
      <c r="AQ72" s="122">
        <v>2250.0166666667183</v>
      </c>
      <c r="AR72" s="122">
        <v>20387.484082224317</v>
      </c>
      <c r="AS72" s="122">
        <v>33119.26666579811</v>
      </c>
      <c r="AT72" s="122">
        <v>101993.83682502907</v>
      </c>
      <c r="AU72" s="122">
        <v>102309.60721767638</v>
      </c>
      <c r="AV72" s="122">
        <v>111466.94860444333</v>
      </c>
      <c r="AW72" s="122">
        <v>4644.9719008195216</v>
      </c>
      <c r="AX72" s="122">
        <v>41177.694687294097</v>
      </c>
      <c r="AY72" s="122">
        <v>3044.3438914023654</v>
      </c>
      <c r="AZ72" s="122">
        <v>536.0886964507672</v>
      </c>
      <c r="BA72" s="122">
        <v>1756.2906703004599</v>
      </c>
      <c r="BB72" s="122">
        <v>2166.6666666676529</v>
      </c>
      <c r="BC72" s="122">
        <v>16199.99999897049</v>
      </c>
      <c r="BD72" s="122">
        <v>1173.1897297815744</v>
      </c>
      <c r="BE72" s="122">
        <v>1082.8851611687808</v>
      </c>
      <c r="BF72" s="122">
        <v>916.6833333329123</v>
      </c>
      <c r="BG72" s="122">
        <v>12296.800000006155</v>
      </c>
    </row>
    <row r="73" spans="1:59" x14ac:dyDescent="0.25">
      <c r="A73" s="1">
        <v>34699.999305555553</v>
      </c>
      <c r="B73" s="3">
        <v>2494.0200000010741</v>
      </c>
      <c r="C73" s="3">
        <v>3493.7000000005241</v>
      </c>
      <c r="D73" s="3">
        <v>4522.2400000005764</v>
      </c>
      <c r="E73" s="3">
        <v>10740.699999997816</v>
      </c>
      <c r="F73" s="3">
        <v>1993.3600000002282</v>
      </c>
      <c r="G73" s="3">
        <v>4668.8200000030756</v>
      </c>
      <c r="H73" s="3">
        <v>615.99999999992906</v>
      </c>
      <c r="I73" s="3">
        <v>4166.6500000021297</v>
      </c>
      <c r="J73" s="3">
        <v>4166.6500000021233</v>
      </c>
      <c r="K73" s="3">
        <v>20458.267598224684</v>
      </c>
      <c r="L73" s="3">
        <v>1799.9999999999995</v>
      </c>
      <c r="M73" s="3">
        <v>7318.3999999991938</v>
      </c>
      <c r="N73" s="3">
        <v>27833.120000031842</v>
      </c>
      <c r="O73" s="122">
        <v>23975.600000011007</v>
      </c>
      <c r="P73" s="122">
        <v>1346.7400000006844</v>
      </c>
      <c r="Q73" s="122">
        <v>54.707096774256527</v>
      </c>
      <c r="R73" s="122">
        <v>4588.9400000008809</v>
      </c>
      <c r="S73" s="122">
        <v>3183.3799999986809</v>
      </c>
      <c r="T73" s="122">
        <v>1008.9400000003277</v>
      </c>
      <c r="U73" s="122">
        <v>419.22999999996358</v>
      </c>
      <c r="V73" s="122">
        <v>11479.940000005454</v>
      </c>
      <c r="W73" s="122">
        <v>1499.983333332802</v>
      </c>
      <c r="X73" s="122">
        <v>1416.6499999990267</v>
      </c>
      <c r="Y73" s="122">
        <v>541.66666666660728</v>
      </c>
      <c r="Z73" s="122">
        <v>333.3333333334636</v>
      </c>
      <c r="AA73" s="122">
        <v>1000.0000000020067</v>
      </c>
      <c r="AB73" s="122">
        <v>1499.999999998952</v>
      </c>
      <c r="AC73" s="122">
        <v>1000.0000000020067</v>
      </c>
      <c r="AD73" s="122">
        <v>1499.999999998952</v>
      </c>
      <c r="AE73" s="122">
        <v>5940.7069555295375</v>
      </c>
      <c r="AF73" s="122">
        <v>362.97316801150436</v>
      </c>
      <c r="AG73" s="122">
        <v>18741.590069172486</v>
      </c>
      <c r="AH73" s="122">
        <v>4808.3185423195619</v>
      </c>
      <c r="AI73" s="122">
        <v>8333.3500000013701</v>
      </c>
      <c r="AJ73" s="122">
        <v>38999.999998983854</v>
      </c>
      <c r="AK73" s="122">
        <v>15864.246446422732</v>
      </c>
      <c r="AL73" s="122">
        <v>14722.419928823932</v>
      </c>
      <c r="AM73" s="122">
        <v>24160.880683189993</v>
      </c>
      <c r="AN73" s="122">
        <v>6432.2647362970893</v>
      </c>
      <c r="AO73" s="122">
        <v>2445.9999999997194</v>
      </c>
      <c r="AP73" s="122">
        <v>378.87777777775057</v>
      </c>
      <c r="AQ73" s="122">
        <v>2250.0166666667183</v>
      </c>
      <c r="AR73" s="122">
        <v>22484.991813713976</v>
      </c>
      <c r="AS73" s="122">
        <v>33119.26666579811</v>
      </c>
      <c r="AT73" s="122">
        <v>116455.05820696842</v>
      </c>
      <c r="AU73" s="122">
        <v>116815.60018284121</v>
      </c>
      <c r="AV73" s="122">
        <v>127271.31748315727</v>
      </c>
      <c r="AW73" s="122">
        <v>4644.9719008195216</v>
      </c>
      <c r="AX73" s="122">
        <v>45404.204455895357</v>
      </c>
      <c r="AY73" s="122">
        <v>3905.8823529407277</v>
      </c>
      <c r="AZ73" s="122">
        <v>592.21937938719213</v>
      </c>
      <c r="BA73" s="122">
        <v>1936.5576748255678</v>
      </c>
      <c r="BB73" s="122">
        <v>2166.6666666676529</v>
      </c>
      <c r="BC73" s="122">
        <v>16199.99999897049</v>
      </c>
      <c r="BD73" s="122">
        <v>1327.0506779496488</v>
      </c>
      <c r="BE73" s="122">
        <v>1194.0333142334389</v>
      </c>
      <c r="BF73" s="122">
        <v>916.6833333329123</v>
      </c>
      <c r="BG73" s="122">
        <v>12296.800000006155</v>
      </c>
    </row>
    <row r="74" spans="1:59" x14ac:dyDescent="0.25">
      <c r="A74" s="1">
        <v>35064.999305555553</v>
      </c>
      <c r="B74" s="3">
        <v>2494.0200000010741</v>
      </c>
      <c r="C74" s="3">
        <v>3493.7000000005241</v>
      </c>
      <c r="D74" s="3">
        <v>4522.2400000005764</v>
      </c>
      <c r="E74" s="3">
        <v>10740.699999997816</v>
      </c>
      <c r="F74" s="3">
        <v>1993.3600000002282</v>
      </c>
      <c r="G74" s="3">
        <v>4668.8200000030756</v>
      </c>
      <c r="H74" s="3">
        <v>547.99999999993656</v>
      </c>
      <c r="I74" s="3">
        <v>4166.6500000021297</v>
      </c>
      <c r="J74" s="3">
        <v>4166.6500000021233</v>
      </c>
      <c r="K74" s="3">
        <v>18237.547892718208</v>
      </c>
      <c r="L74" s="3">
        <v>1800.0000000000011</v>
      </c>
      <c r="M74" s="3">
        <v>7318.3999999991938</v>
      </c>
      <c r="N74" s="3">
        <v>27833.120000031842</v>
      </c>
      <c r="O74" s="122">
        <v>23975.600000011007</v>
      </c>
      <c r="P74" s="122">
        <v>1346.7400000006844</v>
      </c>
      <c r="Q74" s="122">
        <v>0</v>
      </c>
      <c r="R74" s="122">
        <v>4588.9400000008809</v>
      </c>
      <c r="S74" s="122">
        <v>3183.3799999986809</v>
      </c>
      <c r="T74" s="122">
        <v>1008.9400000003277</v>
      </c>
      <c r="U74" s="122">
        <v>419.22999999996358</v>
      </c>
      <c r="V74" s="122">
        <v>11479.940000005454</v>
      </c>
      <c r="W74" s="122">
        <v>1499.983333332802</v>
      </c>
      <c r="X74" s="122">
        <v>1416.6499999990267</v>
      </c>
      <c r="Y74" s="122">
        <v>541.66666666660728</v>
      </c>
      <c r="Z74" s="122">
        <v>333.3333333334636</v>
      </c>
      <c r="AA74" s="122">
        <v>1000.0000000020067</v>
      </c>
      <c r="AB74" s="122">
        <v>1499.999999998952</v>
      </c>
      <c r="AC74" s="122">
        <v>1000.0000000020067</v>
      </c>
      <c r="AD74" s="122">
        <v>1499.999999998952</v>
      </c>
      <c r="AE74" s="122">
        <v>4994.2987457234858</v>
      </c>
      <c r="AF74" s="122">
        <v>324.58177524105685</v>
      </c>
      <c r="AG74" s="122">
        <v>17090.874632803865</v>
      </c>
      <c r="AH74" s="122">
        <v>4330.124165203064</v>
      </c>
      <c r="AI74" s="122">
        <v>8333.3500000013701</v>
      </c>
      <c r="AJ74" s="122">
        <v>38999.999998983854</v>
      </c>
      <c r="AK74" s="122">
        <v>15864.246446422709</v>
      </c>
      <c r="AL74" s="122">
        <v>12934.756820876333</v>
      </c>
      <c r="AM74" s="122">
        <v>24160.880683189975</v>
      </c>
      <c r="AN74" s="122">
        <v>5830.5913321418484</v>
      </c>
      <c r="AO74" s="122">
        <v>2231.9999999997431</v>
      </c>
      <c r="AP74" s="122">
        <v>378.87777777775057</v>
      </c>
      <c r="AQ74" s="122">
        <v>2250.0166666667183</v>
      </c>
      <c r="AR74" s="122">
        <v>20280.152810621639</v>
      </c>
      <c r="AS74" s="122">
        <v>33119.26666579811</v>
      </c>
      <c r="AT74" s="122">
        <v>99551.212841916655</v>
      </c>
      <c r="AU74" s="122">
        <v>99859.420931210014</v>
      </c>
      <c r="AV74" s="122">
        <v>108797.45552073201</v>
      </c>
      <c r="AW74" s="122">
        <v>4644.9719008195216</v>
      </c>
      <c r="AX74" s="122">
        <v>41335.518054306871</v>
      </c>
      <c r="AY74" s="122">
        <v>3333.9366515833285</v>
      </c>
      <c r="AZ74" s="122">
        <v>529.58079118277715</v>
      </c>
      <c r="BA74" s="122">
        <v>1763.0220745022932</v>
      </c>
      <c r="BB74" s="122">
        <v>2166.6666666676529</v>
      </c>
      <c r="BC74" s="122">
        <v>16199.99999897049</v>
      </c>
      <c r="BD74" s="122">
        <v>1182.8060390420806</v>
      </c>
      <c r="BE74" s="122">
        <v>1087.0355776387073</v>
      </c>
      <c r="BF74" s="122">
        <v>916.6833333329123</v>
      </c>
      <c r="BG74" s="122">
        <v>12296.800000006155</v>
      </c>
    </row>
    <row r="75" spans="1:59" x14ac:dyDescent="0.25">
      <c r="A75" s="1">
        <v>35430.999305555553</v>
      </c>
      <c r="B75" s="3">
        <v>2494.0200000010741</v>
      </c>
      <c r="C75" s="3">
        <v>3493.7000000005241</v>
      </c>
      <c r="D75" s="3">
        <v>4522.2400000005764</v>
      </c>
      <c r="E75" s="3">
        <v>10740.699999997816</v>
      </c>
      <c r="F75" s="3">
        <v>1993.3600000002282</v>
      </c>
      <c r="G75" s="3">
        <v>4668.8200000030765</v>
      </c>
      <c r="H75" s="3">
        <v>603.99999999993133</v>
      </c>
      <c r="I75" s="3">
        <v>4166.6500000021306</v>
      </c>
      <c r="J75" s="3">
        <v>4166.6500000021233</v>
      </c>
      <c r="K75" s="3">
        <v>20105.17617008257</v>
      </c>
      <c r="L75" s="3">
        <v>1799.999999999998</v>
      </c>
      <c r="M75" s="3">
        <v>7318.3999999991929</v>
      </c>
      <c r="N75" s="3">
        <v>27833.120000031842</v>
      </c>
      <c r="O75" s="122">
        <v>23975.600000011007</v>
      </c>
      <c r="P75" s="122">
        <v>1346.7400000006844</v>
      </c>
      <c r="Q75" s="122">
        <v>583.80152688215708</v>
      </c>
      <c r="R75" s="122">
        <v>4588.9400000008809</v>
      </c>
      <c r="S75" s="122">
        <v>3183.3799999986809</v>
      </c>
      <c r="T75" s="122">
        <v>1008.9400000003277</v>
      </c>
      <c r="U75" s="122">
        <v>419.22999999996358</v>
      </c>
      <c r="V75" s="122">
        <v>11479.940000005452</v>
      </c>
      <c r="W75" s="122">
        <v>1499.9833333328022</v>
      </c>
      <c r="X75" s="122">
        <v>1416.6499999990265</v>
      </c>
      <c r="Y75" s="122">
        <v>541.6666666666074</v>
      </c>
      <c r="Z75" s="122">
        <v>333.33333333346354</v>
      </c>
      <c r="AA75" s="122">
        <v>1000.0000000020035</v>
      </c>
      <c r="AB75" s="122">
        <v>1499.9999999989695</v>
      </c>
      <c r="AC75" s="122">
        <v>1000.0000000020035</v>
      </c>
      <c r="AD75" s="122">
        <v>1499.9999999989695</v>
      </c>
      <c r="AE75" s="122">
        <v>5602.9076396800838</v>
      </c>
      <c r="AF75" s="122">
        <v>367.46047366000033</v>
      </c>
      <c r="AG75" s="122">
        <v>19590.637733343709</v>
      </c>
      <c r="AH75" s="122">
        <v>4713.7486055604622</v>
      </c>
      <c r="AI75" s="122">
        <v>8333.3500000013719</v>
      </c>
      <c r="AJ75" s="122">
        <v>38999.999998983862</v>
      </c>
      <c r="AK75" s="122">
        <v>15864.246446422736</v>
      </c>
      <c r="AL75" s="122">
        <v>14403.32147093546</v>
      </c>
      <c r="AM75" s="122">
        <v>24160.880683189982</v>
      </c>
      <c r="AN75" s="122">
        <v>6522.5157469203714</v>
      </c>
      <c r="AO75" s="122">
        <v>2595.999999999699</v>
      </c>
      <c r="AP75" s="122">
        <v>378.87777777775057</v>
      </c>
      <c r="AQ75" s="122">
        <v>2250.0166666667183</v>
      </c>
      <c r="AR75" s="122">
        <v>22761.506276148019</v>
      </c>
      <c r="AS75" s="122">
        <v>33105.778642042722</v>
      </c>
      <c r="AT75" s="122">
        <v>109417.32233060048</v>
      </c>
      <c r="AU75" s="122">
        <v>109756.07565050885</v>
      </c>
      <c r="AV75" s="122">
        <v>119579.92192786913</v>
      </c>
      <c r="AW75" s="122">
        <v>4657.697851232725</v>
      </c>
      <c r="AX75" s="122">
        <v>45992.885614852858</v>
      </c>
      <c r="AY75" s="122">
        <v>3594.5701357461944</v>
      </c>
      <c r="AZ75" s="122">
        <v>599.5407728136812</v>
      </c>
      <c r="BA75" s="122">
        <v>1961.6658124984092</v>
      </c>
      <c r="BB75" s="122">
        <v>2166.6666666676529</v>
      </c>
      <c r="BC75" s="122">
        <v>16199.999998970494</v>
      </c>
      <c r="BD75" s="122">
        <v>1300.1250120202371</v>
      </c>
      <c r="BE75" s="122">
        <v>1209.5143676662667</v>
      </c>
      <c r="BF75" s="122">
        <v>916.68333333291218</v>
      </c>
      <c r="BG75" s="122">
        <v>12296.800000006155</v>
      </c>
    </row>
    <row r="76" spans="1:59" x14ac:dyDescent="0.25">
      <c r="A76" s="1">
        <v>35795.999305555553</v>
      </c>
      <c r="B76" s="3">
        <v>2494.0200000010741</v>
      </c>
      <c r="C76" s="3">
        <v>3493.7000000005241</v>
      </c>
      <c r="D76" s="3">
        <v>4522.2400000005764</v>
      </c>
      <c r="E76" s="3">
        <v>10740.699999997816</v>
      </c>
      <c r="F76" s="3">
        <v>1993.3600000002282</v>
      </c>
      <c r="G76" s="3">
        <v>4668.8200000030756</v>
      </c>
      <c r="H76" s="3">
        <v>475.9999999999452</v>
      </c>
      <c r="I76" s="3">
        <v>4166.6500000021297</v>
      </c>
      <c r="J76" s="3">
        <v>4166.6500000021233</v>
      </c>
      <c r="K76" s="3">
        <v>15968.747652315797</v>
      </c>
      <c r="L76" s="3">
        <v>1800.0000000000002</v>
      </c>
      <c r="M76" s="3">
        <v>7318.3999999991938</v>
      </c>
      <c r="N76" s="3">
        <v>27833.120000031842</v>
      </c>
      <c r="O76" s="122">
        <v>23975.600000011007</v>
      </c>
      <c r="P76" s="122">
        <v>1346.7400000006844</v>
      </c>
      <c r="Q76" s="122">
        <v>0</v>
      </c>
      <c r="R76" s="122">
        <v>4588.9400000008809</v>
      </c>
      <c r="S76" s="122">
        <v>3183.3799999986809</v>
      </c>
      <c r="T76" s="122">
        <v>1008.9400000003277</v>
      </c>
      <c r="U76" s="122">
        <v>419.22999999996358</v>
      </c>
      <c r="V76" s="122">
        <v>11479.940000005454</v>
      </c>
      <c r="W76" s="122">
        <v>1499.983333332802</v>
      </c>
      <c r="X76" s="122">
        <v>1416.6499999990267</v>
      </c>
      <c r="Y76" s="122">
        <v>541.66666666660728</v>
      </c>
      <c r="Z76" s="122">
        <v>333.3333333334636</v>
      </c>
      <c r="AA76" s="122">
        <v>1000.0000000020067</v>
      </c>
      <c r="AB76" s="122">
        <v>1499.999999998952</v>
      </c>
      <c r="AC76" s="122">
        <v>1000.0000000020067</v>
      </c>
      <c r="AD76" s="122">
        <v>1499.999999998952</v>
      </c>
      <c r="AE76" s="122">
        <v>4851.7673888249828</v>
      </c>
      <c r="AF76" s="122">
        <v>280.70589778911693</v>
      </c>
      <c r="AG76" s="122">
        <v>16812.280867997677</v>
      </c>
      <c r="AH76" s="122">
        <v>4191.999999999518</v>
      </c>
      <c r="AI76" s="122">
        <v>8333.3500000013701</v>
      </c>
      <c r="AJ76" s="122">
        <v>38999.999998983854</v>
      </c>
      <c r="AK76" s="122">
        <v>15864.246446422741</v>
      </c>
      <c r="AL76" s="122">
        <v>11353.499406878886</v>
      </c>
      <c r="AM76" s="122">
        <v>24160.880683190011</v>
      </c>
      <c r="AN76" s="122">
        <v>5612.4847231355761</v>
      </c>
      <c r="AO76" s="122">
        <v>2009.9999999997674</v>
      </c>
      <c r="AP76" s="122">
        <v>378.87777777775057</v>
      </c>
      <c r="AQ76" s="122">
        <v>2250.0166666667183</v>
      </c>
      <c r="AR76" s="122">
        <v>17356.740040019849</v>
      </c>
      <c r="AS76" s="122">
        <v>33119.26666579811</v>
      </c>
      <c r="AT76" s="122">
        <v>91914.957512049572</v>
      </c>
      <c r="AU76" s="122">
        <v>92199.523943975641</v>
      </c>
      <c r="AV76" s="122">
        <v>100451.95046982497</v>
      </c>
      <c r="AW76" s="122">
        <v>4644.9719008195216</v>
      </c>
      <c r="AX76" s="122">
        <v>35180.406740810009</v>
      </c>
      <c r="AY76" s="122">
        <v>2903.1674208141444</v>
      </c>
      <c r="AZ76" s="122">
        <v>457.99383323487439</v>
      </c>
      <c r="BA76" s="122">
        <v>1500.4973106307746</v>
      </c>
      <c r="BB76" s="122">
        <v>2166.6666666676529</v>
      </c>
      <c r="BC76" s="122">
        <v>16199.99999897049</v>
      </c>
      <c r="BD76" s="122">
        <v>1030.8683527261048</v>
      </c>
      <c r="BE76" s="122">
        <v>925.16933531153529</v>
      </c>
      <c r="BF76" s="122">
        <v>916.6833333329123</v>
      </c>
      <c r="BG76" s="122">
        <v>12296.800000006155</v>
      </c>
    </row>
    <row r="77" spans="1:59" x14ac:dyDescent="0.25">
      <c r="A77" s="1">
        <v>36160.999305555553</v>
      </c>
      <c r="B77" s="3">
        <v>2494.0200000010741</v>
      </c>
      <c r="C77" s="3">
        <v>3493.7000000005241</v>
      </c>
      <c r="D77" s="3">
        <v>4522.2400000005764</v>
      </c>
      <c r="E77" s="3">
        <v>10740.699999997816</v>
      </c>
      <c r="F77" s="3">
        <v>1993.3600000002282</v>
      </c>
      <c r="G77" s="3">
        <v>4668.8200000030756</v>
      </c>
      <c r="H77" s="3">
        <v>527.99999999993952</v>
      </c>
      <c r="I77" s="3">
        <v>4166.6500000021297</v>
      </c>
      <c r="J77" s="3">
        <v>4166.6500000021233</v>
      </c>
      <c r="K77" s="3">
        <v>17589.963188338446</v>
      </c>
      <c r="L77" s="3">
        <v>1799.9999999999989</v>
      </c>
      <c r="M77" s="3">
        <v>7318.3999999991938</v>
      </c>
      <c r="N77" s="3">
        <v>27833.120000031842</v>
      </c>
      <c r="O77" s="122">
        <v>23975.600000011007</v>
      </c>
      <c r="P77" s="122">
        <v>1346.7400000006844</v>
      </c>
      <c r="Q77" s="122">
        <v>0</v>
      </c>
      <c r="R77" s="122">
        <v>4588.9400000008809</v>
      </c>
      <c r="S77" s="122">
        <v>3183.3799999986809</v>
      </c>
      <c r="T77" s="122">
        <v>1008.9400000003277</v>
      </c>
      <c r="U77" s="122">
        <v>419.22999999996358</v>
      </c>
      <c r="V77" s="122">
        <v>11479.940000005454</v>
      </c>
      <c r="W77" s="122">
        <v>1499.983333332802</v>
      </c>
      <c r="X77" s="122">
        <v>1416.6499999990267</v>
      </c>
      <c r="Y77" s="122">
        <v>541.66666666660728</v>
      </c>
      <c r="Z77" s="122">
        <v>333.3333333334636</v>
      </c>
      <c r="AA77" s="122">
        <v>1000.0000000020067</v>
      </c>
      <c r="AB77" s="122">
        <v>1499.999999998952</v>
      </c>
      <c r="AC77" s="122">
        <v>1000.0000000020067</v>
      </c>
      <c r="AD77" s="122">
        <v>1499.999999998952</v>
      </c>
      <c r="AE77" s="122">
        <v>5313.5689851761263</v>
      </c>
      <c r="AF77" s="122">
        <v>325.57895427405526</v>
      </c>
      <c r="AG77" s="122">
        <v>17596.891879084498</v>
      </c>
      <c r="AH77" s="122">
        <v>4580.8015239536016</v>
      </c>
      <c r="AI77" s="122">
        <v>8333.3500000013701</v>
      </c>
      <c r="AJ77" s="122">
        <v>38999.999998983854</v>
      </c>
      <c r="AK77" s="122">
        <v>15864.246446422723</v>
      </c>
      <c r="AL77" s="122">
        <v>12648.873072359171</v>
      </c>
      <c r="AM77" s="122">
        <v>24160.880683190015</v>
      </c>
      <c r="AN77" s="122">
        <v>6065.6200056399848</v>
      </c>
      <c r="AO77" s="122">
        <v>2439.999999999719</v>
      </c>
      <c r="AP77" s="122">
        <v>378.87777777775057</v>
      </c>
      <c r="AQ77" s="122">
        <v>2250.0166666667183</v>
      </c>
      <c r="AR77" s="122">
        <v>20209.205020918194</v>
      </c>
      <c r="AS77" s="122">
        <v>33119.26666579811</v>
      </c>
      <c r="AT77" s="122">
        <v>104481.68324688192</v>
      </c>
      <c r="AU77" s="122">
        <v>104805.15595043253</v>
      </c>
      <c r="AV77" s="122">
        <v>114185.86435340295</v>
      </c>
      <c r="AW77" s="122">
        <v>4644.9719008195216</v>
      </c>
      <c r="AX77" s="122">
        <v>40761.040998380493</v>
      </c>
      <c r="AY77" s="122">
        <v>3181.9004524883208</v>
      </c>
      <c r="AZ77" s="122">
        <v>531.20776749977426</v>
      </c>
      <c r="BA77" s="122">
        <v>1738.5197632076197</v>
      </c>
      <c r="BB77" s="122">
        <v>2166.6666666676529</v>
      </c>
      <c r="BC77" s="122">
        <v>16199.99999897049</v>
      </c>
      <c r="BD77" s="122">
        <v>1138.5710164437576</v>
      </c>
      <c r="BE77" s="122">
        <v>1071.928061688172</v>
      </c>
      <c r="BF77" s="122">
        <v>916.6833333329123</v>
      </c>
      <c r="BG77" s="122">
        <v>12296.800000006155</v>
      </c>
    </row>
    <row r="78" spans="1:59" x14ac:dyDescent="0.25">
      <c r="A78" s="1">
        <v>36525.999305555553</v>
      </c>
      <c r="B78" s="3">
        <v>2494.0200000010741</v>
      </c>
      <c r="C78" s="3">
        <v>3493.7000000005241</v>
      </c>
      <c r="D78" s="3">
        <v>4522.2400000005764</v>
      </c>
      <c r="E78" s="3">
        <v>10740.699999997816</v>
      </c>
      <c r="F78" s="3">
        <v>1993.3600000002282</v>
      </c>
      <c r="G78" s="3">
        <v>4668.8200000030756</v>
      </c>
      <c r="H78" s="3">
        <v>501.9999999999427</v>
      </c>
      <c r="I78" s="3">
        <v>4166.6500000021297</v>
      </c>
      <c r="J78" s="3">
        <v>4166.6500000021233</v>
      </c>
      <c r="K78" s="3">
        <v>16689.955675754965</v>
      </c>
      <c r="L78" s="3">
        <v>1800.0000000000025</v>
      </c>
      <c r="M78" s="3">
        <v>7318.3999999991938</v>
      </c>
      <c r="N78" s="3">
        <v>27833.120000031842</v>
      </c>
      <c r="O78" s="122">
        <v>23975.600000011007</v>
      </c>
      <c r="P78" s="122">
        <v>1346.7400000006844</v>
      </c>
      <c r="Q78" s="122">
        <v>0</v>
      </c>
      <c r="R78" s="122">
        <v>4588.9400000008809</v>
      </c>
      <c r="S78" s="122">
        <v>3183.3799999986809</v>
      </c>
      <c r="T78" s="122">
        <v>1008.9400000003277</v>
      </c>
      <c r="U78" s="122">
        <v>419.22999999996358</v>
      </c>
      <c r="V78" s="122">
        <v>11479.940000005454</v>
      </c>
      <c r="W78" s="122">
        <v>1499.983333332802</v>
      </c>
      <c r="X78" s="122">
        <v>1416.6499999990267</v>
      </c>
      <c r="Y78" s="122">
        <v>541.66666666660728</v>
      </c>
      <c r="Z78" s="122">
        <v>333.3333333334636</v>
      </c>
      <c r="AA78" s="122">
        <v>1000.0000000020067</v>
      </c>
      <c r="AB78" s="122">
        <v>1499.999999998952</v>
      </c>
      <c r="AC78" s="122">
        <v>1000.0000000020067</v>
      </c>
      <c r="AD78" s="122">
        <v>1499.999999998952</v>
      </c>
      <c r="AE78" s="122">
        <v>4492.5883694407594</v>
      </c>
      <c r="AF78" s="122">
        <v>268.73974939313246</v>
      </c>
      <c r="AG78" s="122">
        <v>17132.568937740856</v>
      </c>
      <c r="AH78" s="122">
        <v>4081.9999999995298</v>
      </c>
      <c r="AI78" s="122">
        <v>8333.3500000013701</v>
      </c>
      <c r="AJ78" s="122">
        <v>38999.999998983854</v>
      </c>
      <c r="AK78" s="122">
        <v>15864.246446422736</v>
      </c>
      <c r="AL78" s="122">
        <v>11944.246737839672</v>
      </c>
      <c r="AM78" s="122">
        <v>24160.880683190011</v>
      </c>
      <c r="AN78" s="122">
        <v>5629.4067876274403</v>
      </c>
      <c r="AO78" s="122">
        <v>1801.9999999997908</v>
      </c>
      <c r="AP78" s="122">
        <v>378.87777777775057</v>
      </c>
      <c r="AQ78" s="122">
        <v>2250.0166666667183</v>
      </c>
      <c r="AR78" s="122">
        <v>16989.266872837776</v>
      </c>
      <c r="AS78" s="122">
        <v>33119.26666579811</v>
      </c>
      <c r="AT78" s="122">
        <v>83574.649756734085</v>
      </c>
      <c r="AU78" s="122">
        <v>83833.394802420778</v>
      </c>
      <c r="AV78" s="122">
        <v>91337.001127328709</v>
      </c>
      <c r="AW78" s="122">
        <v>4644.9719008195216</v>
      </c>
      <c r="AX78" s="122">
        <v>35109.3862256543</v>
      </c>
      <c r="AY78" s="122">
        <v>2783.7104072394986</v>
      </c>
      <c r="AZ78" s="122">
        <v>438.47011743090076</v>
      </c>
      <c r="BA78" s="122">
        <v>1497.4681787399502</v>
      </c>
      <c r="BB78" s="122">
        <v>2166.6666666676529</v>
      </c>
      <c r="BC78" s="122">
        <v>16199.99999897049</v>
      </c>
      <c r="BD78" s="122">
        <v>1080.8731608807293</v>
      </c>
      <c r="BE78" s="122">
        <v>923.30164790006825</v>
      </c>
      <c r="BF78" s="122">
        <v>916.6833333329123</v>
      </c>
      <c r="BG78" s="122">
        <v>12296.800000006155</v>
      </c>
    </row>
    <row r="79" spans="1:59" x14ac:dyDescent="0.25">
      <c r="A79" s="1">
        <v>36891.999305555553</v>
      </c>
      <c r="B79" s="3">
        <v>2494.0200000010741</v>
      </c>
      <c r="C79" s="3">
        <v>3493.7000000005241</v>
      </c>
      <c r="D79" s="3">
        <v>4522.2400000005764</v>
      </c>
      <c r="E79" s="3">
        <v>10740.699999997816</v>
      </c>
      <c r="F79" s="3">
        <v>1993.3600000002282</v>
      </c>
      <c r="G79" s="3">
        <v>4668.8200000030765</v>
      </c>
      <c r="H79" s="3">
        <v>637.99999999992576</v>
      </c>
      <c r="I79" s="3">
        <v>4166.6500000021306</v>
      </c>
      <c r="J79" s="3">
        <v>4166.6500000021233</v>
      </c>
      <c r="K79" s="3">
        <v>21005.183682666073</v>
      </c>
      <c r="L79" s="3">
        <v>1799.9999999999991</v>
      </c>
      <c r="M79" s="3">
        <v>7318.3999999991929</v>
      </c>
      <c r="N79" s="3">
        <v>27833.120000031842</v>
      </c>
      <c r="O79" s="122">
        <v>23975.600000011007</v>
      </c>
      <c r="P79" s="122">
        <v>1346.7400000006844</v>
      </c>
      <c r="Q79" s="122">
        <v>414.30514397232247</v>
      </c>
      <c r="R79" s="122">
        <v>4588.9400000008809</v>
      </c>
      <c r="S79" s="122">
        <v>3183.3799999986809</v>
      </c>
      <c r="T79" s="122">
        <v>1008.9400000003277</v>
      </c>
      <c r="U79" s="122">
        <v>419.22999999996358</v>
      </c>
      <c r="V79" s="122">
        <v>11479.940000005452</v>
      </c>
      <c r="W79" s="122">
        <v>1499.9833333328022</v>
      </c>
      <c r="X79" s="122">
        <v>1416.6499999990265</v>
      </c>
      <c r="Y79" s="122">
        <v>541.6666666666074</v>
      </c>
      <c r="Z79" s="122">
        <v>333.33333333346354</v>
      </c>
      <c r="AA79" s="122">
        <v>1000.0000000020035</v>
      </c>
      <c r="AB79" s="122">
        <v>1499.9999999989695</v>
      </c>
      <c r="AC79" s="122">
        <v>1000.0000000020035</v>
      </c>
      <c r="AD79" s="122">
        <v>1499.9999999989695</v>
      </c>
      <c r="AE79" s="122">
        <v>5915.0513112877998</v>
      </c>
      <c r="AF79" s="122">
        <v>389.39841238596745</v>
      </c>
      <c r="AG79" s="122">
        <v>20252.061025298539</v>
      </c>
      <c r="AH79" s="122">
        <v>4971.2351912379017</v>
      </c>
      <c r="AI79" s="122">
        <v>8333.3500000013719</v>
      </c>
      <c r="AJ79" s="122">
        <v>38999.999998983862</v>
      </c>
      <c r="AK79" s="122">
        <v>15864.246446422729</v>
      </c>
      <c r="AL79" s="122">
        <v>15199.288256226017</v>
      </c>
      <c r="AM79" s="122">
        <v>24160.880683189996</v>
      </c>
      <c r="AN79" s="122">
        <v>6654.131804079334</v>
      </c>
      <c r="AO79" s="122">
        <v>3257.9999999996248</v>
      </c>
      <c r="AP79" s="122">
        <v>378.87777777775057</v>
      </c>
      <c r="AQ79" s="122">
        <v>2250.0166666667183</v>
      </c>
      <c r="AR79" s="122">
        <v>24073.130798614649</v>
      </c>
      <c r="AS79" s="122">
        <v>33105.778642042722</v>
      </c>
      <c r="AT79" s="122">
        <v>116998.13583723376</v>
      </c>
      <c r="AU79" s="122">
        <v>117360.3591680004</v>
      </c>
      <c r="AV79" s="122">
        <v>127864.83576019747</v>
      </c>
      <c r="AW79" s="122">
        <v>4657.697851232725</v>
      </c>
      <c r="AX79" s="122">
        <v>48500.698916685309</v>
      </c>
      <c r="AY79" s="122">
        <v>3876.9230769226324</v>
      </c>
      <c r="AZ79" s="122">
        <v>635.33425178763287</v>
      </c>
      <c r="BA79" s="122">
        <v>2068.6278252655475</v>
      </c>
      <c r="BB79" s="122">
        <v>2166.6666666676529</v>
      </c>
      <c r="BC79" s="122">
        <v>16199.999998970494</v>
      </c>
      <c r="BD79" s="122">
        <v>1361.6693912874671</v>
      </c>
      <c r="BE79" s="122">
        <v>1275.464485373416</v>
      </c>
      <c r="BF79" s="122">
        <v>916.68333333291218</v>
      </c>
      <c r="BG79" s="122">
        <v>12296.800000006155</v>
      </c>
    </row>
    <row r="80" spans="1:59" x14ac:dyDescent="0.25">
      <c r="A80" s="1">
        <v>37256.999305555553</v>
      </c>
      <c r="B80" s="3">
        <v>2494.0200000010741</v>
      </c>
      <c r="C80" s="3">
        <v>3493.7000000005241</v>
      </c>
      <c r="D80" s="3">
        <v>4522.2400000005764</v>
      </c>
      <c r="E80" s="3">
        <v>10740.699999997816</v>
      </c>
      <c r="F80" s="3">
        <v>1993.3600000002282</v>
      </c>
      <c r="G80" s="3">
        <v>4668.8200000030756</v>
      </c>
      <c r="H80" s="3">
        <v>595.9999999999319</v>
      </c>
      <c r="I80" s="3">
        <v>4166.6500000021297</v>
      </c>
      <c r="J80" s="3">
        <v>4166.6500000021233</v>
      </c>
      <c r="K80" s="3">
        <v>19780.632559534944</v>
      </c>
      <c r="L80" s="3">
        <v>1800.0000000000007</v>
      </c>
      <c r="M80" s="3">
        <v>7318.3999999991938</v>
      </c>
      <c r="N80" s="3">
        <v>27833.120000031842</v>
      </c>
      <c r="O80" s="122">
        <v>23975.600000011007</v>
      </c>
      <c r="P80" s="122">
        <v>1346.7400000006844</v>
      </c>
      <c r="Q80" s="122">
        <v>225.415333333506</v>
      </c>
      <c r="R80" s="122">
        <v>4588.9400000008809</v>
      </c>
      <c r="S80" s="122">
        <v>3183.3799999986809</v>
      </c>
      <c r="T80" s="122">
        <v>1008.9400000003277</v>
      </c>
      <c r="U80" s="122">
        <v>419.22999999996358</v>
      </c>
      <c r="V80" s="122">
        <v>11479.940000005454</v>
      </c>
      <c r="W80" s="122">
        <v>1499.983333332802</v>
      </c>
      <c r="X80" s="122">
        <v>1416.6499999990267</v>
      </c>
      <c r="Y80" s="122">
        <v>541.66666666660728</v>
      </c>
      <c r="Z80" s="122">
        <v>333.3333333334636</v>
      </c>
      <c r="AA80" s="122">
        <v>1000.0000000020067</v>
      </c>
      <c r="AB80" s="122">
        <v>1499.999999998952</v>
      </c>
      <c r="AC80" s="122">
        <v>1000.0000000020067</v>
      </c>
      <c r="AD80" s="122">
        <v>1499.999999998952</v>
      </c>
      <c r="AE80" s="122">
        <v>6141.6761687564231</v>
      </c>
      <c r="AF80" s="122">
        <v>371.94777930849204</v>
      </c>
      <c r="AG80" s="122">
        <v>18828.769070404356</v>
      </c>
      <c r="AH80" s="122">
        <v>5201.2288952235631</v>
      </c>
      <c r="AI80" s="122">
        <v>8333.3500000013701</v>
      </c>
      <c r="AJ80" s="122">
        <v>38999.999998983854</v>
      </c>
      <c r="AK80" s="122">
        <v>15864.246446422745</v>
      </c>
      <c r="AL80" s="122">
        <v>14157.769869512023</v>
      </c>
      <c r="AM80" s="122">
        <v>24160.880683190004</v>
      </c>
      <c r="AN80" s="122">
        <v>6597.7249224397747</v>
      </c>
      <c r="AO80" s="122">
        <v>2421.9999999997217</v>
      </c>
      <c r="AP80" s="122">
        <v>378.87777777775057</v>
      </c>
      <c r="AQ80" s="122">
        <v>2250.0166666667183</v>
      </c>
      <c r="AR80" s="122">
        <v>23136.256139709916</v>
      </c>
      <c r="AS80" s="122">
        <v>33119.26666579811</v>
      </c>
      <c r="AT80" s="122">
        <v>109656.472548663</v>
      </c>
      <c r="AU80" s="122">
        <v>109995.9662717235</v>
      </c>
      <c r="AV80" s="122">
        <v>119841.28424048891</v>
      </c>
      <c r="AW80" s="122">
        <v>4644.9719008195216</v>
      </c>
      <c r="AX80" s="122">
        <v>47039.254538147325</v>
      </c>
      <c r="AY80" s="122">
        <v>3276.0180995471346</v>
      </c>
      <c r="AZ80" s="122">
        <v>606.8621662401714</v>
      </c>
      <c r="BA80" s="122">
        <v>2006.2950223565667</v>
      </c>
      <c r="BB80" s="122">
        <v>2166.6666666676529</v>
      </c>
      <c r="BC80" s="122">
        <v>16199.99999897049</v>
      </c>
      <c r="BD80" s="122">
        <v>1282.815655351329</v>
      </c>
      <c r="BE80" s="122">
        <v>1237.0316288618874</v>
      </c>
      <c r="BF80" s="122">
        <v>916.6833333329123</v>
      </c>
      <c r="BG80" s="122">
        <v>12296.800000006155</v>
      </c>
    </row>
    <row r="81" spans="1:59" x14ac:dyDescent="0.25">
      <c r="A81" s="1">
        <v>37621.999305555553</v>
      </c>
      <c r="B81" s="3">
        <v>2494.0200000010741</v>
      </c>
      <c r="C81" s="3">
        <v>3493.7000000005241</v>
      </c>
      <c r="D81" s="3">
        <v>4522.2400000005764</v>
      </c>
      <c r="E81" s="3">
        <v>10740.699999997816</v>
      </c>
      <c r="F81" s="3">
        <v>1993.3600000002282</v>
      </c>
      <c r="G81" s="3">
        <v>4668.8200000030756</v>
      </c>
      <c r="H81" s="3">
        <v>601.99999999993054</v>
      </c>
      <c r="I81" s="3">
        <v>4166.6500000021297</v>
      </c>
      <c r="J81" s="3">
        <v>4166.6500000021233</v>
      </c>
      <c r="K81" s="3">
        <v>19944.406881524268</v>
      </c>
      <c r="L81" s="3">
        <v>1799.9999999999995</v>
      </c>
      <c r="M81" s="3">
        <v>7318.3999999991938</v>
      </c>
      <c r="N81" s="3">
        <v>27833.120000031842</v>
      </c>
      <c r="O81" s="122">
        <v>23975.600000011007</v>
      </c>
      <c r="P81" s="122">
        <v>1346.7400000006844</v>
      </c>
      <c r="Q81" s="122">
        <v>1412.9646666672177</v>
      </c>
      <c r="R81" s="122">
        <v>4588.9400000008809</v>
      </c>
      <c r="S81" s="122">
        <v>3183.3799999986809</v>
      </c>
      <c r="T81" s="122">
        <v>1008.9400000003277</v>
      </c>
      <c r="U81" s="122">
        <v>419.22999999996358</v>
      </c>
      <c r="V81" s="122">
        <v>11479.940000005454</v>
      </c>
      <c r="W81" s="122">
        <v>1499.983333332802</v>
      </c>
      <c r="X81" s="122">
        <v>1416.6499999990267</v>
      </c>
      <c r="Y81" s="122">
        <v>541.66666666660728</v>
      </c>
      <c r="Z81" s="122">
        <v>333.3333333334636</v>
      </c>
      <c r="AA81" s="122">
        <v>1000.0000000020067</v>
      </c>
      <c r="AB81" s="122">
        <v>1499.999999998952</v>
      </c>
      <c r="AC81" s="122">
        <v>1000.0000000020067</v>
      </c>
      <c r="AD81" s="122">
        <v>1499.999999998952</v>
      </c>
      <c r="AE81" s="122">
        <v>6049.0307867723914</v>
      </c>
      <c r="AF81" s="122">
        <v>372.94495834149041</v>
      </c>
      <c r="AG81" s="122">
        <v>20451.056571588662</v>
      </c>
      <c r="AH81" s="122">
        <v>4818.5017915053986</v>
      </c>
      <c r="AI81" s="122">
        <v>8333.3500000013701</v>
      </c>
      <c r="AJ81" s="122">
        <v>38999.999998983854</v>
      </c>
      <c r="AK81" s="122">
        <v>15864.246446422729</v>
      </c>
      <c r="AL81" s="122">
        <v>14410.438908657896</v>
      </c>
      <c r="AM81" s="122">
        <v>24160.880683190007</v>
      </c>
      <c r="AN81" s="122">
        <v>6323.2114317939522</v>
      </c>
      <c r="AO81" s="122">
        <v>3033.9999999996526</v>
      </c>
      <c r="AP81" s="122">
        <v>378.87777777775057</v>
      </c>
      <c r="AQ81" s="122">
        <v>2250.0166666667183</v>
      </c>
      <c r="AR81" s="122">
        <v>23116.245224665356</v>
      </c>
      <c r="AS81" s="122">
        <v>33119.26666579811</v>
      </c>
      <c r="AT81" s="122">
        <v>101213.99197927793</v>
      </c>
      <c r="AU81" s="122">
        <v>101527.3479915979</v>
      </c>
      <c r="AV81" s="122">
        <v>110614.67234887031</v>
      </c>
      <c r="AW81" s="122">
        <v>4644.9719008195216</v>
      </c>
      <c r="AX81" s="122">
        <v>46589.457942161032</v>
      </c>
      <c r="AY81" s="122">
        <v>3368.3257918548165</v>
      </c>
      <c r="AZ81" s="122">
        <v>608.48914255716852</v>
      </c>
      <c r="BA81" s="122">
        <v>1987.1105203813413</v>
      </c>
      <c r="BB81" s="122">
        <v>2166.6666666676529</v>
      </c>
      <c r="BC81" s="122">
        <v>16199.99999897049</v>
      </c>
      <c r="BD81" s="122">
        <v>1292.4319646118331</v>
      </c>
      <c r="BE81" s="122">
        <v>1225.2029419225939</v>
      </c>
      <c r="BF81" s="122">
        <v>916.6833333329123</v>
      </c>
      <c r="BG81" s="122">
        <v>12296.800000006155</v>
      </c>
    </row>
    <row r="82" spans="1:59" x14ac:dyDescent="0.25">
      <c r="A82" s="1">
        <v>37986.999305555553</v>
      </c>
      <c r="B82" s="3">
        <v>2494.0200000010741</v>
      </c>
      <c r="C82" s="3">
        <v>3493.7000000005241</v>
      </c>
      <c r="D82" s="3">
        <v>4522.2400000005764</v>
      </c>
      <c r="E82" s="3">
        <v>10740.699999997816</v>
      </c>
      <c r="F82" s="3">
        <v>1993.3600000002282</v>
      </c>
      <c r="G82" s="3">
        <v>4668.8200000030756</v>
      </c>
      <c r="H82" s="3">
        <v>607.99999999993042</v>
      </c>
      <c r="I82" s="3">
        <v>4166.6500000021297</v>
      </c>
      <c r="J82" s="3">
        <v>4166.6500000021233</v>
      </c>
      <c r="K82" s="3">
        <v>20165.276838702513</v>
      </c>
      <c r="L82" s="3">
        <v>1799.9999999999991</v>
      </c>
      <c r="M82" s="3">
        <v>7318.3999999991938</v>
      </c>
      <c r="N82" s="3">
        <v>27833.120000031842</v>
      </c>
      <c r="O82" s="122">
        <v>23975.600000011007</v>
      </c>
      <c r="P82" s="122">
        <v>1346.7400000006844</v>
      </c>
      <c r="Q82" s="122">
        <v>551.70967741937432</v>
      </c>
      <c r="R82" s="122">
        <v>4588.9400000008809</v>
      </c>
      <c r="S82" s="122">
        <v>3183.3799999986809</v>
      </c>
      <c r="T82" s="122">
        <v>1008.9400000003277</v>
      </c>
      <c r="U82" s="122">
        <v>419.22999999996358</v>
      </c>
      <c r="V82" s="122">
        <v>11479.940000005454</v>
      </c>
      <c r="W82" s="122">
        <v>1499.983333332802</v>
      </c>
      <c r="X82" s="122">
        <v>1416.6499999990267</v>
      </c>
      <c r="Y82" s="122">
        <v>541.66666666660728</v>
      </c>
      <c r="Z82" s="122">
        <v>333.3333333334636</v>
      </c>
      <c r="AA82" s="122">
        <v>1000.0000000020067</v>
      </c>
      <c r="AB82" s="122">
        <v>1499.999999998952</v>
      </c>
      <c r="AC82" s="122">
        <v>1000.0000000020067</v>
      </c>
      <c r="AD82" s="122">
        <v>1499.999999998952</v>
      </c>
      <c r="AE82" s="122">
        <v>6359.7491448111277</v>
      </c>
      <c r="AF82" s="122">
        <v>356.49150429701245</v>
      </c>
      <c r="AG82" s="122">
        <v>20149.720458635038</v>
      </c>
      <c r="AH82" s="122">
        <v>5109.8882574935824</v>
      </c>
      <c r="AI82" s="122">
        <v>8333.3500000013701</v>
      </c>
      <c r="AJ82" s="122">
        <v>38999.999998983854</v>
      </c>
      <c r="AK82" s="122">
        <v>15864.24644642272</v>
      </c>
      <c r="AL82" s="122">
        <v>14527.876631077801</v>
      </c>
      <c r="AM82" s="122">
        <v>24160.880683189996</v>
      </c>
      <c r="AN82" s="122">
        <v>6701.1375387789567</v>
      </c>
      <c r="AO82" s="122">
        <v>2801.9999999996785</v>
      </c>
      <c r="AP82" s="122">
        <v>378.87777777775057</v>
      </c>
      <c r="AQ82" s="122">
        <v>2250.0166666667183</v>
      </c>
      <c r="AR82" s="122">
        <v>22177.551391665638</v>
      </c>
      <c r="AS82" s="122">
        <v>33119.26666579811</v>
      </c>
      <c r="AT82" s="122">
        <v>117156.97111029558</v>
      </c>
      <c r="AU82" s="122">
        <v>117519.68619113293</v>
      </c>
      <c r="AV82" s="122">
        <v>128038.42353540077</v>
      </c>
      <c r="AW82" s="122">
        <v>4644.9719008195216</v>
      </c>
      <c r="AX82" s="122">
        <v>44821.836231618341</v>
      </c>
      <c r="AY82" s="122">
        <v>3321.2669683254094</v>
      </c>
      <c r="AZ82" s="122">
        <v>581.64403332670531</v>
      </c>
      <c r="BA82" s="122">
        <v>1911.7187933208024</v>
      </c>
      <c r="BB82" s="122">
        <v>2166.6666666676529</v>
      </c>
      <c r="BC82" s="122">
        <v>16199.99999897049</v>
      </c>
      <c r="BD82" s="122">
        <v>1309.7413212807419</v>
      </c>
      <c r="BE82" s="122">
        <v>1178.7182774594053</v>
      </c>
      <c r="BF82" s="122">
        <v>916.6833333329123</v>
      </c>
      <c r="BG82" s="122">
        <v>12296.800000006155</v>
      </c>
    </row>
    <row r="83" spans="1:59" x14ac:dyDescent="0.25">
      <c r="A83" s="1">
        <v>38352.999305555553</v>
      </c>
      <c r="B83" s="3">
        <v>2494.0200000010741</v>
      </c>
      <c r="C83" s="3">
        <v>3493.7000000005241</v>
      </c>
      <c r="D83" s="3">
        <v>4522.2400000005764</v>
      </c>
      <c r="E83" s="3">
        <v>10740.699999997816</v>
      </c>
      <c r="F83" s="3">
        <v>1993.3600000002282</v>
      </c>
      <c r="G83" s="3">
        <v>4668.8200000030765</v>
      </c>
      <c r="H83" s="3">
        <v>567.99999999993474</v>
      </c>
      <c r="I83" s="3">
        <v>4166.6500000021306</v>
      </c>
      <c r="J83" s="3">
        <v>4166.6500000021233</v>
      </c>
      <c r="K83" s="3">
        <v>18767.936293289105</v>
      </c>
      <c r="L83" s="3">
        <v>1800.0000000000007</v>
      </c>
      <c r="M83" s="3">
        <v>7318.3999999991929</v>
      </c>
      <c r="N83" s="3">
        <v>27833.120000031842</v>
      </c>
      <c r="O83" s="122">
        <v>23975.600000011007</v>
      </c>
      <c r="P83" s="122">
        <v>1346.7400000006844</v>
      </c>
      <c r="Q83" s="122">
        <v>242.30582795726454</v>
      </c>
      <c r="R83" s="122">
        <v>4588.9400000008809</v>
      </c>
      <c r="S83" s="122">
        <v>3183.3799999986809</v>
      </c>
      <c r="T83" s="122">
        <v>1008.9400000003277</v>
      </c>
      <c r="U83" s="122">
        <v>419.22999999996358</v>
      </c>
      <c r="V83" s="122">
        <v>11479.940000005452</v>
      </c>
      <c r="W83" s="122">
        <v>1499.9833333328022</v>
      </c>
      <c r="X83" s="122">
        <v>1416.6499999990265</v>
      </c>
      <c r="Y83" s="122">
        <v>541.6666666666074</v>
      </c>
      <c r="Z83" s="122">
        <v>333.33333333346354</v>
      </c>
      <c r="AA83" s="122">
        <v>1000.0000000020035</v>
      </c>
      <c r="AB83" s="122">
        <v>1499.9999999989695</v>
      </c>
      <c r="AC83" s="122">
        <v>1000.0000000020035</v>
      </c>
      <c r="AD83" s="122">
        <v>1499.9999999989695</v>
      </c>
      <c r="AE83" s="122">
        <v>5833.8084378556532</v>
      </c>
      <c r="AF83" s="122">
        <v>344.52535590103082</v>
      </c>
      <c r="AG83" s="122">
        <v>17308.82213588354</v>
      </c>
      <c r="AH83" s="122">
        <v>4872.0705343291811</v>
      </c>
      <c r="AI83" s="122">
        <v>8333.3500000013719</v>
      </c>
      <c r="AJ83" s="122">
        <v>38999.999998983862</v>
      </c>
      <c r="AK83" s="122">
        <v>15864.246446422745</v>
      </c>
      <c r="AL83" s="122">
        <v>13549.228944245171</v>
      </c>
      <c r="AM83" s="122">
        <v>24160.880683189993</v>
      </c>
      <c r="AN83" s="122">
        <v>6028.0154178802886</v>
      </c>
      <c r="AO83" s="122">
        <v>2555.9999999997071</v>
      </c>
      <c r="AP83" s="122">
        <v>378.87777777775057</v>
      </c>
      <c r="AQ83" s="122">
        <v>2250.0166666667183</v>
      </c>
      <c r="AR83" s="122">
        <v>21464.435146441032</v>
      </c>
      <c r="AS83" s="122">
        <v>33105.778642042722</v>
      </c>
      <c r="AT83" s="122">
        <v>108224.32696476112</v>
      </c>
      <c r="AU83" s="122">
        <v>108559.38680056541</v>
      </c>
      <c r="AV83" s="122">
        <v>118276.12203888742</v>
      </c>
      <c r="AW83" s="122">
        <v>4657.697851232725</v>
      </c>
      <c r="AX83" s="122">
        <v>43657.099783064266</v>
      </c>
      <c r="AY83" s="122">
        <v>2767.4208144793188</v>
      </c>
      <c r="AZ83" s="122">
        <v>562.12031752273288</v>
      </c>
      <c r="BA83" s="122">
        <v>1862.041030311269</v>
      </c>
      <c r="BB83" s="122">
        <v>2166.6666666676529</v>
      </c>
      <c r="BC83" s="122">
        <v>16199.999998970494</v>
      </c>
      <c r="BD83" s="122">
        <v>1219.3480142319977</v>
      </c>
      <c r="BE83" s="122">
        <v>1148.0882039113417</v>
      </c>
      <c r="BF83" s="122">
        <v>916.68333333291218</v>
      </c>
      <c r="BG83" s="122">
        <v>12296.800000006155</v>
      </c>
    </row>
    <row r="84" spans="1:59" x14ac:dyDescent="0.25">
      <c r="A84" s="1">
        <v>38717.999305555553</v>
      </c>
      <c r="B84" s="3">
        <v>2494.0200000010741</v>
      </c>
      <c r="C84" s="3">
        <v>3493.7000000005241</v>
      </c>
      <c r="D84" s="3">
        <v>4522.2400000005764</v>
      </c>
      <c r="E84" s="3">
        <v>10740.699999997816</v>
      </c>
      <c r="F84" s="3">
        <v>1993.3600000002282</v>
      </c>
      <c r="G84" s="3">
        <v>4668.8200000030756</v>
      </c>
      <c r="H84" s="3">
        <v>567.99999999993486</v>
      </c>
      <c r="I84" s="3">
        <v>4166.6500000021297</v>
      </c>
      <c r="J84" s="3">
        <v>4166.6500000021233</v>
      </c>
      <c r="K84" s="3">
        <v>18766.433776573598</v>
      </c>
      <c r="L84" s="3">
        <v>1800.0000000000007</v>
      </c>
      <c r="M84" s="3">
        <v>7318.3999999991938</v>
      </c>
      <c r="N84" s="3">
        <v>27833.120000031842</v>
      </c>
      <c r="O84" s="122">
        <v>23975.600000011007</v>
      </c>
      <c r="P84" s="122">
        <v>1346.7400000006844</v>
      </c>
      <c r="Q84" s="122">
        <v>0</v>
      </c>
      <c r="R84" s="122">
        <v>4588.9400000008809</v>
      </c>
      <c r="S84" s="122">
        <v>3183.3799999986809</v>
      </c>
      <c r="T84" s="122">
        <v>1008.9400000003277</v>
      </c>
      <c r="U84" s="122">
        <v>419.22999999996358</v>
      </c>
      <c r="V84" s="122">
        <v>11479.940000005454</v>
      </c>
      <c r="W84" s="122">
        <v>1499.983333332802</v>
      </c>
      <c r="X84" s="122">
        <v>1416.6499999990267</v>
      </c>
      <c r="Y84" s="122">
        <v>541.66666666660728</v>
      </c>
      <c r="Z84" s="122">
        <v>333.3333333334636</v>
      </c>
      <c r="AA84" s="122">
        <v>1000.0000000020067</v>
      </c>
      <c r="AB84" s="122">
        <v>1499.999999998952</v>
      </c>
      <c r="AC84" s="122">
        <v>1000.0000000020067</v>
      </c>
      <c r="AD84" s="122">
        <v>1499.999999998952</v>
      </c>
      <c r="AE84" s="122">
        <v>5966.362599771267</v>
      </c>
      <c r="AF84" s="122">
        <v>342.53099783503205</v>
      </c>
      <c r="AG84" s="122">
        <v>17723.869989574381</v>
      </c>
      <c r="AH84" s="122">
        <v>4852.275253283231</v>
      </c>
      <c r="AI84" s="122">
        <v>8333.3500000013701</v>
      </c>
      <c r="AJ84" s="122">
        <v>38999.999998983854</v>
      </c>
      <c r="AK84" s="122">
        <v>15864.246446422736</v>
      </c>
      <c r="AL84" s="122">
        <v>13583.629893236874</v>
      </c>
      <c r="AM84" s="122">
        <v>24160.880683189986</v>
      </c>
      <c r="AN84" s="122">
        <v>6274.3254677063387</v>
      </c>
      <c r="AO84" s="122">
        <v>2625.9999999996985</v>
      </c>
      <c r="AP84" s="122">
        <v>378.87777777775057</v>
      </c>
      <c r="AQ84" s="122">
        <v>2250.0166666667183</v>
      </c>
      <c r="AR84" s="122">
        <v>21237.038384570955</v>
      </c>
      <c r="AS84" s="122">
        <v>33119.26666579811</v>
      </c>
      <c r="AT84" s="122">
        <v>110307.10096156233</v>
      </c>
      <c r="AU84" s="122">
        <v>110648.60901407487</v>
      </c>
      <c r="AV84" s="122">
        <v>120552.34253693985</v>
      </c>
      <c r="AW84" s="122">
        <v>4644.9719008195216</v>
      </c>
      <c r="AX84" s="122">
        <v>42836.418274598043</v>
      </c>
      <c r="AY84" s="122">
        <v>2982.8054298639113</v>
      </c>
      <c r="AZ84" s="122">
        <v>558.8663648887383</v>
      </c>
      <c r="BA84" s="122">
        <v>1827.0377284617332</v>
      </c>
      <c r="BB84" s="122">
        <v>2166.6666666676529</v>
      </c>
      <c r="BC84" s="122">
        <v>16199.99999897049</v>
      </c>
      <c r="BD84" s="122">
        <v>1219.3480142319981</v>
      </c>
      <c r="BE84" s="122">
        <v>1126.5060382677179</v>
      </c>
      <c r="BF84" s="122">
        <v>916.6833333329123</v>
      </c>
      <c r="BG84" s="122">
        <v>12296.800000006155</v>
      </c>
    </row>
    <row r="85" spans="1:59" x14ac:dyDescent="0.25">
      <c r="A85" s="1">
        <v>39082.999305555553</v>
      </c>
      <c r="B85" s="3">
        <v>2494.0200000010741</v>
      </c>
      <c r="C85" s="3">
        <v>3493.7000000005241</v>
      </c>
      <c r="D85" s="3">
        <v>4522.2400000005764</v>
      </c>
      <c r="E85" s="3">
        <v>10740.699999997816</v>
      </c>
      <c r="F85" s="3">
        <v>1993.3600000002282</v>
      </c>
      <c r="G85" s="3">
        <v>4668.8200000030756</v>
      </c>
      <c r="H85" s="3">
        <v>549.99999999993702</v>
      </c>
      <c r="I85" s="3">
        <v>4166.6500000021297</v>
      </c>
      <c r="J85" s="3">
        <v>4166.6500000021233</v>
      </c>
      <c r="K85" s="3">
        <v>18088.798737883884</v>
      </c>
      <c r="L85" s="3">
        <v>1799.9999999999991</v>
      </c>
      <c r="M85" s="3">
        <v>7318.3999999991938</v>
      </c>
      <c r="N85" s="3">
        <v>27833.120000031842</v>
      </c>
      <c r="O85" s="122">
        <v>23975.600000011007</v>
      </c>
      <c r="P85" s="122">
        <v>1346.7400000006844</v>
      </c>
      <c r="Q85" s="122">
        <v>0</v>
      </c>
      <c r="R85" s="122">
        <v>4588.9400000008809</v>
      </c>
      <c r="S85" s="122">
        <v>3183.3799999986809</v>
      </c>
      <c r="T85" s="122">
        <v>1008.9400000003277</v>
      </c>
      <c r="U85" s="122">
        <v>419.22999999996358</v>
      </c>
      <c r="V85" s="122">
        <v>11479.940000005454</v>
      </c>
      <c r="W85" s="122">
        <v>1499.983333332802</v>
      </c>
      <c r="X85" s="122">
        <v>1416.6499999990267</v>
      </c>
      <c r="Y85" s="122">
        <v>541.66666666660728</v>
      </c>
      <c r="Z85" s="122">
        <v>333.3333333334636</v>
      </c>
      <c r="AA85" s="122">
        <v>1000.0000000020067</v>
      </c>
      <c r="AB85" s="122">
        <v>1499.999999998952</v>
      </c>
      <c r="AC85" s="122">
        <v>1000.0000000020067</v>
      </c>
      <c r="AD85" s="122">
        <v>1499.999999998952</v>
      </c>
      <c r="AE85" s="122">
        <v>5718.3580387678676</v>
      </c>
      <c r="AF85" s="122">
        <v>349.51125106602274</v>
      </c>
      <c r="AG85" s="122">
        <v>16960.106130956094</v>
      </c>
      <c r="AH85" s="122">
        <v>4796.6853510579513</v>
      </c>
      <c r="AI85" s="122">
        <v>8333.3500000013701</v>
      </c>
      <c r="AJ85" s="122">
        <v>38999.999998983854</v>
      </c>
      <c r="AK85" s="122">
        <v>15864.246446422714</v>
      </c>
      <c r="AL85" s="122">
        <v>13088.967971528748</v>
      </c>
      <c r="AM85" s="122">
        <v>24160.880683189996</v>
      </c>
      <c r="AN85" s="122">
        <v>6058.0990880880445</v>
      </c>
      <c r="AO85" s="122">
        <v>2147.9999999997531</v>
      </c>
      <c r="AP85" s="122">
        <v>378.87777777775057</v>
      </c>
      <c r="AQ85" s="122">
        <v>2250.0166666667183</v>
      </c>
      <c r="AR85" s="122">
        <v>21833.727487718061</v>
      </c>
      <c r="AS85" s="122">
        <v>33119.26666579811</v>
      </c>
      <c r="AT85" s="122">
        <v>105088.95396889494</v>
      </c>
      <c r="AU85" s="122">
        <v>105414.30676756083</v>
      </c>
      <c r="AV85" s="122">
        <v>114849.53792885462</v>
      </c>
      <c r="AW85" s="122">
        <v>4644.9719008195216</v>
      </c>
      <c r="AX85" s="122">
        <v>44414.651944725432</v>
      </c>
      <c r="AY85" s="122">
        <v>2760.1809954747923</v>
      </c>
      <c r="AZ85" s="122">
        <v>570.25519910772255</v>
      </c>
      <c r="BA85" s="122">
        <v>1894.3517704800693</v>
      </c>
      <c r="BB85" s="122">
        <v>2166.6666666676529</v>
      </c>
      <c r="BC85" s="122">
        <v>16199.99999897049</v>
      </c>
      <c r="BD85" s="122">
        <v>1171.2664679294735</v>
      </c>
      <c r="BE85" s="122">
        <v>1168.0102029669936</v>
      </c>
      <c r="BF85" s="122">
        <v>916.6833333329123</v>
      </c>
      <c r="BG85" s="122">
        <v>12296.800000006155</v>
      </c>
    </row>
    <row r="86" spans="1:59" x14ac:dyDescent="0.25">
      <c r="A86" s="1">
        <v>39447.999305555553</v>
      </c>
      <c r="B86" s="3">
        <v>2494.0200000010741</v>
      </c>
      <c r="C86" s="3">
        <v>3493.7000000005241</v>
      </c>
      <c r="D86" s="3">
        <v>4522.2400000005764</v>
      </c>
      <c r="E86" s="3">
        <v>10740.699999997816</v>
      </c>
      <c r="F86" s="3">
        <v>1993.3600000002282</v>
      </c>
      <c r="G86" s="3">
        <v>4668.8200000030756</v>
      </c>
      <c r="H86" s="3">
        <v>575.99999999993383</v>
      </c>
      <c r="I86" s="3">
        <v>4166.6500000021297</v>
      </c>
      <c r="J86" s="3">
        <v>4166.6500000021233</v>
      </c>
      <c r="K86" s="3">
        <v>19172.113289758137</v>
      </c>
      <c r="L86" s="3">
        <v>1799.9999999999989</v>
      </c>
      <c r="M86" s="3">
        <v>7318.3999999991938</v>
      </c>
      <c r="N86" s="3">
        <v>27833.120000031842</v>
      </c>
      <c r="O86" s="122">
        <v>23975.600000011007</v>
      </c>
      <c r="P86" s="122">
        <v>1346.7400000006844</v>
      </c>
      <c r="Q86" s="122">
        <v>0</v>
      </c>
      <c r="R86" s="122">
        <v>4588.9400000008809</v>
      </c>
      <c r="S86" s="122">
        <v>3183.3799999986809</v>
      </c>
      <c r="T86" s="122">
        <v>1008.9400000003277</v>
      </c>
      <c r="U86" s="122">
        <v>419.22999999996358</v>
      </c>
      <c r="V86" s="122">
        <v>11479.940000005454</v>
      </c>
      <c r="W86" s="122">
        <v>1499.983333332802</v>
      </c>
      <c r="X86" s="122">
        <v>1416.6499999990267</v>
      </c>
      <c r="Y86" s="122">
        <v>541.66666666660728</v>
      </c>
      <c r="Z86" s="122">
        <v>333.3333333334636</v>
      </c>
      <c r="AA86" s="122">
        <v>1000.0000000020067</v>
      </c>
      <c r="AB86" s="122">
        <v>1499.999999998952</v>
      </c>
      <c r="AC86" s="122">
        <v>1000.0000000020067</v>
      </c>
      <c r="AD86" s="122">
        <v>1499.999999998952</v>
      </c>
      <c r="AE86" s="122">
        <v>5933.5803876846066</v>
      </c>
      <c r="AF86" s="122">
        <v>352.50278816501952</v>
      </c>
      <c r="AG86" s="122">
        <v>17727.660380932291</v>
      </c>
      <c r="AH86" s="122">
        <v>4997.725803394721</v>
      </c>
      <c r="AI86" s="122">
        <v>8333.3500000013701</v>
      </c>
      <c r="AJ86" s="122">
        <v>38999.999998983854</v>
      </c>
      <c r="AK86" s="122">
        <v>15864.246446422741</v>
      </c>
      <c r="AL86" s="122">
        <v>13716.488730722038</v>
      </c>
      <c r="AM86" s="122">
        <v>24160.88068318996</v>
      </c>
      <c r="AN86" s="122">
        <v>6456.7077183408937</v>
      </c>
      <c r="AO86" s="122">
        <v>2599.9999999997003</v>
      </c>
      <c r="AP86" s="122">
        <v>378.87777777775057</v>
      </c>
      <c r="AQ86" s="122">
        <v>2250.0166666667183</v>
      </c>
      <c r="AR86" s="122">
        <v>21962.88884846029</v>
      </c>
      <c r="AS86" s="122">
        <v>33119.26666579811</v>
      </c>
      <c r="AT86" s="122">
        <v>107082.64269684104</v>
      </c>
      <c r="AU86" s="122">
        <v>107414.16790642835</v>
      </c>
      <c r="AV86" s="122">
        <v>117028.39898447295</v>
      </c>
      <c r="AW86" s="122">
        <v>4644.9719008195216</v>
      </c>
      <c r="AX86" s="122">
        <v>44757.128651143117</v>
      </c>
      <c r="AY86" s="122">
        <v>3142.0814479634382</v>
      </c>
      <c r="AZ86" s="122">
        <v>575.13612805871298</v>
      </c>
      <c r="BA86" s="122">
        <v>1908.9589175980527</v>
      </c>
      <c r="BB86" s="122">
        <v>2166.6666666676529</v>
      </c>
      <c r="BC86" s="122">
        <v>16199.99999897049</v>
      </c>
      <c r="BD86" s="122">
        <v>1238.5806327530067</v>
      </c>
      <c r="BE86" s="122">
        <v>1177.0166067067371</v>
      </c>
      <c r="BF86" s="122">
        <v>916.6833333329123</v>
      </c>
      <c r="BG86" s="122">
        <v>12296.800000006155</v>
      </c>
    </row>
    <row r="87" spans="1:59" x14ac:dyDescent="0.25">
      <c r="A87" s="1">
        <v>39813.999305555553</v>
      </c>
      <c r="B87" s="3">
        <v>2494.0200000010741</v>
      </c>
      <c r="C87" s="3">
        <v>3493.7000000005241</v>
      </c>
      <c r="D87" s="3">
        <v>4522.2400000005764</v>
      </c>
      <c r="E87" s="3">
        <v>10740.699999997816</v>
      </c>
      <c r="F87" s="3">
        <v>1993.3600000002282</v>
      </c>
      <c r="G87" s="3">
        <v>4668.8200000030765</v>
      </c>
      <c r="H87" s="3">
        <v>509.99999999994151</v>
      </c>
      <c r="I87" s="3">
        <v>4166.6500000021306</v>
      </c>
      <c r="J87" s="3">
        <v>4166.6500000021233</v>
      </c>
      <c r="K87" s="3">
        <v>16993.464052285613</v>
      </c>
      <c r="L87" s="3">
        <v>1799.9999999999995</v>
      </c>
      <c r="M87" s="3">
        <v>7318.3999999991929</v>
      </c>
      <c r="N87" s="3">
        <v>27833.120000031842</v>
      </c>
      <c r="O87" s="122">
        <v>23975.600000011007</v>
      </c>
      <c r="P87" s="122">
        <v>1346.7400000006844</v>
      </c>
      <c r="Q87" s="122">
        <v>0</v>
      </c>
      <c r="R87" s="122">
        <v>4588.9400000008809</v>
      </c>
      <c r="S87" s="122">
        <v>3183.3799999986809</v>
      </c>
      <c r="T87" s="122">
        <v>1008.9400000003277</v>
      </c>
      <c r="U87" s="122">
        <v>419.22999999996358</v>
      </c>
      <c r="V87" s="122">
        <v>11479.940000005452</v>
      </c>
      <c r="W87" s="122">
        <v>1499.9833333328022</v>
      </c>
      <c r="X87" s="122">
        <v>1416.6499999990265</v>
      </c>
      <c r="Y87" s="122">
        <v>541.6666666666074</v>
      </c>
      <c r="Z87" s="122">
        <v>333.33333333346354</v>
      </c>
      <c r="AA87" s="122">
        <v>1000.0000000020035</v>
      </c>
      <c r="AB87" s="122">
        <v>1499.9999999989695</v>
      </c>
      <c r="AC87" s="122">
        <v>1000.0000000020035</v>
      </c>
      <c r="AD87" s="122">
        <v>1499.9999999989695</v>
      </c>
      <c r="AE87" s="122">
        <v>5564.4241733174895</v>
      </c>
      <c r="AF87" s="122">
        <v>348.01548251652525</v>
      </c>
      <c r="AG87" s="122">
        <v>16954.420543919208</v>
      </c>
      <c r="AH87" s="122">
        <v>4815.6924304852773</v>
      </c>
      <c r="AI87" s="122">
        <v>8333.3500000013719</v>
      </c>
      <c r="AJ87" s="122">
        <v>38999.999998983862</v>
      </c>
      <c r="AK87" s="122">
        <v>15864.24644642272</v>
      </c>
      <c r="AL87" s="122">
        <v>12103.2028469737</v>
      </c>
      <c r="AM87" s="122">
        <v>24160.880683190007</v>
      </c>
      <c r="AN87" s="122">
        <v>5734.6996333546094</v>
      </c>
      <c r="AO87" s="122">
        <v>2533.9999999997076</v>
      </c>
      <c r="AP87" s="122">
        <v>378.87777777775057</v>
      </c>
      <c r="AQ87" s="122">
        <v>2250.0166666667183</v>
      </c>
      <c r="AR87" s="122">
        <v>21720.938693830522</v>
      </c>
      <c r="AS87" s="122">
        <v>33105.778642042722</v>
      </c>
      <c r="AT87" s="122">
        <v>95591.340709203287</v>
      </c>
      <c r="AU87" s="122">
        <v>95887.289132451697</v>
      </c>
      <c r="AV87" s="122">
        <v>104469.79340665239</v>
      </c>
      <c r="AW87" s="122">
        <v>4657.697851232725</v>
      </c>
      <c r="AX87" s="122">
        <v>44026.406461874125</v>
      </c>
      <c r="AY87" s="122">
        <v>3134.8416289589159</v>
      </c>
      <c r="AZ87" s="122">
        <v>567.81473463222437</v>
      </c>
      <c r="BA87" s="122">
        <v>1877.7925161435605</v>
      </c>
      <c r="BB87" s="122">
        <v>2166.6666666676529</v>
      </c>
      <c r="BC87" s="122">
        <v>16199.999998970494</v>
      </c>
      <c r="BD87" s="122">
        <v>1098.1825175496385</v>
      </c>
      <c r="BE87" s="122">
        <v>1157.8001784509706</v>
      </c>
      <c r="BF87" s="122">
        <v>916.68333333291218</v>
      </c>
      <c r="BG87" s="122">
        <v>12296.800000006155</v>
      </c>
    </row>
    <row r="88" spans="1:59" x14ac:dyDescent="0.25">
      <c r="A88" s="1">
        <v>40178.999305555553</v>
      </c>
      <c r="B88" s="3">
        <v>2494.0200000010741</v>
      </c>
      <c r="C88" s="3">
        <v>3493.7000000005241</v>
      </c>
      <c r="D88" s="3">
        <v>4522.2400000005764</v>
      </c>
      <c r="E88" s="3">
        <v>10740.699999997816</v>
      </c>
      <c r="F88" s="3">
        <v>1993.3600000002282</v>
      </c>
      <c r="G88" s="3">
        <v>4668.8200000030756</v>
      </c>
      <c r="H88" s="3">
        <v>565.99999999993508</v>
      </c>
      <c r="I88" s="3">
        <v>4166.6500000021297</v>
      </c>
      <c r="J88" s="3">
        <v>4166.6500000021233</v>
      </c>
      <c r="K88" s="3">
        <v>18776.951393582076</v>
      </c>
      <c r="L88" s="3">
        <v>1799.9999999999995</v>
      </c>
      <c r="M88" s="3">
        <v>7318.3999999991938</v>
      </c>
      <c r="N88" s="3">
        <v>27833.120000031842</v>
      </c>
      <c r="O88" s="122">
        <v>23975.600000011007</v>
      </c>
      <c r="P88" s="122">
        <v>1346.7400000006844</v>
      </c>
      <c r="Q88" s="122">
        <v>542.09161038595721</v>
      </c>
      <c r="R88" s="122">
        <v>4588.9400000008809</v>
      </c>
      <c r="S88" s="122">
        <v>3183.3799999986809</v>
      </c>
      <c r="T88" s="122">
        <v>1008.9400000003277</v>
      </c>
      <c r="U88" s="122">
        <v>419.22999999996358</v>
      </c>
      <c r="V88" s="122">
        <v>11479.940000005454</v>
      </c>
      <c r="W88" s="122">
        <v>1499.983333332802</v>
      </c>
      <c r="X88" s="122">
        <v>1416.6499999990267</v>
      </c>
      <c r="Y88" s="122">
        <v>541.66666666660728</v>
      </c>
      <c r="Z88" s="122">
        <v>333.3333333334636</v>
      </c>
      <c r="AA88" s="122">
        <v>1000.0000000020067</v>
      </c>
      <c r="AB88" s="122">
        <v>1499.999999998952</v>
      </c>
      <c r="AC88" s="122">
        <v>1000.0000000020067</v>
      </c>
      <c r="AD88" s="122">
        <v>1499.999999998952</v>
      </c>
      <c r="AE88" s="122">
        <v>5895.0969213220087</v>
      </c>
      <c r="AF88" s="122">
        <v>352.50278816501856</v>
      </c>
      <c r="AG88" s="122">
        <v>17094.665024161768</v>
      </c>
      <c r="AH88" s="122">
        <v>4991.8597600865251</v>
      </c>
      <c r="AI88" s="122">
        <v>8333.3500000013701</v>
      </c>
      <c r="AJ88" s="122">
        <v>38999.999998983854</v>
      </c>
      <c r="AK88" s="122">
        <v>15864.246446422741</v>
      </c>
      <c r="AL88" s="122">
        <v>13475.682087780177</v>
      </c>
      <c r="AM88" s="122">
        <v>24160.880683190007</v>
      </c>
      <c r="AN88" s="122">
        <v>5738.4600921305801</v>
      </c>
      <c r="AO88" s="122">
        <v>2247.9999999997431</v>
      </c>
      <c r="AP88" s="122">
        <v>378.87777777775057</v>
      </c>
      <c r="AQ88" s="122">
        <v>2250.0166666667183</v>
      </c>
      <c r="AR88" s="122">
        <v>22035.655812258708</v>
      </c>
      <c r="AS88" s="122">
        <v>33119.26666579811</v>
      </c>
      <c r="AT88" s="122">
        <v>105367.39688503377</v>
      </c>
      <c r="AU88" s="122">
        <v>105693.61173607109</v>
      </c>
      <c r="AV88" s="122">
        <v>115153.84241615186</v>
      </c>
      <c r="AW88" s="122">
        <v>4644.9719008195216</v>
      </c>
      <c r="AX88" s="122">
        <v>44853.400905020877</v>
      </c>
      <c r="AY88" s="122">
        <v>3033.4841628955787</v>
      </c>
      <c r="AZ88" s="122">
        <v>575.13612805871264</v>
      </c>
      <c r="BA88" s="122">
        <v>1913.0650741611705</v>
      </c>
      <c r="BB88" s="122">
        <v>2166.6666666676529</v>
      </c>
      <c r="BC88" s="122">
        <v>16199.99999897049</v>
      </c>
      <c r="BD88" s="122">
        <v>1219.3480142319981</v>
      </c>
      <c r="BE88" s="122">
        <v>1179.5483607533924</v>
      </c>
      <c r="BF88" s="122">
        <v>916.6833333329123</v>
      </c>
      <c r="BG88" s="122">
        <v>12296.800000006155</v>
      </c>
    </row>
    <row r="89" spans="1:59" x14ac:dyDescent="0.25">
      <c r="A89" s="1">
        <v>40543.999305555553</v>
      </c>
      <c r="B89" s="3">
        <v>2494.0200000010741</v>
      </c>
      <c r="C89" s="3">
        <v>3493.7000000005241</v>
      </c>
      <c r="D89" s="3">
        <v>4522.2400000005764</v>
      </c>
      <c r="E89" s="3">
        <v>10740.699999997816</v>
      </c>
      <c r="F89" s="3">
        <v>1993.3600000002282</v>
      </c>
      <c r="G89" s="3">
        <v>4668.8200000030756</v>
      </c>
      <c r="H89" s="3">
        <v>531.99999999993884</v>
      </c>
      <c r="I89" s="3">
        <v>4166.6500000021297</v>
      </c>
      <c r="J89" s="3">
        <v>4166.6500000021233</v>
      </c>
      <c r="K89" s="3">
        <v>17607.993388924431</v>
      </c>
      <c r="L89" s="3">
        <v>1799.9999999999995</v>
      </c>
      <c r="M89" s="3">
        <v>7318.3999999991938</v>
      </c>
      <c r="N89" s="3">
        <v>27833.120000031842</v>
      </c>
      <c r="O89" s="122">
        <v>23975.600000011007</v>
      </c>
      <c r="P89" s="122">
        <v>1346.7400000006844</v>
      </c>
      <c r="Q89" s="122">
        <v>134.07483870963787</v>
      </c>
      <c r="R89" s="122">
        <v>4588.9400000008809</v>
      </c>
      <c r="S89" s="122">
        <v>3183.3799999986809</v>
      </c>
      <c r="T89" s="122">
        <v>1008.9400000003277</v>
      </c>
      <c r="U89" s="122">
        <v>419.22999999996358</v>
      </c>
      <c r="V89" s="122">
        <v>11479.940000005454</v>
      </c>
      <c r="W89" s="122">
        <v>1499.983333332802</v>
      </c>
      <c r="X89" s="122">
        <v>1416.6499999990267</v>
      </c>
      <c r="Y89" s="122">
        <v>541.66666666660728</v>
      </c>
      <c r="Z89" s="122">
        <v>333.3333333334636</v>
      </c>
      <c r="AA89" s="122">
        <v>1000.0000000020067</v>
      </c>
      <c r="AB89" s="122">
        <v>1499.999999998952</v>
      </c>
      <c r="AC89" s="122">
        <v>1000.0000000020067</v>
      </c>
      <c r="AD89" s="122">
        <v>1499.999999998952</v>
      </c>
      <c r="AE89" s="122">
        <v>5477.4800456094026</v>
      </c>
      <c r="AF89" s="122">
        <v>365.96470511050001</v>
      </c>
      <c r="AG89" s="122">
        <v>17433.905050694502</v>
      </c>
      <c r="AH89" s="122">
        <v>4554.5406363307929</v>
      </c>
      <c r="AI89" s="122">
        <v>8333.3500000013701</v>
      </c>
      <c r="AJ89" s="122">
        <v>38999.999998983854</v>
      </c>
      <c r="AK89" s="122">
        <v>15864.246446422732</v>
      </c>
      <c r="AL89" s="122">
        <v>12691.577698693674</v>
      </c>
      <c r="AM89" s="122">
        <v>24160.880683190007</v>
      </c>
      <c r="AN89" s="122">
        <v>5819.3099558139402</v>
      </c>
      <c r="AO89" s="122">
        <v>2351.9999999997294</v>
      </c>
      <c r="AP89" s="122">
        <v>378.87777777775057</v>
      </c>
      <c r="AQ89" s="122">
        <v>2250.0166666667183</v>
      </c>
      <c r="AR89" s="122">
        <v>22766.963798432898</v>
      </c>
      <c r="AS89" s="122">
        <v>33119.26666579811</v>
      </c>
      <c r="AT89" s="122">
        <v>99782.286134308422</v>
      </c>
      <c r="AU89" s="122">
        <v>100091.20962079235</v>
      </c>
      <c r="AV89" s="122">
        <v>109049.99072882644</v>
      </c>
      <c r="AW89" s="122">
        <v>4644.9719008195216</v>
      </c>
      <c r="AX89" s="122">
        <v>45966.055642460655</v>
      </c>
      <c r="AY89" s="122">
        <v>2830.7692307689044</v>
      </c>
      <c r="AZ89" s="122">
        <v>597.10030833818507</v>
      </c>
      <c r="BA89" s="122">
        <v>1960.5214737840986</v>
      </c>
      <c r="BB89" s="122">
        <v>2166.6666666676529</v>
      </c>
      <c r="BC89" s="122">
        <v>16199.99999897049</v>
      </c>
      <c r="BD89" s="122">
        <v>1142.4175401479595</v>
      </c>
      <c r="BE89" s="122">
        <v>1208.8087968663804</v>
      </c>
      <c r="BF89" s="122">
        <v>916.6833333329123</v>
      </c>
      <c r="BG89" s="122">
        <v>12296.800000006155</v>
      </c>
    </row>
    <row r="90" spans="1:59" x14ac:dyDescent="0.25">
      <c r="A90" s="1">
        <v>40908.999305555553</v>
      </c>
      <c r="B90" s="3">
        <v>2494.0200000010741</v>
      </c>
      <c r="C90" s="3">
        <v>3493.7000000005241</v>
      </c>
      <c r="D90" s="3">
        <v>4522.2400000005764</v>
      </c>
      <c r="E90" s="3">
        <v>10740.699999997816</v>
      </c>
      <c r="F90" s="3">
        <v>1993.3600000002282</v>
      </c>
      <c r="G90" s="3">
        <v>4668.8200000030756</v>
      </c>
      <c r="H90" s="3">
        <v>563.99999999993486</v>
      </c>
      <c r="I90" s="3">
        <v>4166.6500000021297</v>
      </c>
      <c r="J90" s="3">
        <v>4166.6500000021233</v>
      </c>
      <c r="K90" s="3">
        <v>18677.785290359207</v>
      </c>
      <c r="L90" s="3">
        <v>1799.9999999999995</v>
      </c>
      <c r="M90" s="3">
        <v>7318.3999999991938</v>
      </c>
      <c r="N90" s="3">
        <v>27833.120000031842</v>
      </c>
      <c r="O90" s="122">
        <v>23975.600000011007</v>
      </c>
      <c r="P90" s="122">
        <v>1346.7400000006844</v>
      </c>
      <c r="Q90" s="122">
        <v>164.12129032276962</v>
      </c>
      <c r="R90" s="122">
        <v>4588.9400000008809</v>
      </c>
      <c r="S90" s="122">
        <v>3183.3799999986809</v>
      </c>
      <c r="T90" s="122">
        <v>1008.9400000003277</v>
      </c>
      <c r="U90" s="122">
        <v>419.22999999996358</v>
      </c>
      <c r="V90" s="122">
        <v>11479.940000005454</v>
      </c>
      <c r="W90" s="122">
        <v>1499.983333332802</v>
      </c>
      <c r="X90" s="122">
        <v>1416.6499999990267</v>
      </c>
      <c r="Y90" s="122">
        <v>541.66666666660728</v>
      </c>
      <c r="Z90" s="122">
        <v>333.3333333334636</v>
      </c>
      <c r="AA90" s="122">
        <v>1000.0000000020067</v>
      </c>
      <c r="AB90" s="122">
        <v>1499.999999998952</v>
      </c>
      <c r="AC90" s="122">
        <v>1000.0000000020067</v>
      </c>
      <c r="AD90" s="122">
        <v>1499.999999998952</v>
      </c>
      <c r="AE90" s="122">
        <v>5580.1026225763253</v>
      </c>
      <c r="AF90" s="122">
        <v>362.47457849500472</v>
      </c>
      <c r="AG90" s="122">
        <v>17752.297924758688</v>
      </c>
      <c r="AH90" s="122">
        <v>4677.0496815169217</v>
      </c>
      <c r="AI90" s="122">
        <v>8333.3500000013701</v>
      </c>
      <c r="AJ90" s="122">
        <v>38999.999998983854</v>
      </c>
      <c r="AK90" s="122">
        <v>15864.246446422756</v>
      </c>
      <c r="AL90" s="122">
        <v>13451.957295372116</v>
      </c>
      <c r="AM90" s="122">
        <v>24160.880683190007</v>
      </c>
      <c r="AN90" s="122">
        <v>5885.117984393416</v>
      </c>
      <c r="AO90" s="122">
        <v>2341.9999999997322</v>
      </c>
      <c r="AP90" s="122">
        <v>378.87777777775057</v>
      </c>
      <c r="AQ90" s="122">
        <v>2250.0166666667183</v>
      </c>
      <c r="AR90" s="122">
        <v>22437.693287245005</v>
      </c>
      <c r="AS90" s="122">
        <v>33119.26666579811</v>
      </c>
      <c r="AT90" s="122">
        <v>105198.40714940082</v>
      </c>
      <c r="AU90" s="122">
        <v>105524.0988124017</v>
      </c>
      <c r="AV90" s="122">
        <v>114969.15703943773</v>
      </c>
      <c r="AW90" s="122">
        <v>4644.9719008195216</v>
      </c>
      <c r="AX90" s="122">
        <v>45356.857445791509</v>
      </c>
      <c r="AY90" s="122">
        <v>2888.6877828050992</v>
      </c>
      <c r="AZ90" s="122">
        <v>591.40589122869289</v>
      </c>
      <c r="BA90" s="122">
        <v>1934.5382535650206</v>
      </c>
      <c r="BB90" s="122">
        <v>2166.6666666676529</v>
      </c>
      <c r="BC90" s="122">
        <v>16199.99999897049</v>
      </c>
      <c r="BD90" s="122">
        <v>1213.578228675696</v>
      </c>
      <c r="BE90" s="122">
        <v>1192.7881892924595</v>
      </c>
      <c r="BF90" s="122">
        <v>916.6833333329123</v>
      </c>
      <c r="BG90" s="122">
        <v>12296.800000006155</v>
      </c>
    </row>
    <row r="91" spans="1:59" x14ac:dyDescent="0.25">
      <c r="A91" s="1">
        <v>41274.999305555553</v>
      </c>
      <c r="B91" s="3">
        <v>2494.0200000010741</v>
      </c>
      <c r="C91" s="3">
        <v>3493.7000000005241</v>
      </c>
      <c r="D91" s="3">
        <v>4522.2400000005764</v>
      </c>
      <c r="E91" s="3">
        <v>10740.699999997816</v>
      </c>
      <c r="F91" s="3">
        <v>1993.3600000002282</v>
      </c>
      <c r="G91" s="3">
        <v>4668.8200000030765</v>
      </c>
      <c r="H91" s="3">
        <v>603.9999999999302</v>
      </c>
      <c r="I91" s="3">
        <v>4166.6500000021306</v>
      </c>
      <c r="J91" s="3">
        <v>4166.6500000021233</v>
      </c>
      <c r="K91" s="3">
        <v>20136.729021108047</v>
      </c>
      <c r="L91" s="3">
        <v>1799.9999999999995</v>
      </c>
      <c r="M91" s="3">
        <v>7318.3999999991929</v>
      </c>
      <c r="N91" s="3">
        <v>27833.120000031842</v>
      </c>
      <c r="O91" s="122">
        <v>23975.600000011007</v>
      </c>
      <c r="P91" s="122">
        <v>1346.7400000006844</v>
      </c>
      <c r="Q91" s="122">
        <v>1005.8406973980098</v>
      </c>
      <c r="R91" s="122">
        <v>4588.9400000008809</v>
      </c>
      <c r="S91" s="122">
        <v>3183.3799999986809</v>
      </c>
      <c r="T91" s="122">
        <v>1008.9400000003277</v>
      </c>
      <c r="U91" s="122">
        <v>419.22999999996358</v>
      </c>
      <c r="V91" s="122">
        <v>11479.940000005452</v>
      </c>
      <c r="W91" s="122">
        <v>1499.9833333328022</v>
      </c>
      <c r="X91" s="122">
        <v>1416.6499999990265</v>
      </c>
      <c r="Y91" s="122">
        <v>541.6666666666074</v>
      </c>
      <c r="Z91" s="122">
        <v>333.33333333346354</v>
      </c>
      <c r="AA91" s="122">
        <v>1000.0000000020035</v>
      </c>
      <c r="AB91" s="122">
        <v>1499.9999999989695</v>
      </c>
      <c r="AC91" s="122">
        <v>1000.0000000020035</v>
      </c>
      <c r="AD91" s="122">
        <v>1499.9999999989695</v>
      </c>
      <c r="AE91" s="122">
        <v>6513.6830102615122</v>
      </c>
      <c r="AF91" s="122">
        <v>393.38712851796214</v>
      </c>
      <c r="AG91" s="122">
        <v>20650.052117878804</v>
      </c>
      <c r="AH91" s="122">
        <v>5481.862284648083</v>
      </c>
      <c r="AI91" s="122">
        <v>8333.3500000013719</v>
      </c>
      <c r="AJ91" s="122">
        <v>38999.999998983862</v>
      </c>
      <c r="AK91" s="122">
        <v>15864.246446422729</v>
      </c>
      <c r="AL91" s="122">
        <v>14436.536180306768</v>
      </c>
      <c r="AM91" s="122">
        <v>24160.880683190007</v>
      </c>
      <c r="AN91" s="122">
        <v>6342.0137256738044</v>
      </c>
      <c r="AO91" s="122">
        <v>3029.9999999996508</v>
      </c>
      <c r="AP91" s="122">
        <v>378.87777777775057</v>
      </c>
      <c r="AQ91" s="122">
        <v>2250.0166666667183</v>
      </c>
      <c r="AR91" s="122">
        <v>24557.031107874209</v>
      </c>
      <c r="AS91" s="122">
        <v>33105.778642042722</v>
      </c>
      <c r="AT91" s="122">
        <v>112211.4811648991</v>
      </c>
      <c r="AU91" s="122">
        <v>112558.88513135456</v>
      </c>
      <c r="AV91" s="122">
        <v>122633.60015854286</v>
      </c>
      <c r="AW91" s="122">
        <v>4657.697851232725</v>
      </c>
      <c r="AX91" s="122">
        <v>49957.408594212888</v>
      </c>
      <c r="AY91" s="122">
        <v>3395.4751131217827</v>
      </c>
      <c r="AZ91" s="122">
        <v>641.84215705562133</v>
      </c>
      <c r="BA91" s="122">
        <v>2130.7586860484739</v>
      </c>
      <c r="BB91" s="122">
        <v>2166.6666666676529</v>
      </c>
      <c r="BC91" s="122">
        <v>16199.999998970494</v>
      </c>
      <c r="BD91" s="122">
        <v>1303.971535724439</v>
      </c>
      <c r="BE91" s="122">
        <v>1313.7728293908463</v>
      </c>
      <c r="BF91" s="122">
        <v>916.68333333291218</v>
      </c>
      <c r="BG91" s="122">
        <v>12296.800000006155</v>
      </c>
    </row>
    <row r="92" spans="1:59" x14ac:dyDescent="0.25">
      <c r="A92" s="1">
        <v>41639.999305555553</v>
      </c>
      <c r="B92" s="493" t="s">
        <v>678</v>
      </c>
      <c r="C92" s="493" t="s">
        <v>678</v>
      </c>
      <c r="D92" s="493" t="s">
        <v>678</v>
      </c>
      <c r="E92" s="493" t="s">
        <v>678</v>
      </c>
      <c r="F92" s="493" t="s">
        <v>678</v>
      </c>
      <c r="G92" s="493" t="s">
        <v>678</v>
      </c>
      <c r="H92" s="493" t="s">
        <v>678</v>
      </c>
      <c r="I92" s="493" t="s">
        <v>678</v>
      </c>
      <c r="J92" s="493" t="s">
        <v>678</v>
      </c>
      <c r="K92" s="493" t="s">
        <v>678</v>
      </c>
      <c r="L92" s="493" t="s">
        <v>678</v>
      </c>
      <c r="M92" s="493" t="s">
        <v>678</v>
      </c>
      <c r="N92" s="493" t="s">
        <v>678</v>
      </c>
      <c r="O92" s="493" t="s">
        <v>678</v>
      </c>
      <c r="P92" s="493" t="s">
        <v>678</v>
      </c>
      <c r="Q92" s="493" t="s">
        <v>678</v>
      </c>
      <c r="R92" s="493" t="s">
        <v>678</v>
      </c>
      <c r="S92" s="493" t="s">
        <v>678</v>
      </c>
      <c r="T92" s="493" t="s">
        <v>678</v>
      </c>
      <c r="U92" s="493" t="s">
        <v>678</v>
      </c>
      <c r="V92" s="493" t="s">
        <v>678</v>
      </c>
      <c r="W92" s="493" t="s">
        <v>678</v>
      </c>
      <c r="X92" s="493" t="s">
        <v>678</v>
      </c>
      <c r="Y92" s="493" t="s">
        <v>678</v>
      </c>
      <c r="Z92" s="493" t="s">
        <v>678</v>
      </c>
      <c r="AA92" s="493" t="s">
        <v>678</v>
      </c>
      <c r="AB92" s="493" t="s">
        <v>678</v>
      </c>
      <c r="AC92" s="493" t="s">
        <v>678</v>
      </c>
      <c r="AD92" s="493" t="s">
        <v>678</v>
      </c>
      <c r="AE92" s="493" t="s">
        <v>678</v>
      </c>
      <c r="AF92" s="493" t="s">
        <v>678</v>
      </c>
      <c r="AG92" s="493" t="s">
        <v>678</v>
      </c>
      <c r="AH92" s="493" t="s">
        <v>678</v>
      </c>
      <c r="AI92" s="493" t="s">
        <v>678</v>
      </c>
      <c r="AJ92" s="493" t="s">
        <v>678</v>
      </c>
      <c r="AK92" s="493" t="s">
        <v>678</v>
      </c>
      <c r="AL92" s="493" t="s">
        <v>678</v>
      </c>
      <c r="AM92" s="493" t="s">
        <v>678</v>
      </c>
      <c r="AN92" s="493" t="s">
        <v>678</v>
      </c>
      <c r="AO92" s="493" t="s">
        <v>678</v>
      </c>
      <c r="AP92" s="493" t="s">
        <v>678</v>
      </c>
      <c r="AQ92" s="493" t="s">
        <v>678</v>
      </c>
      <c r="AR92" s="493" t="s">
        <v>678</v>
      </c>
      <c r="AS92" s="493" t="s">
        <v>678</v>
      </c>
      <c r="AT92" s="493" t="s">
        <v>678</v>
      </c>
      <c r="AU92" s="493" t="s">
        <v>678</v>
      </c>
      <c r="AV92" s="493" t="s">
        <v>678</v>
      </c>
      <c r="AW92" s="493" t="s">
        <v>678</v>
      </c>
      <c r="AX92" s="493" t="s">
        <v>678</v>
      </c>
      <c r="AY92" s="493" t="s">
        <v>678</v>
      </c>
      <c r="AZ92" s="493" t="s">
        <v>678</v>
      </c>
      <c r="BA92" s="493" t="s">
        <v>678</v>
      </c>
      <c r="BB92" s="493" t="s">
        <v>678</v>
      </c>
      <c r="BC92" s="493" t="s">
        <v>678</v>
      </c>
      <c r="BD92" s="493" t="s">
        <v>678</v>
      </c>
      <c r="BE92" s="493" t="s">
        <v>678</v>
      </c>
      <c r="BF92" s="493" t="s">
        <v>678</v>
      </c>
      <c r="BG92" s="493" t="s">
        <v>678</v>
      </c>
    </row>
    <row r="93" spans="1:59" x14ac:dyDescent="0.25">
      <c r="A93" s="1">
        <v>42004.999305555553</v>
      </c>
    </row>
    <row r="94" spans="1:59" x14ac:dyDescent="0.25">
      <c r="A94" s="1">
        <v>42369.999305555553</v>
      </c>
    </row>
    <row r="95" spans="1:59" x14ac:dyDescent="0.25">
      <c r="A95" s="1">
        <v>42735.999305555553</v>
      </c>
    </row>
    <row r="96" spans="1:59" x14ac:dyDescent="0.25">
      <c r="A96" s="1">
        <v>43100.999305555553</v>
      </c>
    </row>
    <row r="97" spans="1:1" x14ac:dyDescent="0.25">
      <c r="A97" s="1">
        <v>43465.999305555553</v>
      </c>
    </row>
    <row r="98" spans="1:1" x14ac:dyDescent="0.25">
      <c r="A98" s="1">
        <v>43830.999305555553</v>
      </c>
    </row>
    <row r="99" spans="1:1" x14ac:dyDescent="0.25">
      <c r="A99" s="1">
        <v>44196.999305555553</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486BD-884A-4ADE-84A3-C46EB73BECA7}">
  <sheetPr codeName="Sheet13">
    <tabColor theme="7" tint="0.39997558519241921"/>
  </sheetPr>
  <dimension ref="A1:AM97"/>
  <sheetViews>
    <sheetView topLeftCell="A51" zoomScale="55" zoomScaleNormal="55" workbookViewId="0">
      <selection activeCell="AA93" sqref="AA93"/>
    </sheetView>
  </sheetViews>
  <sheetFormatPr defaultRowHeight="15" x14ac:dyDescent="0.25"/>
  <cols>
    <col min="1" max="1" width="18" customWidth="1" collapsed="1"/>
    <col min="2" max="3" width="9.28515625" bestFit="1" customWidth="1" collapsed="1"/>
    <col min="4" max="4" width="9.7109375" bestFit="1" customWidth="1" collapsed="1"/>
    <col min="5" max="8" width="9.28515625" bestFit="1" customWidth="1" collapsed="1"/>
    <col min="9" max="9" width="9.7109375" bestFit="1" customWidth="1" collapsed="1"/>
    <col min="10" max="22" width="9.28515625" bestFit="1" customWidth="1" collapsed="1"/>
    <col min="23" max="23" width="9.7109375" bestFit="1" customWidth="1" collapsed="1"/>
    <col min="24" max="25" width="9.28515625" bestFit="1" customWidth="1" collapsed="1"/>
    <col min="26" max="26" width="9.7109375" bestFit="1" customWidth="1" collapsed="1"/>
    <col min="27" max="36" width="12.7109375" customWidth="1" collapsed="1"/>
  </cols>
  <sheetData>
    <row r="1" spans="1:39" x14ac:dyDescent="0.25">
      <c r="A1" s="292" t="s">
        <v>309</v>
      </c>
      <c r="B1" s="293">
        <f t="shared" ref="B1:AJ1" ca="1" si="0">AVERAGE(OFFSET(B$6,0,0,NumRunYears-1))</f>
        <v>31721.659133970916</v>
      </c>
      <c r="C1" s="293">
        <f t="shared" ca="1" si="0"/>
        <v>1026.0025346279144</v>
      </c>
      <c r="D1" s="293">
        <f t="shared" ca="1" si="0"/>
        <v>91094.454309920475</v>
      </c>
      <c r="E1" s="293">
        <f t="shared" ca="1" si="0"/>
        <v>2810.7051087617874</v>
      </c>
      <c r="F1" s="293">
        <f t="shared" ca="1" si="0"/>
        <v>15451.932363936085</v>
      </c>
      <c r="G1" s="293">
        <f t="shared" ca="1" si="0"/>
        <v>2036.5992698669434</v>
      </c>
      <c r="H1" s="293">
        <f t="shared" ca="1" si="0"/>
        <v>2838.8627778291702</v>
      </c>
      <c r="I1" s="293">
        <f t="shared" ca="1" si="0"/>
        <v>102587.94621147659</v>
      </c>
      <c r="J1" s="293">
        <f t="shared" ca="1" si="0"/>
        <v>2375.9726961340225</v>
      </c>
      <c r="K1" s="293">
        <f t="shared" ca="1" si="0"/>
        <v>19102.188742637634</v>
      </c>
      <c r="L1" s="293">
        <f t="shared" ca="1" si="0"/>
        <v>17169.393423271405</v>
      </c>
      <c r="M1" s="293">
        <f t="shared" ca="1" si="0"/>
        <v>1349.6109746138432</v>
      </c>
      <c r="N1" s="293">
        <f t="shared" ca="1" si="0"/>
        <v>1326.6977829933167</v>
      </c>
      <c r="O1" s="293">
        <f t="shared" ca="1" si="0"/>
        <v>38002.69709933205</v>
      </c>
      <c r="P1" s="293">
        <f t="shared" ca="1" si="0"/>
        <v>379.72302230766843</v>
      </c>
      <c r="Q1" s="293">
        <f t="shared" ca="1" si="0"/>
        <v>15617.75496055535</v>
      </c>
      <c r="R1" s="293">
        <f t="shared" ca="1" si="0"/>
        <v>598.83215999603271</v>
      </c>
      <c r="S1" s="293">
        <f t="shared" ca="1" si="0"/>
        <v>0</v>
      </c>
      <c r="T1" s="293">
        <f t="shared" ca="1" si="0"/>
        <v>15945.950641851503</v>
      </c>
      <c r="U1" s="293">
        <f t="shared" ca="1" si="0"/>
        <v>1462.2704996096129</v>
      </c>
      <c r="V1" s="293">
        <f t="shared" ca="1" si="0"/>
        <v>11945.651914360267</v>
      </c>
      <c r="W1" s="293">
        <f t="shared" ca="1" si="0"/>
        <v>130621.67155166905</v>
      </c>
      <c r="X1" s="293">
        <f t="shared" ca="1" si="0"/>
        <v>5631.4798803242938</v>
      </c>
      <c r="Y1" s="293">
        <f t="shared" ca="1" si="0"/>
        <v>212.11356273293495</v>
      </c>
      <c r="Z1" s="293">
        <f t="shared" ca="1" si="0"/>
        <v>214663.79801429046</v>
      </c>
      <c r="AA1" s="293">
        <f t="shared" ca="1" si="0"/>
        <v>78198.533019564318</v>
      </c>
      <c r="AB1" s="293">
        <f t="shared" ca="1" si="0"/>
        <v>24751.756629228592</v>
      </c>
      <c r="AC1" s="293">
        <f t="shared" ca="1" si="0"/>
        <v>32747.66166859883</v>
      </c>
      <c r="AD1" s="293">
        <f t="shared" ca="1" si="0"/>
        <v>17488.531633803028</v>
      </c>
      <c r="AE1" s="293">
        <f t="shared" ca="1" si="0"/>
        <v>104963.91890761061</v>
      </c>
      <c r="AF1" s="293">
        <f t="shared" ca="1" si="0"/>
        <v>18519.004397885245</v>
      </c>
      <c r="AG1" s="293">
        <f t="shared" ca="1" si="0"/>
        <v>38382.42012163972</v>
      </c>
      <c r="AH1" s="293">
        <f t="shared" ca="1" si="0"/>
        <v>16216.587120551383</v>
      </c>
      <c r="AI1" s="293">
        <f t="shared" ca="1" si="0"/>
        <v>17408.221141461116</v>
      </c>
      <c r="AJ1" s="293">
        <f t="shared" ca="1" si="0"/>
        <v>136253.15143199329</v>
      </c>
    </row>
    <row r="2" spans="1:39" x14ac:dyDescent="0.25">
      <c r="A2" s="294" t="s">
        <v>310</v>
      </c>
      <c r="B2" s="295">
        <f t="shared" ref="B2:AJ2" ca="1" si="1">MIN(OFFSET(B$6,0,0,NumRunYears-1))</f>
        <v>25159.440965354443</v>
      </c>
      <c r="C2" s="295">
        <f t="shared" ca="1" si="1"/>
        <v>1026.0025346279144</v>
      </c>
      <c r="D2" s="295">
        <f t="shared" ca="1" si="1"/>
        <v>3234.6556396484375</v>
      </c>
      <c r="E2" s="295">
        <f t="shared" ca="1" si="1"/>
        <v>2810.7051087617874</v>
      </c>
      <c r="F2" s="295">
        <f t="shared" ca="1" si="1"/>
        <v>9919.1260161325336</v>
      </c>
      <c r="G2" s="295">
        <f t="shared" ca="1" si="1"/>
        <v>2036.5992698669434</v>
      </c>
      <c r="H2" s="295">
        <f t="shared" ca="1" si="1"/>
        <v>2838.8627778291702</v>
      </c>
      <c r="I2" s="295">
        <f t="shared" ca="1" si="1"/>
        <v>71471.089888095856</v>
      </c>
      <c r="J2" s="295">
        <f t="shared" ca="1" si="1"/>
        <v>1317.3781144618988</v>
      </c>
      <c r="K2" s="295">
        <f t="shared" ca="1" si="1"/>
        <v>17935.719019889832</v>
      </c>
      <c r="L2" s="295">
        <f t="shared" ca="1" si="1"/>
        <v>12869.110400743779</v>
      </c>
      <c r="M2" s="295">
        <f t="shared" ca="1" si="1"/>
        <v>912.17925810813904</v>
      </c>
      <c r="N2" s="295">
        <f t="shared" ca="1" si="1"/>
        <v>1326.6977829933167</v>
      </c>
      <c r="O2" s="295">
        <f t="shared" ca="1" si="1"/>
        <v>11704.532083502263</v>
      </c>
      <c r="P2" s="295">
        <f t="shared" ca="1" si="1"/>
        <v>267.43048429489136</v>
      </c>
      <c r="Q2" s="295">
        <f t="shared" ca="1" si="1"/>
        <v>5104.6303098872304</v>
      </c>
      <c r="R2" s="295">
        <f t="shared" ca="1" si="1"/>
        <v>598.83215999603271</v>
      </c>
      <c r="S2" s="295">
        <f t="shared" ca="1" si="1"/>
        <v>0</v>
      </c>
      <c r="T2" s="295">
        <f t="shared" ca="1" si="1"/>
        <v>4420.8252652295678</v>
      </c>
      <c r="U2" s="295">
        <f t="shared" ca="1" si="1"/>
        <v>1353.1931121349335</v>
      </c>
      <c r="V2" s="295">
        <f t="shared" ca="1" si="1"/>
        <v>3064.0313931107521</v>
      </c>
      <c r="W2" s="295">
        <f t="shared" ca="1" si="1"/>
        <v>79697.911122927573</v>
      </c>
      <c r="X2" s="295">
        <f t="shared" ca="1" si="1"/>
        <v>4547.4637647284562</v>
      </c>
      <c r="Y2" s="295">
        <f t="shared" ca="1" si="1"/>
        <v>212.11356273293495</v>
      </c>
      <c r="Z2" s="295">
        <f t="shared" ca="1" si="1"/>
        <v>130283.96319517493</v>
      </c>
      <c r="AA2" s="295">
        <f t="shared" ca="1" si="1"/>
        <v>35823.23022418256</v>
      </c>
      <c r="AB2" s="295">
        <f t="shared" ca="1" si="1"/>
        <v>23585.286906480789</v>
      </c>
      <c r="AC2" s="295">
        <f t="shared" ca="1" si="1"/>
        <v>26185.443499982357</v>
      </c>
      <c r="AD2" s="295">
        <f t="shared" ca="1" si="1"/>
        <v>11955.725285999477</v>
      </c>
      <c r="AE2" s="295">
        <f t="shared" ca="1" si="1"/>
        <v>72955.914783716202</v>
      </c>
      <c r="AF2" s="295">
        <f t="shared" ca="1" si="1"/>
        <v>14232.487855978306</v>
      </c>
      <c r="AG2" s="295">
        <f t="shared" ca="1" si="1"/>
        <v>11987.918047180623</v>
      </c>
      <c r="AH2" s="295">
        <f t="shared" ca="1" si="1"/>
        <v>5703.4624698832631</v>
      </c>
      <c r="AI2" s="295">
        <f t="shared" ca="1" si="1"/>
        <v>5804.9668499975278</v>
      </c>
      <c r="AJ2" s="295">
        <f t="shared" ca="1" si="1"/>
        <v>84245.374887656028</v>
      </c>
    </row>
    <row r="3" spans="1:39" ht="15.75" thickBot="1" x14ac:dyDescent="0.3">
      <c r="A3" s="296" t="s">
        <v>311</v>
      </c>
      <c r="B3" s="297">
        <f t="shared" ref="B3:AJ3" ca="1" si="2">MAX(OFFSET(B$6,0,0,NumRunYears-1))</f>
        <v>37568.151311397552</v>
      </c>
      <c r="C3" s="297">
        <f t="shared" ca="1" si="2"/>
        <v>1026.0025346279144</v>
      </c>
      <c r="D3" s="297">
        <f t="shared" ca="1" si="2"/>
        <v>191640.84257507324</v>
      </c>
      <c r="E3" s="297">
        <f t="shared" ca="1" si="2"/>
        <v>2810.7051087617874</v>
      </c>
      <c r="F3" s="297">
        <f t="shared" ca="1" si="2"/>
        <v>17467.8857229352</v>
      </c>
      <c r="G3" s="297">
        <f t="shared" ca="1" si="2"/>
        <v>2036.5992698669434</v>
      </c>
      <c r="H3" s="297">
        <f t="shared" ca="1" si="2"/>
        <v>2838.8627778291702</v>
      </c>
      <c r="I3" s="297">
        <f t="shared" ca="1" si="2"/>
        <v>115008.02590584755</v>
      </c>
      <c r="J3" s="297">
        <f t="shared" ca="1" si="2"/>
        <v>2696.029901266098</v>
      </c>
      <c r="K3" s="297">
        <f t="shared" ca="1" si="2"/>
        <v>19116.242594718933</v>
      </c>
      <c r="L3" s="297">
        <f t="shared" ca="1" si="2"/>
        <v>20482.824206374571</v>
      </c>
      <c r="M3" s="297">
        <f t="shared" ca="1" si="2"/>
        <v>1438.5394735336304</v>
      </c>
      <c r="N3" s="297">
        <f t="shared" ca="1" si="2"/>
        <v>1326.6977829933167</v>
      </c>
      <c r="O3" s="297">
        <f t="shared" ca="1" si="2"/>
        <v>51768.329088537474</v>
      </c>
      <c r="P3" s="297">
        <f t="shared" ca="1" si="2"/>
        <v>544.84344577789307</v>
      </c>
      <c r="Q3" s="297">
        <f t="shared" ca="1" si="2"/>
        <v>23194.015044294298</v>
      </c>
      <c r="R3" s="297">
        <f t="shared" ca="1" si="2"/>
        <v>598.83215999603271</v>
      </c>
      <c r="S3" s="297">
        <f t="shared" ca="1" si="2"/>
        <v>0</v>
      </c>
      <c r="T3" s="297">
        <f t="shared" ca="1" si="2"/>
        <v>26657.148342332031</v>
      </c>
      <c r="U3" s="297">
        <f t="shared" ca="1" si="2"/>
        <v>1583.6459755762935</v>
      </c>
      <c r="V3" s="297">
        <f t="shared" ca="1" si="2"/>
        <v>17656.200043678284</v>
      </c>
      <c r="W3" s="297">
        <f t="shared" ca="1" si="2"/>
        <v>163350.64299086825</v>
      </c>
      <c r="X3" s="297">
        <f t="shared" ca="1" si="2"/>
        <v>6094.1022396683693</v>
      </c>
      <c r="Y3" s="297">
        <f t="shared" ca="1" si="2"/>
        <v>212.11356273293495</v>
      </c>
      <c r="Z3" s="297">
        <f t="shared" ca="1" si="2"/>
        <v>264037.38139343262</v>
      </c>
      <c r="AA3" s="297">
        <f t="shared" ca="1" si="2"/>
        <v>129147.41309344798</v>
      </c>
      <c r="AB3" s="297">
        <f t="shared" ca="1" si="2"/>
        <v>24765.810481309891</v>
      </c>
      <c r="AC3" s="297">
        <f t="shared" ca="1" si="2"/>
        <v>38594.153846025467</v>
      </c>
      <c r="AD3" s="297">
        <f t="shared" ca="1" si="2"/>
        <v>19504.484992802143</v>
      </c>
      <c r="AE3" s="297">
        <f t="shared" ca="1" si="2"/>
        <v>117572.51014709473</v>
      </c>
      <c r="AF3" s="297">
        <f t="shared" ca="1" si="2"/>
        <v>21872.030249141142</v>
      </c>
      <c r="AG3" s="297">
        <f t="shared" ca="1" si="2"/>
        <v>52287.211341945906</v>
      </c>
      <c r="AH3" s="297">
        <f t="shared" ca="1" si="2"/>
        <v>23792.84720429033</v>
      </c>
      <c r="AI3" s="297">
        <f t="shared" ca="1" si="2"/>
        <v>28213.801593901942</v>
      </c>
      <c r="AJ3" s="297">
        <f t="shared" ca="1" si="2"/>
        <v>168542.3329720904</v>
      </c>
    </row>
    <row r="4" spans="1:39" ht="15.75" thickBot="1" x14ac:dyDescent="0.3">
      <c r="A4" s="363" t="s">
        <v>561</v>
      </c>
      <c r="B4" s="503">
        <f>IF(ISNUMBER(RunScenarioInfo!$A$2),RunScenarioInfo!$A$2,"BLANK")</f>
        <v>0</v>
      </c>
      <c r="C4" s="122"/>
      <c r="D4" s="122"/>
      <c r="E4" s="122"/>
      <c r="F4" s="122"/>
      <c r="G4" s="122"/>
      <c r="H4" s="122"/>
      <c r="I4" s="122"/>
      <c r="J4" s="122"/>
      <c r="K4" s="122"/>
      <c r="L4" s="122"/>
      <c r="M4" s="122"/>
      <c r="N4" s="122"/>
      <c r="O4" s="122"/>
      <c r="P4" s="122"/>
      <c r="Q4" s="122"/>
      <c r="R4" s="122"/>
      <c r="S4" s="122"/>
      <c r="T4" s="122"/>
      <c r="U4" s="122"/>
      <c r="V4" s="122"/>
      <c r="W4" s="122"/>
      <c r="X4" s="122"/>
      <c r="Y4" s="122"/>
      <c r="Z4" s="122"/>
      <c r="AA4" s="298" t="s">
        <v>312</v>
      </c>
      <c r="AB4" s="299"/>
      <c r="AC4" s="300"/>
      <c r="AD4" s="300"/>
      <c r="AE4" s="300"/>
      <c r="AF4" s="300"/>
      <c r="AG4" s="300"/>
      <c r="AH4" s="300"/>
      <c r="AI4" s="300"/>
      <c r="AJ4" s="301"/>
    </row>
    <row r="5" spans="1:39" ht="105.75" thickBot="1" x14ac:dyDescent="0.3">
      <c r="A5" s="362" t="s">
        <v>313</v>
      </c>
      <c r="B5" s="122" t="s">
        <v>314</v>
      </c>
      <c r="C5" s="122" t="s">
        <v>315</v>
      </c>
      <c r="D5" s="122" t="s">
        <v>316</v>
      </c>
      <c r="E5" s="122" t="s">
        <v>317</v>
      </c>
      <c r="F5" s="122" t="s">
        <v>318</v>
      </c>
      <c r="G5" s="122" t="s">
        <v>319</v>
      </c>
      <c r="H5" s="122" t="s">
        <v>320</v>
      </c>
      <c r="I5" s="122" t="s">
        <v>321</v>
      </c>
      <c r="J5" s="122" t="s">
        <v>322</v>
      </c>
      <c r="K5" s="122" t="s">
        <v>323</v>
      </c>
      <c r="L5" s="302" t="s">
        <v>324</v>
      </c>
      <c r="M5" s="122" t="s">
        <v>325</v>
      </c>
      <c r="N5" s="302" t="s">
        <v>326</v>
      </c>
      <c r="O5" s="122" t="s">
        <v>327</v>
      </c>
      <c r="P5" s="122" t="s">
        <v>328</v>
      </c>
      <c r="Q5" s="122" t="s">
        <v>329</v>
      </c>
      <c r="R5" s="122" t="s">
        <v>330</v>
      </c>
      <c r="S5" s="122" t="s">
        <v>331</v>
      </c>
      <c r="T5" s="122" t="s">
        <v>332</v>
      </c>
      <c r="U5" s="122" t="s">
        <v>333</v>
      </c>
      <c r="V5" s="122" t="s">
        <v>334</v>
      </c>
      <c r="W5" s="122" t="s">
        <v>125</v>
      </c>
      <c r="X5" s="122" t="s">
        <v>335</v>
      </c>
      <c r="Y5" s="122" t="s">
        <v>336</v>
      </c>
      <c r="Z5" s="122" t="s">
        <v>337</v>
      </c>
      <c r="AA5" s="303" t="s">
        <v>177</v>
      </c>
      <c r="AB5" s="304" t="s">
        <v>338</v>
      </c>
      <c r="AC5" s="304" t="s">
        <v>339</v>
      </c>
      <c r="AD5" s="304" t="s">
        <v>340</v>
      </c>
      <c r="AE5" s="304" t="s">
        <v>341</v>
      </c>
      <c r="AF5" s="304" t="s">
        <v>342</v>
      </c>
      <c r="AG5" s="304" t="s">
        <v>343</v>
      </c>
      <c r="AH5" s="304" t="s">
        <v>344</v>
      </c>
      <c r="AI5" s="304" t="s">
        <v>345</v>
      </c>
      <c r="AJ5" s="305" t="s">
        <v>346</v>
      </c>
      <c r="AK5" s="518" t="s">
        <v>674</v>
      </c>
      <c r="AL5" s="518" t="s">
        <v>673</v>
      </c>
      <c r="AM5" s="518" t="s">
        <v>675</v>
      </c>
    </row>
    <row r="6" spans="1:39" x14ac:dyDescent="0.25">
      <c r="A6" s="519">
        <f>$AL6</f>
        <v>1929</v>
      </c>
      <c r="B6" s="306">
        <f ca="1">IF($B$4=0,OFFSET(StateModDepletions_BL!B$5,$AM6,0),IF($B$4=1,OFFSET(StateModDepletions_BLNoRes!B$5,$AM6,0)))</f>
        <v>32943.122581966221</v>
      </c>
      <c r="C6" s="307">
        <f ca="1">IF($B$4=0,OFFSET(StateModDepletions_BL!C$5,$AM6,0),IF($B$4=1,OFFSET(StateModDepletions_BLNoRes!C$5,$AM6,0)))</f>
        <v>1026.0025346279144</v>
      </c>
      <c r="D6" s="307">
        <f ca="1">IF($B$4=0,OFFSET(StateModDepletions_BL!D$5,$AM6,0),IF($B$4=1,OFFSET(StateModDepletions_BLNoRes!D$5,$AM6,0)))</f>
        <v>147150.1963596344</v>
      </c>
      <c r="E6" s="307">
        <f ca="1">IF($B$4=0,OFFSET(StateModDepletions_BL!E$5,$AM6,0),IF($B$4=1,OFFSET(StateModDepletions_BLNoRes!E$5,$AM6,0)))</f>
        <v>2810.7051087617874</v>
      </c>
      <c r="F6" s="307">
        <f ca="1">IF($B$4=0,OFFSET(StateModDepletions_BL!F$5,$AM6,0),IF($B$4=1,OFFSET(StateModDepletions_BLNoRes!F$5,$AM6,0)))</f>
        <v>16247.769269451499</v>
      </c>
      <c r="G6" s="307">
        <f ca="1">IF($B$4=0,OFFSET(StateModDepletions_BL!G$5,$AM6,0),IF($B$4=1,OFFSET(StateModDepletions_BLNoRes!G$5,$AM6,0)))</f>
        <v>2036.5992698669434</v>
      </c>
      <c r="H6" s="307">
        <f ca="1">IF($B$4=0,OFFSET(StateModDepletions_BL!H$5,$AM6,0),IF($B$4=1,OFFSET(StateModDepletions_BLNoRes!H$5,$AM6,0)))</f>
        <v>2838.8627778291702</v>
      </c>
      <c r="I6" s="307">
        <f ca="1">IF($B$4=0,OFFSET(StateModDepletions_BL!I$5,$AM6,0),IF($B$4=1,OFFSET(StateModDepletions_BLNoRes!I$5,$AM6,0)))</f>
        <v>100289.63148786128</v>
      </c>
      <c r="J6" s="307">
        <f ca="1">IF($B$4=0,OFFSET(StateModDepletions_BL!J$5,$AM6,0),IF($B$4=1,OFFSET(StateModDepletions_BLNoRes!J$5,$AM6,0)))</f>
        <v>2650.5328900814056</v>
      </c>
      <c r="K6" s="307">
        <f ca="1">IF($B$4=0,OFFSET(StateModDepletions_BL!K$5,$AM6,0),IF($B$4=1,OFFSET(StateModDepletions_BLNoRes!K$5,$AM6,0)))</f>
        <v>19116.242594718933</v>
      </c>
      <c r="L6" s="307">
        <f ca="1">IF($B$4=0,OFFSET(StateModDepletions_BL!L$5,$AM6,0),IF($B$4=1,OFFSET(StateModDepletions_BLNoRes!L$5,$AM6,0)))</f>
        <v>15475.654380455608</v>
      </c>
      <c r="M6" s="307">
        <f ca="1">IF($B$4=0,OFFSET(StateModDepletions_BL!M$5,$AM6,0),IF($B$4=1,OFFSET(StateModDepletions_BLNoRes!M$5,$AM6,0)))</f>
        <v>1352.5338892936707</v>
      </c>
      <c r="N6" s="307">
        <f ca="1">IF($B$4=0,OFFSET(StateModDepletions_BL!N$5,$AM6,0),IF($B$4=1,OFFSET(StateModDepletions_BLNoRes!N$5,$AM6,0)))</f>
        <v>1326.6977829933167</v>
      </c>
      <c r="O6" s="307">
        <f ca="1">IF($B$4=0,OFFSET(StateModDepletions_BL!O$5,$AM6,0),IF($B$4=1,OFFSET(StateModDepletions_BLNoRes!O$5,$AM6,0)))</f>
        <v>44999.643507136483</v>
      </c>
      <c r="P6" s="307">
        <f ca="1">IF($B$4=0,OFFSET(StateModDepletions_BL!P$5,$AM6,0),IF($B$4=1,OFFSET(StateModDepletions_BLNoRes!P$5,$AM6,0)))</f>
        <v>374.25252342224121</v>
      </c>
      <c r="Q6" s="307">
        <f ca="1">IF($B$4=0,OFFSET(StateModDepletions_BL!Q$5,$AM6,0),IF($B$4=1,OFFSET(StateModDepletions_BLNoRes!Q$5,$AM6,0)))</f>
        <v>18813.154565809295</v>
      </c>
      <c r="R6" s="307">
        <f ca="1">IF($B$4=0,OFFSET(StateModDepletions_BL!R$5,$AM6,0),IF($B$4=1,OFFSET(StateModDepletions_BLNoRes!R$5,$AM6,0)))</f>
        <v>598.83215999603271</v>
      </c>
      <c r="S6" s="307">
        <f ca="1">IF($B$4=0,OFFSET(StateModDepletions_BL!S$5,$AM6,0),IF($B$4=1,OFFSET(StateModDepletions_BLNoRes!S$5,$AM6,0)))</f>
        <v>0</v>
      </c>
      <c r="T6" s="307">
        <f ca="1">IF($B$4=0,OFFSET(StateModDepletions_BL!T$5,$AM6,0),IF($B$4=1,OFFSET(StateModDepletions_BLNoRes!T$5,$AM6,0)))</f>
        <v>20891.560157893673</v>
      </c>
      <c r="U6" s="307">
        <f ca="1">IF($B$4=0,OFFSET(StateModDepletions_BL!U$5,$AM6,0),IF($B$4=1,OFFSET(StateModDepletions_BLNoRes!U$5,$AM6,0)))</f>
        <v>1497.7056555151939</v>
      </c>
      <c r="V6" s="307">
        <f ca="1">IF($B$4=0,OFFSET(StateModDepletions_BL!V$5,$AM6,0),IF($B$4=1,OFFSET(StateModDepletions_BLNoRes!V$5,$AM6,0)))</f>
        <v>15758.559514045715</v>
      </c>
      <c r="W6" s="307">
        <f ca="1">IF($B$4=0,OFFSET(StateModDepletions_BL!W$5,$AM6,0),IF($B$4=1,OFFSET(StateModDepletions_BLNoRes!W$5,$AM6,0)))</f>
        <v>127698.42142096504</v>
      </c>
      <c r="X6" s="307">
        <f ca="1">IF($B$4=0,OFFSET(StateModDepletions_BL!X$5,$AM6,0),IF($B$4=1,OFFSET(StateModDepletions_BLNoRes!X$5,$AM6,0)))</f>
        <v>5875.3226467370987</v>
      </c>
      <c r="Y6" s="307">
        <f ca="1">IF($B$4=0,OFFSET(StateModDepletions_BL!Y$5,$AM6,0),IF($B$4=1,OFFSET(StateModDepletions_BLNoRes!Y$5,$AM6,0)))</f>
        <v>212.11356273293495</v>
      </c>
      <c r="Z6" s="307">
        <f ca="1">IF($B$4=0,OFFSET(StateModDepletions_BL!Z$5,$AM6,0),IF($B$4=1,OFFSET(StateModDepletions_BLNoRes!Z$5,$AM6,0)))</f>
        <v>208895.09327602386</v>
      </c>
      <c r="AA6" s="308">
        <f ca="1">IF($B$4=0,OFFSET(StateModDepletions_BL!AA$5,$AM6,0),IF($B$4=1,OFFSET(StateModDepletions_BLNoRes!AA$5,$AM6,0)))</f>
        <v>75109.235645588793</v>
      </c>
      <c r="AB6" s="309">
        <f ca="1">IF($B$4=0,OFFSET(StateModDepletions_BL!AB$5,$AM6,0),IF($B$4=1,OFFSET(StateModDepletions_BLNoRes!AB$5,$AM6,0)))</f>
        <v>24765.810481309891</v>
      </c>
      <c r="AC6" s="309">
        <f ca="1">IF($B$4=0,OFFSET(StateModDepletions_BL!AC$5,$AM6,0),IF($B$4=1,OFFSET(StateModDepletions_BLNoRes!AC$5,$AM6,0)))</f>
        <v>33969.125116594136</v>
      </c>
      <c r="AD6" s="309">
        <f ca="1">IF($B$4=0,OFFSET(StateModDepletions_BL!AD$5,$AM6,0),IF($B$4=1,OFFSET(StateModDepletions_BLNoRes!AD$5,$AM6,0)))</f>
        <v>18284.368539318442</v>
      </c>
      <c r="AE6" s="309">
        <f ca="1">IF($B$4=0,OFFSET(StateModDepletions_BL!AE$5,$AM6,0),IF($B$4=1,OFFSET(StateModDepletions_BLNoRes!AE$5,$AM6,0)))</f>
        <v>102940.16437794268</v>
      </c>
      <c r="AF6" s="309">
        <f ca="1">IF($B$4=0,OFFSET(StateModDepletions_BL!AF$5,$AM6,0),IF($B$4=1,OFFSET(StateModDepletions_BLNoRes!AF$5,$AM6,0)))</f>
        <v>16828.188269749277</v>
      </c>
      <c r="AG6" s="309">
        <f ca="1">IF($B$4=0,OFFSET(StateModDepletions_BL!AG$5,$AM6,0),IF($B$4=1,OFFSET(StateModDepletions_BLNoRes!AG$5,$AM6,0)))</f>
        <v>45373.896030558724</v>
      </c>
      <c r="AH6" s="309">
        <f ca="1">IF($B$4=0,OFFSET(StateModDepletions_BL!AH$5,$AM6,0),IF($B$4=1,OFFSET(StateModDepletions_BLNoRes!AH$5,$AM6,0)))</f>
        <v>19411.986725805327</v>
      </c>
      <c r="AI6" s="309">
        <f ca="1">IF($B$4=0,OFFSET(StateModDepletions_BL!AI$5,$AM6,0),IF($B$4=1,OFFSET(StateModDepletions_BLNoRes!AI$5,$AM6,0)))</f>
        <v>22389.265813408867</v>
      </c>
      <c r="AJ6" s="310">
        <f ca="1">IF($B$4=0,OFFSET(StateModDepletions_BL!AJ$5,$AM6,0),IF($B$4=1,OFFSET(StateModDepletions_BLNoRes!AJ$5,$AM6,0)))</f>
        <v>133573.74406770215</v>
      </c>
      <c r="AK6" s="519">
        <v>1</v>
      </c>
      <c r="AL6" s="519">
        <f>IF(ISERROR($AK6),NA(),RunScenarioInfo!$I$2)</f>
        <v>1929</v>
      </c>
      <c r="AM6" s="519">
        <f>MATCH($AL6,StateModDepletions_BL!$A$6:$A$90,0)</f>
        <v>1</v>
      </c>
    </row>
    <row r="7" spans="1:39" x14ac:dyDescent="0.25">
      <c r="A7" s="519">
        <f t="shared" ref="A7:A70" si="3">$AL7</f>
        <v>1930</v>
      </c>
      <c r="B7" s="311">
        <f ca="1">IF($B$4=0,OFFSET(StateModDepletions_BL!B$5,$AM7,0),IF($B$4=1,OFFSET(StateModDepletions_BLNoRes!B$5,$AM7,0)))</f>
        <v>31682.82786526531</v>
      </c>
      <c r="C7" s="312">
        <f ca="1">IF($B$4=0,OFFSET(StateModDepletions_BL!C$5,$AM7,0),IF($B$4=1,OFFSET(StateModDepletions_BLNoRes!C$5,$AM7,0)))</f>
        <v>1026.0025346279144</v>
      </c>
      <c r="D7" s="312">
        <f ca="1">IF($B$4=0,OFFSET(StateModDepletions_BL!D$5,$AM7,0),IF($B$4=1,OFFSET(StateModDepletions_BLNoRes!D$5,$AM7,0)))</f>
        <v>71485.592948913574</v>
      </c>
      <c r="E7" s="312">
        <f ca="1">IF($B$4=0,OFFSET(StateModDepletions_BL!E$5,$AM7,0),IF($B$4=1,OFFSET(StateModDepletions_BLNoRes!E$5,$AM7,0)))</f>
        <v>2810.7051087617874</v>
      </c>
      <c r="F7" s="312">
        <f ca="1">IF($B$4=0,OFFSET(StateModDepletions_BL!F$5,$AM7,0),IF($B$4=1,OFFSET(StateModDepletions_BLNoRes!F$5,$AM7,0)))</f>
        <v>15842.428258892614</v>
      </c>
      <c r="G7" s="312">
        <f ca="1">IF($B$4=0,OFFSET(StateModDepletions_BL!G$5,$AM7,0),IF($B$4=1,OFFSET(StateModDepletions_BLNoRes!G$5,$AM7,0)))</f>
        <v>2036.5992698669434</v>
      </c>
      <c r="H7" s="312">
        <f ca="1">IF($B$4=0,OFFSET(StateModDepletions_BL!H$5,$AM7,0),IF($B$4=1,OFFSET(StateModDepletions_BLNoRes!H$5,$AM7,0)))</f>
        <v>2838.8627778291702</v>
      </c>
      <c r="I7" s="312">
        <f ca="1">IF($B$4=0,OFFSET(StateModDepletions_BL!I$5,$AM7,0),IF($B$4=1,OFFSET(StateModDepletions_BLNoRes!I$5,$AM7,0)))</f>
        <v>102453.03227811307</v>
      </c>
      <c r="J7" s="312">
        <f ca="1">IF($B$4=0,OFFSET(StateModDepletions_BL!J$5,$AM7,0),IF($B$4=1,OFFSET(StateModDepletions_BLNoRes!J$5,$AM7,0)))</f>
        <v>1952.746833562851</v>
      </c>
      <c r="K7" s="312">
        <f ca="1">IF($B$4=0,OFFSET(StateModDepletions_BL!K$5,$AM7,0),IF($B$4=1,OFFSET(StateModDepletions_BLNoRes!K$5,$AM7,0)))</f>
        <v>19116.242594718933</v>
      </c>
      <c r="L7" s="312">
        <f ca="1">IF($B$4=0,OFFSET(StateModDepletions_BL!L$5,$AM7,0),IF($B$4=1,OFFSET(StateModDepletions_BLNoRes!L$5,$AM7,0)))</f>
        <v>15997.548434443779</v>
      </c>
      <c r="M7" s="312">
        <f ca="1">IF($B$4=0,OFFSET(StateModDepletions_BL!M$5,$AM7,0),IF($B$4=1,OFFSET(StateModDepletions_BLNoRes!M$5,$AM7,0)))</f>
        <v>1406.2581839561462</v>
      </c>
      <c r="N7" s="312">
        <f ca="1">IF($B$4=0,OFFSET(StateModDepletions_BL!N$5,$AM7,0),IF($B$4=1,OFFSET(StateModDepletions_BLNoRes!N$5,$AM7,0)))</f>
        <v>1326.6977829933167</v>
      </c>
      <c r="O7" s="312">
        <f ca="1">IF($B$4=0,OFFSET(StateModDepletions_BL!O$5,$AM7,0),IF($B$4=1,OFFSET(StateModDepletions_BLNoRes!O$5,$AM7,0)))</f>
        <v>39408.06304758646</v>
      </c>
      <c r="P7" s="312">
        <f ca="1">IF($B$4=0,OFFSET(StateModDepletions_BL!P$5,$AM7,0),IF($B$4=1,OFFSET(StateModDepletions_BLNoRes!P$5,$AM7,0)))</f>
        <v>338.22071814537048</v>
      </c>
      <c r="Q7" s="312">
        <f ca="1">IF($B$4=0,OFFSET(StateModDepletions_BL!Q$5,$AM7,0),IF($B$4=1,OFFSET(StateModDepletions_BLNoRes!Q$5,$AM7,0)))</f>
        <v>14077.670300109312</v>
      </c>
      <c r="R7" s="312">
        <f ca="1">IF($B$4=0,OFFSET(StateModDepletions_BL!R$5,$AM7,0),IF($B$4=1,OFFSET(StateModDepletions_BLNoRes!R$5,$AM7,0)))</f>
        <v>598.83215999603271</v>
      </c>
      <c r="S7" s="312">
        <f ca="1">IF($B$4=0,OFFSET(StateModDepletions_BL!S$5,$AM7,0),IF($B$4=1,OFFSET(StateModDepletions_BLNoRes!S$5,$AM7,0)))</f>
        <v>0</v>
      </c>
      <c r="T7" s="312">
        <f ca="1">IF($B$4=0,OFFSET(StateModDepletions_BL!T$5,$AM7,0),IF($B$4=1,OFFSET(StateModDepletions_BLNoRes!T$5,$AM7,0)))</f>
        <v>13318.905240083113</v>
      </c>
      <c r="U7" s="312">
        <f ca="1">IF($B$4=0,OFFSET(StateModDepletions_BL!U$5,$AM7,0),IF($B$4=1,OFFSET(StateModDepletions_BLNoRes!U$5,$AM7,0)))</f>
        <v>1436.6377691073042</v>
      </c>
      <c r="V7" s="312">
        <f ca="1">IF($B$4=0,OFFSET(StateModDepletions_BL!V$5,$AM7,0),IF($B$4=1,OFFSET(StateModDepletions_BLNoRes!V$5,$AM7,0)))</f>
        <v>12123.480282783508</v>
      </c>
      <c r="W7" s="312">
        <f ca="1">IF($B$4=0,OFFSET(StateModDepletions_BL!W$5,$AM7,0),IF($B$4=1,OFFSET(StateModDepletions_BLNoRes!W$5,$AM7,0)))</f>
        <v>134896.07023844466</v>
      </c>
      <c r="X7" s="312">
        <f ca="1">IF($B$4=0,OFFSET(StateModDepletions_BL!X$5,$AM7,0),IF($B$4=1,OFFSET(StateModDepletions_BLNoRes!X$5,$AM7,0)))</f>
        <v>5771.3805716149509</v>
      </c>
      <c r="Y7" s="312">
        <f ca="1">IF($B$4=0,OFFSET(StateModDepletions_BL!Y$5,$AM7,0),IF($B$4=1,OFFSET(StateModDepletions_BLNoRes!Y$5,$AM7,0)))</f>
        <v>212.11356273293495</v>
      </c>
      <c r="Z7" s="312">
        <f ca="1">IF($B$4=0,OFFSET(StateModDepletions_BL!Z$5,$AM7,0),IF($B$4=1,OFFSET(StateModDepletions_BLNoRes!Z$5,$AM7,0)))</f>
        <v>202969.3631567955</v>
      </c>
      <c r="AA7" s="313">
        <f ca="1">IF($B$4=0,OFFSET(StateModDepletions_BL!AA$5,$AM7,0),IF($B$4=1,OFFSET(StateModDepletions_BLNoRes!AA$5,$AM7,0)))</f>
        <v>62089.798784002953</v>
      </c>
      <c r="AB7" s="314">
        <f ca="1">IF($B$4=0,OFFSET(StateModDepletions_BL!AB$5,$AM7,0),IF($B$4=1,OFFSET(StateModDepletions_BLNoRes!AB$5,$AM7,0)))</f>
        <v>24765.810481309891</v>
      </c>
      <c r="AC7" s="314">
        <f ca="1">IF($B$4=0,OFFSET(StateModDepletions_BL!AC$5,$AM7,0),IF($B$4=1,OFFSET(StateModDepletions_BLNoRes!AC$5,$AM7,0)))</f>
        <v>32708.830399893224</v>
      </c>
      <c r="AD7" s="314">
        <f ca="1">IF($B$4=0,OFFSET(StateModDepletions_BL!AD$5,$AM7,0),IF($B$4=1,OFFSET(StateModDepletions_BLNoRes!AD$5,$AM7,0)))</f>
        <v>17879.027528759558</v>
      </c>
      <c r="AE7" s="314">
        <f ca="1">IF($B$4=0,OFFSET(StateModDepletions_BL!AE$5,$AM7,0),IF($B$4=1,OFFSET(StateModDepletions_BLNoRes!AE$5,$AM7,0)))</f>
        <v>104405.77911167592</v>
      </c>
      <c r="AF7" s="314">
        <f ca="1">IF($B$4=0,OFFSET(StateModDepletions_BL!AF$5,$AM7,0),IF($B$4=1,OFFSET(StateModDepletions_BLNoRes!AF$5,$AM7,0)))</f>
        <v>17403.806618399925</v>
      </c>
      <c r="AG7" s="314">
        <f ca="1">IF($B$4=0,OFFSET(StateModDepletions_BL!AG$5,$AM7,0),IF($B$4=1,OFFSET(StateModDepletions_BLNoRes!AG$5,$AM7,0)))</f>
        <v>39746.28376573183</v>
      </c>
      <c r="AH7" s="314">
        <f ca="1">IF($B$4=0,OFFSET(StateModDepletions_BL!AH$5,$AM7,0),IF($B$4=1,OFFSET(StateModDepletions_BLNoRes!AH$5,$AM7,0)))</f>
        <v>14676.502460105345</v>
      </c>
      <c r="AI7" s="314">
        <f ca="1">IF($B$4=0,OFFSET(StateModDepletions_BL!AI$5,$AM7,0),IF($B$4=1,OFFSET(StateModDepletions_BLNoRes!AI$5,$AM7,0)))</f>
        <v>14755.543009190418</v>
      </c>
      <c r="AJ7" s="315">
        <f ca="1">IF($B$4=0,OFFSET(StateModDepletions_BL!AJ$5,$AM7,0),IF($B$4=1,OFFSET(StateModDepletions_BLNoRes!AJ$5,$AM7,0)))</f>
        <v>140667.45081005961</v>
      </c>
      <c r="AK7" s="519">
        <f t="shared" ref="AK7:AK38" si="4">IF(ISERROR(AK6),NA(),IF(AK6&gt;=NumRunYears,NA(),AK6+1))</f>
        <v>2</v>
      </c>
      <c r="AL7" s="519">
        <f>IF(ISERROR($AK7),NA(),AL6+1)</f>
        <v>1930</v>
      </c>
      <c r="AM7" s="519">
        <f>MATCH($AL7,StateModDepletions_BL!$A$6:$A$90,0)</f>
        <v>2</v>
      </c>
    </row>
    <row r="8" spans="1:39" x14ac:dyDescent="0.25">
      <c r="A8" s="519">
        <f t="shared" si="3"/>
        <v>1931</v>
      </c>
      <c r="B8" s="311">
        <f ca="1">IF($B$4=0,OFFSET(StateModDepletions_BL!B$5,$AM8,0),IF($B$4=1,OFFSET(StateModDepletions_BLNoRes!B$5,$AM8,0)))</f>
        <v>31476.705325834453</v>
      </c>
      <c r="C8" s="312">
        <f ca="1">IF($B$4=0,OFFSET(StateModDepletions_BL!C$5,$AM8,0),IF($B$4=1,OFFSET(StateModDepletions_BLNoRes!C$5,$AM8,0)))</f>
        <v>1026.0025346279144</v>
      </c>
      <c r="D8" s="312">
        <f ca="1">IF($B$4=0,OFFSET(StateModDepletions_BL!D$5,$AM8,0),IF($B$4=1,OFFSET(StateModDepletions_BLNoRes!D$5,$AM8,0)))</f>
        <v>48527.629333496094</v>
      </c>
      <c r="E8" s="312">
        <f ca="1">IF($B$4=0,OFFSET(StateModDepletions_BL!E$5,$AM8,0),IF($B$4=1,OFFSET(StateModDepletions_BLNoRes!E$5,$AM8,0)))</f>
        <v>2810.7051087617874</v>
      </c>
      <c r="F8" s="312">
        <f ca="1">IF($B$4=0,OFFSET(StateModDepletions_BL!F$5,$AM8,0),IF($B$4=1,OFFSET(StateModDepletions_BLNoRes!F$5,$AM8,0)))</f>
        <v>15605.476575061679</v>
      </c>
      <c r="G8" s="312">
        <f ca="1">IF($B$4=0,OFFSET(StateModDepletions_BL!G$5,$AM8,0),IF($B$4=1,OFFSET(StateModDepletions_BLNoRes!G$5,$AM8,0)))</f>
        <v>2036.5992698669434</v>
      </c>
      <c r="H8" s="312">
        <f ca="1">IF($B$4=0,OFFSET(StateModDepletions_BL!H$5,$AM8,0),IF($B$4=1,OFFSET(StateModDepletions_BLNoRes!H$5,$AM8,0)))</f>
        <v>2838.8627778291702</v>
      </c>
      <c r="I8" s="312">
        <f ca="1">IF($B$4=0,OFFSET(StateModDepletions_BL!I$5,$AM8,0),IF($B$4=1,OFFSET(StateModDepletions_BLNoRes!I$5,$AM8,0)))</f>
        <v>104024.03864276409</v>
      </c>
      <c r="J8" s="312">
        <f ca="1">IF($B$4=0,OFFSET(StateModDepletions_BL!J$5,$AM8,0),IF($B$4=1,OFFSET(StateModDepletions_BLNoRes!J$5,$AM8,0)))</f>
        <v>2110.2709577083588</v>
      </c>
      <c r="K8" s="312">
        <f ca="1">IF($B$4=0,OFFSET(StateModDepletions_BL!K$5,$AM8,0),IF($B$4=1,OFFSET(StateModDepletions_BLNoRes!K$5,$AM8,0)))</f>
        <v>19116.242594718933</v>
      </c>
      <c r="L8" s="312">
        <f ca="1">IF($B$4=0,OFFSET(StateModDepletions_BL!L$5,$AM8,0),IF($B$4=1,OFFSET(StateModDepletions_BLNoRes!L$5,$AM8,0)))</f>
        <v>16577.461978040614</v>
      </c>
      <c r="M8" s="312">
        <f ca="1">IF($B$4=0,OFFSET(StateModDepletions_BL!M$5,$AM8,0),IF($B$4=1,OFFSET(StateModDepletions_BLNoRes!M$5,$AM8,0)))</f>
        <v>1255.5566754341125</v>
      </c>
      <c r="N8" s="312">
        <f ca="1">IF($B$4=0,OFFSET(StateModDepletions_BL!N$5,$AM8,0),IF($B$4=1,OFFSET(StateModDepletions_BLNoRes!N$5,$AM8,0)))</f>
        <v>1326.6977829933167</v>
      </c>
      <c r="O8" s="312">
        <f ca="1">IF($B$4=0,OFFSET(StateModDepletions_BL!O$5,$AM8,0),IF($B$4=1,OFFSET(StateModDepletions_BLNoRes!O$5,$AM8,0)))</f>
        <v>28006.309250956845</v>
      </c>
      <c r="P8" s="312">
        <f ca="1">IF($B$4=0,OFFSET(StateModDepletions_BL!P$5,$AM8,0),IF($B$4=1,OFFSET(StateModDepletions_BLNoRes!P$5,$AM8,0)))</f>
        <v>269.15010619163513</v>
      </c>
      <c r="Q8" s="312">
        <f ca="1">IF($B$4=0,OFFSET(StateModDepletions_BL!Q$5,$AM8,0),IF($B$4=1,OFFSET(StateModDepletions_BLNoRes!Q$5,$AM8,0)))</f>
        <v>11080.349627077579</v>
      </c>
      <c r="R8" s="312">
        <f ca="1">IF($B$4=0,OFFSET(StateModDepletions_BL!R$5,$AM8,0),IF($B$4=1,OFFSET(StateModDepletions_BLNoRes!R$5,$AM8,0)))</f>
        <v>598.83215999603271</v>
      </c>
      <c r="S8" s="312">
        <f ca="1">IF($B$4=0,OFFSET(StateModDepletions_BL!S$5,$AM8,0),IF($B$4=1,OFFSET(StateModDepletions_BLNoRes!S$5,$AM8,0)))</f>
        <v>0</v>
      </c>
      <c r="T8" s="312">
        <f ca="1">IF($B$4=0,OFFSET(StateModDepletions_BL!T$5,$AM8,0),IF($B$4=1,OFFSET(StateModDepletions_BLNoRes!T$5,$AM8,0)))</f>
        <v>7889.910753321722</v>
      </c>
      <c r="U8" s="312">
        <f ca="1">IF($B$4=0,OFFSET(StateModDepletions_BL!U$5,$AM8,0),IF($B$4=1,OFFSET(StateModDepletions_BLNoRes!U$5,$AM8,0)))</f>
        <v>1381.3535134399422</v>
      </c>
      <c r="V8" s="312">
        <f ca="1">IF($B$4=0,OFFSET(StateModDepletions_BL!V$5,$AM8,0),IF($B$4=1,OFFSET(StateModDepletions_BLNoRes!V$5,$AM8,0)))</f>
        <v>9875.3438539505005</v>
      </c>
      <c r="W8" s="312">
        <f ca="1">IF($B$4=0,OFFSET(StateModDepletions_BL!W$5,$AM8,0),IF($B$4=1,OFFSET(StateModDepletions_BLNoRes!W$5,$AM8,0)))</f>
        <v>145593.18835562811</v>
      </c>
      <c r="X8" s="312">
        <f ca="1">IF($B$4=0,OFFSET(StateModDepletions_BL!X$5,$AM8,0),IF($B$4=1,OFFSET(StateModDepletions_BLNoRes!X$5,$AM8,0)))</f>
        <v>5511.4449573159218</v>
      </c>
      <c r="Y8" s="312">
        <f ca="1">IF($B$4=0,OFFSET(StateModDepletions_BL!Y$5,$AM8,0),IF($B$4=1,OFFSET(StateModDepletions_BLNoRes!Y$5,$AM8,0)))</f>
        <v>212.11356273293495</v>
      </c>
      <c r="Z8" s="312">
        <f ca="1">IF($B$4=0,OFFSET(StateModDepletions_BL!Z$5,$AM8,0),IF($B$4=1,OFFSET(StateModDepletions_BLNoRes!Z$5,$AM8,0)))</f>
        <v>210846.3484992981</v>
      </c>
      <c r="AA8" s="313">
        <f ca="1">IF($B$4=0,OFFSET(StateModDepletions_BL!AA$5,$AM8,0),IF($B$4=1,OFFSET(StateModDepletions_BLNoRes!AA$5,$AM8,0)))</f>
        <v>59529.601623621129</v>
      </c>
      <c r="AB8" s="314">
        <f ca="1">IF($B$4=0,OFFSET(StateModDepletions_BL!AB$5,$AM8,0),IF($B$4=1,OFFSET(StateModDepletions_BLNoRes!AB$5,$AM8,0)))</f>
        <v>24765.810481309891</v>
      </c>
      <c r="AC8" s="314">
        <f ca="1">IF($B$4=0,OFFSET(StateModDepletions_BL!AC$5,$AM8,0),IF($B$4=1,OFFSET(StateModDepletions_BLNoRes!AC$5,$AM8,0)))</f>
        <v>32502.707860462368</v>
      </c>
      <c r="AD8" s="314">
        <f ca="1">IF($B$4=0,OFFSET(StateModDepletions_BL!AD$5,$AM8,0),IF($B$4=1,OFFSET(StateModDepletions_BLNoRes!AD$5,$AM8,0)))</f>
        <v>17642.075844928622</v>
      </c>
      <c r="AE8" s="314">
        <f ca="1">IF($B$4=0,OFFSET(StateModDepletions_BL!AE$5,$AM8,0),IF($B$4=1,OFFSET(StateModDepletions_BLNoRes!AE$5,$AM8,0)))</f>
        <v>106134.30960047245</v>
      </c>
      <c r="AF8" s="314">
        <f ca="1">IF($B$4=0,OFFSET(StateModDepletions_BL!AF$5,$AM8,0),IF($B$4=1,OFFSET(StateModDepletions_BLNoRes!AF$5,$AM8,0)))</f>
        <v>17833.018653474726</v>
      </c>
      <c r="AG8" s="314">
        <f ca="1">IF($B$4=0,OFFSET(StateModDepletions_BL!AG$5,$AM8,0),IF($B$4=1,OFFSET(StateModDepletions_BLNoRes!AG$5,$AM8,0)))</f>
        <v>28275.45935714848</v>
      </c>
      <c r="AH8" s="314">
        <f ca="1">IF($B$4=0,OFFSET(StateModDepletions_BL!AH$5,$AM8,0),IF($B$4=1,OFFSET(StateModDepletions_BLNoRes!AH$5,$AM8,0)))</f>
        <v>11679.181787073612</v>
      </c>
      <c r="AI8" s="314">
        <f ca="1">IF($B$4=0,OFFSET(StateModDepletions_BL!AI$5,$AM8,0),IF($B$4=1,OFFSET(StateModDepletions_BLNoRes!AI$5,$AM8,0)))</f>
        <v>9271.2642667616637</v>
      </c>
      <c r="AJ8" s="315">
        <f ca="1">IF($B$4=0,OFFSET(StateModDepletions_BL!AJ$5,$AM8,0),IF($B$4=1,OFFSET(StateModDepletions_BLNoRes!AJ$5,$AM8,0)))</f>
        <v>151104.63331294403</v>
      </c>
      <c r="AK8" s="519">
        <f t="shared" si="4"/>
        <v>3</v>
      </c>
      <c r="AL8" s="519">
        <f t="shared" ref="AL8:AL71" si="5">IF(ISERROR($AK8),NA(),AL7+1)</f>
        <v>1931</v>
      </c>
      <c r="AM8" s="519">
        <f>MATCH($AL8,StateModDepletions_BL!$A$6:$A$90,0)</f>
        <v>3</v>
      </c>
    </row>
    <row r="9" spans="1:39" x14ac:dyDescent="0.25">
      <c r="A9" s="519">
        <f t="shared" si="3"/>
        <v>1932</v>
      </c>
      <c r="B9" s="311">
        <f ca="1">IF($B$4=0,OFFSET(StateModDepletions_BL!B$5,$AM9,0),IF($B$4=1,OFFSET(StateModDepletions_BLNoRes!B$5,$AM9,0)))</f>
        <v>32693.232559446245</v>
      </c>
      <c r="C9" s="312">
        <f ca="1">IF($B$4=0,OFFSET(StateModDepletions_BL!C$5,$AM9,0),IF($B$4=1,OFFSET(StateModDepletions_BLNoRes!C$5,$AM9,0)))</f>
        <v>1026.0025346279144</v>
      </c>
      <c r="D9" s="312">
        <f ca="1">IF($B$4=0,OFFSET(StateModDepletions_BL!D$5,$AM9,0),IF($B$4=1,OFFSET(StateModDepletions_BLNoRes!D$5,$AM9,0)))</f>
        <v>147290.98083496094</v>
      </c>
      <c r="E9" s="312">
        <f ca="1">IF($B$4=0,OFFSET(StateModDepletions_BL!E$5,$AM9,0),IF($B$4=1,OFFSET(StateModDepletions_BLNoRes!E$5,$AM9,0)))</f>
        <v>2810.7051087617874</v>
      </c>
      <c r="F9" s="312">
        <f ca="1">IF($B$4=0,OFFSET(StateModDepletions_BL!F$5,$AM9,0),IF($B$4=1,OFFSET(StateModDepletions_BLNoRes!F$5,$AM9,0)))</f>
        <v>16309.233678504825</v>
      </c>
      <c r="G9" s="312">
        <f ca="1">IF($B$4=0,OFFSET(StateModDepletions_BL!G$5,$AM9,0),IF($B$4=1,OFFSET(StateModDepletions_BLNoRes!G$5,$AM9,0)))</f>
        <v>2036.5992698669434</v>
      </c>
      <c r="H9" s="312">
        <f ca="1">IF($B$4=0,OFFSET(StateModDepletions_BL!H$5,$AM9,0),IF($B$4=1,OFFSET(StateModDepletions_BLNoRes!H$5,$AM9,0)))</f>
        <v>2838.8627778291702</v>
      </c>
      <c r="I9" s="312">
        <f ca="1">IF($B$4=0,OFFSET(StateModDepletions_BL!I$5,$AM9,0),IF($B$4=1,OFFSET(StateModDepletions_BLNoRes!I$5,$AM9,0)))</f>
        <v>102694.11407230049</v>
      </c>
      <c r="J9" s="312">
        <f ca="1">IF($B$4=0,OFFSET(StateModDepletions_BL!J$5,$AM9,0),IF($B$4=1,OFFSET(StateModDepletions_BLNoRes!J$5,$AM9,0)))</f>
        <v>2490.8101155757904</v>
      </c>
      <c r="K9" s="312">
        <f ca="1">IF($B$4=0,OFFSET(StateModDepletions_BL!K$5,$AM9,0),IF($B$4=1,OFFSET(StateModDepletions_BLNoRes!K$5,$AM9,0)))</f>
        <v>19116.242594718933</v>
      </c>
      <c r="L9" s="312">
        <f ca="1">IF($B$4=0,OFFSET(StateModDepletions_BL!L$5,$AM9,0),IF($B$4=1,OFFSET(StateModDepletions_BLNoRes!L$5,$AM9,0)))</f>
        <v>16066.636273548005</v>
      </c>
      <c r="M9" s="312">
        <f ca="1">IF($B$4=0,OFFSET(StateModDepletions_BL!M$5,$AM9,0),IF($B$4=1,OFFSET(StateModDepletions_BLNoRes!M$5,$AM9,0)))</f>
        <v>1262.1092133522034</v>
      </c>
      <c r="N9" s="312">
        <f ca="1">IF($B$4=0,OFFSET(StateModDepletions_BL!N$5,$AM9,0),IF($B$4=1,OFFSET(StateModDepletions_BLNoRes!N$5,$AM9,0)))</f>
        <v>1326.6977829933167</v>
      </c>
      <c r="O9" s="312">
        <f ca="1">IF($B$4=0,OFFSET(StateModDepletions_BL!O$5,$AM9,0),IF($B$4=1,OFFSET(StateModDepletions_BLNoRes!O$5,$AM9,0)))</f>
        <v>46284.786156548638</v>
      </c>
      <c r="P9" s="312">
        <f ca="1">IF($B$4=0,OFFSET(StateModDepletions_BL!P$5,$AM9,0),IF($B$4=1,OFFSET(StateModDepletions_BLNoRes!P$5,$AM9,0)))</f>
        <v>477.05621123313904</v>
      </c>
      <c r="Q9" s="312">
        <f ca="1">IF($B$4=0,OFFSET(StateModDepletions_BL!Q$5,$AM9,0),IF($B$4=1,OFFSET(StateModDepletions_BLNoRes!Q$5,$AM9,0)))</f>
        <v>18969.902119606733</v>
      </c>
      <c r="R9" s="312">
        <f ca="1">IF($B$4=0,OFFSET(StateModDepletions_BL!R$5,$AM9,0),IF($B$4=1,OFFSET(StateModDepletions_BLNoRes!R$5,$AM9,0)))</f>
        <v>598.83215999603271</v>
      </c>
      <c r="S9" s="312">
        <f ca="1">IF($B$4=0,OFFSET(StateModDepletions_BL!S$5,$AM9,0),IF($B$4=1,OFFSET(StateModDepletions_BLNoRes!S$5,$AM9,0)))</f>
        <v>0</v>
      </c>
      <c r="T9" s="312">
        <f ca="1">IF($B$4=0,OFFSET(StateModDepletions_BL!T$5,$AM9,0),IF($B$4=1,OFFSET(StateModDepletions_BLNoRes!T$5,$AM9,0)))</f>
        <v>18220.159848289564</v>
      </c>
      <c r="U9" s="312">
        <f ca="1">IF($B$4=0,OFFSET(StateModDepletions_BL!U$5,$AM9,0),IF($B$4=1,OFFSET(StateModDepletions_BLNoRes!U$5,$AM9,0)))</f>
        <v>1513.7115696668625</v>
      </c>
      <c r="V9" s="312">
        <f ca="1">IF($B$4=0,OFFSET(StateModDepletions_BL!V$5,$AM9,0),IF($B$4=1,OFFSET(StateModDepletions_BLNoRes!V$5,$AM9,0)))</f>
        <v>14896.743636131287</v>
      </c>
      <c r="W9" s="312">
        <f ca="1">IF($B$4=0,OFFSET(StateModDepletions_BL!W$5,$AM9,0),IF($B$4=1,OFFSET(StateModDepletions_BLNoRes!W$5,$AM9,0)))</f>
        <v>131165.10689868373</v>
      </c>
      <c r="X9" s="312">
        <f ca="1">IF($B$4=0,OFFSET(StateModDepletions_BL!X$5,$AM9,0),IF($B$4=1,OFFSET(StateModDepletions_BLNoRes!X$5,$AM9,0)))</f>
        <v>5803.322064705193</v>
      </c>
      <c r="Y9" s="312">
        <f ca="1">IF($B$4=0,OFFSET(StateModDepletions_BL!Y$5,$AM9,0),IF($B$4=1,OFFSET(StateModDepletions_BLNoRes!Y$5,$AM9,0)))</f>
        <v>212.11356273293495</v>
      </c>
      <c r="Z9" s="312">
        <f ca="1">IF($B$4=0,OFFSET(StateModDepletions_BL!Z$5,$AM9,0),IF($B$4=1,OFFSET(StateModDepletions_BLNoRes!Z$5,$AM9,0)))</f>
        <v>208476.78211736679</v>
      </c>
      <c r="AA9" s="313">
        <f ca="1">IF($B$4=0,OFFSET(StateModDepletions_BL!AA$5,$AM9,0),IF($B$4=1,OFFSET(StateModDepletions_BLNoRes!AA$5,$AM9,0)))</f>
        <v>71296.239591244928</v>
      </c>
      <c r="AB9" s="314">
        <f ca="1">IF($B$4=0,OFFSET(StateModDepletions_BL!AB$5,$AM9,0),IF($B$4=1,OFFSET(StateModDepletions_BLNoRes!AB$5,$AM9,0)))</f>
        <v>24765.810481309891</v>
      </c>
      <c r="AC9" s="314">
        <f ca="1">IF($B$4=0,OFFSET(StateModDepletions_BL!AC$5,$AM9,0),IF($B$4=1,OFFSET(StateModDepletions_BLNoRes!AC$5,$AM9,0)))</f>
        <v>33719.23509407416</v>
      </c>
      <c r="AD9" s="314">
        <f ca="1">IF($B$4=0,OFFSET(StateModDepletions_BL!AD$5,$AM9,0),IF($B$4=1,OFFSET(StateModDepletions_BLNoRes!AD$5,$AM9,0)))</f>
        <v>18345.832948371768</v>
      </c>
      <c r="AE9" s="314">
        <f ca="1">IF($B$4=0,OFFSET(StateModDepletions_BL!AE$5,$AM9,0),IF($B$4=1,OFFSET(StateModDepletions_BLNoRes!AE$5,$AM9,0)))</f>
        <v>105184.92418787628</v>
      </c>
      <c r="AF9" s="314">
        <f ca="1">IF($B$4=0,OFFSET(StateModDepletions_BL!AF$5,$AM9,0),IF($B$4=1,OFFSET(StateModDepletions_BLNoRes!AF$5,$AM9,0)))</f>
        <v>17328.74548690021</v>
      </c>
      <c r="AG9" s="314">
        <f ca="1">IF($B$4=0,OFFSET(StateModDepletions_BL!AG$5,$AM9,0),IF($B$4=1,OFFSET(StateModDepletions_BLNoRes!AG$5,$AM9,0)))</f>
        <v>46761.842367781777</v>
      </c>
      <c r="AH9" s="314">
        <f ca="1">IF($B$4=0,OFFSET(StateModDepletions_BL!AH$5,$AM9,0),IF($B$4=1,OFFSET(StateModDepletions_BLNoRes!AH$5,$AM9,0)))</f>
        <v>19568.734279602766</v>
      </c>
      <c r="AI9" s="314">
        <f ca="1">IF($B$4=0,OFFSET(StateModDepletions_BL!AI$5,$AM9,0),IF($B$4=1,OFFSET(StateModDepletions_BLNoRes!AI$5,$AM9,0)))</f>
        <v>19733.871417956427</v>
      </c>
      <c r="AJ9" s="315">
        <f ca="1">IF($B$4=0,OFFSET(StateModDepletions_BL!AJ$5,$AM9,0),IF($B$4=1,OFFSET(StateModDepletions_BLNoRes!AJ$5,$AM9,0)))</f>
        <v>136968.42896338893</v>
      </c>
      <c r="AK9" s="519">
        <f t="shared" si="4"/>
        <v>4</v>
      </c>
      <c r="AL9" s="519">
        <f t="shared" si="5"/>
        <v>1932</v>
      </c>
      <c r="AM9" s="519">
        <f>MATCH($AL9,StateModDepletions_BL!$A$6:$A$90,0)</f>
        <v>4</v>
      </c>
    </row>
    <row r="10" spans="1:39" x14ac:dyDescent="0.25">
      <c r="A10" s="519">
        <f t="shared" si="3"/>
        <v>1933</v>
      </c>
      <c r="B10" s="311">
        <f ca="1">IF($B$4=0,OFFSET(StateModDepletions_BL!B$5,$AM10,0),IF($B$4=1,OFFSET(StateModDepletions_BLNoRes!B$5,$AM10,0)))</f>
        <v>31357.614051319659</v>
      </c>
      <c r="C10" s="312">
        <f ca="1">IF($B$4=0,OFFSET(StateModDepletions_BL!C$5,$AM10,0),IF($B$4=1,OFFSET(StateModDepletions_BLNoRes!C$5,$AM10,0)))</f>
        <v>1026.0025346279144</v>
      </c>
      <c r="D10" s="312">
        <f ca="1">IF($B$4=0,OFFSET(StateModDepletions_BL!D$5,$AM10,0),IF($B$4=1,OFFSET(StateModDepletions_BLNoRes!D$5,$AM10,0)))</f>
        <v>62729.004089355469</v>
      </c>
      <c r="E10" s="312">
        <f ca="1">IF($B$4=0,OFFSET(StateModDepletions_BL!E$5,$AM10,0),IF($B$4=1,OFFSET(StateModDepletions_BLNoRes!E$5,$AM10,0)))</f>
        <v>2810.7051087617874</v>
      </c>
      <c r="F10" s="312">
        <f ca="1">IF($B$4=0,OFFSET(StateModDepletions_BL!F$5,$AM10,0),IF($B$4=1,OFFSET(StateModDepletions_BLNoRes!F$5,$AM10,0)))</f>
        <v>15470.284036979079</v>
      </c>
      <c r="G10" s="312">
        <f ca="1">IF($B$4=0,OFFSET(StateModDepletions_BL!G$5,$AM10,0),IF($B$4=1,OFFSET(StateModDepletions_BLNoRes!G$5,$AM10,0)))</f>
        <v>2036.5992698669434</v>
      </c>
      <c r="H10" s="312">
        <f ca="1">IF($B$4=0,OFFSET(StateModDepletions_BL!H$5,$AM10,0),IF($B$4=1,OFFSET(StateModDepletions_BLNoRes!H$5,$AM10,0)))</f>
        <v>2838.8627778291702</v>
      </c>
      <c r="I10" s="312">
        <f ca="1">IF($B$4=0,OFFSET(StateModDepletions_BL!I$5,$AM10,0),IF($B$4=1,OFFSET(StateModDepletions_BLNoRes!I$5,$AM10,0)))</f>
        <v>105166.69848337024</v>
      </c>
      <c r="J10" s="312">
        <f ca="1">IF($B$4=0,OFFSET(StateModDepletions_BL!J$5,$AM10,0),IF($B$4=1,OFFSET(StateModDepletions_BLNoRes!J$5,$AM10,0)))</f>
        <v>2547.8643777370453</v>
      </c>
      <c r="K10" s="312">
        <f ca="1">IF($B$4=0,OFFSET(StateModDepletions_BL!K$5,$AM10,0),IF($B$4=1,OFFSET(StateModDepletions_BLNoRes!K$5,$AM10,0)))</f>
        <v>19116.242594718933</v>
      </c>
      <c r="L10" s="312">
        <f ca="1">IF($B$4=0,OFFSET(StateModDepletions_BL!L$5,$AM10,0),IF($B$4=1,OFFSET(StateModDepletions_BLNoRes!L$5,$AM10,0)))</f>
        <v>16457.402533628036</v>
      </c>
      <c r="M10" s="312">
        <f ca="1">IF($B$4=0,OFFSET(StateModDepletions_BL!M$5,$AM10,0),IF($B$4=1,OFFSET(StateModDepletions_BLNoRes!M$5,$AM10,0)))</f>
        <v>1331.428768157959</v>
      </c>
      <c r="N10" s="312">
        <f ca="1">IF($B$4=0,OFFSET(StateModDepletions_BL!N$5,$AM10,0),IF($B$4=1,OFFSET(StateModDepletions_BLNoRes!N$5,$AM10,0)))</f>
        <v>1326.6977829933167</v>
      </c>
      <c r="O10" s="312">
        <f ca="1">IF($B$4=0,OFFSET(StateModDepletions_BL!O$5,$AM10,0),IF($B$4=1,OFFSET(StateModDepletions_BLNoRes!O$5,$AM10,0)))</f>
        <v>39881.425014896769</v>
      </c>
      <c r="P10" s="312">
        <f ca="1">IF($B$4=0,OFFSET(StateModDepletions_BL!P$5,$AM10,0),IF($B$4=1,OFFSET(StateModDepletions_BLNoRes!P$5,$AM10,0)))</f>
        <v>298.93194317817688</v>
      </c>
      <c r="Q10" s="312">
        <f ca="1">IF($B$4=0,OFFSET(StateModDepletions_BL!Q$5,$AM10,0),IF($B$4=1,OFFSET(StateModDepletions_BLNoRes!Q$5,$AM10,0)))</f>
        <v>13373.807915760204</v>
      </c>
      <c r="R10" s="312">
        <f ca="1">IF($B$4=0,OFFSET(StateModDepletions_BL!R$5,$AM10,0),IF($B$4=1,OFFSET(StateModDepletions_BLNoRes!R$5,$AM10,0)))</f>
        <v>598.83215999603271</v>
      </c>
      <c r="S10" s="312">
        <f ca="1">IF($B$4=0,OFFSET(StateModDepletions_BL!S$5,$AM10,0),IF($B$4=1,OFFSET(StateModDepletions_BLNoRes!S$5,$AM10,0)))</f>
        <v>0</v>
      </c>
      <c r="T10" s="312">
        <f ca="1">IF($B$4=0,OFFSET(StateModDepletions_BL!T$5,$AM10,0),IF($B$4=1,OFFSET(StateModDepletions_BLNoRes!T$5,$AM10,0)))</f>
        <v>12902.469747884199</v>
      </c>
      <c r="U10" s="312">
        <f ca="1">IF($B$4=0,OFFSET(StateModDepletions_BL!U$5,$AM10,0),IF($B$4=1,OFFSET(StateModDepletions_BLNoRes!U$5,$AM10,0)))</f>
        <v>1398.2889706492424</v>
      </c>
      <c r="V10" s="312">
        <f ca="1">IF($B$4=0,OFFSET(StateModDepletions_BL!V$5,$AM10,0),IF($B$4=1,OFFSET(StateModDepletions_BLNoRes!V$5,$AM10,0)))</f>
        <v>12346.516634941101</v>
      </c>
      <c r="W10" s="312">
        <f ca="1">IF($B$4=0,OFFSET(StateModDepletions_BL!W$5,$AM10,0),IF($B$4=1,OFFSET(StateModDepletions_BLNoRes!W$5,$AM10,0)))</f>
        <v>139521.58915901528</v>
      </c>
      <c r="X10" s="312">
        <f ca="1">IF($B$4=0,OFFSET(StateModDepletions_BL!X$5,$AM10,0),IF($B$4=1,OFFSET(StateModDepletions_BLNoRes!X$5,$AM10,0)))</f>
        <v>5454.6922612058652</v>
      </c>
      <c r="Y10" s="312">
        <f ca="1">IF($B$4=0,OFFSET(StateModDepletions_BL!Y$5,$AM10,0),IF($B$4=1,OFFSET(StateModDepletions_BLNoRes!Y$5,$AM10,0)))</f>
        <v>212.11356273293495</v>
      </c>
      <c r="Z10" s="312">
        <f ca="1">IF($B$4=0,OFFSET(StateModDepletions_BL!Z$5,$AM10,0),IF($B$4=1,OFFSET(StateModDepletions_BLNoRes!Z$5,$AM10,0)))</f>
        <v>217446.5963640213</v>
      </c>
      <c r="AA10" s="313">
        <f ca="1">IF($B$4=0,OFFSET(StateModDepletions_BL!AA$5,$AM10,0),IF($B$4=1,OFFSET(StateModDepletions_BLNoRes!AA$5,$AM10,0)))</f>
        <v>72258.201381067222</v>
      </c>
      <c r="AB10" s="314">
        <f ca="1">IF($B$4=0,OFFSET(StateModDepletions_BL!AB$5,$AM10,0),IF($B$4=1,OFFSET(StateModDepletions_BLNoRes!AB$5,$AM10,0)))</f>
        <v>24765.810481309891</v>
      </c>
      <c r="AC10" s="314">
        <f ca="1">IF($B$4=0,OFFSET(StateModDepletions_BL!AC$5,$AM10,0),IF($B$4=1,OFFSET(StateModDepletions_BLNoRes!AC$5,$AM10,0)))</f>
        <v>32383.616585947573</v>
      </c>
      <c r="AD10" s="314">
        <f ca="1">IF($B$4=0,OFFSET(StateModDepletions_BL!AD$5,$AM10,0),IF($B$4=1,OFFSET(StateModDepletions_BLNoRes!AD$5,$AM10,0)))</f>
        <v>17506.883306846023</v>
      </c>
      <c r="AE10" s="314">
        <f ca="1">IF($B$4=0,OFFSET(StateModDepletions_BL!AE$5,$AM10,0),IF($B$4=1,OFFSET(StateModDepletions_BLNoRes!AE$5,$AM10,0)))</f>
        <v>107714.56286110729</v>
      </c>
      <c r="AF10" s="314">
        <f ca="1">IF($B$4=0,OFFSET(StateModDepletions_BL!AF$5,$AM10,0),IF($B$4=1,OFFSET(StateModDepletions_BLNoRes!AF$5,$AM10,0)))</f>
        <v>17788.831301785995</v>
      </c>
      <c r="AG10" s="314">
        <f ca="1">IF($B$4=0,OFFSET(StateModDepletions_BL!AG$5,$AM10,0),IF($B$4=1,OFFSET(StateModDepletions_BLNoRes!AG$5,$AM10,0)))</f>
        <v>40180.356958074946</v>
      </c>
      <c r="AH10" s="314">
        <f ca="1">IF($B$4=0,OFFSET(StateModDepletions_BL!AH$5,$AM10,0),IF($B$4=1,OFFSET(StateModDepletions_BLNoRes!AH$5,$AM10,0)))</f>
        <v>13972.640075756237</v>
      </c>
      <c r="AI10" s="314">
        <f ca="1">IF($B$4=0,OFFSET(StateModDepletions_BL!AI$5,$AM10,0),IF($B$4=1,OFFSET(StateModDepletions_BLNoRes!AI$5,$AM10,0)))</f>
        <v>14300.758718533441</v>
      </c>
      <c r="AJ10" s="315">
        <f ca="1">IF($B$4=0,OFFSET(StateModDepletions_BL!AJ$5,$AM10,0),IF($B$4=1,OFFSET(StateModDepletions_BLNoRes!AJ$5,$AM10,0)))</f>
        <v>144976.28142022114</v>
      </c>
      <c r="AK10" s="519">
        <f t="shared" si="4"/>
        <v>5</v>
      </c>
      <c r="AL10" s="519">
        <f t="shared" si="5"/>
        <v>1933</v>
      </c>
      <c r="AM10" s="519">
        <f>MATCH($AL10,StateModDepletions_BL!$A$6:$A$90,0)</f>
        <v>5</v>
      </c>
    </row>
    <row r="11" spans="1:39" x14ac:dyDescent="0.25">
      <c r="A11" s="519">
        <f t="shared" si="3"/>
        <v>1934</v>
      </c>
      <c r="B11" s="311">
        <f ca="1">IF($B$4=0,OFFSET(StateModDepletions_BL!B$5,$AM11,0),IF($B$4=1,OFFSET(StateModDepletions_BLNoRes!B$5,$AM11,0)))</f>
        <v>29728.536326192319</v>
      </c>
      <c r="C11" s="312">
        <f ca="1">IF($B$4=0,OFFSET(StateModDepletions_BL!C$5,$AM11,0),IF($B$4=1,OFFSET(StateModDepletions_BLNoRes!C$5,$AM11,0)))</f>
        <v>1026.0025346279144</v>
      </c>
      <c r="D11" s="312">
        <f ca="1">IF($B$4=0,OFFSET(StateModDepletions_BL!D$5,$AM11,0),IF($B$4=1,OFFSET(StateModDepletions_BLNoRes!D$5,$AM11,0)))</f>
        <v>28070.748443603516</v>
      </c>
      <c r="E11" s="312">
        <f ca="1">IF($B$4=0,OFFSET(StateModDepletions_BL!E$5,$AM11,0),IF($B$4=1,OFFSET(StateModDepletions_BLNoRes!E$5,$AM11,0)))</f>
        <v>2810.7051087617874</v>
      </c>
      <c r="F11" s="312">
        <f ca="1">IF($B$4=0,OFFSET(StateModDepletions_BL!F$5,$AM11,0),IF($B$4=1,OFFSET(StateModDepletions_BLNoRes!F$5,$AM11,0)))</f>
        <v>12365.63606454432</v>
      </c>
      <c r="G11" s="312">
        <f ca="1">IF($B$4=0,OFFSET(StateModDepletions_BL!G$5,$AM11,0),IF($B$4=1,OFFSET(StateModDepletions_BLNoRes!G$5,$AM11,0)))</f>
        <v>2036.5992698669434</v>
      </c>
      <c r="H11" s="312">
        <f ca="1">IF($B$4=0,OFFSET(StateModDepletions_BL!H$5,$AM11,0),IF($B$4=1,OFFSET(StateModDepletions_BLNoRes!H$5,$AM11,0)))</f>
        <v>2838.8627778291702</v>
      </c>
      <c r="I11" s="312">
        <f ca="1">IF($B$4=0,OFFSET(StateModDepletions_BL!I$5,$AM11,0),IF($B$4=1,OFFSET(StateModDepletions_BLNoRes!I$5,$AM11,0)))</f>
        <v>84891.66110842675</v>
      </c>
      <c r="J11" s="312">
        <f ca="1">IF($B$4=0,OFFSET(StateModDepletions_BL!J$5,$AM11,0),IF($B$4=1,OFFSET(StateModDepletions_BLNoRes!J$5,$AM11,0)))</f>
        <v>1816.0579888820648</v>
      </c>
      <c r="K11" s="312">
        <f ca="1">IF($B$4=0,OFFSET(StateModDepletions_BL!K$5,$AM11,0),IF($B$4=1,OFFSET(StateModDepletions_BLNoRes!K$5,$AM11,0)))</f>
        <v>19116.242594718933</v>
      </c>
      <c r="L11" s="312">
        <f ca="1">IF($B$4=0,OFFSET(StateModDepletions_BL!L$5,$AM11,0),IF($B$4=1,OFFSET(StateModDepletions_BLNoRes!L$5,$AM11,0)))</f>
        <v>17258.453954152752</v>
      </c>
      <c r="M11" s="312">
        <f ca="1">IF($B$4=0,OFFSET(StateModDepletions_BL!M$5,$AM11,0),IF($B$4=1,OFFSET(StateModDepletions_BLNoRes!M$5,$AM11,0)))</f>
        <v>1427.783721446991</v>
      </c>
      <c r="N11" s="312">
        <f ca="1">IF($B$4=0,OFFSET(StateModDepletions_BL!N$5,$AM11,0),IF($B$4=1,OFFSET(StateModDepletions_BLNoRes!N$5,$AM11,0)))</f>
        <v>1326.6977829933167</v>
      </c>
      <c r="O11" s="312">
        <f ca="1">IF($B$4=0,OFFSET(StateModDepletions_BL!O$5,$AM11,0),IF($B$4=1,OFFSET(StateModDepletions_BLNoRes!O$5,$AM11,0)))</f>
        <v>21901.251936536824</v>
      </c>
      <c r="P11" s="312">
        <f ca="1">IF($B$4=0,OFFSET(StateModDepletions_BL!P$5,$AM11,0),IF($B$4=1,OFFSET(StateModDepletions_BLNoRes!P$5,$AM11,0)))</f>
        <v>278.65056848526001</v>
      </c>
      <c r="Q11" s="312">
        <f ca="1">IF($B$4=0,OFFSET(StateModDepletions_BL!Q$5,$AM11,0),IF($B$4=1,OFFSET(StateModDepletions_BLNoRes!Q$5,$AM11,0)))</f>
        <v>9932.9716379698366</v>
      </c>
      <c r="R11" s="312">
        <f ca="1">IF($B$4=0,OFFSET(StateModDepletions_BL!R$5,$AM11,0),IF($B$4=1,OFFSET(StateModDepletions_BLNoRes!R$5,$AM11,0)))</f>
        <v>598.83215999603271</v>
      </c>
      <c r="S11" s="312">
        <f ca="1">IF($B$4=0,OFFSET(StateModDepletions_BL!S$5,$AM11,0),IF($B$4=1,OFFSET(StateModDepletions_BLNoRes!S$5,$AM11,0)))</f>
        <v>0</v>
      </c>
      <c r="T11" s="312">
        <f ca="1">IF($B$4=0,OFFSET(StateModDepletions_BL!T$5,$AM11,0),IF($B$4=1,OFFSET(StateModDepletions_BLNoRes!T$5,$AM11,0)))</f>
        <v>7904.1310593628141</v>
      </c>
      <c r="U11" s="312">
        <f ca="1">IF($B$4=0,OFFSET(StateModDepletions_BL!U$5,$AM11,0),IF($B$4=1,OFFSET(StateModDepletions_BLNoRes!U$5,$AM11,0)))</f>
        <v>1387.436940908432</v>
      </c>
      <c r="V11" s="312">
        <f ca="1">IF($B$4=0,OFFSET(StateModDepletions_BL!V$5,$AM11,0),IF($B$4=1,OFFSET(StateModDepletions_BLNoRes!V$5,$AM11,0)))</f>
        <v>7272.1424112319946</v>
      </c>
      <c r="W11" s="312">
        <f ca="1">IF($B$4=0,OFFSET(StateModDepletions_BL!W$5,$AM11,0),IF($B$4=1,OFFSET(StateModDepletions_BLNoRes!W$5,$AM11,0)))</f>
        <v>120330.23585987433</v>
      </c>
      <c r="X11" s="312">
        <f ca="1">IF($B$4=0,OFFSET(StateModDepletions_BL!X$5,$AM11,0),IF($B$4=1,OFFSET(StateModDepletions_BLNoRes!X$5,$AM11,0)))</f>
        <v>5300.3226603375806</v>
      </c>
      <c r="Y11" s="312">
        <f ca="1">IF($B$4=0,OFFSET(StateModDepletions_BL!Y$5,$AM11,0),IF($B$4=1,OFFSET(StateModDepletions_BLNoRes!Y$5,$AM11,0)))</f>
        <v>212.11356273293495</v>
      </c>
      <c r="Z11" s="312">
        <f ca="1">IF($B$4=0,OFFSET(StateModDepletions_BL!Z$5,$AM11,0),IF($B$4=1,OFFSET(StateModDepletions_BLNoRes!Z$5,$AM11,0)))</f>
        <v>192391.66649317741</v>
      </c>
      <c r="AA11" s="313">
        <f ca="1">IF($B$4=0,OFFSET(StateModDepletions_BL!AA$5,$AM11,0),IF($B$4=1,OFFSET(StateModDepletions_BLNoRes!AA$5,$AM11,0)))</f>
        <v>66548.994410232568</v>
      </c>
      <c r="AB11" s="314">
        <f ca="1">IF($B$4=0,OFFSET(StateModDepletions_BL!AB$5,$AM11,0),IF($B$4=1,OFFSET(StateModDepletions_BLNoRes!AB$5,$AM11,0)))</f>
        <v>24765.810481309891</v>
      </c>
      <c r="AC11" s="314">
        <f ca="1">IF($B$4=0,OFFSET(StateModDepletions_BL!AC$5,$AM11,0),IF($B$4=1,OFFSET(StateModDepletions_BLNoRes!AC$5,$AM11,0)))</f>
        <v>30754.538860820234</v>
      </c>
      <c r="AD11" s="314">
        <f ca="1">IF($B$4=0,OFFSET(StateModDepletions_BL!AD$5,$AM11,0),IF($B$4=1,OFFSET(StateModDepletions_BLNoRes!AD$5,$AM11,0)))</f>
        <v>14402.235334411263</v>
      </c>
      <c r="AE11" s="314">
        <f ca="1">IF($B$4=0,OFFSET(StateModDepletions_BL!AE$5,$AM11,0),IF($B$4=1,OFFSET(StateModDepletions_BLNoRes!AE$5,$AM11,0)))</f>
        <v>86707.719097308815</v>
      </c>
      <c r="AF11" s="314">
        <f ca="1">IF($B$4=0,OFFSET(StateModDepletions_BL!AF$5,$AM11,0),IF($B$4=1,OFFSET(StateModDepletions_BLNoRes!AF$5,$AM11,0)))</f>
        <v>18686.237675599743</v>
      </c>
      <c r="AG11" s="314">
        <f ca="1">IF($B$4=0,OFFSET(StateModDepletions_BL!AG$5,$AM11,0),IF($B$4=1,OFFSET(StateModDepletions_BLNoRes!AG$5,$AM11,0)))</f>
        <v>22179.902505022084</v>
      </c>
      <c r="AH11" s="314">
        <f ca="1">IF($B$4=0,OFFSET(StateModDepletions_BL!AH$5,$AM11,0),IF($B$4=1,OFFSET(StateModDepletions_BLNoRes!AH$5,$AM11,0)))</f>
        <v>10531.803797965869</v>
      </c>
      <c r="AI11" s="314">
        <f ca="1">IF($B$4=0,OFFSET(StateModDepletions_BL!AI$5,$AM11,0),IF($B$4=1,OFFSET(StateModDepletions_BLNoRes!AI$5,$AM11,0)))</f>
        <v>9291.568000271247</v>
      </c>
      <c r="AJ11" s="315">
        <f ca="1">IF($B$4=0,OFFSET(StateModDepletions_BL!AJ$5,$AM11,0),IF($B$4=1,OFFSET(StateModDepletions_BLNoRes!AJ$5,$AM11,0)))</f>
        <v>125630.55852021191</v>
      </c>
      <c r="AK11" s="519">
        <f t="shared" si="4"/>
        <v>6</v>
      </c>
      <c r="AL11" s="519">
        <f t="shared" si="5"/>
        <v>1934</v>
      </c>
      <c r="AM11" s="519">
        <f>MATCH($AL11,StateModDepletions_BL!$A$6:$A$90,0)</f>
        <v>6</v>
      </c>
    </row>
    <row r="12" spans="1:39" x14ac:dyDescent="0.25">
      <c r="A12" s="519">
        <f t="shared" si="3"/>
        <v>1935</v>
      </c>
      <c r="B12" s="311">
        <f ca="1">IF($B$4=0,OFFSET(StateModDepletions_BL!B$5,$AM12,0),IF($B$4=1,OFFSET(StateModDepletions_BLNoRes!B$5,$AM12,0)))</f>
        <v>32717.139403536916</v>
      </c>
      <c r="C12" s="312">
        <f ca="1">IF($B$4=0,OFFSET(StateModDepletions_BL!C$5,$AM12,0),IF($B$4=1,OFFSET(StateModDepletions_BLNoRes!C$5,$AM12,0)))</f>
        <v>1026.0025346279144</v>
      </c>
      <c r="D12" s="312">
        <f ca="1">IF($B$4=0,OFFSET(StateModDepletions_BL!D$5,$AM12,0),IF($B$4=1,OFFSET(StateModDepletions_BLNoRes!D$5,$AM12,0)))</f>
        <v>111978.22772216797</v>
      </c>
      <c r="E12" s="312">
        <f ca="1">IF($B$4=0,OFFSET(StateModDepletions_BL!E$5,$AM12,0),IF($B$4=1,OFFSET(StateModDepletions_BLNoRes!E$5,$AM12,0)))</f>
        <v>2810.7051087617874</v>
      </c>
      <c r="F12" s="312">
        <f ca="1">IF($B$4=0,OFFSET(StateModDepletions_BL!F$5,$AM12,0),IF($B$4=1,OFFSET(StateModDepletions_BLNoRes!F$5,$AM12,0)))</f>
        <v>16337.42050985992</v>
      </c>
      <c r="G12" s="312">
        <f ca="1">IF($B$4=0,OFFSET(StateModDepletions_BL!G$5,$AM12,0),IF($B$4=1,OFFSET(StateModDepletions_BLNoRes!G$5,$AM12,0)))</f>
        <v>2036.5992698669434</v>
      </c>
      <c r="H12" s="312">
        <f ca="1">IF($B$4=0,OFFSET(StateModDepletions_BL!H$5,$AM12,0),IF($B$4=1,OFFSET(StateModDepletions_BLNoRes!H$5,$AM12,0)))</f>
        <v>2838.8627778291702</v>
      </c>
      <c r="I12" s="312">
        <f ca="1">IF($B$4=0,OFFSET(StateModDepletions_BL!I$5,$AM12,0),IF($B$4=1,OFFSET(StateModDepletions_BLNoRes!I$5,$AM12,0)))</f>
        <v>102249.29915971309</v>
      </c>
      <c r="J12" s="312">
        <f ca="1">IF($B$4=0,OFFSET(StateModDepletions_BL!J$5,$AM12,0),IF($B$4=1,OFFSET(StateModDepletions_BLNoRes!J$5,$AM12,0)))</f>
        <v>2462.9890468120575</v>
      </c>
      <c r="K12" s="312">
        <f ca="1">IF($B$4=0,OFFSET(StateModDepletions_BL!K$5,$AM12,0),IF($B$4=1,OFFSET(StateModDepletions_BLNoRes!K$5,$AM12,0)))</f>
        <v>19116.242594718933</v>
      </c>
      <c r="L12" s="312">
        <f ca="1">IF($B$4=0,OFFSET(StateModDepletions_BL!L$5,$AM12,0),IF($B$4=1,OFFSET(StateModDepletions_BLNoRes!L$5,$AM12,0)))</f>
        <v>15794.583375334727</v>
      </c>
      <c r="M12" s="312">
        <f ca="1">IF($B$4=0,OFFSET(StateModDepletions_BL!M$5,$AM12,0),IF($B$4=1,OFFSET(StateModDepletions_BLNoRes!M$5,$AM12,0)))</f>
        <v>1205.4692630767822</v>
      </c>
      <c r="N12" s="312">
        <f ca="1">IF($B$4=0,OFFSET(StateModDepletions_BL!N$5,$AM12,0),IF($B$4=1,OFFSET(StateModDepletions_BLNoRes!N$5,$AM12,0)))</f>
        <v>1326.6977829933167</v>
      </c>
      <c r="O12" s="312">
        <f ca="1">IF($B$4=0,OFFSET(StateModDepletions_BL!O$5,$AM12,0),IF($B$4=1,OFFSET(StateModDepletions_BLNoRes!O$5,$AM12,0)))</f>
        <v>46264.882456390638</v>
      </c>
      <c r="P12" s="312">
        <f ca="1">IF($B$4=0,OFFSET(StateModDepletions_BL!P$5,$AM12,0),IF($B$4=1,OFFSET(StateModDepletions_BLNoRes!P$5,$AM12,0)))</f>
        <v>404.49994277954102</v>
      </c>
      <c r="Q12" s="312">
        <f ca="1">IF($B$4=0,OFFSET(StateModDepletions_BL!Q$5,$AM12,0),IF($B$4=1,OFFSET(StateModDepletions_BLNoRes!Q$5,$AM12,0)))</f>
        <v>21271.398954620585</v>
      </c>
      <c r="R12" s="312">
        <f ca="1">IF($B$4=0,OFFSET(StateModDepletions_BL!R$5,$AM12,0),IF($B$4=1,OFFSET(StateModDepletions_BLNoRes!R$5,$AM12,0)))</f>
        <v>598.83215999603271</v>
      </c>
      <c r="S12" s="312">
        <f ca="1">IF($B$4=0,OFFSET(StateModDepletions_BL!S$5,$AM12,0),IF($B$4=1,OFFSET(StateModDepletions_BLNoRes!S$5,$AM12,0)))</f>
        <v>0</v>
      </c>
      <c r="T12" s="312">
        <f ca="1">IF($B$4=0,OFFSET(StateModDepletions_BL!T$5,$AM12,0),IF($B$4=1,OFFSET(StateModDepletions_BLNoRes!T$5,$AM12,0)))</f>
        <v>23313.637082450019</v>
      </c>
      <c r="U12" s="312">
        <f ca="1">IF($B$4=0,OFFSET(StateModDepletions_BL!U$5,$AM12,0),IF($B$4=1,OFFSET(StateModDepletions_BLNoRes!U$5,$AM12,0)))</f>
        <v>1568.0591882765293</v>
      </c>
      <c r="V12" s="312">
        <f ca="1">IF($B$4=0,OFFSET(StateModDepletions_BL!V$5,$AM12,0),IF($B$4=1,OFFSET(StateModDepletions_BLNoRes!V$5,$AM12,0)))</f>
        <v>15053.875845909119</v>
      </c>
      <c r="W12" s="312">
        <f ca="1">IF($B$4=0,OFFSET(StateModDepletions_BL!W$5,$AM12,0),IF($B$4=1,OFFSET(StateModDepletions_BLNoRes!W$5,$AM12,0)))</f>
        <v>131121.55878898842</v>
      </c>
      <c r="X12" s="312">
        <f ca="1">IF($B$4=0,OFFSET(StateModDepletions_BL!X$5,$AM12,0),IF($B$4=1,OFFSET(StateModDepletions_BLNoRes!X$5,$AM12,0)))</f>
        <v>5766.5741074650223</v>
      </c>
      <c r="Y12" s="312">
        <f ca="1">IF($B$4=0,OFFSET(StateModDepletions_BL!Y$5,$AM12,0),IF($B$4=1,OFFSET(StateModDepletions_BLNoRes!Y$5,$AM12,0)))</f>
        <v>212.11356273293495</v>
      </c>
      <c r="Z12" s="312">
        <f ca="1">IF($B$4=0,OFFSET(StateModDepletions_BL!Z$5,$AM12,0),IF($B$4=1,OFFSET(StateModDepletions_BLNoRes!Z$5,$AM12,0)))</f>
        <v>247737.88262915611</v>
      </c>
      <c r="AA12" s="313">
        <f ca="1">IF($B$4=0,OFFSET(StateModDepletions_BL!AA$5,$AM12,0),IF($B$4=1,OFFSET(StateModDepletions_BLNoRes!AA$5,$AM12,0)))</f>
        <v>110637.63616996973</v>
      </c>
      <c r="AB12" s="314">
        <f ca="1">IF($B$4=0,OFFSET(StateModDepletions_BL!AB$5,$AM12,0),IF($B$4=1,OFFSET(StateModDepletions_BLNoRes!AB$5,$AM12,0)))</f>
        <v>24765.810481309891</v>
      </c>
      <c r="AC12" s="314">
        <f ca="1">IF($B$4=0,OFFSET(StateModDepletions_BL!AC$5,$AM12,0),IF($B$4=1,OFFSET(StateModDepletions_BLNoRes!AC$5,$AM12,0)))</f>
        <v>33743.14193816483</v>
      </c>
      <c r="AD12" s="314">
        <f ca="1">IF($B$4=0,OFFSET(StateModDepletions_BL!AD$5,$AM12,0),IF($B$4=1,OFFSET(StateModDepletions_BLNoRes!AD$5,$AM12,0)))</f>
        <v>18374.019779726863</v>
      </c>
      <c r="AE12" s="314">
        <f ca="1">IF($B$4=0,OFFSET(StateModDepletions_BL!AE$5,$AM12,0),IF($B$4=1,OFFSET(StateModDepletions_BLNoRes!AE$5,$AM12,0)))</f>
        <v>104712.28820652515</v>
      </c>
      <c r="AF12" s="314">
        <f ca="1">IF($B$4=0,OFFSET(StateModDepletions_BL!AF$5,$AM12,0),IF($B$4=1,OFFSET(StateModDepletions_BLNoRes!AF$5,$AM12,0)))</f>
        <v>17000.052638411507</v>
      </c>
      <c r="AG12" s="314">
        <f ca="1">IF($B$4=0,OFFSET(StateModDepletions_BL!AG$5,$AM12,0),IF($B$4=1,OFFSET(StateModDepletions_BLNoRes!AG$5,$AM12,0)))</f>
        <v>46669.382399170179</v>
      </c>
      <c r="AH12" s="314">
        <f ca="1">IF($B$4=0,OFFSET(StateModDepletions_BL!AH$5,$AM12,0),IF($B$4=1,OFFSET(StateModDepletions_BLNoRes!AH$5,$AM12,0)))</f>
        <v>21870.231114616618</v>
      </c>
      <c r="AI12" s="314">
        <f ca="1">IF($B$4=0,OFFSET(StateModDepletions_BL!AI$5,$AM12,0),IF($B$4=1,OFFSET(StateModDepletions_BLNoRes!AI$5,$AM12,0)))</f>
        <v>24881.696270726548</v>
      </c>
      <c r="AJ12" s="315">
        <f ca="1">IF($B$4=0,OFFSET(StateModDepletions_BL!AJ$5,$AM12,0),IF($B$4=1,OFFSET(StateModDepletions_BLNoRes!AJ$5,$AM12,0)))</f>
        <v>136888.13289645343</v>
      </c>
      <c r="AK12" s="519">
        <f t="shared" si="4"/>
        <v>7</v>
      </c>
      <c r="AL12" s="519">
        <f t="shared" si="5"/>
        <v>1935</v>
      </c>
      <c r="AM12" s="519">
        <f>MATCH($AL12,StateModDepletions_BL!$A$6:$A$90,0)</f>
        <v>7</v>
      </c>
    </row>
    <row r="13" spans="1:39" x14ac:dyDescent="0.25">
      <c r="A13" s="519">
        <f t="shared" si="3"/>
        <v>1936</v>
      </c>
      <c r="B13" s="311">
        <f ca="1">IF($B$4=0,OFFSET(StateModDepletions_BL!B$5,$AM13,0),IF($B$4=1,OFFSET(StateModDepletions_BLNoRes!B$5,$AM13,0)))</f>
        <v>31050.518457889557</v>
      </c>
      <c r="C13" s="312">
        <f ca="1">IF($B$4=0,OFFSET(StateModDepletions_BL!C$5,$AM13,0),IF($B$4=1,OFFSET(StateModDepletions_BLNoRes!C$5,$AM13,0)))</f>
        <v>1026.0025346279144</v>
      </c>
      <c r="D13" s="312">
        <f ca="1">IF($B$4=0,OFFSET(StateModDepletions_BL!D$5,$AM13,0),IF($B$4=1,OFFSET(StateModDepletions_BLNoRes!D$5,$AM13,0)))</f>
        <v>98120.250854492188</v>
      </c>
      <c r="E13" s="312">
        <f ca="1">IF($B$4=0,OFFSET(StateModDepletions_BL!E$5,$AM13,0),IF($B$4=1,OFFSET(StateModDepletions_BLNoRes!E$5,$AM13,0)))</f>
        <v>2810.7051087617874</v>
      </c>
      <c r="F13" s="312">
        <f ca="1">IF($B$4=0,OFFSET(StateModDepletions_BL!F$5,$AM13,0),IF($B$4=1,OFFSET(StateModDepletions_BLNoRes!F$5,$AM13,0)))</f>
        <v>15161.554196551442</v>
      </c>
      <c r="G13" s="312">
        <f ca="1">IF($B$4=0,OFFSET(StateModDepletions_BL!G$5,$AM13,0),IF($B$4=1,OFFSET(StateModDepletions_BLNoRes!G$5,$AM13,0)))</f>
        <v>2036.5992698669434</v>
      </c>
      <c r="H13" s="312">
        <f ca="1">IF($B$4=0,OFFSET(StateModDepletions_BL!H$5,$AM13,0),IF($B$4=1,OFFSET(StateModDepletions_BLNoRes!H$5,$AM13,0)))</f>
        <v>2838.8627778291702</v>
      </c>
      <c r="I13" s="312">
        <f ca="1">IF($B$4=0,OFFSET(StateModDepletions_BL!I$5,$AM13,0),IF($B$4=1,OFFSET(StateModDepletions_BLNoRes!I$5,$AM13,0)))</f>
        <v>103994.20503920317</v>
      </c>
      <c r="J13" s="312">
        <f ca="1">IF($B$4=0,OFFSET(StateModDepletions_BL!J$5,$AM13,0),IF($B$4=1,OFFSET(StateModDepletions_BLNoRes!J$5,$AM13,0)))</f>
        <v>2151.5721833705902</v>
      </c>
      <c r="K13" s="312">
        <f ca="1">IF($B$4=0,OFFSET(StateModDepletions_BL!K$5,$AM13,0),IF($B$4=1,OFFSET(StateModDepletions_BLNoRes!K$5,$AM13,0)))</f>
        <v>19116.242594718933</v>
      </c>
      <c r="L13" s="312">
        <f ca="1">IF($B$4=0,OFFSET(StateModDepletions_BL!L$5,$AM13,0),IF($B$4=1,OFFSET(StateModDepletions_BLNoRes!L$5,$AM13,0)))</f>
        <v>16395.536453947407</v>
      </c>
      <c r="M13" s="312">
        <f ca="1">IF($B$4=0,OFFSET(StateModDepletions_BL!M$5,$AM13,0),IF($B$4=1,OFFSET(StateModDepletions_BLNoRes!M$5,$AM13,0)))</f>
        <v>1429.7300157546997</v>
      </c>
      <c r="N13" s="312">
        <f ca="1">IF($B$4=0,OFFSET(StateModDepletions_BL!N$5,$AM13,0),IF($B$4=1,OFFSET(StateModDepletions_BLNoRes!N$5,$AM13,0)))</f>
        <v>1326.6977829933167</v>
      </c>
      <c r="O13" s="312">
        <f ca="1">IF($B$4=0,OFFSET(StateModDepletions_BL!O$5,$AM13,0),IF($B$4=1,OFFSET(StateModDepletions_BLNoRes!O$5,$AM13,0)))</f>
        <v>41265.229923082967</v>
      </c>
      <c r="P13" s="312">
        <f ca="1">IF($B$4=0,OFFSET(StateModDepletions_BL!P$5,$AM13,0),IF($B$4=1,OFFSET(StateModDepletions_BLNoRes!P$5,$AM13,0)))</f>
        <v>379.50826406478882</v>
      </c>
      <c r="Q13" s="312">
        <f ca="1">IF($B$4=0,OFFSET(StateModDepletions_BL!Q$5,$AM13,0),IF($B$4=1,OFFSET(StateModDepletions_BLNoRes!Q$5,$AM13,0)))</f>
        <v>14886.168405778706</v>
      </c>
      <c r="R13" s="312">
        <f ca="1">IF($B$4=0,OFFSET(StateModDepletions_BL!R$5,$AM13,0),IF($B$4=1,OFFSET(StateModDepletions_BLNoRes!R$5,$AM13,0)))</f>
        <v>598.83215999603271</v>
      </c>
      <c r="S13" s="312">
        <f ca="1">IF($B$4=0,OFFSET(StateModDepletions_BL!S$5,$AM13,0),IF($B$4=1,OFFSET(StateModDepletions_BLNoRes!S$5,$AM13,0)))</f>
        <v>0</v>
      </c>
      <c r="T13" s="312">
        <f ca="1">IF($B$4=0,OFFSET(StateModDepletions_BL!T$5,$AM13,0),IF($B$4=1,OFFSET(StateModDepletions_BLNoRes!T$5,$AM13,0)))</f>
        <v>15437.95302490227</v>
      </c>
      <c r="U13" s="312">
        <f ca="1">IF($B$4=0,OFFSET(StateModDepletions_BL!U$5,$AM13,0),IF($B$4=1,OFFSET(StateModDepletions_BLNoRes!U$5,$AM13,0)))</f>
        <v>1453.1673868894577</v>
      </c>
      <c r="V13" s="312">
        <f ca="1">IF($B$4=0,OFFSET(StateModDepletions_BL!V$5,$AM13,0),IF($B$4=1,OFFSET(StateModDepletions_BLNoRes!V$5,$AM13,0)))</f>
        <v>10991.752844810486</v>
      </c>
      <c r="W13" s="312">
        <f ca="1">IF($B$4=0,OFFSET(StateModDepletions_BL!W$5,$AM13,0),IF($B$4=1,OFFSET(StateModDepletions_BLNoRes!W$5,$AM13,0)))</f>
        <v>136360.40349865303</v>
      </c>
      <c r="X13" s="312">
        <f ca="1">IF($B$4=0,OFFSET(StateModDepletions_BL!X$5,$AM13,0),IF($B$4=1,OFFSET(StateModDepletions_BLNoRes!X$5,$AM13,0)))</f>
        <v>5805.3481456786394</v>
      </c>
      <c r="Y13" s="312">
        <f ca="1">IF($B$4=0,OFFSET(StateModDepletions_BL!Y$5,$AM13,0),IF($B$4=1,OFFSET(StateModDepletions_BLNoRes!Y$5,$AM13,0)))</f>
        <v>212.11356273293495</v>
      </c>
      <c r="Z13" s="312">
        <f ca="1">IF($B$4=0,OFFSET(StateModDepletions_BL!Z$5,$AM13,0),IF($B$4=1,OFFSET(StateModDepletions_BLNoRes!Z$5,$AM13,0)))</f>
        <v>221296.78032398224</v>
      </c>
      <c r="AA13" s="313">
        <f ca="1">IF($B$4=0,OFFSET(StateModDepletions_BL!AA$5,$AM13,0),IF($B$4=1,OFFSET(StateModDepletions_BLNoRes!AA$5,$AM13,0)))</f>
        <v>78918.915116917633</v>
      </c>
      <c r="AB13" s="314">
        <f ca="1">IF($B$4=0,OFFSET(StateModDepletions_BL!AB$5,$AM13,0),IF($B$4=1,OFFSET(StateModDepletions_BLNoRes!AB$5,$AM13,0)))</f>
        <v>24765.810481309891</v>
      </c>
      <c r="AC13" s="314">
        <f ca="1">IF($B$4=0,OFFSET(StateModDepletions_BL!AC$5,$AM13,0),IF($B$4=1,OFFSET(StateModDepletions_BLNoRes!AC$5,$AM13,0)))</f>
        <v>32076.520992517471</v>
      </c>
      <c r="AD13" s="314">
        <f ca="1">IF($B$4=0,OFFSET(StateModDepletions_BL!AD$5,$AM13,0),IF($B$4=1,OFFSET(StateModDepletions_BLNoRes!AD$5,$AM13,0)))</f>
        <v>17198.153466418386</v>
      </c>
      <c r="AE13" s="314">
        <f ca="1">IF($B$4=0,OFFSET(StateModDepletions_BL!AE$5,$AM13,0),IF($B$4=1,OFFSET(StateModDepletions_BLNoRes!AE$5,$AM13,0)))</f>
        <v>106145.77722257376</v>
      </c>
      <c r="AF13" s="314">
        <f ca="1">IF($B$4=0,OFFSET(StateModDepletions_BL!AF$5,$AM13,0),IF($B$4=1,OFFSET(StateModDepletions_BLNoRes!AF$5,$AM13,0)))</f>
        <v>17825.266469702106</v>
      </c>
      <c r="AG13" s="314">
        <f ca="1">IF($B$4=0,OFFSET(StateModDepletions_BL!AG$5,$AM13,0),IF($B$4=1,OFFSET(StateModDepletions_BLNoRes!AG$5,$AM13,0)))</f>
        <v>41644.738187147756</v>
      </c>
      <c r="AH13" s="314">
        <f ca="1">IF($B$4=0,OFFSET(StateModDepletions_BL!AH$5,$AM13,0),IF($B$4=1,OFFSET(StateModDepletions_BLNoRes!AH$5,$AM13,0)))</f>
        <v>15485.000565774739</v>
      </c>
      <c r="AI13" s="314">
        <f ca="1">IF($B$4=0,OFFSET(StateModDepletions_BL!AI$5,$AM13,0),IF($B$4=1,OFFSET(StateModDepletions_BLNoRes!AI$5,$AM13,0)))</f>
        <v>16891.12041179173</v>
      </c>
      <c r="AJ13" s="315">
        <f ca="1">IF($B$4=0,OFFSET(StateModDepletions_BL!AJ$5,$AM13,0),IF($B$4=1,OFFSET(StateModDepletions_BLNoRes!AJ$5,$AM13,0)))</f>
        <v>142165.75164433167</v>
      </c>
      <c r="AK13" s="519">
        <f t="shared" si="4"/>
        <v>8</v>
      </c>
      <c r="AL13" s="519">
        <f t="shared" si="5"/>
        <v>1936</v>
      </c>
      <c r="AM13" s="519">
        <f>MATCH($AL13,StateModDepletions_BL!$A$6:$A$90,0)</f>
        <v>8</v>
      </c>
    </row>
    <row r="14" spans="1:39" x14ac:dyDescent="0.25">
      <c r="A14" s="519">
        <f t="shared" si="3"/>
        <v>1937</v>
      </c>
      <c r="B14" s="311">
        <f ca="1">IF($B$4=0,OFFSET(StateModDepletions_BL!B$5,$AM14,0),IF($B$4=1,OFFSET(StateModDepletions_BLNoRes!B$5,$AM14,0)))</f>
        <v>32412.865982681513</v>
      </c>
      <c r="C14" s="312">
        <f ca="1">IF($B$4=0,OFFSET(StateModDepletions_BL!C$5,$AM14,0),IF($B$4=1,OFFSET(StateModDepletions_BLNoRes!C$5,$AM14,0)))</f>
        <v>1026.0025346279144</v>
      </c>
      <c r="D14" s="312">
        <f ca="1">IF($B$4=0,OFFSET(StateModDepletions_BL!D$5,$AM14,0),IF($B$4=1,OFFSET(StateModDepletions_BLNoRes!D$5,$AM14,0)))</f>
        <v>134110.35729980469</v>
      </c>
      <c r="E14" s="312">
        <f ca="1">IF($B$4=0,OFFSET(StateModDepletions_BL!E$5,$AM14,0),IF($B$4=1,OFFSET(StateModDepletions_BLNoRes!E$5,$AM14,0)))</f>
        <v>2810.7051087617874</v>
      </c>
      <c r="F14" s="312">
        <f ca="1">IF($B$4=0,OFFSET(StateModDepletions_BL!F$5,$AM14,0),IF($B$4=1,OFFSET(StateModDepletions_BLNoRes!F$5,$AM14,0)))</f>
        <v>15903.5967451334</v>
      </c>
      <c r="G14" s="312">
        <f ca="1">IF($B$4=0,OFFSET(StateModDepletions_BL!G$5,$AM14,0),IF($B$4=1,OFFSET(StateModDepletions_BLNoRes!G$5,$AM14,0)))</f>
        <v>2036.5992698669434</v>
      </c>
      <c r="H14" s="312">
        <f ca="1">IF($B$4=0,OFFSET(StateModDepletions_BL!H$5,$AM14,0),IF($B$4=1,OFFSET(StateModDepletions_BLNoRes!H$5,$AM14,0)))</f>
        <v>2838.8627778291702</v>
      </c>
      <c r="I14" s="312">
        <f ca="1">IF($B$4=0,OFFSET(StateModDepletions_BL!I$5,$AM14,0),IF($B$4=1,OFFSET(StateModDepletions_BLNoRes!I$5,$AM14,0)))</f>
        <v>108563.38417986408</v>
      </c>
      <c r="J14" s="312">
        <f ca="1">IF($B$4=0,OFFSET(StateModDepletions_BL!J$5,$AM14,0),IF($B$4=1,OFFSET(StateModDepletions_BLNoRes!J$5,$AM14,0)))</f>
        <v>2461.3829457759857</v>
      </c>
      <c r="K14" s="312">
        <f ca="1">IF($B$4=0,OFFSET(StateModDepletions_BL!K$5,$AM14,0),IF($B$4=1,OFFSET(StateModDepletions_BLNoRes!K$5,$AM14,0)))</f>
        <v>19116.242594718933</v>
      </c>
      <c r="L14" s="312">
        <f ca="1">IF($B$4=0,OFFSET(StateModDepletions_BL!L$5,$AM14,0),IF($B$4=1,OFFSET(StateModDepletions_BLNoRes!L$5,$AM14,0)))</f>
        <v>17120.973829902712</v>
      </c>
      <c r="M14" s="312">
        <f ca="1">IF($B$4=0,OFFSET(StateModDepletions_BL!M$5,$AM14,0),IF($B$4=1,OFFSET(StateModDepletions_BLNoRes!M$5,$AM14,0)))</f>
        <v>1429.2977375984192</v>
      </c>
      <c r="N14" s="312">
        <f ca="1">IF($B$4=0,OFFSET(StateModDepletions_BL!N$5,$AM14,0),IF($B$4=1,OFFSET(StateModDepletions_BLNoRes!N$5,$AM14,0)))</f>
        <v>1326.6977829933167</v>
      </c>
      <c r="O14" s="312">
        <f ca="1">IF($B$4=0,OFFSET(StateModDepletions_BL!O$5,$AM14,0),IF($B$4=1,OFFSET(StateModDepletions_BLNoRes!O$5,$AM14,0)))</f>
        <v>40697.367724923868</v>
      </c>
      <c r="P14" s="312">
        <f ca="1">IF($B$4=0,OFFSET(StateModDepletions_BL!P$5,$AM14,0),IF($B$4=1,OFFSET(StateModDepletions_BLNoRes!P$5,$AM14,0)))</f>
        <v>440.43092560768127</v>
      </c>
      <c r="Q14" s="312">
        <f ca="1">IF($B$4=0,OFFSET(StateModDepletions_BL!Q$5,$AM14,0),IF($B$4=1,OFFSET(StateModDepletions_BLNoRes!Q$5,$AM14,0)))</f>
        <v>17894.430375106633</v>
      </c>
      <c r="R14" s="312">
        <f ca="1">IF($B$4=0,OFFSET(StateModDepletions_BL!R$5,$AM14,0),IF($B$4=1,OFFSET(StateModDepletions_BLNoRes!R$5,$AM14,0)))</f>
        <v>598.83215999603271</v>
      </c>
      <c r="S14" s="312">
        <f ca="1">IF($B$4=0,OFFSET(StateModDepletions_BL!S$5,$AM14,0),IF($B$4=1,OFFSET(StateModDepletions_BLNoRes!S$5,$AM14,0)))</f>
        <v>0</v>
      </c>
      <c r="T14" s="312">
        <f ca="1">IF($B$4=0,OFFSET(StateModDepletions_BL!T$5,$AM14,0),IF($B$4=1,OFFSET(StateModDepletions_BLNoRes!T$5,$AM14,0)))</f>
        <v>16889.527537593618</v>
      </c>
      <c r="U14" s="312">
        <f ca="1">IF($B$4=0,OFFSET(StateModDepletions_BL!U$5,$AM14,0),IF($B$4=1,OFFSET(StateModDepletions_BLNoRes!U$5,$AM14,0)))</f>
        <v>1502.9027718088491</v>
      </c>
      <c r="V14" s="312">
        <f ca="1">IF($B$4=0,OFFSET(StateModDepletions_BL!V$5,$AM14,0),IF($B$4=1,OFFSET(StateModDepletions_BLNoRes!V$5,$AM14,0)))</f>
        <v>13258.551636695862</v>
      </c>
      <c r="W14" s="312">
        <f ca="1">IF($B$4=0,OFFSET(StateModDepletions_BL!W$5,$AM14,0),IF($B$4=1,OFFSET(StateModDepletions_BLNoRes!W$5,$AM14,0)))</f>
        <v>137911.46531632886</v>
      </c>
      <c r="X14" s="312">
        <f ca="1">IF($B$4=0,OFFSET(StateModDepletions_BL!X$5,$AM14,0),IF($B$4=1,OFFSET(StateModDepletions_BLNoRes!X$5,$AM14,0)))</f>
        <v>5795.372117947787</v>
      </c>
      <c r="Y14" s="312">
        <f ca="1">IF($B$4=0,OFFSET(StateModDepletions_BL!Y$5,$AM14,0),IF($B$4=1,OFFSET(StateModDepletions_BLNoRes!Y$5,$AM14,0)))</f>
        <v>212.11356273293495</v>
      </c>
      <c r="Z14" s="312">
        <f ca="1">IF($B$4=0,OFFSET(StateModDepletions_BL!Z$5,$AM14,0),IF($B$4=1,OFFSET(StateModDepletions_BLNoRes!Z$5,$AM14,0)))</f>
        <v>222134.37148737907</v>
      </c>
      <c r="AA14" s="313">
        <f ca="1">IF($B$4=0,OFFSET(StateModDepletions_BL!AA$5,$AM14,0),IF($B$4=1,OFFSET(StateModDepletions_BLNoRes!AA$5,$AM14,0)))</f>
        <v>78215.420490369492</v>
      </c>
      <c r="AB14" s="314">
        <f ca="1">IF($B$4=0,OFFSET(StateModDepletions_BL!AB$5,$AM14,0),IF($B$4=1,OFFSET(StateModDepletions_BLNoRes!AB$5,$AM14,0)))</f>
        <v>24765.810481309891</v>
      </c>
      <c r="AC14" s="314">
        <f ca="1">IF($B$4=0,OFFSET(StateModDepletions_BL!AC$5,$AM14,0),IF($B$4=1,OFFSET(StateModDepletions_BLNoRes!AC$5,$AM14,0)))</f>
        <v>33438.868517309427</v>
      </c>
      <c r="AD14" s="314">
        <f ca="1">IF($B$4=0,OFFSET(StateModDepletions_BL!AD$5,$AM14,0),IF($B$4=1,OFFSET(StateModDepletions_BLNoRes!AD$5,$AM14,0)))</f>
        <v>17940.196015000343</v>
      </c>
      <c r="AE14" s="314">
        <f ca="1">IF($B$4=0,OFFSET(StateModDepletions_BL!AE$5,$AM14,0),IF($B$4=1,OFFSET(StateModDepletions_BLNoRes!AE$5,$AM14,0)))</f>
        <v>111024.76712564006</v>
      </c>
      <c r="AF14" s="314">
        <f ca="1">IF($B$4=0,OFFSET(StateModDepletions_BL!AF$5,$AM14,0),IF($B$4=1,OFFSET(StateModDepletions_BLNoRes!AF$5,$AM14,0)))</f>
        <v>18550.271567501131</v>
      </c>
      <c r="AG14" s="314">
        <f ca="1">IF($B$4=0,OFFSET(StateModDepletions_BL!AG$5,$AM14,0),IF($B$4=1,OFFSET(StateModDepletions_BLNoRes!AG$5,$AM14,0)))</f>
        <v>41137.798650531549</v>
      </c>
      <c r="AH14" s="314">
        <f ca="1">IF($B$4=0,OFFSET(StateModDepletions_BL!AH$5,$AM14,0),IF($B$4=1,OFFSET(StateModDepletions_BLNoRes!AH$5,$AM14,0)))</f>
        <v>18493.262535102665</v>
      </c>
      <c r="AI14" s="314">
        <f ca="1">IF($B$4=0,OFFSET(StateModDepletions_BL!AI$5,$AM14,0),IF($B$4=1,OFFSET(StateModDepletions_BLNoRes!AI$5,$AM14,0)))</f>
        <v>18392.430309402465</v>
      </c>
      <c r="AJ14" s="315">
        <f ca="1">IF($B$4=0,OFFSET(StateModDepletions_BL!AJ$5,$AM14,0),IF($B$4=1,OFFSET(StateModDepletions_BLNoRes!AJ$5,$AM14,0)))</f>
        <v>143706.83743427665</v>
      </c>
      <c r="AK14" s="519">
        <f t="shared" si="4"/>
        <v>9</v>
      </c>
      <c r="AL14" s="519">
        <f t="shared" si="5"/>
        <v>1937</v>
      </c>
      <c r="AM14" s="519">
        <f>MATCH($AL14,StateModDepletions_BL!$A$6:$A$90,0)</f>
        <v>9</v>
      </c>
    </row>
    <row r="15" spans="1:39" x14ac:dyDescent="0.25">
      <c r="A15" s="519">
        <f t="shared" si="3"/>
        <v>1938</v>
      </c>
      <c r="B15" s="311">
        <f ca="1">IF($B$4=0,OFFSET(StateModDepletions_BL!B$5,$AM15,0),IF($B$4=1,OFFSET(StateModDepletions_BLNoRes!B$5,$AM15,0)))</f>
        <v>31347.622138522565</v>
      </c>
      <c r="C15" s="312">
        <f ca="1">IF($B$4=0,OFFSET(StateModDepletions_BL!C$5,$AM15,0),IF($B$4=1,OFFSET(StateModDepletions_BLNoRes!C$5,$AM15,0)))</f>
        <v>1026.0025346279144</v>
      </c>
      <c r="D15" s="312">
        <f ca="1">IF($B$4=0,OFFSET(StateModDepletions_BL!D$5,$AM15,0),IF($B$4=1,OFFSET(StateModDepletions_BLNoRes!D$5,$AM15,0)))</f>
        <v>139154.48620605469</v>
      </c>
      <c r="E15" s="312">
        <f ca="1">IF($B$4=0,OFFSET(StateModDepletions_BL!E$5,$AM15,0),IF($B$4=1,OFFSET(StateModDepletions_BLNoRes!E$5,$AM15,0)))</f>
        <v>2810.7051087617874</v>
      </c>
      <c r="F15" s="312">
        <f ca="1">IF($B$4=0,OFFSET(StateModDepletions_BL!F$5,$AM15,0),IF($B$4=1,OFFSET(StateModDepletions_BLNoRes!F$5,$AM15,0)))</f>
        <v>15358.953510761261</v>
      </c>
      <c r="G15" s="312">
        <f ca="1">IF($B$4=0,OFFSET(StateModDepletions_BL!G$5,$AM15,0),IF($B$4=1,OFFSET(StateModDepletions_BLNoRes!G$5,$AM15,0)))</f>
        <v>2036.5992698669434</v>
      </c>
      <c r="H15" s="312">
        <f ca="1">IF($B$4=0,OFFSET(StateModDepletions_BL!H$5,$AM15,0),IF($B$4=1,OFFSET(StateModDepletions_BLNoRes!H$5,$AM15,0)))</f>
        <v>2838.8627778291702</v>
      </c>
      <c r="I15" s="312">
        <f ca="1">IF($B$4=0,OFFSET(StateModDepletions_BL!I$5,$AM15,0),IF($B$4=1,OFFSET(StateModDepletions_BLNoRes!I$5,$AM15,0)))</f>
        <v>101710.50193709135</v>
      </c>
      <c r="J15" s="312">
        <f ca="1">IF($B$4=0,OFFSET(StateModDepletions_BL!J$5,$AM15,0),IF($B$4=1,OFFSET(StateModDepletions_BLNoRes!J$5,$AM15,0)))</f>
        <v>2397.0118062496185</v>
      </c>
      <c r="K15" s="312">
        <f ca="1">IF($B$4=0,OFFSET(StateModDepletions_BL!K$5,$AM15,0),IF($B$4=1,OFFSET(StateModDepletions_BLNoRes!K$5,$AM15,0)))</f>
        <v>19116.242594718933</v>
      </c>
      <c r="L15" s="312">
        <f ca="1">IF($B$4=0,OFFSET(StateModDepletions_BL!L$5,$AM15,0),IF($B$4=1,OFFSET(StateModDepletions_BLNoRes!L$5,$AM15,0)))</f>
        <v>15745.683165520415</v>
      </c>
      <c r="M15" s="312">
        <f ca="1">IF($B$4=0,OFFSET(StateModDepletions_BL!M$5,$AM15,0),IF($B$4=1,OFFSET(StateModDepletions_BLNoRes!M$5,$AM15,0)))</f>
        <v>1373.3481931686401</v>
      </c>
      <c r="N15" s="312">
        <f ca="1">IF($B$4=0,OFFSET(StateModDepletions_BL!N$5,$AM15,0),IF($B$4=1,OFFSET(StateModDepletions_BLNoRes!N$5,$AM15,0)))</f>
        <v>1326.6977829933167</v>
      </c>
      <c r="O15" s="312">
        <f ca="1">IF($B$4=0,OFFSET(StateModDepletions_BL!O$5,$AM15,0),IF($B$4=1,OFFSET(StateModDepletions_BLNoRes!O$5,$AM15,0)))</f>
        <v>46063.024790807147</v>
      </c>
      <c r="P15" s="312">
        <f ca="1">IF($B$4=0,OFFSET(StateModDepletions_BL!P$5,$AM15,0),IF($B$4=1,OFFSET(StateModDepletions_BLNoRes!P$5,$AM15,0)))</f>
        <v>473.51040267944336</v>
      </c>
      <c r="Q15" s="312">
        <f ca="1">IF($B$4=0,OFFSET(StateModDepletions_BL!Q$5,$AM15,0),IF($B$4=1,OFFSET(StateModDepletions_BLNoRes!Q$5,$AM15,0)))</f>
        <v>17249.416899606586</v>
      </c>
      <c r="R15" s="312">
        <f ca="1">IF($B$4=0,OFFSET(StateModDepletions_BL!R$5,$AM15,0),IF($B$4=1,OFFSET(StateModDepletions_BLNoRes!R$5,$AM15,0)))</f>
        <v>598.83215999603271</v>
      </c>
      <c r="S15" s="312">
        <f ca="1">IF($B$4=0,OFFSET(StateModDepletions_BL!S$5,$AM15,0),IF($B$4=1,OFFSET(StateModDepletions_BLNoRes!S$5,$AM15,0)))</f>
        <v>0</v>
      </c>
      <c r="T15" s="312">
        <f ca="1">IF($B$4=0,OFFSET(StateModDepletions_BL!T$5,$AM15,0),IF($B$4=1,OFFSET(StateModDepletions_BLNoRes!T$5,$AM15,0)))</f>
        <v>18490.487174822018</v>
      </c>
      <c r="U15" s="312">
        <f ca="1">IF($B$4=0,OFFSET(StateModDepletions_BL!U$5,$AM15,0),IF($B$4=1,OFFSET(StateModDepletions_BLNoRes!U$5,$AM15,0)))</f>
        <v>1521.6969308961525</v>
      </c>
      <c r="V15" s="312">
        <f ca="1">IF($B$4=0,OFFSET(StateModDepletions_BL!V$5,$AM15,0),IF($B$4=1,OFFSET(StateModDepletions_BLNoRes!V$5,$AM15,0)))</f>
        <v>14570.047814369202</v>
      </c>
      <c r="W15" s="312">
        <f ca="1">IF($B$4=0,OFFSET(StateModDepletions_BL!W$5,$AM15,0),IF($B$4=1,OFFSET(StateModDepletions_BLNoRes!W$5,$AM15,0)))</f>
        <v>127445.51945799931</v>
      </c>
      <c r="X15" s="312">
        <f ca="1">IF($B$4=0,OFFSET(StateModDepletions_BL!X$5,$AM15,0),IF($B$4=1,OFFSET(StateModDepletions_BLNoRes!X$5,$AM15,0)))</f>
        <v>5873.0589877281418</v>
      </c>
      <c r="Y15" s="312">
        <f ca="1">IF($B$4=0,OFFSET(StateModDepletions_BL!Y$5,$AM15,0),IF($B$4=1,OFFSET(StateModDepletions_BLNoRes!Y$5,$AM15,0)))</f>
        <v>212.11356273293495</v>
      </c>
      <c r="Z15" s="312">
        <f ca="1">IF($B$4=0,OFFSET(StateModDepletions_BL!Z$5,$AM15,0),IF($B$4=1,OFFSET(StateModDepletions_BLNoRes!Z$5,$AM15,0)))</f>
        <v>223787.21753585339</v>
      </c>
      <c r="AA15" s="313">
        <f ca="1">IF($B$4=0,OFFSET(StateModDepletions_BL!AA$5,$AM15,0),IF($B$4=1,OFFSET(StateModDepletions_BLNoRes!AA$5,$AM15,0)))</f>
        <v>90256.525527392994</v>
      </c>
      <c r="AB15" s="314">
        <f ca="1">IF($B$4=0,OFFSET(StateModDepletions_BL!AB$5,$AM15,0),IF($B$4=1,OFFSET(StateModDepletions_BLNoRes!AB$5,$AM15,0)))</f>
        <v>24765.810481309891</v>
      </c>
      <c r="AC15" s="314">
        <f ca="1">IF($B$4=0,OFFSET(StateModDepletions_BL!AC$5,$AM15,0),IF($B$4=1,OFFSET(StateModDepletions_BLNoRes!AC$5,$AM15,0)))</f>
        <v>32373.62467315048</v>
      </c>
      <c r="AD15" s="314">
        <f ca="1">IF($B$4=0,OFFSET(StateModDepletions_BL!AD$5,$AM15,0),IF($B$4=1,OFFSET(StateModDepletions_BLNoRes!AD$5,$AM15,0)))</f>
        <v>17395.552780628204</v>
      </c>
      <c r="AE15" s="314">
        <f ca="1">IF($B$4=0,OFFSET(StateModDepletions_BL!AE$5,$AM15,0),IF($B$4=1,OFFSET(StateModDepletions_BLNoRes!AE$5,$AM15,0)))</f>
        <v>104107.51374334097</v>
      </c>
      <c r="AF15" s="314">
        <f ca="1">IF($B$4=0,OFFSET(StateModDepletions_BL!AF$5,$AM15,0),IF($B$4=1,OFFSET(StateModDepletions_BLNoRes!AF$5,$AM15,0)))</f>
        <v>17119.031358689055</v>
      </c>
      <c r="AG15" s="314">
        <f ca="1">IF($B$4=0,OFFSET(StateModDepletions_BL!AG$5,$AM15,0),IF($B$4=1,OFFSET(StateModDepletions_BLNoRes!AG$5,$AM15,0)))</f>
        <v>46536.53519348659</v>
      </c>
      <c r="AH15" s="314">
        <f ca="1">IF($B$4=0,OFFSET(StateModDepletions_BL!AH$5,$AM15,0),IF($B$4=1,OFFSET(StateModDepletions_BLNoRes!AH$5,$AM15,0)))</f>
        <v>17848.249059602618</v>
      </c>
      <c r="AI15" s="314">
        <f ca="1">IF($B$4=0,OFFSET(StateModDepletions_BL!AI$5,$AM15,0),IF($B$4=1,OFFSET(StateModDepletions_BLNoRes!AI$5,$AM15,0)))</f>
        <v>20012.18410571817</v>
      </c>
      <c r="AJ15" s="315">
        <f ca="1">IF($B$4=0,OFFSET(StateModDepletions_BL!AJ$5,$AM15,0),IF($B$4=1,OFFSET(StateModDepletions_BLNoRes!AJ$5,$AM15,0)))</f>
        <v>133318.57844572744</v>
      </c>
      <c r="AK15" s="519">
        <f t="shared" si="4"/>
        <v>10</v>
      </c>
      <c r="AL15" s="519">
        <f t="shared" si="5"/>
        <v>1938</v>
      </c>
      <c r="AM15" s="519">
        <f>MATCH($AL15,StateModDepletions_BL!$A$6:$A$90,0)</f>
        <v>10</v>
      </c>
    </row>
    <row r="16" spans="1:39" x14ac:dyDescent="0.25">
      <c r="A16" s="519">
        <f t="shared" si="3"/>
        <v>1939</v>
      </c>
      <c r="B16" s="311">
        <f ca="1">IF($B$4=0,OFFSET(StateModDepletions_BL!B$5,$AM16,0),IF($B$4=1,OFFSET(StateModDepletions_BLNoRes!B$5,$AM16,0)))</f>
        <v>30374.677242174745</v>
      </c>
      <c r="C16" s="312">
        <f ca="1">IF($B$4=0,OFFSET(StateModDepletions_BL!C$5,$AM16,0),IF($B$4=1,OFFSET(StateModDepletions_BLNoRes!C$5,$AM16,0)))</f>
        <v>1026.0025346279144</v>
      </c>
      <c r="D16" s="312">
        <f ca="1">IF($B$4=0,OFFSET(StateModDepletions_BL!D$5,$AM16,0),IF($B$4=1,OFFSET(StateModDepletions_BLNoRes!D$5,$AM16,0)))</f>
        <v>72682.315063476563</v>
      </c>
      <c r="E16" s="312">
        <f ca="1">IF($B$4=0,OFFSET(StateModDepletions_BL!E$5,$AM16,0),IF($B$4=1,OFFSET(StateModDepletions_BLNoRes!E$5,$AM16,0)))</f>
        <v>2810.7051087617874</v>
      </c>
      <c r="F16" s="312">
        <f ca="1">IF($B$4=0,OFFSET(StateModDepletions_BL!F$5,$AM16,0),IF($B$4=1,OFFSET(StateModDepletions_BLNoRes!F$5,$AM16,0)))</f>
        <v>14669.635607719421</v>
      </c>
      <c r="G16" s="312">
        <f ca="1">IF($B$4=0,OFFSET(StateModDepletions_BL!G$5,$AM16,0),IF($B$4=1,OFFSET(StateModDepletions_BLNoRes!G$5,$AM16,0)))</f>
        <v>2036.5992698669434</v>
      </c>
      <c r="H16" s="312">
        <f ca="1">IF($B$4=0,OFFSET(StateModDepletions_BL!H$5,$AM16,0),IF($B$4=1,OFFSET(StateModDepletions_BLNoRes!H$5,$AM16,0)))</f>
        <v>2838.8627778291702</v>
      </c>
      <c r="I16" s="312">
        <f ca="1">IF($B$4=0,OFFSET(StateModDepletions_BL!I$5,$AM16,0),IF($B$4=1,OFFSET(StateModDepletions_BLNoRes!I$5,$AM16,0)))</f>
        <v>105335.46915643662</v>
      </c>
      <c r="J16" s="312">
        <f ca="1">IF($B$4=0,OFFSET(StateModDepletions_BL!J$5,$AM16,0),IF($B$4=1,OFFSET(StateModDepletions_BLNoRes!J$5,$AM16,0)))</f>
        <v>2433.4021337032318</v>
      </c>
      <c r="K16" s="312">
        <f ca="1">IF($B$4=0,OFFSET(StateModDepletions_BL!K$5,$AM16,0),IF($B$4=1,OFFSET(StateModDepletions_BLNoRes!K$5,$AM16,0)))</f>
        <v>19116.242594718933</v>
      </c>
      <c r="L16" s="312">
        <f ca="1">IF($B$4=0,OFFSET(StateModDepletions_BL!L$5,$AM16,0),IF($B$4=1,OFFSET(StateModDepletions_BLNoRes!L$5,$AM16,0)))</f>
        <v>16851.075934059914</v>
      </c>
      <c r="M16" s="312">
        <f ca="1">IF($B$4=0,OFFSET(StateModDepletions_BL!M$5,$AM16,0),IF($B$4=1,OFFSET(StateModDepletions_BLNoRes!M$5,$AM16,0)))</f>
        <v>1403.132933139801</v>
      </c>
      <c r="N16" s="312">
        <f ca="1">IF($B$4=0,OFFSET(StateModDepletions_BL!N$5,$AM16,0),IF($B$4=1,OFFSET(StateModDepletions_BLNoRes!N$5,$AM16,0)))</f>
        <v>1326.6977829933167</v>
      </c>
      <c r="O16" s="312">
        <f ca="1">IF($B$4=0,OFFSET(StateModDepletions_BL!O$5,$AM16,0),IF($B$4=1,OFFSET(StateModDepletions_BLNoRes!O$5,$AM16,0)))</f>
        <v>35762.479442490716</v>
      </c>
      <c r="P16" s="312">
        <f ca="1">IF($B$4=0,OFFSET(StateModDepletions_BL!P$5,$AM16,0),IF($B$4=1,OFFSET(StateModDepletions_BLNoRes!P$5,$AM16,0)))</f>
        <v>364.69755601882935</v>
      </c>
      <c r="Q16" s="312">
        <f ca="1">IF($B$4=0,OFFSET(StateModDepletions_BL!Q$5,$AM16,0),IF($B$4=1,OFFSET(StateModDepletions_BLNoRes!Q$5,$AM16,0)))</f>
        <v>10119.823880417272</v>
      </c>
      <c r="R16" s="312">
        <f ca="1">IF($B$4=0,OFFSET(StateModDepletions_BL!R$5,$AM16,0),IF($B$4=1,OFFSET(StateModDepletions_BLNoRes!R$5,$AM16,0)))</f>
        <v>598.83215999603271</v>
      </c>
      <c r="S16" s="312">
        <f ca="1">IF($B$4=0,OFFSET(StateModDepletions_BL!S$5,$AM16,0),IF($B$4=1,OFFSET(StateModDepletions_BLNoRes!S$5,$AM16,0)))</f>
        <v>0</v>
      </c>
      <c r="T16" s="312">
        <f ca="1">IF($B$4=0,OFFSET(StateModDepletions_BL!T$5,$AM16,0),IF($B$4=1,OFFSET(StateModDepletions_BLNoRes!T$5,$AM16,0)))</f>
        <v>10397.524234810733</v>
      </c>
      <c r="U16" s="312">
        <f ca="1">IF($B$4=0,OFFSET(StateModDepletions_BL!U$5,$AM16,0),IF($B$4=1,OFFSET(StateModDepletions_BLNoRes!U$5,$AM16,0)))</f>
        <v>1415.9043029646259</v>
      </c>
      <c r="V16" s="312">
        <f ca="1">IF($B$4=0,OFFSET(StateModDepletions_BL!V$5,$AM16,0),IF($B$4=1,OFFSET(StateModDepletions_BLNoRes!V$5,$AM16,0)))</f>
        <v>7240.6926755905151</v>
      </c>
      <c r="W16" s="312">
        <f ca="1">IF($B$4=0,OFFSET(StateModDepletions_BL!W$5,$AM16,0),IF($B$4=1,OFFSET(StateModDepletions_BLNoRes!W$5,$AM16,0)))</f>
        <v>146037.35145572171</v>
      </c>
      <c r="X16" s="312">
        <f ca="1">IF($B$4=0,OFFSET(StateModDepletions_BL!X$5,$AM16,0),IF($B$4=1,OFFSET(StateModDepletions_BLNoRes!X$5,$AM16,0)))</f>
        <v>5800.9555242955685</v>
      </c>
      <c r="Y16" s="312">
        <f ca="1">IF($B$4=0,OFFSET(StateModDepletions_BL!Y$5,$AM16,0),IF($B$4=1,OFFSET(StateModDepletions_BLNoRes!Y$5,$AM16,0)))</f>
        <v>212.11356273293495</v>
      </c>
      <c r="Z16" s="312">
        <f ca="1">IF($B$4=0,OFFSET(StateModDepletions_BL!Z$5,$AM16,0),IF($B$4=1,OFFSET(StateModDepletions_BLNoRes!Z$5,$AM16,0)))</f>
        <v>203431.54347598553</v>
      </c>
      <c r="AA16" s="313">
        <f ca="1">IF($B$4=0,OFFSET(StateModDepletions_BL!AA$5,$AM16,0),IF($B$4=1,OFFSET(StateModDepletions_BLNoRes!AA$5,$AM16,0)))</f>
        <v>51381.12293323531</v>
      </c>
      <c r="AB16" s="314">
        <f ca="1">IF($B$4=0,OFFSET(StateModDepletions_BL!AB$5,$AM16,0),IF($B$4=1,OFFSET(StateModDepletions_BLNoRes!AB$5,$AM16,0)))</f>
        <v>24765.810481309891</v>
      </c>
      <c r="AC16" s="314">
        <f ca="1">IF($B$4=0,OFFSET(StateModDepletions_BL!AC$5,$AM16,0),IF($B$4=1,OFFSET(StateModDepletions_BLNoRes!AC$5,$AM16,0)))</f>
        <v>31400.679776802659</v>
      </c>
      <c r="AD16" s="314">
        <f ca="1">IF($B$4=0,OFFSET(StateModDepletions_BL!AD$5,$AM16,0),IF($B$4=1,OFFSET(StateModDepletions_BLNoRes!AD$5,$AM16,0)))</f>
        <v>16706.234877586365</v>
      </c>
      <c r="AE16" s="314">
        <f ca="1">IF($B$4=0,OFFSET(StateModDepletions_BL!AE$5,$AM16,0),IF($B$4=1,OFFSET(StateModDepletions_BLNoRes!AE$5,$AM16,0)))</f>
        <v>107768.87129013985</v>
      </c>
      <c r="AF16" s="314">
        <f ca="1">IF($B$4=0,OFFSET(StateModDepletions_BL!AF$5,$AM16,0),IF($B$4=1,OFFSET(StateModDepletions_BLNoRes!AF$5,$AM16,0)))</f>
        <v>18254.208867199715</v>
      </c>
      <c r="AG16" s="314">
        <f ca="1">IF($B$4=0,OFFSET(StateModDepletions_BL!AG$5,$AM16,0),IF($B$4=1,OFFSET(StateModDepletions_BLNoRes!AG$5,$AM16,0)))</f>
        <v>36127.176998509545</v>
      </c>
      <c r="AH16" s="314">
        <f ca="1">IF($B$4=0,OFFSET(StateModDepletions_BL!AH$5,$AM16,0),IF($B$4=1,OFFSET(StateModDepletions_BLNoRes!AH$5,$AM16,0)))</f>
        <v>10718.656040413305</v>
      </c>
      <c r="AI16" s="314">
        <f ca="1">IF($B$4=0,OFFSET(StateModDepletions_BL!AI$5,$AM16,0),IF($B$4=1,OFFSET(StateModDepletions_BLNoRes!AI$5,$AM16,0)))</f>
        <v>11813.428537775359</v>
      </c>
      <c r="AJ16" s="315">
        <f ca="1">IF($B$4=0,OFFSET(StateModDepletions_BL!AJ$5,$AM16,0),IF($B$4=1,OFFSET(StateModDepletions_BLNoRes!AJ$5,$AM16,0)))</f>
        <v>151838.30698001728</v>
      </c>
      <c r="AK16" s="519">
        <f t="shared" si="4"/>
        <v>11</v>
      </c>
      <c r="AL16" s="519">
        <f t="shared" si="5"/>
        <v>1939</v>
      </c>
      <c r="AM16" s="519">
        <f>MATCH($AL16,StateModDepletions_BL!$A$6:$A$90,0)</f>
        <v>11</v>
      </c>
    </row>
    <row r="17" spans="1:39" x14ac:dyDescent="0.25">
      <c r="A17" s="519">
        <f t="shared" si="3"/>
        <v>1940</v>
      </c>
      <c r="B17" s="311">
        <f ca="1">IF($B$4=0,OFFSET(StateModDepletions_BL!B$5,$AM17,0),IF($B$4=1,OFFSET(StateModDepletions_BLNoRes!B$5,$AM17,0)))</f>
        <v>30405.878153577447</v>
      </c>
      <c r="C17" s="312">
        <f ca="1">IF($B$4=0,OFFSET(StateModDepletions_BL!C$5,$AM17,0),IF($B$4=1,OFFSET(StateModDepletions_BLNoRes!C$5,$AM17,0)))</f>
        <v>1026.0025346279144</v>
      </c>
      <c r="D17" s="312">
        <f ca="1">IF($B$4=0,OFFSET(StateModDepletions_BL!D$5,$AM17,0),IF($B$4=1,OFFSET(StateModDepletions_BLNoRes!D$5,$AM17,0)))</f>
        <v>61261.331787109375</v>
      </c>
      <c r="E17" s="312">
        <f ca="1">IF($B$4=0,OFFSET(StateModDepletions_BL!E$5,$AM17,0),IF($B$4=1,OFFSET(StateModDepletions_BLNoRes!E$5,$AM17,0)))</f>
        <v>2810.7051087617874</v>
      </c>
      <c r="F17" s="312">
        <f ca="1">IF($B$4=0,OFFSET(StateModDepletions_BL!F$5,$AM17,0),IF($B$4=1,OFFSET(StateModDepletions_BLNoRes!F$5,$AM17,0)))</f>
        <v>14634.824818879366</v>
      </c>
      <c r="G17" s="312">
        <f ca="1">IF($B$4=0,OFFSET(StateModDepletions_BL!G$5,$AM17,0),IF($B$4=1,OFFSET(StateModDepletions_BLNoRes!G$5,$AM17,0)))</f>
        <v>2036.5992698669434</v>
      </c>
      <c r="H17" s="312">
        <f ca="1">IF($B$4=0,OFFSET(StateModDepletions_BL!H$5,$AM17,0),IF($B$4=1,OFFSET(StateModDepletions_BLNoRes!H$5,$AM17,0)))</f>
        <v>2838.8627778291702</v>
      </c>
      <c r="I17" s="312">
        <f ca="1">IF($B$4=0,OFFSET(StateModDepletions_BL!I$5,$AM17,0),IF($B$4=1,OFFSET(StateModDepletions_BLNoRes!I$5,$AM17,0)))</f>
        <v>103161.08246788383</v>
      </c>
      <c r="J17" s="312">
        <f ca="1">IF($B$4=0,OFFSET(StateModDepletions_BL!J$5,$AM17,0),IF($B$4=1,OFFSET(StateModDepletions_BLNoRes!J$5,$AM17,0)))</f>
        <v>2195.3055093288422</v>
      </c>
      <c r="K17" s="312">
        <f ca="1">IF($B$4=0,OFFSET(StateModDepletions_BL!K$5,$AM17,0),IF($B$4=1,OFFSET(StateModDepletions_BLNoRes!K$5,$AM17,0)))</f>
        <v>19116.242594718933</v>
      </c>
      <c r="L17" s="312">
        <f ca="1">IF($B$4=0,OFFSET(StateModDepletions_BL!L$5,$AM17,0),IF($B$4=1,OFFSET(StateModDepletions_BLNoRes!L$5,$AM17,0)))</f>
        <v>16539.587585002162</v>
      </c>
      <c r="M17" s="312">
        <f ca="1">IF($B$4=0,OFFSET(StateModDepletions_BL!M$5,$AM17,0),IF($B$4=1,OFFSET(StateModDepletions_BLNoRes!M$5,$AM17,0)))</f>
        <v>1383.2634892463684</v>
      </c>
      <c r="N17" s="312">
        <f ca="1">IF($B$4=0,OFFSET(StateModDepletions_BL!N$5,$AM17,0),IF($B$4=1,OFFSET(StateModDepletions_BLNoRes!N$5,$AM17,0)))</f>
        <v>1326.6977829933167</v>
      </c>
      <c r="O17" s="312">
        <f ca="1">IF($B$4=0,OFFSET(StateModDepletions_BL!O$5,$AM17,0),IF($B$4=1,OFFSET(StateModDepletions_BLNoRes!O$5,$AM17,0)))</f>
        <v>25820.400998918787</v>
      </c>
      <c r="P17" s="312">
        <f ca="1">IF($B$4=0,OFFSET(StateModDepletions_BL!P$5,$AM17,0),IF($B$4=1,OFFSET(StateModDepletions_BLNoRes!P$5,$AM17,0)))</f>
        <v>304.02299833297729</v>
      </c>
      <c r="Q17" s="312">
        <f ca="1">IF($B$4=0,OFFSET(StateModDepletions_BL!Q$5,$AM17,0),IF($B$4=1,OFFSET(StateModDepletions_BLNoRes!Q$5,$AM17,0)))</f>
        <v>12505.363113299012</v>
      </c>
      <c r="R17" s="312">
        <f ca="1">IF($B$4=0,OFFSET(StateModDepletions_BL!R$5,$AM17,0),IF($B$4=1,OFFSET(StateModDepletions_BLNoRes!R$5,$AM17,0)))</f>
        <v>598.83215999603271</v>
      </c>
      <c r="S17" s="312">
        <f ca="1">IF($B$4=0,OFFSET(StateModDepletions_BL!S$5,$AM17,0),IF($B$4=1,OFFSET(StateModDepletions_BLNoRes!S$5,$AM17,0)))</f>
        <v>0</v>
      </c>
      <c r="T17" s="312">
        <f ca="1">IF($B$4=0,OFFSET(StateModDepletions_BL!T$5,$AM17,0),IF($B$4=1,OFFSET(StateModDepletions_BLNoRes!T$5,$AM17,0)))</f>
        <v>13097.64510184236</v>
      </c>
      <c r="U17" s="312">
        <f ca="1">IF($B$4=0,OFFSET(StateModDepletions_BL!U$5,$AM17,0),IF($B$4=1,OFFSET(StateModDepletions_BLNoRes!U$5,$AM17,0)))</f>
        <v>1427.7170102946402</v>
      </c>
      <c r="V17" s="312">
        <f ca="1">IF($B$4=0,OFFSET(StateModDepletions_BL!V$5,$AM17,0),IF($B$4=1,OFFSET(StateModDepletions_BLNoRes!V$5,$AM17,0)))</f>
        <v>10779.196904182434</v>
      </c>
      <c r="W17" s="312">
        <f ca="1">IF($B$4=0,OFFSET(StateModDepletions_BL!W$5,$AM17,0),IF($B$4=1,OFFSET(StateModDepletions_BLNoRes!W$5,$AM17,0)))</f>
        <v>140122.96889368043</v>
      </c>
      <c r="X17" s="312">
        <f ca="1">IF($B$4=0,OFFSET(StateModDepletions_BL!X$5,$AM17,0),IF($B$4=1,OFFSET(StateModDepletions_BLNoRes!X$5,$AM17,0)))</f>
        <v>5783.2685486935079</v>
      </c>
      <c r="Y17" s="312">
        <f ca="1">IF($B$4=0,OFFSET(StateModDepletions_BL!Y$5,$AM17,0),IF($B$4=1,OFFSET(StateModDepletions_BLNoRes!Y$5,$AM17,0)))</f>
        <v>212.11356273293495</v>
      </c>
      <c r="Z17" s="312">
        <f ca="1">IF($B$4=0,OFFSET(StateModDepletions_BL!Z$5,$AM17,0),IF($B$4=1,OFFSET(StateModDepletions_BLNoRes!Z$5,$AM17,0)))</f>
        <v>236940.86011624336</v>
      </c>
      <c r="AA17" s="313">
        <f ca="1">IF($B$4=0,OFFSET(StateModDepletions_BL!AA$5,$AM17,0),IF($B$4=1,OFFSET(StateModDepletions_BLNoRes!AA$5,$AM17,0)))</f>
        <v>90822.509111136489</v>
      </c>
      <c r="AB17" s="314">
        <f ca="1">IF($B$4=0,OFFSET(StateModDepletions_BL!AB$5,$AM17,0),IF($B$4=1,OFFSET(StateModDepletions_BLNoRes!AB$5,$AM17,0)))</f>
        <v>24765.810481309891</v>
      </c>
      <c r="AC17" s="314">
        <f ca="1">IF($B$4=0,OFFSET(StateModDepletions_BL!AC$5,$AM17,0),IF($B$4=1,OFFSET(StateModDepletions_BLNoRes!AC$5,$AM17,0)))</f>
        <v>31431.880688205361</v>
      </c>
      <c r="AD17" s="314">
        <f ca="1">IF($B$4=0,OFFSET(StateModDepletions_BL!AD$5,$AM17,0),IF($B$4=1,OFFSET(StateModDepletions_BLNoRes!AD$5,$AM17,0)))</f>
        <v>16671.424088746309</v>
      </c>
      <c r="AE17" s="314">
        <f ca="1">IF($B$4=0,OFFSET(StateModDepletions_BL!AE$5,$AM17,0),IF($B$4=1,OFFSET(StateModDepletions_BLNoRes!AE$5,$AM17,0)))</f>
        <v>105356.38797721267</v>
      </c>
      <c r="AF17" s="314">
        <f ca="1">IF($B$4=0,OFFSET(StateModDepletions_BL!AF$5,$AM17,0),IF($B$4=1,OFFSET(StateModDepletions_BLNoRes!AF$5,$AM17,0)))</f>
        <v>17922.85107424853</v>
      </c>
      <c r="AG17" s="314">
        <f ca="1">IF($B$4=0,OFFSET(StateModDepletions_BL!AG$5,$AM17,0),IF($B$4=1,OFFSET(StateModDepletions_BLNoRes!AG$5,$AM17,0)))</f>
        <v>26124.423997251764</v>
      </c>
      <c r="AH17" s="314">
        <f ca="1">IF($B$4=0,OFFSET(StateModDepletions_BL!AH$5,$AM17,0),IF($B$4=1,OFFSET(StateModDepletions_BLNoRes!AH$5,$AM17,0)))</f>
        <v>13104.195273295045</v>
      </c>
      <c r="AI17" s="314">
        <f ca="1">IF($B$4=0,OFFSET(StateModDepletions_BL!AI$5,$AM17,0),IF($B$4=1,OFFSET(StateModDepletions_BLNoRes!AI$5,$AM17,0)))</f>
        <v>14525.362112137</v>
      </c>
      <c r="AJ17" s="315">
        <f ca="1">IF($B$4=0,OFFSET(StateModDepletions_BL!AJ$5,$AM17,0),IF($B$4=1,OFFSET(StateModDepletions_BLNoRes!AJ$5,$AM17,0)))</f>
        <v>145906.23744237394</v>
      </c>
      <c r="AK17" s="519">
        <f t="shared" si="4"/>
        <v>12</v>
      </c>
      <c r="AL17" s="519">
        <f t="shared" si="5"/>
        <v>1940</v>
      </c>
      <c r="AM17" s="519">
        <f>MATCH($AL17,StateModDepletions_BL!$A$6:$A$90,0)</f>
        <v>12</v>
      </c>
    </row>
    <row r="18" spans="1:39" x14ac:dyDescent="0.25">
      <c r="A18" s="519">
        <f t="shared" si="3"/>
        <v>1941</v>
      </c>
      <c r="B18" s="311">
        <f ca="1">IF($B$4=0,OFFSET(StateModDepletions_BL!B$5,$AM18,0),IF($B$4=1,OFFSET(StateModDepletions_BLNoRes!B$5,$AM18,0)))</f>
        <v>31206.435624666512</v>
      </c>
      <c r="C18" s="312">
        <f ca="1">IF($B$4=0,OFFSET(StateModDepletions_BL!C$5,$AM18,0),IF($B$4=1,OFFSET(StateModDepletions_BLNoRes!C$5,$AM18,0)))</f>
        <v>1026.0025346279144</v>
      </c>
      <c r="D18" s="312">
        <f ca="1">IF($B$4=0,OFFSET(StateModDepletions_BL!D$5,$AM18,0),IF($B$4=1,OFFSET(StateModDepletions_BLNoRes!D$5,$AM18,0)))</f>
        <v>174052.20443725586</v>
      </c>
      <c r="E18" s="312">
        <f ca="1">IF($B$4=0,OFFSET(StateModDepletions_BL!E$5,$AM18,0),IF($B$4=1,OFFSET(StateModDepletions_BLNoRes!E$5,$AM18,0)))</f>
        <v>2810.7051087617874</v>
      </c>
      <c r="F18" s="312">
        <f ca="1">IF($B$4=0,OFFSET(StateModDepletions_BL!F$5,$AM18,0),IF($B$4=1,OFFSET(StateModDepletions_BLNoRes!F$5,$AM18,0)))</f>
        <v>15363.179380513728</v>
      </c>
      <c r="G18" s="312">
        <f ca="1">IF($B$4=0,OFFSET(StateModDepletions_BL!G$5,$AM18,0),IF($B$4=1,OFFSET(StateModDepletions_BLNoRes!G$5,$AM18,0)))</f>
        <v>2036.5992698669434</v>
      </c>
      <c r="H18" s="312">
        <f ca="1">IF($B$4=0,OFFSET(StateModDepletions_BL!H$5,$AM18,0),IF($B$4=1,OFFSET(StateModDepletions_BLNoRes!H$5,$AM18,0)))</f>
        <v>2838.8627778291702</v>
      </c>
      <c r="I18" s="312">
        <f ca="1">IF($B$4=0,OFFSET(StateModDepletions_BL!I$5,$AM18,0),IF($B$4=1,OFFSET(StateModDepletions_BLNoRes!I$5,$AM18,0)))</f>
        <v>99464.53553648293</v>
      </c>
      <c r="J18" s="312">
        <f ca="1">IF($B$4=0,OFFSET(StateModDepletions_BL!J$5,$AM18,0),IF($B$4=1,OFFSET(StateModDepletions_BLNoRes!J$5,$AM18,0)))</f>
        <v>2696.029901266098</v>
      </c>
      <c r="K18" s="312">
        <f ca="1">IF($B$4=0,OFFSET(StateModDepletions_BL!K$5,$AM18,0),IF($B$4=1,OFFSET(StateModDepletions_BLNoRes!K$5,$AM18,0)))</f>
        <v>19116.242594718933</v>
      </c>
      <c r="L18" s="312">
        <f ca="1">IF($B$4=0,OFFSET(StateModDepletions_BL!L$5,$AM18,0),IF($B$4=1,OFFSET(StateModDepletions_BLNoRes!L$5,$AM18,0)))</f>
        <v>15289.431476078913</v>
      </c>
      <c r="M18" s="312">
        <f ca="1">IF($B$4=0,OFFSET(StateModDepletions_BL!M$5,$AM18,0),IF($B$4=1,OFFSET(StateModDepletions_BLNoRes!M$5,$AM18,0)))</f>
        <v>1391.8434882164001</v>
      </c>
      <c r="N18" s="312">
        <f ca="1">IF($B$4=0,OFFSET(StateModDepletions_BL!N$5,$AM18,0),IF($B$4=1,OFFSET(StateModDepletions_BLNoRes!N$5,$AM18,0)))</f>
        <v>1326.6977829933167</v>
      </c>
      <c r="O18" s="312">
        <f ca="1">IF($B$4=0,OFFSET(StateModDepletions_BL!O$5,$AM18,0),IF($B$4=1,OFFSET(StateModDepletions_BLNoRes!O$5,$AM18,0)))</f>
        <v>44993.028248576898</v>
      </c>
      <c r="P18" s="312">
        <f ca="1">IF($B$4=0,OFFSET(StateModDepletions_BL!P$5,$AM18,0),IF($B$4=1,OFFSET(StateModDepletions_BLNoRes!P$5,$AM18,0)))</f>
        <v>491.40815997123718</v>
      </c>
      <c r="Q18" s="312">
        <f ca="1">IF($B$4=0,OFFSET(StateModDepletions_BL!Q$5,$AM18,0),IF($B$4=1,OFFSET(StateModDepletions_BLNoRes!Q$5,$AM18,0)))</f>
        <v>22743.308371309191</v>
      </c>
      <c r="R18" s="312">
        <f ca="1">IF($B$4=0,OFFSET(StateModDepletions_BL!R$5,$AM18,0),IF($B$4=1,OFFSET(StateModDepletions_BLNoRes!R$5,$AM18,0)))</f>
        <v>598.83215999603271</v>
      </c>
      <c r="S18" s="312">
        <f ca="1">IF($B$4=0,OFFSET(StateModDepletions_BL!S$5,$AM18,0),IF($B$4=1,OFFSET(StateModDepletions_BLNoRes!S$5,$AM18,0)))</f>
        <v>0</v>
      </c>
      <c r="T18" s="312">
        <f ca="1">IF($B$4=0,OFFSET(StateModDepletions_BL!T$5,$AM18,0),IF($B$4=1,OFFSET(StateModDepletions_BLNoRes!T$5,$AM18,0)))</f>
        <v>26583.626140549408</v>
      </c>
      <c r="U18" s="312">
        <f ca="1">IF($B$4=0,OFFSET(StateModDepletions_BL!U$5,$AM18,0),IF($B$4=1,OFFSET(StateModDepletions_BLNoRes!U$5,$AM18,0)))</f>
        <v>1520.2035915715915</v>
      </c>
      <c r="V18" s="312">
        <f ca="1">IF($B$4=0,OFFSET(StateModDepletions_BL!V$5,$AM18,0),IF($B$4=1,OFFSET(StateModDepletions_BLNoRes!V$5,$AM18,0)))</f>
        <v>17656.200043678284</v>
      </c>
      <c r="W18" s="312">
        <f ca="1">IF($B$4=0,OFFSET(StateModDepletions_BL!W$5,$AM18,0),IF($B$4=1,OFFSET(StateModDepletions_BLNoRes!W$5,$AM18,0)))</f>
        <v>123661.31728747829</v>
      </c>
      <c r="X18" s="312">
        <f ca="1">IF($B$4=0,OFFSET(StateModDepletions_BL!X$5,$AM18,0),IF($B$4=1,OFFSET(StateModDepletions_BLNoRes!X$5,$AM18,0)))</f>
        <v>5923.695550389335</v>
      </c>
      <c r="Y18" s="312">
        <f ca="1">IF($B$4=0,OFFSET(StateModDepletions_BL!Y$5,$AM18,0),IF($B$4=1,OFFSET(StateModDepletions_BLNoRes!Y$5,$AM18,0)))</f>
        <v>212.11356273293495</v>
      </c>
      <c r="Z18" s="312">
        <f ca="1">IF($B$4=0,OFFSET(StateModDepletions_BL!Z$5,$AM18,0),IF($B$4=1,OFFSET(StateModDepletions_BLNoRes!Z$5,$AM18,0)))</f>
        <v>196432.67501354218</v>
      </c>
      <c r="AA18" s="313">
        <f ca="1">IF($B$4=0,OFFSET(StateModDepletions_BL!AA$5,$AM18,0),IF($B$4=1,OFFSET(StateModDepletions_BLNoRes!AA$5,$AM18,0)))</f>
        <v>66635.548612941609</v>
      </c>
      <c r="AB18" s="314">
        <f ca="1">IF($B$4=0,OFFSET(StateModDepletions_BL!AB$5,$AM18,0),IF($B$4=1,OFFSET(StateModDepletions_BLNoRes!AB$5,$AM18,0)))</f>
        <v>24765.810481309891</v>
      </c>
      <c r="AC18" s="314">
        <f ca="1">IF($B$4=0,OFFSET(StateModDepletions_BL!AC$5,$AM18,0),IF($B$4=1,OFFSET(StateModDepletions_BLNoRes!AC$5,$AM18,0)))</f>
        <v>32232.438159294426</v>
      </c>
      <c r="AD18" s="314">
        <f ca="1">IF($B$4=0,OFFSET(StateModDepletions_BL!AD$5,$AM18,0),IF($B$4=1,OFFSET(StateModDepletions_BLNoRes!AD$5,$AM18,0)))</f>
        <v>17399.778650380671</v>
      </c>
      <c r="AE18" s="314">
        <f ca="1">IF($B$4=0,OFFSET(StateModDepletions_BL!AE$5,$AM18,0),IF($B$4=1,OFFSET(StateModDepletions_BLNoRes!AE$5,$AM18,0)))</f>
        <v>102160.56543774903</v>
      </c>
      <c r="AF18" s="314">
        <f ca="1">IF($B$4=0,OFFSET(StateModDepletions_BL!AF$5,$AM18,0),IF($B$4=1,OFFSET(StateModDepletions_BLNoRes!AF$5,$AM18,0)))</f>
        <v>16681.274964295313</v>
      </c>
      <c r="AG18" s="314">
        <f ca="1">IF($B$4=0,OFFSET(StateModDepletions_BL!AG$5,$AM18,0),IF($B$4=1,OFFSET(StateModDepletions_BLNoRes!AG$5,$AM18,0)))</f>
        <v>45484.436408548136</v>
      </c>
      <c r="AH18" s="314">
        <f ca="1">IF($B$4=0,OFFSET(StateModDepletions_BL!AH$5,$AM18,0),IF($B$4=1,OFFSET(StateModDepletions_BLNoRes!AH$5,$AM18,0)))</f>
        <v>23342.140531305224</v>
      </c>
      <c r="AI18" s="314">
        <f ca="1">IF($B$4=0,OFFSET(StateModDepletions_BL!AI$5,$AM18,0),IF($B$4=1,OFFSET(StateModDepletions_BLNoRes!AI$5,$AM18,0)))</f>
        <v>28103.829732120998</v>
      </c>
      <c r="AJ18" s="315">
        <f ca="1">IF($B$4=0,OFFSET(StateModDepletions_BL!AJ$5,$AM18,0),IF($B$4=1,OFFSET(StateModDepletions_BLNoRes!AJ$5,$AM18,0)))</f>
        <v>129585.01283786763</v>
      </c>
      <c r="AK18" s="519">
        <f t="shared" si="4"/>
        <v>13</v>
      </c>
      <c r="AL18" s="519">
        <f t="shared" si="5"/>
        <v>1941</v>
      </c>
      <c r="AM18" s="519">
        <f>MATCH($AL18,StateModDepletions_BL!$A$6:$A$90,0)</f>
        <v>13</v>
      </c>
    </row>
    <row r="19" spans="1:39" x14ac:dyDescent="0.25">
      <c r="A19" s="519">
        <f t="shared" si="3"/>
        <v>1942</v>
      </c>
      <c r="B19" s="311">
        <f ca="1">IF($B$4=0,OFFSET(StateModDepletions_BL!B$5,$AM19,0),IF($B$4=1,OFFSET(StateModDepletions_BLNoRes!B$5,$AM19,0)))</f>
        <v>32597.227653935552</v>
      </c>
      <c r="C19" s="312">
        <f ca="1">IF($B$4=0,OFFSET(StateModDepletions_BL!C$5,$AM19,0),IF($B$4=1,OFFSET(StateModDepletions_BLNoRes!C$5,$AM19,0)))</f>
        <v>1026.0025346279144</v>
      </c>
      <c r="D19" s="312">
        <f ca="1">IF($B$4=0,OFFSET(StateModDepletions_BL!D$5,$AM19,0),IF($B$4=1,OFFSET(StateModDepletions_BLNoRes!D$5,$AM19,0)))</f>
        <v>84394.242469787598</v>
      </c>
      <c r="E19" s="312">
        <f ca="1">IF($B$4=0,OFFSET(StateModDepletions_BL!E$5,$AM19,0),IF($B$4=1,OFFSET(StateModDepletions_BLNoRes!E$5,$AM19,0)))</f>
        <v>2810.7051087617874</v>
      </c>
      <c r="F19" s="312">
        <f ca="1">IF($B$4=0,OFFSET(StateModDepletions_BL!F$5,$AM19,0),IF($B$4=1,OFFSET(StateModDepletions_BLNoRes!F$5,$AM19,0)))</f>
        <v>15797.90575915575</v>
      </c>
      <c r="G19" s="312">
        <f ca="1">IF($B$4=0,OFFSET(StateModDepletions_BL!G$5,$AM19,0),IF($B$4=1,OFFSET(StateModDepletions_BLNoRes!G$5,$AM19,0)))</f>
        <v>2036.5992698669434</v>
      </c>
      <c r="H19" s="312">
        <f ca="1">IF($B$4=0,OFFSET(StateModDepletions_BL!H$5,$AM19,0),IF($B$4=1,OFFSET(StateModDepletions_BLNoRes!H$5,$AM19,0)))</f>
        <v>2838.8627778291702</v>
      </c>
      <c r="I19" s="312">
        <f ca="1">IF($B$4=0,OFFSET(StateModDepletions_BL!I$5,$AM19,0),IF($B$4=1,OFFSET(StateModDepletions_BLNoRes!I$5,$AM19,0)))</f>
        <v>105525.08542947099</v>
      </c>
      <c r="J19" s="312">
        <f ca="1">IF($B$4=0,OFFSET(StateModDepletions_BL!J$5,$AM19,0),IF($B$4=1,OFFSET(StateModDepletions_BLNoRes!J$5,$AM19,0)))</f>
        <v>2340.2237832546234</v>
      </c>
      <c r="K19" s="312">
        <f ca="1">IF($B$4=0,OFFSET(StateModDepletions_BL!K$5,$AM19,0),IF($B$4=1,OFFSET(StateModDepletions_BLNoRes!K$5,$AM19,0)))</f>
        <v>19116.242594718933</v>
      </c>
      <c r="L19" s="312">
        <f ca="1">IF($B$4=0,OFFSET(StateModDepletions_BL!L$5,$AM19,0),IF($B$4=1,OFFSET(StateModDepletions_BLNoRes!L$5,$AM19,0)))</f>
        <v>16587.044126242396</v>
      </c>
      <c r="M19" s="312">
        <f ca="1">IF($B$4=0,OFFSET(StateModDepletions_BL!M$5,$AM19,0),IF($B$4=1,OFFSET(StateModDepletions_BLNoRes!M$5,$AM19,0)))</f>
        <v>1438.5394735336304</v>
      </c>
      <c r="N19" s="312">
        <f ca="1">IF($B$4=0,OFFSET(StateModDepletions_BL!N$5,$AM19,0),IF($B$4=1,OFFSET(StateModDepletions_BLNoRes!N$5,$AM19,0)))</f>
        <v>1326.6977829933167</v>
      </c>
      <c r="O19" s="312">
        <f ca="1">IF($B$4=0,OFFSET(StateModDepletions_BL!O$5,$AM19,0),IF($B$4=1,OFFSET(StateModDepletions_BLNoRes!O$5,$AM19,0)))</f>
        <v>48036.574380560298</v>
      </c>
      <c r="P19" s="312">
        <f ca="1">IF($B$4=0,OFFSET(StateModDepletions_BL!P$5,$AM19,0),IF($B$4=1,OFFSET(StateModDepletions_BLNoRes!P$5,$AM19,0)))</f>
        <v>536.64314937591553</v>
      </c>
      <c r="Q19" s="312">
        <f ca="1">IF($B$4=0,OFFSET(StateModDepletions_BL!Q$5,$AM19,0),IF($B$4=1,OFFSET(StateModDepletions_BLNoRes!Q$5,$AM19,0)))</f>
        <v>16021.009150348604</v>
      </c>
      <c r="R19" s="312">
        <f ca="1">IF($B$4=0,OFFSET(StateModDepletions_BL!R$5,$AM19,0),IF($B$4=1,OFFSET(StateModDepletions_BLNoRes!R$5,$AM19,0)))</f>
        <v>598.83215999603271</v>
      </c>
      <c r="S19" s="312">
        <f ca="1">IF($B$4=0,OFFSET(StateModDepletions_BL!S$5,$AM19,0),IF($B$4=1,OFFSET(StateModDepletions_BLNoRes!S$5,$AM19,0)))</f>
        <v>0</v>
      </c>
      <c r="T19" s="312">
        <f ca="1">IF($B$4=0,OFFSET(StateModDepletions_BL!T$5,$AM19,0),IF($B$4=1,OFFSET(StateModDepletions_BLNoRes!T$5,$AM19,0)))</f>
        <v>21853.137876832858</v>
      </c>
      <c r="U19" s="312">
        <f ca="1">IF($B$4=0,OFFSET(StateModDepletions_BL!U$5,$AM19,0),IF($B$4=1,OFFSET(StateModDepletions_BLNoRes!U$5,$AM19,0)))</f>
        <v>1546.9785040766001</v>
      </c>
      <c r="V19" s="312">
        <f ca="1">IF($B$4=0,OFFSET(StateModDepletions_BL!V$5,$AM19,0),IF($B$4=1,OFFSET(StateModDepletions_BLNoRes!V$5,$AM19,0)))</f>
        <v>13305.691897392273</v>
      </c>
      <c r="W19" s="312">
        <f ca="1">IF($B$4=0,OFFSET(StateModDepletions_BL!W$5,$AM19,0),IF($B$4=1,OFFSET(StateModDepletions_BLNoRes!W$5,$AM19,0)))</f>
        <v>131219.13296079979</v>
      </c>
      <c r="X19" s="312">
        <f ca="1">IF($B$4=0,OFFSET(StateModDepletions_BL!X$5,$AM19,0),IF($B$4=1,OFFSET(StateModDepletions_BLNoRes!X$5,$AM19,0)))</f>
        <v>5956.0490202382207</v>
      </c>
      <c r="Y19" s="312">
        <f ca="1">IF($B$4=0,OFFSET(StateModDepletions_BL!Y$5,$AM19,0),IF($B$4=1,OFFSET(StateModDepletions_BLNoRes!Y$5,$AM19,0)))</f>
        <v>212.11356273293495</v>
      </c>
      <c r="Z19" s="312">
        <f ca="1">IF($B$4=0,OFFSET(StateModDepletions_BL!Z$5,$AM19,0),IF($B$4=1,OFFSET(StateModDepletions_BLNoRes!Z$5,$AM19,0)))</f>
        <v>187064.6359872818</v>
      </c>
      <c r="AA19" s="313">
        <f ca="1">IF($B$4=0,OFFSET(StateModDepletions_BL!AA$5,$AM19,0),IF($B$4=1,OFFSET(StateModDepletions_BLNoRes!AA$5,$AM19,0)))</f>
        <v>49677.340443510853</v>
      </c>
      <c r="AB19" s="314">
        <f ca="1">IF($B$4=0,OFFSET(StateModDepletions_BL!AB$5,$AM19,0),IF($B$4=1,OFFSET(StateModDepletions_BLNoRes!AB$5,$AM19,0)))</f>
        <v>24765.810481309891</v>
      </c>
      <c r="AC19" s="314">
        <f ca="1">IF($B$4=0,OFFSET(StateModDepletions_BL!AC$5,$AM19,0),IF($B$4=1,OFFSET(StateModDepletions_BLNoRes!AC$5,$AM19,0)))</f>
        <v>33623.230188563466</v>
      </c>
      <c r="AD19" s="314">
        <f ca="1">IF($B$4=0,OFFSET(StateModDepletions_BL!AD$5,$AM19,0),IF($B$4=1,OFFSET(StateModDepletions_BLNoRes!AD$5,$AM19,0)))</f>
        <v>17834.505029022694</v>
      </c>
      <c r="AE19" s="314">
        <f ca="1">IF($B$4=0,OFFSET(StateModDepletions_BL!AE$5,$AM19,0),IF($B$4=1,OFFSET(StateModDepletions_BLNoRes!AE$5,$AM19,0)))</f>
        <v>107865.30921272561</v>
      </c>
      <c r="AF19" s="314">
        <f ca="1">IF($B$4=0,OFFSET(StateModDepletions_BL!AF$5,$AM19,0),IF($B$4=1,OFFSET(StateModDepletions_BLNoRes!AF$5,$AM19,0)))</f>
        <v>18025.583599776026</v>
      </c>
      <c r="AG19" s="314">
        <f ca="1">IF($B$4=0,OFFSET(StateModDepletions_BL!AG$5,$AM19,0),IF($B$4=1,OFFSET(StateModDepletions_BLNoRes!AG$5,$AM19,0)))</f>
        <v>48573.217529936213</v>
      </c>
      <c r="AH19" s="314">
        <f ca="1">IF($B$4=0,OFFSET(StateModDepletions_BL!AH$5,$AM19,0),IF($B$4=1,OFFSET(StateModDepletions_BLNoRes!AH$5,$AM19,0)))</f>
        <v>16619.841310344636</v>
      </c>
      <c r="AI19" s="314">
        <f ca="1">IF($B$4=0,OFFSET(StateModDepletions_BL!AI$5,$AM19,0),IF($B$4=1,OFFSET(StateModDepletions_BLNoRes!AI$5,$AM19,0)))</f>
        <v>23400.116380909458</v>
      </c>
      <c r="AJ19" s="315">
        <f ca="1">IF($B$4=0,OFFSET(StateModDepletions_BL!AJ$5,$AM19,0),IF($B$4=1,OFFSET(StateModDepletions_BLNoRes!AJ$5,$AM19,0)))</f>
        <v>137175.18198103801</v>
      </c>
      <c r="AK19" s="519">
        <f t="shared" si="4"/>
        <v>14</v>
      </c>
      <c r="AL19" s="519">
        <f t="shared" si="5"/>
        <v>1942</v>
      </c>
      <c r="AM19" s="519">
        <f>MATCH($AL19,StateModDepletions_BL!$A$6:$A$90,0)</f>
        <v>14</v>
      </c>
    </row>
    <row r="20" spans="1:39" x14ac:dyDescent="0.25">
      <c r="A20" s="519">
        <f t="shared" si="3"/>
        <v>1943</v>
      </c>
      <c r="B20" s="311">
        <f ca="1">IF($B$4=0,OFFSET(StateModDepletions_BL!B$5,$AM20,0),IF($B$4=1,OFFSET(StateModDepletions_BLNoRes!B$5,$AM20,0)))</f>
        <v>32832.940780520439</v>
      </c>
      <c r="C20" s="312">
        <f ca="1">IF($B$4=0,OFFSET(StateModDepletions_BL!C$5,$AM20,0),IF($B$4=1,OFFSET(StateModDepletions_BLNoRes!C$5,$AM20,0)))</f>
        <v>1026.0025346279144</v>
      </c>
      <c r="D20" s="312">
        <f ca="1">IF($B$4=0,OFFSET(StateModDepletions_BL!D$5,$AM20,0),IF($B$4=1,OFFSET(StateModDepletions_BLNoRes!D$5,$AM20,0)))</f>
        <v>86204.664123535156</v>
      </c>
      <c r="E20" s="312">
        <f ca="1">IF($B$4=0,OFFSET(StateModDepletions_BL!E$5,$AM20,0),IF($B$4=1,OFFSET(StateModDepletions_BLNoRes!E$5,$AM20,0)))</f>
        <v>2810.7051087617874</v>
      </c>
      <c r="F20" s="312">
        <f ca="1">IF($B$4=0,OFFSET(StateModDepletions_BL!F$5,$AM20,0),IF($B$4=1,OFFSET(StateModDepletions_BLNoRes!F$5,$AM20,0)))</f>
        <v>15923.55750310421</v>
      </c>
      <c r="G20" s="312">
        <f ca="1">IF($B$4=0,OFFSET(StateModDepletions_BL!G$5,$AM20,0),IF($B$4=1,OFFSET(StateModDepletions_BLNoRes!G$5,$AM20,0)))</f>
        <v>2036.5992698669434</v>
      </c>
      <c r="H20" s="312">
        <f ca="1">IF($B$4=0,OFFSET(StateModDepletions_BL!H$5,$AM20,0),IF($B$4=1,OFFSET(StateModDepletions_BLNoRes!H$5,$AM20,0)))</f>
        <v>2838.8627778291702</v>
      </c>
      <c r="I20" s="312">
        <f ca="1">IF($B$4=0,OFFSET(StateModDepletions_BL!I$5,$AM20,0),IF($B$4=1,OFFSET(StateModDepletions_BLNoRes!I$5,$AM20,0)))</f>
        <v>103417.68940995634</v>
      </c>
      <c r="J20" s="312">
        <f ca="1">IF($B$4=0,OFFSET(StateModDepletions_BL!J$5,$AM20,0),IF($B$4=1,OFFSET(StateModDepletions_BLNoRes!J$5,$AM20,0)))</f>
        <v>2069.5491559505463</v>
      </c>
      <c r="K20" s="312">
        <f ca="1">IF($B$4=0,OFFSET(StateModDepletions_BL!K$5,$AM20,0),IF($B$4=1,OFFSET(StateModDepletions_BLNoRes!K$5,$AM20,0)))</f>
        <v>19116.242594718933</v>
      </c>
      <c r="L20" s="312">
        <f ca="1">IF($B$4=0,OFFSET(StateModDepletions_BL!L$5,$AM20,0),IF($B$4=1,OFFSET(StateModDepletions_BLNoRes!L$5,$AM20,0)))</f>
        <v>16152.142779625936</v>
      </c>
      <c r="M20" s="312">
        <f ca="1">IF($B$4=0,OFFSET(StateModDepletions_BL!M$5,$AM20,0),IF($B$4=1,OFFSET(StateModDepletions_BLNoRes!M$5,$AM20,0)))</f>
        <v>1327.573691368103</v>
      </c>
      <c r="N20" s="312">
        <f ca="1">IF($B$4=0,OFFSET(StateModDepletions_BL!N$5,$AM20,0),IF($B$4=1,OFFSET(StateModDepletions_BLNoRes!N$5,$AM20,0)))</f>
        <v>1326.6977829933167</v>
      </c>
      <c r="O20" s="312">
        <f ca="1">IF($B$4=0,OFFSET(StateModDepletions_BL!O$5,$AM20,0),IF($B$4=1,OFFSET(StateModDepletions_BLNoRes!O$5,$AM20,0)))</f>
        <v>39185.36632291969</v>
      </c>
      <c r="P20" s="312">
        <f ca="1">IF($B$4=0,OFFSET(StateModDepletions_BL!P$5,$AM20,0),IF($B$4=1,OFFSET(StateModDepletions_BLNoRes!P$5,$AM20,0)))</f>
        <v>353.72037434577942</v>
      </c>
      <c r="Q20" s="312">
        <f ca="1">IF($B$4=0,OFFSET(StateModDepletions_BL!Q$5,$AM20,0),IF($B$4=1,OFFSET(StateModDepletions_BLNoRes!Q$5,$AM20,0)))</f>
        <v>15592.385706160218</v>
      </c>
      <c r="R20" s="312">
        <f ca="1">IF($B$4=0,OFFSET(StateModDepletions_BL!R$5,$AM20,0),IF($B$4=1,OFFSET(StateModDepletions_BLNoRes!R$5,$AM20,0)))</f>
        <v>598.83215999603271</v>
      </c>
      <c r="S20" s="312">
        <f ca="1">IF($B$4=0,OFFSET(StateModDepletions_BL!S$5,$AM20,0),IF($B$4=1,OFFSET(StateModDepletions_BLNoRes!S$5,$AM20,0)))</f>
        <v>0</v>
      </c>
      <c r="T20" s="312">
        <f ca="1">IF($B$4=0,OFFSET(StateModDepletions_BL!T$5,$AM20,0),IF($B$4=1,OFFSET(StateModDepletions_BLNoRes!T$5,$AM20,0)))</f>
        <v>18262.277140209451</v>
      </c>
      <c r="U20" s="312">
        <f ca="1">IF($B$4=0,OFFSET(StateModDepletions_BL!U$5,$AM20,0),IF($B$4=1,OFFSET(StateModDepletions_BLNoRes!U$5,$AM20,0)))</f>
        <v>1520.0195856690407</v>
      </c>
      <c r="V20" s="312">
        <f ca="1">IF($B$4=0,OFFSET(StateModDepletions_BL!V$5,$AM20,0),IF($B$4=1,OFFSET(StateModDepletions_BLNoRes!V$5,$AM20,0)))</f>
        <v>12683.237570762634</v>
      </c>
      <c r="W20" s="312">
        <f ca="1">IF($B$4=0,OFFSET(StateModDepletions_BL!W$5,$AM20,0),IF($B$4=1,OFFSET(StateModDepletions_BLNoRes!W$5,$AM20,0)))</f>
        <v>132756.965241078</v>
      </c>
      <c r="X20" s="312">
        <f ca="1">IF($B$4=0,OFFSET(StateModDepletions_BL!X$5,$AM20,0),IF($B$4=1,OFFSET(StateModDepletions_BLNoRes!X$5,$AM20,0)))</f>
        <v>5886.5399483889341</v>
      </c>
      <c r="Y20" s="312">
        <f ca="1">IF($B$4=0,OFFSET(StateModDepletions_BL!Y$5,$AM20,0),IF($B$4=1,OFFSET(StateModDepletions_BLNoRes!Y$5,$AM20,0)))</f>
        <v>212.11356273293495</v>
      </c>
      <c r="Z20" s="312">
        <f ca="1">IF($B$4=0,OFFSET(StateModDepletions_BL!Z$5,$AM20,0),IF($B$4=1,OFFSET(StateModDepletions_BLNoRes!Z$5,$AM20,0)))</f>
        <v>209840.0395219326</v>
      </c>
      <c r="AA20" s="313">
        <f ca="1">IF($B$4=0,OFFSET(StateModDepletions_BL!AA$5,$AM20,0),IF($B$4=1,OFFSET(StateModDepletions_BLNoRes!AA$5,$AM20,0)))</f>
        <v>70984.420769732737</v>
      </c>
      <c r="AB20" s="314">
        <f ca="1">IF($B$4=0,OFFSET(StateModDepletions_BL!AB$5,$AM20,0),IF($B$4=1,OFFSET(StateModDepletions_BLNoRes!AB$5,$AM20,0)))</f>
        <v>24765.810481309891</v>
      </c>
      <c r="AC20" s="314">
        <f ca="1">IF($B$4=0,OFFSET(StateModDepletions_BL!AC$5,$AM20,0),IF($B$4=1,OFFSET(StateModDepletions_BLNoRes!AC$5,$AM20,0)))</f>
        <v>33858.943315148354</v>
      </c>
      <c r="AD20" s="314">
        <f ca="1">IF($B$4=0,OFFSET(StateModDepletions_BL!AD$5,$AM20,0),IF($B$4=1,OFFSET(StateModDepletions_BLNoRes!AD$5,$AM20,0)))</f>
        <v>17960.156772971153</v>
      </c>
      <c r="AE20" s="314">
        <f ca="1">IF($B$4=0,OFFSET(StateModDepletions_BL!AE$5,$AM20,0),IF($B$4=1,OFFSET(StateModDepletions_BLNoRes!AE$5,$AM20,0)))</f>
        <v>105487.23856590688</v>
      </c>
      <c r="AF20" s="314">
        <f ca="1">IF($B$4=0,OFFSET(StateModDepletions_BL!AF$5,$AM20,0),IF($B$4=1,OFFSET(StateModDepletions_BLNoRes!AF$5,$AM20,0)))</f>
        <v>17479.716470994041</v>
      </c>
      <c r="AG20" s="314">
        <f ca="1">IF($B$4=0,OFFSET(StateModDepletions_BL!AG$5,$AM20,0),IF($B$4=1,OFFSET(StateModDepletions_BLNoRes!AG$5,$AM20,0)))</f>
        <v>39539.086697265469</v>
      </c>
      <c r="AH20" s="314">
        <f ca="1">IF($B$4=0,OFFSET(StateModDepletions_BL!AH$5,$AM20,0),IF($B$4=1,OFFSET(StateModDepletions_BLNoRes!AH$5,$AM20,0)))</f>
        <v>16191.21786615625</v>
      </c>
      <c r="AI20" s="314">
        <f ca="1">IF($B$4=0,OFFSET(StateModDepletions_BL!AI$5,$AM20,0),IF($B$4=1,OFFSET(StateModDepletions_BLNoRes!AI$5,$AM20,0)))</f>
        <v>19782.296725878492</v>
      </c>
      <c r="AJ20" s="315">
        <f ca="1">IF($B$4=0,OFFSET(StateModDepletions_BL!AJ$5,$AM20,0),IF($B$4=1,OFFSET(StateModDepletions_BLNoRes!AJ$5,$AM20,0)))</f>
        <v>138643.50518946693</v>
      </c>
      <c r="AK20" s="519">
        <f t="shared" si="4"/>
        <v>15</v>
      </c>
      <c r="AL20" s="519">
        <f t="shared" si="5"/>
        <v>1943</v>
      </c>
      <c r="AM20" s="519">
        <f>MATCH($AL20,StateModDepletions_BL!$A$6:$A$90,0)</f>
        <v>15</v>
      </c>
    </row>
    <row r="21" spans="1:39" x14ac:dyDescent="0.25">
      <c r="A21" s="519">
        <f t="shared" si="3"/>
        <v>1944</v>
      </c>
      <c r="B21" s="311">
        <f ca="1">IF($B$4=0,OFFSET(StateModDepletions_BL!B$5,$AM21,0),IF($B$4=1,OFFSET(StateModDepletions_BLNoRes!B$5,$AM21,0)))</f>
        <v>32652.725979708135</v>
      </c>
      <c r="C21" s="312">
        <f ca="1">IF($B$4=0,OFFSET(StateModDepletions_BL!C$5,$AM21,0),IF($B$4=1,OFFSET(StateModDepletions_BLNoRes!C$5,$AM21,0)))</f>
        <v>1026.0025346279144</v>
      </c>
      <c r="D21" s="312">
        <f ca="1">IF($B$4=0,OFFSET(StateModDepletions_BL!D$5,$AM21,0),IF($B$4=1,OFFSET(StateModDepletions_BLNoRes!D$5,$AM21,0)))</f>
        <v>115459.37182617188</v>
      </c>
      <c r="E21" s="312">
        <f ca="1">IF($B$4=0,OFFSET(StateModDepletions_BL!E$5,$AM21,0),IF($B$4=1,OFFSET(StateModDepletions_BLNoRes!E$5,$AM21,0)))</f>
        <v>2810.7051087617874</v>
      </c>
      <c r="F21" s="312">
        <f ca="1">IF($B$4=0,OFFSET(StateModDepletions_BL!F$5,$AM21,0),IF($B$4=1,OFFSET(StateModDepletions_BLNoRes!F$5,$AM21,0)))</f>
        <v>16109.570566866547</v>
      </c>
      <c r="G21" s="312">
        <f ca="1">IF($B$4=0,OFFSET(StateModDepletions_BL!G$5,$AM21,0),IF($B$4=1,OFFSET(StateModDepletions_BLNoRes!G$5,$AM21,0)))</f>
        <v>2036.5992698669434</v>
      </c>
      <c r="H21" s="312">
        <f ca="1">IF($B$4=0,OFFSET(StateModDepletions_BL!H$5,$AM21,0),IF($B$4=1,OFFSET(StateModDepletions_BLNoRes!H$5,$AM21,0)))</f>
        <v>2838.8627778291702</v>
      </c>
      <c r="I21" s="312">
        <f ca="1">IF($B$4=0,OFFSET(StateModDepletions_BL!I$5,$AM21,0),IF($B$4=1,OFFSET(StateModDepletions_BLNoRes!I$5,$AM21,0)))</f>
        <v>105753.9943369329</v>
      </c>
      <c r="J21" s="312">
        <f ca="1">IF($B$4=0,OFFSET(StateModDepletions_BL!J$5,$AM21,0),IF($B$4=1,OFFSET(StateModDepletions_BLNoRes!J$5,$AM21,0)))</f>
        <v>2633.796581029892</v>
      </c>
      <c r="K21" s="312">
        <f ca="1">IF($B$4=0,OFFSET(StateModDepletions_BL!K$5,$AM21,0),IF($B$4=1,OFFSET(StateModDepletions_BLNoRes!K$5,$AM21,0)))</f>
        <v>19116.242594718933</v>
      </c>
      <c r="L21" s="312">
        <f ca="1">IF($B$4=0,OFFSET(StateModDepletions_BL!L$5,$AM21,0),IF($B$4=1,OFFSET(StateModDepletions_BLNoRes!L$5,$AM21,0)))</f>
        <v>16404.109202884138</v>
      </c>
      <c r="M21" s="312">
        <f ca="1">IF($B$4=0,OFFSET(StateModDepletions_BL!M$5,$AM21,0),IF($B$4=1,OFFSET(StateModDepletions_BLNoRes!M$5,$AM21,0)))</f>
        <v>1241.1229095458984</v>
      </c>
      <c r="N21" s="312">
        <f ca="1">IF($B$4=0,OFFSET(StateModDepletions_BL!N$5,$AM21,0),IF($B$4=1,OFFSET(StateModDepletions_BLNoRes!N$5,$AM21,0)))</f>
        <v>1326.6977829933167</v>
      </c>
      <c r="O21" s="312">
        <f ca="1">IF($B$4=0,OFFSET(StateModDepletions_BL!O$5,$AM21,0),IF($B$4=1,OFFSET(StateModDepletions_BLNoRes!O$5,$AM21,0)))</f>
        <v>47568.708298905272</v>
      </c>
      <c r="P21" s="312">
        <f ca="1">IF($B$4=0,OFFSET(StateModDepletions_BL!P$5,$AM21,0),IF($B$4=1,OFFSET(StateModDepletions_BLNoRes!P$5,$AM21,0)))</f>
        <v>498.26240015029907</v>
      </c>
      <c r="Q21" s="312">
        <f ca="1">IF($B$4=0,OFFSET(StateModDepletions_BL!Q$5,$AM21,0),IF($B$4=1,OFFSET(StateModDepletions_BLNoRes!Q$5,$AM21,0)))</f>
        <v>19609.060748584569</v>
      </c>
      <c r="R21" s="312">
        <f ca="1">IF($B$4=0,OFFSET(StateModDepletions_BL!R$5,$AM21,0),IF($B$4=1,OFFSET(StateModDepletions_BLNoRes!R$5,$AM21,0)))</f>
        <v>598.83215999603271</v>
      </c>
      <c r="S21" s="312">
        <f ca="1">IF($B$4=0,OFFSET(StateModDepletions_BL!S$5,$AM21,0),IF($B$4=1,OFFSET(StateModDepletions_BLNoRes!S$5,$AM21,0)))</f>
        <v>0</v>
      </c>
      <c r="T21" s="312">
        <f ca="1">IF($B$4=0,OFFSET(StateModDepletions_BL!T$5,$AM21,0),IF($B$4=1,OFFSET(StateModDepletions_BLNoRes!T$5,$AM21,0)))</f>
        <v>23501.437343109326</v>
      </c>
      <c r="U21" s="312">
        <f ca="1">IF($B$4=0,OFFSET(StateModDepletions_BL!U$5,$AM21,0),IF($B$4=1,OFFSET(StateModDepletions_BLNoRes!U$5,$AM21,0)))</f>
        <v>1555.7476612925529</v>
      </c>
      <c r="V21" s="312">
        <f ca="1">IF($B$4=0,OFFSET(StateModDepletions_BL!V$5,$AM21,0),IF($B$4=1,OFFSET(StateModDepletions_BLNoRes!V$5,$AM21,0)))</f>
        <v>14882.97659778595</v>
      </c>
      <c r="W21" s="312">
        <f ca="1">IF($B$4=0,OFFSET(StateModDepletions_BL!W$5,$AM21,0),IF($B$4=1,OFFSET(StateModDepletions_BLNoRes!W$5,$AM21,0)))</f>
        <v>128702.60688153251</v>
      </c>
      <c r="X21" s="312">
        <f ca="1">IF($B$4=0,OFFSET(StateModDepletions_BL!X$5,$AM21,0),IF($B$4=1,OFFSET(StateModDepletions_BLNoRes!X$5,$AM21,0)))</f>
        <v>5894.1916200630367</v>
      </c>
      <c r="Y21" s="312">
        <f ca="1">IF($B$4=0,OFFSET(StateModDepletions_BL!Y$5,$AM21,0),IF($B$4=1,OFFSET(StateModDepletions_BLNoRes!Y$5,$AM21,0)))</f>
        <v>212.11356273293495</v>
      </c>
      <c r="Z21" s="312">
        <f ca="1">IF($B$4=0,OFFSET(StateModDepletions_BL!Z$5,$AM21,0),IF($B$4=1,OFFSET(StateModDepletions_BLNoRes!Z$5,$AM21,0)))</f>
        <v>210278.97888898849</v>
      </c>
      <c r="AA21" s="313">
        <f ca="1">IF($B$4=0,OFFSET(StateModDepletions_BL!AA$5,$AM21,0),IF($B$4=1,OFFSET(StateModDepletions_BLNoRes!AA$5,$AM21,0)))</f>
        <v>75470.066824660011</v>
      </c>
      <c r="AB21" s="314">
        <f ca="1">IF($B$4=0,OFFSET(StateModDepletions_BL!AB$5,$AM21,0),IF($B$4=1,OFFSET(StateModDepletions_BLNoRes!AB$5,$AM21,0)))</f>
        <v>24765.810481309891</v>
      </c>
      <c r="AC21" s="314">
        <f ca="1">IF($B$4=0,OFFSET(StateModDepletions_BL!AC$5,$AM21,0),IF($B$4=1,OFFSET(StateModDepletions_BLNoRes!AC$5,$AM21,0)))</f>
        <v>33678.72851433605</v>
      </c>
      <c r="AD21" s="314">
        <f ca="1">IF($B$4=0,OFFSET(StateModDepletions_BL!AD$5,$AM21,0),IF($B$4=1,OFFSET(StateModDepletions_BLNoRes!AD$5,$AM21,0)))</f>
        <v>18146.16983673349</v>
      </c>
      <c r="AE21" s="314">
        <f ca="1">IF($B$4=0,OFFSET(StateModDepletions_BL!AE$5,$AM21,0),IF($B$4=1,OFFSET(StateModDepletions_BLNoRes!AE$5,$AM21,0)))</f>
        <v>108387.79091796279</v>
      </c>
      <c r="AF21" s="314">
        <f ca="1">IF($B$4=0,OFFSET(StateModDepletions_BL!AF$5,$AM21,0),IF($B$4=1,OFFSET(StateModDepletions_BLNoRes!AF$5,$AM21,0)))</f>
        <v>17645.232112430036</v>
      </c>
      <c r="AG21" s="314">
        <f ca="1">IF($B$4=0,OFFSET(StateModDepletions_BL!AG$5,$AM21,0),IF($B$4=1,OFFSET(StateModDepletions_BLNoRes!AG$5,$AM21,0)))</f>
        <v>48066.970699055571</v>
      </c>
      <c r="AH21" s="314">
        <f ca="1">IF($B$4=0,OFFSET(StateModDepletions_BL!AH$5,$AM21,0),IF($B$4=1,OFFSET(StateModDepletions_BLNoRes!AH$5,$AM21,0)))</f>
        <v>20207.892908580601</v>
      </c>
      <c r="AI21" s="314">
        <f ca="1">IF($B$4=0,OFFSET(StateModDepletions_BL!AI$5,$AM21,0),IF($B$4=1,OFFSET(StateModDepletions_BLNoRes!AI$5,$AM21,0)))</f>
        <v>25057.185004401879</v>
      </c>
      <c r="AJ21" s="315">
        <f ca="1">IF($B$4=0,OFFSET(StateModDepletions_BL!AJ$5,$AM21,0),IF($B$4=1,OFFSET(StateModDepletions_BLNoRes!AJ$5,$AM21,0)))</f>
        <v>134596.79850159556</v>
      </c>
      <c r="AK21" s="519">
        <f t="shared" si="4"/>
        <v>16</v>
      </c>
      <c r="AL21" s="519">
        <f t="shared" si="5"/>
        <v>1944</v>
      </c>
      <c r="AM21" s="519">
        <f>MATCH($AL21,StateModDepletions_BL!$A$6:$A$90,0)</f>
        <v>16</v>
      </c>
    </row>
    <row r="22" spans="1:39" x14ac:dyDescent="0.25">
      <c r="A22" s="519">
        <f t="shared" si="3"/>
        <v>1945</v>
      </c>
      <c r="B22" s="311">
        <f ca="1">IF($B$4=0,OFFSET(StateModDepletions_BL!B$5,$AM22,0),IF($B$4=1,OFFSET(StateModDepletions_BLNoRes!B$5,$AM22,0)))</f>
        <v>32521.773738659918</v>
      </c>
      <c r="C22" s="312">
        <f ca="1">IF($B$4=0,OFFSET(StateModDepletions_BL!C$5,$AM22,0),IF($B$4=1,OFFSET(StateModDepletions_BLNoRes!C$5,$AM22,0)))</f>
        <v>1026.0025346279144</v>
      </c>
      <c r="D22" s="312">
        <f ca="1">IF($B$4=0,OFFSET(StateModDepletions_BL!D$5,$AM22,0),IF($B$4=1,OFFSET(StateModDepletions_BLNoRes!D$5,$AM22,0)))</f>
        <v>103386.51266479492</v>
      </c>
      <c r="E22" s="312">
        <f ca="1">IF($B$4=0,OFFSET(StateModDepletions_BL!E$5,$AM22,0),IF($B$4=1,OFFSET(StateModDepletions_BLNoRes!E$5,$AM22,0)))</f>
        <v>2810.7051087617874</v>
      </c>
      <c r="F22" s="312">
        <f ca="1">IF($B$4=0,OFFSET(StateModDepletions_BL!F$5,$AM22,0),IF($B$4=1,OFFSET(StateModDepletions_BLNoRes!F$5,$AM22,0)))</f>
        <v>15749.177778422832</v>
      </c>
      <c r="G22" s="312">
        <f ca="1">IF($B$4=0,OFFSET(StateModDepletions_BL!G$5,$AM22,0),IF($B$4=1,OFFSET(StateModDepletions_BLNoRes!G$5,$AM22,0)))</f>
        <v>2036.5992698669434</v>
      </c>
      <c r="H22" s="312">
        <f ca="1">IF($B$4=0,OFFSET(StateModDepletions_BL!H$5,$AM22,0),IF($B$4=1,OFFSET(StateModDepletions_BLNoRes!H$5,$AM22,0)))</f>
        <v>2838.8627778291702</v>
      </c>
      <c r="I22" s="312">
        <f ca="1">IF($B$4=0,OFFSET(StateModDepletions_BL!I$5,$AM22,0),IF($B$4=1,OFFSET(StateModDepletions_BLNoRes!I$5,$AM22,0)))</f>
        <v>106844.40237654746</v>
      </c>
      <c r="J22" s="312">
        <f ca="1">IF($B$4=0,OFFSET(StateModDepletions_BL!J$5,$AM22,0),IF($B$4=1,OFFSET(StateModDepletions_BLNoRes!J$5,$AM22,0)))</f>
        <v>2630.0026128292084</v>
      </c>
      <c r="K22" s="312">
        <f ca="1">IF($B$4=0,OFFSET(StateModDepletions_BL!K$5,$AM22,0),IF($B$4=1,OFFSET(StateModDepletions_BLNoRes!K$5,$AM22,0)))</f>
        <v>19116.242594718933</v>
      </c>
      <c r="L22" s="312">
        <f ca="1">IF($B$4=0,OFFSET(StateModDepletions_BL!L$5,$AM22,0),IF($B$4=1,OFFSET(StateModDepletions_BLNoRes!L$5,$AM22,0)))</f>
        <v>16714.469623118639</v>
      </c>
      <c r="M22" s="312">
        <f ca="1">IF($B$4=0,OFFSET(StateModDepletions_BL!M$5,$AM22,0),IF($B$4=1,OFFSET(StateModDepletions_BLNoRes!M$5,$AM22,0)))</f>
        <v>1324.7190070152283</v>
      </c>
      <c r="N22" s="312">
        <f ca="1">IF($B$4=0,OFFSET(StateModDepletions_BL!N$5,$AM22,0),IF($B$4=1,OFFSET(StateModDepletions_BLNoRes!N$5,$AM22,0)))</f>
        <v>1326.6977829933167</v>
      </c>
      <c r="O22" s="312">
        <f ca="1">IF($B$4=0,OFFSET(StateModDepletions_BL!O$5,$AM22,0),IF($B$4=1,OFFSET(StateModDepletions_BLNoRes!O$5,$AM22,0)))</f>
        <v>40098.270114412306</v>
      </c>
      <c r="P22" s="312">
        <f ca="1">IF($B$4=0,OFFSET(StateModDepletions_BL!P$5,$AM22,0),IF($B$4=1,OFFSET(StateModDepletions_BLNoRes!P$5,$AM22,0)))</f>
        <v>344.87947225570679</v>
      </c>
      <c r="Q22" s="312">
        <f ca="1">IF($B$4=0,OFFSET(StateModDepletions_BL!Q$5,$AM22,0),IF($B$4=1,OFFSET(StateModDepletions_BLNoRes!Q$5,$AM22,0)))</f>
        <v>15860.436730362475</v>
      </c>
      <c r="R22" s="312">
        <f ca="1">IF($B$4=0,OFFSET(StateModDepletions_BL!R$5,$AM22,0),IF($B$4=1,OFFSET(StateModDepletions_BLNoRes!R$5,$AM22,0)))</f>
        <v>598.83215999603271</v>
      </c>
      <c r="S22" s="312">
        <f ca="1">IF($B$4=0,OFFSET(StateModDepletions_BL!S$5,$AM22,0),IF($B$4=1,OFFSET(StateModDepletions_BLNoRes!S$5,$AM22,0)))</f>
        <v>0</v>
      </c>
      <c r="T22" s="312">
        <f ca="1">IF($B$4=0,OFFSET(StateModDepletions_BL!T$5,$AM22,0),IF($B$4=1,OFFSET(StateModDepletions_BLNoRes!T$5,$AM22,0)))</f>
        <v>18361.335615592077</v>
      </c>
      <c r="U22" s="312">
        <f ca="1">IF($B$4=0,OFFSET(StateModDepletions_BL!U$5,$AM22,0),IF($B$4=1,OFFSET(StateModDepletions_BLNoRes!U$5,$AM22,0)))</f>
        <v>1491.9496465677585</v>
      </c>
      <c r="V22" s="312">
        <f ca="1">IF($B$4=0,OFFSET(StateModDepletions_BL!V$5,$AM22,0),IF($B$4=1,OFFSET(StateModDepletions_BLNoRes!V$5,$AM22,0)))</f>
        <v>12563.284537315369</v>
      </c>
      <c r="W22" s="312">
        <f ca="1">IF($B$4=0,OFFSET(StateModDepletions_BL!W$5,$AM22,0),IF($B$4=1,OFFSET(StateModDepletions_BLNoRes!W$5,$AM22,0)))</f>
        <v>133702.10698354588</v>
      </c>
      <c r="X22" s="312">
        <f ca="1">IF($B$4=0,OFFSET(StateModDepletions_BL!X$5,$AM22,0),IF($B$4=1,OFFSET(StateModDepletions_BLNoRes!X$5,$AM22,0)))</f>
        <v>5877.1961567403323</v>
      </c>
      <c r="Y22" s="312">
        <f ca="1">IF($B$4=0,OFFSET(StateModDepletions_BL!Y$5,$AM22,0),IF($B$4=1,OFFSET(StateModDepletions_BLNoRes!Y$5,$AM22,0)))</f>
        <v>212.11356273293495</v>
      </c>
      <c r="Z22" s="312">
        <f ca="1">IF($B$4=0,OFFSET(StateModDepletions_BL!Z$5,$AM22,0),IF($B$4=1,OFFSET(StateModDepletions_BLNoRes!Z$5,$AM22,0)))</f>
        <v>214999.11407411098</v>
      </c>
      <c r="AA22" s="313">
        <f ca="1">IF($B$4=0,OFFSET(StateModDepletions_BL!AA$5,$AM22,0),IF($B$4=1,OFFSET(StateModDepletions_BLNoRes!AA$5,$AM22,0)))</f>
        <v>75207.697371091839</v>
      </c>
      <c r="AB22" s="314">
        <f ca="1">IF($B$4=0,OFFSET(StateModDepletions_BL!AB$5,$AM22,0),IF($B$4=1,OFFSET(StateModDepletions_BLNoRes!AB$5,$AM22,0)))</f>
        <v>24765.810481309891</v>
      </c>
      <c r="AC22" s="314">
        <f ca="1">IF($B$4=0,OFFSET(StateModDepletions_BL!AC$5,$AM22,0),IF($B$4=1,OFFSET(StateModDepletions_BLNoRes!AC$5,$AM22,0)))</f>
        <v>33547.776273287833</v>
      </c>
      <c r="AD22" s="314">
        <f ca="1">IF($B$4=0,OFFSET(StateModDepletions_BL!AD$5,$AM22,0),IF($B$4=1,OFFSET(StateModDepletions_BLNoRes!AD$5,$AM22,0)))</f>
        <v>17785.777048289776</v>
      </c>
      <c r="AE22" s="314">
        <f ca="1">IF($B$4=0,OFFSET(StateModDepletions_BL!AE$5,$AM22,0),IF($B$4=1,OFFSET(StateModDepletions_BLNoRes!AE$5,$AM22,0)))</f>
        <v>109474.40498937666</v>
      </c>
      <c r="AF22" s="314">
        <f ca="1">IF($B$4=0,OFFSET(StateModDepletions_BL!AF$5,$AM22,0),IF($B$4=1,OFFSET(StateModDepletions_BLNoRes!AF$5,$AM22,0)))</f>
        <v>18039.188630133867</v>
      </c>
      <c r="AG22" s="314">
        <f ca="1">IF($B$4=0,OFFSET(StateModDepletions_BL!AG$5,$AM22,0),IF($B$4=1,OFFSET(StateModDepletions_BLNoRes!AG$5,$AM22,0)))</f>
        <v>40443.149586668012</v>
      </c>
      <c r="AH22" s="314">
        <f ca="1">IF($B$4=0,OFFSET(StateModDepletions_BL!AH$5,$AM22,0),IF($B$4=1,OFFSET(StateModDepletions_BLNoRes!AH$5,$AM22,0)))</f>
        <v>16459.268890358508</v>
      </c>
      <c r="AI22" s="314">
        <f ca="1">IF($B$4=0,OFFSET(StateModDepletions_BL!AI$5,$AM22,0),IF($B$4=1,OFFSET(StateModDepletions_BLNoRes!AI$5,$AM22,0)))</f>
        <v>19853.285262159836</v>
      </c>
      <c r="AJ22" s="315">
        <f ca="1">IF($B$4=0,OFFSET(StateModDepletions_BL!AJ$5,$AM22,0),IF($B$4=1,OFFSET(StateModDepletions_BLNoRes!AJ$5,$AM22,0)))</f>
        <v>139579.30314028621</v>
      </c>
      <c r="AK22" s="519">
        <f t="shared" si="4"/>
        <v>17</v>
      </c>
      <c r="AL22" s="519">
        <f t="shared" si="5"/>
        <v>1945</v>
      </c>
      <c r="AM22" s="519">
        <f>MATCH($AL22,StateModDepletions_BL!$A$6:$A$90,0)</f>
        <v>17</v>
      </c>
    </row>
    <row r="23" spans="1:39" x14ac:dyDescent="0.25">
      <c r="A23" s="519">
        <f t="shared" si="3"/>
        <v>1946</v>
      </c>
      <c r="B23" s="311">
        <f ca="1">IF($B$4=0,OFFSET(StateModDepletions_BL!B$5,$AM23,0),IF($B$4=1,OFFSET(StateModDepletions_BLNoRes!B$5,$AM23,0)))</f>
        <v>31460.104874156415</v>
      </c>
      <c r="C23" s="312">
        <f ca="1">IF($B$4=0,OFFSET(StateModDepletions_BL!C$5,$AM23,0),IF($B$4=1,OFFSET(StateModDepletions_BLNoRes!C$5,$AM23,0)))</f>
        <v>1026.0025346279144</v>
      </c>
      <c r="D23" s="312">
        <f ca="1">IF($B$4=0,OFFSET(StateModDepletions_BL!D$5,$AM23,0),IF($B$4=1,OFFSET(StateModDepletions_BLNoRes!D$5,$AM23,0)))</f>
        <v>38596.943098068237</v>
      </c>
      <c r="E23" s="312">
        <f ca="1">IF($B$4=0,OFFSET(StateModDepletions_BL!E$5,$AM23,0),IF($B$4=1,OFFSET(StateModDepletions_BLNoRes!E$5,$AM23,0)))</f>
        <v>2810.7051087617874</v>
      </c>
      <c r="F23" s="312">
        <f ca="1">IF($B$4=0,OFFSET(StateModDepletions_BL!F$5,$AM23,0),IF($B$4=1,OFFSET(StateModDepletions_BLNoRes!F$5,$AM23,0)))</f>
        <v>15450.999692365527</v>
      </c>
      <c r="G23" s="312">
        <f ca="1">IF($B$4=0,OFFSET(StateModDepletions_BL!G$5,$AM23,0),IF($B$4=1,OFFSET(StateModDepletions_BLNoRes!G$5,$AM23,0)))</f>
        <v>2036.5992698669434</v>
      </c>
      <c r="H23" s="312">
        <f ca="1">IF($B$4=0,OFFSET(StateModDepletions_BL!H$5,$AM23,0),IF($B$4=1,OFFSET(StateModDepletions_BLNoRes!H$5,$AM23,0)))</f>
        <v>2838.8627778291702</v>
      </c>
      <c r="I23" s="312">
        <f ca="1">IF($B$4=0,OFFSET(StateModDepletions_BL!I$5,$AM23,0),IF($B$4=1,OFFSET(StateModDepletions_BLNoRes!I$5,$AM23,0)))</f>
        <v>103170.33923593163</v>
      </c>
      <c r="J23" s="312">
        <f ca="1">IF($B$4=0,OFFSET(StateModDepletions_BL!J$5,$AM23,0),IF($B$4=1,OFFSET(StateModDepletions_BLNoRes!J$5,$AM23,0)))</f>
        <v>2320.6165482997894</v>
      </c>
      <c r="K23" s="312">
        <f ca="1">IF($B$4=0,OFFSET(StateModDepletions_BL!K$5,$AM23,0),IF($B$4=1,OFFSET(StateModDepletions_BLNoRes!K$5,$AM23,0)))</f>
        <v>19116.242594718933</v>
      </c>
      <c r="L23" s="312">
        <f ca="1">IF($B$4=0,OFFSET(StateModDepletions_BL!L$5,$AM23,0),IF($B$4=1,OFFSET(StateModDepletions_BLNoRes!L$5,$AM23,0)))</f>
        <v>16121.631117480079</v>
      </c>
      <c r="M23" s="312">
        <f ca="1">IF($B$4=0,OFFSET(StateModDepletions_BL!M$5,$AM23,0),IF($B$4=1,OFFSET(StateModDepletions_BLNoRes!M$5,$AM23,0)))</f>
        <v>1331.380717664957</v>
      </c>
      <c r="N23" s="312">
        <f ca="1">IF($B$4=0,OFFSET(StateModDepletions_BL!N$5,$AM23,0),IF($B$4=1,OFFSET(StateModDepletions_BLNoRes!N$5,$AM23,0)))</f>
        <v>1326.6977829933167</v>
      </c>
      <c r="O23" s="312">
        <f ca="1">IF($B$4=0,OFFSET(StateModDepletions_BL!O$5,$AM23,0),IF($B$4=1,OFFSET(StateModDepletions_BLNoRes!O$5,$AM23,0)))</f>
        <v>28694.642833753005</v>
      </c>
      <c r="P23" s="312">
        <f ca="1">IF($B$4=0,OFFSET(StateModDepletions_BL!P$5,$AM23,0),IF($B$4=1,OFFSET(StateModDepletions_BLNoRes!P$5,$AM23,0)))</f>
        <v>293.4656355381012</v>
      </c>
      <c r="Q23" s="312">
        <f ca="1">IF($B$4=0,OFFSET(StateModDepletions_BL!Q$5,$AM23,0),IF($B$4=1,OFFSET(StateModDepletions_BLNoRes!Q$5,$AM23,0)))</f>
        <v>12428.141948968172</v>
      </c>
      <c r="R23" s="312">
        <f ca="1">IF($B$4=0,OFFSET(StateModDepletions_BL!R$5,$AM23,0),IF($B$4=1,OFFSET(StateModDepletions_BLNoRes!R$5,$AM23,0)))</f>
        <v>598.83215999603271</v>
      </c>
      <c r="S23" s="312">
        <f ca="1">IF($B$4=0,OFFSET(StateModDepletions_BL!S$5,$AM23,0),IF($B$4=1,OFFSET(StateModDepletions_BLNoRes!S$5,$AM23,0)))</f>
        <v>0</v>
      </c>
      <c r="T23" s="312">
        <f ca="1">IF($B$4=0,OFFSET(StateModDepletions_BL!T$5,$AM23,0),IF($B$4=1,OFFSET(StateModDepletions_BLNoRes!T$5,$AM23,0)))</f>
        <v>9614.9449519784011</v>
      </c>
      <c r="U23" s="312">
        <f ca="1">IF($B$4=0,OFFSET(StateModDepletions_BL!U$5,$AM23,0),IF($B$4=1,OFFSET(StateModDepletions_BLNoRes!U$5,$AM23,0)))</f>
        <v>1383.8324329853058</v>
      </c>
      <c r="V23" s="312">
        <f ca="1">IF($B$4=0,OFFSET(StateModDepletions_BL!V$5,$AM23,0),IF($B$4=1,OFFSET(StateModDepletions_BLNoRes!V$5,$AM23,0)))</f>
        <v>10261.149859428406</v>
      </c>
      <c r="W23" s="312">
        <f ca="1">IF($B$4=0,OFFSET(StateModDepletions_BL!W$5,$AM23,0),IF($B$4=1,OFFSET(StateModDepletions_BLNoRes!W$5,$AM23,0)))</f>
        <v>137158.70985709474</v>
      </c>
      <c r="X23" s="312">
        <f ca="1">IF($B$4=0,OFFSET(StateModDepletions_BL!X$5,$AM23,0),IF($B$4=1,OFFSET(StateModDepletions_BLNoRes!X$5,$AM23,0)))</f>
        <v>5849.1684772727685</v>
      </c>
      <c r="Y23" s="312">
        <f ca="1">IF($B$4=0,OFFSET(StateModDepletions_BL!Y$5,$AM23,0),IF($B$4=1,OFFSET(StateModDepletions_BLNoRes!Y$5,$AM23,0)))</f>
        <v>212.11356273293495</v>
      </c>
      <c r="Z23" s="312">
        <f ca="1">IF($B$4=0,OFFSET(StateModDepletions_BL!Z$5,$AM23,0),IF($B$4=1,OFFSET(StateModDepletions_BLNoRes!Z$5,$AM23,0)))</f>
        <v>225840.04540252686</v>
      </c>
      <c r="AA23" s="313">
        <f ca="1">IF($B$4=0,OFFSET(StateModDepletions_BL!AA$5,$AM23,0),IF($B$4=1,OFFSET(StateModDepletions_BLNoRes!AA$5,$AM23,0)))</f>
        <v>82620.053505426404</v>
      </c>
      <c r="AB23" s="314">
        <f ca="1">IF($B$4=0,OFFSET(StateModDepletions_BL!AB$5,$AM23,0),IF($B$4=1,OFFSET(StateModDepletions_BLNoRes!AB$5,$AM23,0)))</f>
        <v>24765.810481309891</v>
      </c>
      <c r="AC23" s="314">
        <f ca="1">IF($B$4=0,OFFSET(StateModDepletions_BL!AC$5,$AM23,0),IF($B$4=1,OFFSET(StateModDepletions_BLNoRes!AC$5,$AM23,0)))</f>
        <v>32486.10740878433</v>
      </c>
      <c r="AD23" s="314">
        <f ca="1">IF($B$4=0,OFFSET(StateModDepletions_BL!AD$5,$AM23,0),IF($B$4=1,OFFSET(StateModDepletions_BLNoRes!AD$5,$AM23,0)))</f>
        <v>17487.598962232471</v>
      </c>
      <c r="AE23" s="314">
        <f ca="1">IF($B$4=0,OFFSET(StateModDepletions_BL!AE$5,$AM23,0),IF($B$4=1,OFFSET(StateModDepletions_BLNoRes!AE$5,$AM23,0)))</f>
        <v>105490.95578423142</v>
      </c>
      <c r="AF23" s="314">
        <f ca="1">IF($B$4=0,OFFSET(StateModDepletions_BL!AF$5,$AM23,0),IF($B$4=1,OFFSET(StateModDepletions_BLNoRes!AF$5,$AM23,0)))</f>
        <v>17453.011835145036</v>
      </c>
      <c r="AG23" s="314">
        <f ca="1">IF($B$4=0,OFFSET(StateModDepletions_BL!AG$5,$AM23,0),IF($B$4=1,OFFSET(StateModDepletions_BLNoRes!AG$5,$AM23,0)))</f>
        <v>28988.108469291106</v>
      </c>
      <c r="AH23" s="314">
        <f ca="1">IF($B$4=0,OFFSET(StateModDepletions_BL!AH$5,$AM23,0),IF($B$4=1,OFFSET(StateModDepletions_BLNoRes!AH$5,$AM23,0)))</f>
        <v>13026.974108964205</v>
      </c>
      <c r="AI23" s="314">
        <f ca="1">IF($B$4=0,OFFSET(StateModDepletions_BL!AI$5,$AM23,0),IF($B$4=1,OFFSET(StateModDepletions_BLNoRes!AI$5,$AM23,0)))</f>
        <v>10998.777384963707</v>
      </c>
      <c r="AJ23" s="315">
        <f ca="1">IF($B$4=0,OFFSET(StateModDepletions_BL!AJ$5,$AM23,0),IF($B$4=1,OFFSET(StateModDepletions_BLNoRes!AJ$5,$AM23,0)))</f>
        <v>143007.8783343675</v>
      </c>
      <c r="AK23" s="519">
        <f t="shared" si="4"/>
        <v>18</v>
      </c>
      <c r="AL23" s="519">
        <f t="shared" si="5"/>
        <v>1946</v>
      </c>
      <c r="AM23" s="519">
        <f>MATCH($AL23,StateModDepletions_BL!$A$6:$A$90,0)</f>
        <v>18</v>
      </c>
    </row>
    <row r="24" spans="1:39" x14ac:dyDescent="0.25">
      <c r="A24" s="519">
        <f t="shared" si="3"/>
        <v>1947</v>
      </c>
      <c r="B24" s="311">
        <f ca="1">IF($B$4=0,OFFSET(StateModDepletions_BL!B$5,$AM24,0),IF($B$4=1,OFFSET(StateModDepletions_BLNoRes!B$5,$AM24,0)))</f>
        <v>30124.213036805391</v>
      </c>
      <c r="C24" s="312">
        <f ca="1">IF($B$4=0,OFFSET(StateModDepletions_BL!C$5,$AM24,0),IF($B$4=1,OFFSET(StateModDepletions_BLNoRes!C$5,$AM24,0)))</f>
        <v>1026.0025346279144</v>
      </c>
      <c r="D24" s="312">
        <f ca="1">IF($B$4=0,OFFSET(StateModDepletions_BL!D$5,$AM24,0),IF($B$4=1,OFFSET(StateModDepletions_BLNoRes!D$5,$AM24,0)))</f>
        <v>69014.953369140625</v>
      </c>
      <c r="E24" s="312">
        <f ca="1">IF($B$4=0,OFFSET(StateModDepletions_BL!E$5,$AM24,0),IF($B$4=1,OFFSET(StateModDepletions_BLNoRes!E$5,$AM24,0)))</f>
        <v>2810.7051087617874</v>
      </c>
      <c r="F24" s="312">
        <f ca="1">IF($B$4=0,OFFSET(StateModDepletions_BL!F$5,$AM24,0),IF($B$4=1,OFFSET(StateModDepletions_BLNoRes!F$5,$AM24,0)))</f>
        <v>15042.340457072482</v>
      </c>
      <c r="G24" s="312">
        <f ca="1">IF($B$4=0,OFFSET(StateModDepletions_BL!G$5,$AM24,0),IF($B$4=1,OFFSET(StateModDepletions_BLNoRes!G$5,$AM24,0)))</f>
        <v>2036.5992698669434</v>
      </c>
      <c r="H24" s="312">
        <f ca="1">IF($B$4=0,OFFSET(StateModDepletions_BL!H$5,$AM24,0),IF($B$4=1,OFFSET(StateModDepletions_BLNoRes!H$5,$AM24,0)))</f>
        <v>2838.8627778291702</v>
      </c>
      <c r="I24" s="312">
        <f ca="1">IF($B$4=0,OFFSET(StateModDepletions_BL!I$5,$AM24,0),IF($B$4=1,OFFSET(StateModDepletions_BLNoRes!I$5,$AM24,0)))</f>
        <v>101519.4093555063</v>
      </c>
      <c r="J24" s="312">
        <f ca="1">IF($B$4=0,OFFSET(StateModDepletions_BL!J$5,$AM24,0),IF($B$4=1,OFFSET(StateModDepletions_BLNoRes!J$5,$AM24,0)))</f>
        <v>2614.0002934932709</v>
      </c>
      <c r="K24" s="312">
        <f ca="1">IF($B$4=0,OFFSET(StateModDepletions_BL!K$5,$AM24,0),IF($B$4=1,OFFSET(StateModDepletions_BLNoRes!K$5,$AM24,0)))</f>
        <v>19116.242594718933</v>
      </c>
      <c r="L24" s="312">
        <f ca="1">IF($B$4=0,OFFSET(StateModDepletions_BL!L$5,$AM24,0),IF($B$4=1,OFFSET(StateModDepletions_BLNoRes!L$5,$AM24,0)))</f>
        <v>15682.76271882652</v>
      </c>
      <c r="M24" s="312">
        <f ca="1">IF($B$4=0,OFFSET(StateModDepletions_BL!M$5,$AM24,0),IF($B$4=1,OFFSET(StateModDepletions_BLNoRes!M$5,$AM24,0)))</f>
        <v>1333.2977938652039</v>
      </c>
      <c r="N24" s="312">
        <f ca="1">IF($B$4=0,OFFSET(StateModDepletions_BL!N$5,$AM24,0),IF($B$4=1,OFFSET(StateModDepletions_BLNoRes!N$5,$AM24,0)))</f>
        <v>1326.6977829933167</v>
      </c>
      <c r="O24" s="312">
        <f ca="1">IF($B$4=0,OFFSET(StateModDepletions_BL!O$5,$AM24,0),IF($B$4=1,OFFSET(StateModDepletions_BLNoRes!O$5,$AM24,0)))</f>
        <v>39537.457884340067</v>
      </c>
      <c r="P24" s="312">
        <f ca="1">IF($B$4=0,OFFSET(StateModDepletions_BL!P$5,$AM24,0),IF($B$4=1,OFFSET(StateModDepletions_BLNoRes!P$5,$AM24,0)))</f>
        <v>335.24912881851196</v>
      </c>
      <c r="Q24" s="312">
        <f ca="1">IF($B$4=0,OFFSET(StateModDepletions_BL!Q$5,$AM24,0),IF($B$4=1,OFFSET(StateModDepletions_BLNoRes!Q$5,$AM24,0)))</f>
        <v>16402.830129288137</v>
      </c>
      <c r="R24" s="312">
        <f ca="1">IF($B$4=0,OFFSET(StateModDepletions_BL!R$5,$AM24,0),IF($B$4=1,OFFSET(StateModDepletions_BLNoRes!R$5,$AM24,0)))</f>
        <v>598.83215999603271</v>
      </c>
      <c r="S24" s="312">
        <f ca="1">IF($B$4=0,OFFSET(StateModDepletions_BL!S$5,$AM24,0),IF($B$4=1,OFFSET(StateModDepletions_BLNoRes!S$5,$AM24,0)))</f>
        <v>0</v>
      </c>
      <c r="T24" s="312">
        <f ca="1">IF($B$4=0,OFFSET(StateModDepletions_BL!T$5,$AM24,0),IF($B$4=1,OFFSET(StateModDepletions_BLNoRes!T$5,$AM24,0)))</f>
        <v>14687.592947090045</v>
      </c>
      <c r="U24" s="312">
        <f ca="1">IF($B$4=0,OFFSET(StateModDepletions_BL!U$5,$AM24,0),IF($B$4=1,OFFSET(StateModDepletions_BLNoRes!U$5,$AM24,0)))</f>
        <v>1423.492450594902</v>
      </c>
      <c r="V24" s="312">
        <f ca="1">IF($B$4=0,OFFSET(StateModDepletions_BL!V$5,$AM24,0),IF($B$4=1,OFFSET(StateModDepletions_BLNoRes!V$5,$AM24,0)))</f>
        <v>13311.805470466614</v>
      </c>
      <c r="W24" s="312">
        <f ca="1">IF($B$4=0,OFFSET(StateModDepletions_BL!W$5,$AM24,0),IF($B$4=1,OFFSET(StateModDepletions_BLNoRes!W$5,$AM24,0)))</f>
        <v>128669.38480666622</v>
      </c>
      <c r="X24" s="312">
        <f ca="1">IF($B$4=0,OFFSET(StateModDepletions_BL!X$5,$AM24,0),IF($B$4=1,OFFSET(StateModDepletions_BLNoRes!X$5,$AM24,0)))</f>
        <v>5859.2019937317018</v>
      </c>
      <c r="Y24" s="312">
        <f ca="1">IF($B$4=0,OFFSET(StateModDepletions_BL!Y$5,$AM24,0),IF($B$4=1,OFFSET(StateModDepletions_BLNoRes!Y$5,$AM24,0)))</f>
        <v>212.11356273293495</v>
      </c>
      <c r="Z24" s="312">
        <f ca="1">IF($B$4=0,OFFSET(StateModDepletions_BL!Z$5,$AM24,0),IF($B$4=1,OFFSET(StateModDepletions_BLNoRes!Z$5,$AM24,0)))</f>
        <v>210774.2971739769</v>
      </c>
      <c r="AA24" s="313">
        <f ca="1">IF($B$4=0,OFFSET(StateModDepletions_BL!AA$5,$AM24,0),IF($B$4=1,OFFSET(StateModDepletions_BLNoRes!AA$5,$AM24,0)))</f>
        <v>76033.596810846037</v>
      </c>
      <c r="AB24" s="314">
        <f ca="1">IF($B$4=0,OFFSET(StateModDepletions_BL!AB$5,$AM24,0),IF($B$4=1,OFFSET(StateModDepletions_BLNoRes!AB$5,$AM24,0)))</f>
        <v>24765.810481309891</v>
      </c>
      <c r="AC24" s="314">
        <f ca="1">IF($B$4=0,OFFSET(StateModDepletions_BL!AC$5,$AM24,0),IF($B$4=1,OFFSET(StateModDepletions_BLNoRes!AC$5,$AM24,0)))</f>
        <v>31150.215571433306</v>
      </c>
      <c r="AD24" s="314">
        <f ca="1">IF($B$4=0,OFFSET(StateModDepletions_BL!AD$5,$AM24,0),IF($B$4=1,OFFSET(StateModDepletions_BLNoRes!AD$5,$AM24,0)))</f>
        <v>17078.939726939425</v>
      </c>
      <c r="AE24" s="314">
        <f ca="1">IF($B$4=0,OFFSET(StateModDepletions_BL!AE$5,$AM24,0),IF($B$4=1,OFFSET(StateModDepletions_BLNoRes!AE$5,$AM24,0)))</f>
        <v>104133.40964899957</v>
      </c>
      <c r="AF24" s="314">
        <f ca="1">IF($B$4=0,OFFSET(StateModDepletions_BL!AF$5,$AM24,0),IF($B$4=1,OFFSET(StateModDepletions_BLNoRes!AF$5,$AM24,0)))</f>
        <v>17016.060512691722</v>
      </c>
      <c r="AG24" s="314">
        <f ca="1">IF($B$4=0,OFFSET(StateModDepletions_BL!AG$5,$AM24,0),IF($B$4=1,OFFSET(StateModDepletions_BLNoRes!AG$5,$AM24,0)))</f>
        <v>39872.707013158579</v>
      </c>
      <c r="AH24" s="314">
        <f ca="1">IF($B$4=0,OFFSET(StateModDepletions_BL!AH$5,$AM24,0),IF($B$4=1,OFFSET(StateModDepletions_BLNoRes!AH$5,$AM24,0)))</f>
        <v>17001.66228928417</v>
      </c>
      <c r="AI24" s="314">
        <f ca="1">IF($B$4=0,OFFSET(StateModDepletions_BL!AI$5,$AM24,0),IF($B$4=1,OFFSET(StateModDepletions_BLNoRes!AI$5,$AM24,0)))</f>
        <v>16111.085397684947</v>
      </c>
      <c r="AJ24" s="315">
        <f ca="1">IF($B$4=0,OFFSET(StateModDepletions_BL!AJ$5,$AM24,0),IF($B$4=1,OFFSET(StateModDepletions_BLNoRes!AJ$5,$AM24,0)))</f>
        <v>134528.58680039793</v>
      </c>
      <c r="AK24" s="519">
        <f t="shared" si="4"/>
        <v>19</v>
      </c>
      <c r="AL24" s="519">
        <f t="shared" si="5"/>
        <v>1947</v>
      </c>
      <c r="AM24" s="519">
        <f>MATCH($AL24,StateModDepletions_BL!$A$6:$A$90,0)</f>
        <v>19</v>
      </c>
    </row>
    <row r="25" spans="1:39" x14ac:dyDescent="0.25">
      <c r="A25" s="519">
        <f t="shared" si="3"/>
        <v>1948</v>
      </c>
      <c r="B25" s="311">
        <f ca="1">IF($B$4=0,OFFSET(StateModDepletions_BL!B$5,$AM25,0),IF($B$4=1,OFFSET(StateModDepletions_BLNoRes!B$5,$AM25,0)))</f>
        <v>32879.89634180069</v>
      </c>
      <c r="C25" s="312">
        <f ca="1">IF($B$4=0,OFFSET(StateModDepletions_BL!C$5,$AM25,0),IF($B$4=1,OFFSET(StateModDepletions_BLNoRes!C$5,$AM25,0)))</f>
        <v>1026.0025346279144</v>
      </c>
      <c r="D25" s="312">
        <f ca="1">IF($B$4=0,OFFSET(StateModDepletions_BL!D$5,$AM25,0),IF($B$4=1,OFFSET(StateModDepletions_BLNoRes!D$5,$AM25,0)))</f>
        <v>105388.2919921875</v>
      </c>
      <c r="E25" s="312">
        <f ca="1">IF($B$4=0,OFFSET(StateModDepletions_BL!E$5,$AM25,0),IF($B$4=1,OFFSET(StateModDepletions_BLNoRes!E$5,$AM25,0)))</f>
        <v>2810.7051087617874</v>
      </c>
      <c r="F25" s="312">
        <f ca="1">IF($B$4=0,OFFSET(StateModDepletions_BL!F$5,$AM25,0),IF($B$4=1,OFFSET(StateModDepletions_BLNoRes!F$5,$AM25,0)))</f>
        <v>16015.982196085155</v>
      </c>
      <c r="G25" s="312">
        <f ca="1">IF($B$4=0,OFFSET(StateModDepletions_BL!G$5,$AM25,0),IF($B$4=1,OFFSET(StateModDepletions_BLNoRes!G$5,$AM25,0)))</f>
        <v>2036.5992698669434</v>
      </c>
      <c r="H25" s="312">
        <f ca="1">IF($B$4=0,OFFSET(StateModDepletions_BL!H$5,$AM25,0),IF($B$4=1,OFFSET(StateModDepletions_BLNoRes!H$5,$AM25,0)))</f>
        <v>2838.8627778291702</v>
      </c>
      <c r="I25" s="312">
        <f ca="1">IF($B$4=0,OFFSET(StateModDepletions_BL!I$5,$AM25,0),IF($B$4=1,OFFSET(StateModDepletions_BLNoRes!I$5,$AM25,0)))</f>
        <v>108125.40277776867</v>
      </c>
      <c r="J25" s="312">
        <f ca="1">IF($B$4=0,OFFSET(StateModDepletions_BL!J$5,$AM25,0),IF($B$4=1,OFFSET(StateModDepletions_BLNoRes!J$5,$AM25,0)))</f>
        <v>2471.3602826595306</v>
      </c>
      <c r="K25" s="312">
        <f ca="1">IF($B$4=0,OFFSET(StateModDepletions_BL!K$5,$AM25,0),IF($B$4=1,OFFSET(StateModDepletions_BLNoRes!K$5,$AM25,0)))</f>
        <v>19116.242594718933</v>
      </c>
      <c r="L25" s="312">
        <f ca="1">IF($B$4=0,OFFSET(StateModDepletions_BL!L$5,$AM25,0),IF($B$4=1,OFFSET(StateModDepletions_BLNoRes!L$5,$AM25,0)))</f>
        <v>16784.005723923448</v>
      </c>
      <c r="M25" s="312">
        <f ca="1">IF($B$4=0,OFFSET(StateModDepletions_BL!M$5,$AM25,0),IF($B$4=1,OFFSET(StateModDepletions_BLNoRes!M$5,$AM25,0)))</f>
        <v>912.17925810813904</v>
      </c>
      <c r="N25" s="312">
        <f ca="1">IF($B$4=0,OFFSET(StateModDepletions_BL!N$5,$AM25,0),IF($B$4=1,OFFSET(StateModDepletions_BLNoRes!N$5,$AM25,0)))</f>
        <v>1326.6977829933167</v>
      </c>
      <c r="O25" s="312">
        <f ca="1">IF($B$4=0,OFFSET(StateModDepletions_BL!O$5,$AM25,0),IF($B$4=1,OFFSET(StateModDepletions_BLNoRes!O$5,$AM25,0)))</f>
        <v>48488.363657547612</v>
      </c>
      <c r="P25" s="312">
        <f ca="1">IF($B$4=0,OFFSET(StateModDepletions_BL!P$5,$AM25,0),IF($B$4=1,OFFSET(StateModDepletions_BLNoRes!P$5,$AM25,0)))</f>
        <v>522.24778413772583</v>
      </c>
      <c r="Q25" s="312">
        <f ca="1">IF($B$4=0,OFFSET(StateModDepletions_BL!Q$5,$AM25,0),IF($B$4=1,OFFSET(StateModDepletions_BLNoRes!Q$5,$AM25,0)))</f>
        <v>16372.408016383648</v>
      </c>
      <c r="R25" s="312">
        <f ca="1">IF($B$4=0,OFFSET(StateModDepletions_BL!R$5,$AM25,0),IF($B$4=1,OFFSET(StateModDepletions_BLNoRes!R$5,$AM25,0)))</f>
        <v>598.83215999603271</v>
      </c>
      <c r="S25" s="312">
        <f ca="1">IF($B$4=0,OFFSET(StateModDepletions_BL!S$5,$AM25,0),IF($B$4=1,OFFSET(StateModDepletions_BLNoRes!S$5,$AM25,0)))</f>
        <v>0</v>
      </c>
      <c r="T25" s="312">
        <f ca="1">IF($B$4=0,OFFSET(StateModDepletions_BL!T$5,$AM25,0),IF($B$4=1,OFFSET(StateModDepletions_BLNoRes!T$5,$AM25,0)))</f>
        <v>17231.684719214216</v>
      </c>
      <c r="U25" s="312">
        <f ca="1">IF($B$4=0,OFFSET(StateModDepletions_BL!U$5,$AM25,0),IF($B$4=1,OFFSET(StateModDepletions_BLNoRes!U$5,$AM25,0)))</f>
        <v>1494.3477475643158</v>
      </c>
      <c r="V25" s="312">
        <f ca="1">IF($B$4=0,OFFSET(StateModDepletions_BL!V$5,$AM25,0),IF($B$4=1,OFFSET(StateModDepletions_BLNoRes!V$5,$AM25,0)))</f>
        <v>11607.478980064392</v>
      </c>
      <c r="W25" s="312">
        <f ca="1">IF($B$4=0,OFFSET(StateModDepletions_BL!W$5,$AM25,0),IF($B$4=1,OFFSET(StateModDepletions_BLNoRes!W$5,$AM25,0)))</f>
        <v>135437.68881516502</v>
      </c>
      <c r="X25" s="312">
        <f ca="1">IF($B$4=0,OFFSET(StateModDepletions_BL!X$5,$AM25,0),IF($B$4=1,OFFSET(StateModDepletions_BLNoRes!X$5,$AM25,0)))</f>
        <v>5901.4129563011229</v>
      </c>
      <c r="Y25" s="312">
        <f ca="1">IF($B$4=0,OFFSET(StateModDepletions_BL!Y$5,$AM25,0),IF($B$4=1,OFFSET(StateModDepletions_BLNoRes!Y$5,$AM25,0)))</f>
        <v>212.11356273293495</v>
      </c>
      <c r="Z25" s="312">
        <f ca="1">IF($B$4=0,OFFSET(StateModDepletions_BL!Z$5,$AM25,0),IF($B$4=1,OFFSET(StateModDepletions_BLNoRes!Z$5,$AM25,0)))</f>
        <v>197658.59954166412</v>
      </c>
      <c r="AA25" s="313">
        <f ca="1">IF($B$4=0,OFFSET(StateModDepletions_BL!AA$5,$AM25,0),IF($B$4=1,OFFSET(StateModDepletions_BLNoRes!AA$5,$AM25,0)))</f>
        <v>56107.384207465046</v>
      </c>
      <c r="AB25" s="314">
        <f ca="1">IF($B$4=0,OFFSET(StateModDepletions_BL!AB$5,$AM25,0),IF($B$4=1,OFFSET(StateModDepletions_BLNoRes!AB$5,$AM25,0)))</f>
        <v>24765.810481309891</v>
      </c>
      <c r="AC25" s="314">
        <f ca="1">IF($B$4=0,OFFSET(StateModDepletions_BL!AC$5,$AM25,0),IF($B$4=1,OFFSET(StateModDepletions_BLNoRes!AC$5,$AM25,0)))</f>
        <v>33905.898876428604</v>
      </c>
      <c r="AD25" s="314">
        <f ca="1">IF($B$4=0,OFFSET(StateModDepletions_BL!AD$5,$AM25,0),IF($B$4=1,OFFSET(StateModDepletions_BLNoRes!AD$5,$AM25,0)))</f>
        <v>18052.581465952098</v>
      </c>
      <c r="AE25" s="314">
        <f ca="1">IF($B$4=0,OFFSET(StateModDepletions_BL!AE$5,$AM25,0),IF($B$4=1,OFFSET(StateModDepletions_BLNoRes!AE$5,$AM25,0)))</f>
        <v>110596.7630604282</v>
      </c>
      <c r="AF25" s="314">
        <f ca="1">IF($B$4=0,OFFSET(StateModDepletions_BL!AF$5,$AM25,0),IF($B$4=1,OFFSET(StateModDepletions_BLNoRes!AF$5,$AM25,0)))</f>
        <v>17696.184982031587</v>
      </c>
      <c r="AG25" s="314">
        <f ca="1">IF($B$4=0,OFFSET(StateModDepletions_BL!AG$5,$AM25,0),IF($B$4=1,OFFSET(StateModDepletions_BLNoRes!AG$5,$AM25,0)))</f>
        <v>49010.611441685338</v>
      </c>
      <c r="AH25" s="314">
        <f ca="1">IF($B$4=0,OFFSET(StateModDepletions_BL!AH$5,$AM25,0),IF($B$4=1,OFFSET(StateModDepletions_BLNoRes!AH$5,$AM25,0)))</f>
        <v>16971.240176379681</v>
      </c>
      <c r="AI25" s="314">
        <f ca="1">IF($B$4=0,OFFSET(StateModDepletions_BL!AI$5,$AM25,0),IF($B$4=1,OFFSET(StateModDepletions_BLNoRes!AI$5,$AM25,0)))</f>
        <v>18726.032466778532</v>
      </c>
      <c r="AJ25" s="315">
        <f ca="1">IF($B$4=0,OFFSET(StateModDepletions_BL!AJ$5,$AM25,0),IF($B$4=1,OFFSET(StateModDepletions_BLNoRes!AJ$5,$AM25,0)))</f>
        <v>141339.10177146614</v>
      </c>
      <c r="AK25" s="519">
        <f t="shared" si="4"/>
        <v>20</v>
      </c>
      <c r="AL25" s="519">
        <f t="shared" si="5"/>
        <v>1948</v>
      </c>
      <c r="AM25" s="519">
        <f>MATCH($AL25,StateModDepletions_BL!$A$6:$A$90,0)</f>
        <v>20</v>
      </c>
    </row>
    <row r="26" spans="1:39" x14ac:dyDescent="0.25">
      <c r="A26" s="519">
        <f t="shared" si="3"/>
        <v>1949</v>
      </c>
      <c r="B26" s="311">
        <f ca="1">IF($B$4=0,OFFSET(StateModDepletions_BL!B$5,$AM26,0),IF($B$4=1,OFFSET(StateModDepletions_BLNoRes!B$5,$AM26,0)))</f>
        <v>32749.576065406203</v>
      </c>
      <c r="C26" s="312">
        <f ca="1">IF($B$4=0,OFFSET(StateModDepletions_BL!C$5,$AM26,0),IF($B$4=1,OFFSET(StateModDepletions_BLNoRes!C$5,$AM26,0)))</f>
        <v>1026.0025346279144</v>
      </c>
      <c r="D26" s="312">
        <f ca="1">IF($B$4=0,OFFSET(StateModDepletions_BL!D$5,$AM26,0),IF($B$4=1,OFFSET(StateModDepletions_BLNoRes!D$5,$AM26,0)))</f>
        <v>123890.13906097412</v>
      </c>
      <c r="E26" s="312">
        <f ca="1">IF($B$4=0,OFFSET(StateModDepletions_BL!E$5,$AM26,0),IF($B$4=1,OFFSET(StateModDepletions_BLNoRes!E$5,$AM26,0)))</f>
        <v>2810.7051087617874</v>
      </c>
      <c r="F26" s="312">
        <f ca="1">IF($B$4=0,OFFSET(StateModDepletions_BL!F$5,$AM26,0),IF($B$4=1,OFFSET(StateModDepletions_BLNoRes!F$5,$AM26,0)))</f>
        <v>16031.843831807375</v>
      </c>
      <c r="G26" s="312">
        <f ca="1">IF($B$4=0,OFFSET(StateModDepletions_BL!G$5,$AM26,0),IF($B$4=1,OFFSET(StateModDepletions_BLNoRes!G$5,$AM26,0)))</f>
        <v>2036.5992698669434</v>
      </c>
      <c r="H26" s="312">
        <f ca="1">IF($B$4=0,OFFSET(StateModDepletions_BL!H$5,$AM26,0),IF($B$4=1,OFFSET(StateModDepletions_BLNoRes!H$5,$AM26,0)))</f>
        <v>2838.8627778291702</v>
      </c>
      <c r="I26" s="312">
        <f ca="1">IF($B$4=0,OFFSET(StateModDepletions_BL!I$5,$AM26,0),IF($B$4=1,OFFSET(StateModDepletions_BLNoRes!I$5,$AM26,0)))</f>
        <v>105830.38067446649</v>
      </c>
      <c r="J26" s="312">
        <f ca="1">IF($B$4=0,OFFSET(StateModDepletions_BL!J$5,$AM26,0),IF($B$4=1,OFFSET(StateModDepletions_BLNoRes!J$5,$AM26,0)))</f>
        <v>2390.0679204463959</v>
      </c>
      <c r="K26" s="312">
        <f ca="1">IF($B$4=0,OFFSET(StateModDepletions_BL!K$5,$AM26,0),IF($B$4=1,OFFSET(StateModDepletions_BLNoRes!K$5,$AM26,0)))</f>
        <v>19116.242594718933</v>
      </c>
      <c r="L26" s="312">
        <f ca="1">IF($B$4=0,OFFSET(StateModDepletions_BL!L$5,$AM26,0),IF($B$4=1,OFFSET(StateModDepletions_BLNoRes!L$5,$AM26,0)))</f>
        <v>16402.126856214327</v>
      </c>
      <c r="M26" s="312">
        <f ca="1">IF($B$4=0,OFFSET(StateModDepletions_BL!M$5,$AM26,0),IF($B$4=1,OFFSET(StateModDepletions_BLNoRes!M$5,$AM26,0)))</f>
        <v>1387.5271005034447</v>
      </c>
      <c r="N26" s="312">
        <f ca="1">IF($B$4=0,OFFSET(StateModDepletions_BL!N$5,$AM26,0),IF($B$4=1,OFFSET(StateModDepletions_BLNoRes!N$5,$AM26,0)))</f>
        <v>1326.6977829933167</v>
      </c>
      <c r="O26" s="312">
        <f ca="1">IF($B$4=0,OFFSET(StateModDepletions_BL!O$5,$AM26,0),IF($B$4=1,OFFSET(StateModDepletions_BLNoRes!O$5,$AM26,0)))</f>
        <v>47505.776715113301</v>
      </c>
      <c r="P26" s="312">
        <f ca="1">IF($B$4=0,OFFSET(StateModDepletions_BL!P$5,$AM26,0),IF($B$4=1,OFFSET(StateModDepletions_BLNoRes!P$5,$AM26,0)))</f>
        <v>509.32354855537415</v>
      </c>
      <c r="Q26" s="312">
        <f ca="1">IF($B$4=0,OFFSET(StateModDepletions_BL!Q$5,$AM26,0),IF($B$4=1,OFFSET(StateModDepletions_BLNoRes!Q$5,$AM26,0)))</f>
        <v>21371.050236076117</v>
      </c>
      <c r="R26" s="312">
        <f ca="1">IF($B$4=0,OFFSET(StateModDepletions_BL!R$5,$AM26,0),IF($B$4=1,OFFSET(StateModDepletions_BLNoRes!R$5,$AM26,0)))</f>
        <v>598.83215999603271</v>
      </c>
      <c r="S26" s="312">
        <f ca="1">IF($B$4=0,OFFSET(StateModDepletions_BL!S$5,$AM26,0),IF($B$4=1,OFFSET(StateModDepletions_BLNoRes!S$5,$AM26,0)))</f>
        <v>0</v>
      </c>
      <c r="T26" s="312">
        <f ca="1">IF($B$4=0,OFFSET(StateModDepletions_BL!T$5,$AM26,0),IF($B$4=1,OFFSET(StateModDepletions_BLNoRes!T$5,$AM26,0)))</f>
        <v>23766.938998460697</v>
      </c>
      <c r="U26" s="312">
        <f ca="1">IF($B$4=0,OFFSET(StateModDepletions_BL!U$5,$AM26,0),IF($B$4=1,OFFSET(StateModDepletions_BLNoRes!U$5,$AM26,0)))</f>
        <v>1560.0318539691261</v>
      </c>
      <c r="V26" s="312">
        <f ca="1">IF($B$4=0,OFFSET(StateModDepletions_BL!V$5,$AM26,0),IF($B$4=1,OFFSET(StateModDepletions_BLNoRes!V$5,$AM26,0)))</f>
        <v>15602.020581245422</v>
      </c>
      <c r="W26" s="312">
        <f ca="1">IF($B$4=0,OFFSET(StateModDepletions_BL!W$5,$AM26,0),IF($B$4=1,OFFSET(StateModDepletions_BLNoRes!W$5,$AM26,0)))</f>
        <v>129775.27807286724</v>
      </c>
      <c r="X26" s="312">
        <f ca="1">IF($B$4=0,OFFSET(StateModDepletions_BL!X$5,$AM26,0),IF($B$4=1,OFFSET(StateModDepletions_BLNoRes!X$5,$AM26,0)))</f>
        <v>5896.6381503859157</v>
      </c>
      <c r="Y26" s="312">
        <f ca="1">IF($B$4=0,OFFSET(StateModDepletions_BL!Y$5,$AM26,0),IF($B$4=1,OFFSET(StateModDepletions_BLNoRes!Y$5,$AM26,0)))</f>
        <v>212.11356273293495</v>
      </c>
      <c r="Z26" s="312">
        <f ca="1">IF($B$4=0,OFFSET(StateModDepletions_BL!Z$5,$AM26,0),IF($B$4=1,OFFSET(StateModDepletions_BLNoRes!Z$5,$AM26,0)))</f>
        <v>221396.19322860241</v>
      </c>
      <c r="AA26" s="313">
        <f ca="1">IF($B$4=0,OFFSET(StateModDepletions_BL!AA$5,$AM26,0),IF($B$4=1,OFFSET(StateModDepletions_BLNoRes!AA$5,$AM26,0)))</f>
        <v>85512.163442616322</v>
      </c>
      <c r="AB26" s="314">
        <f ca="1">IF($B$4=0,OFFSET(StateModDepletions_BL!AB$5,$AM26,0),IF($B$4=1,OFFSET(StateModDepletions_BLNoRes!AB$5,$AM26,0)))</f>
        <v>24765.810481309891</v>
      </c>
      <c r="AC26" s="314">
        <f ca="1">IF($B$4=0,OFFSET(StateModDepletions_BL!AC$5,$AM26,0),IF($B$4=1,OFFSET(StateModDepletions_BLNoRes!AC$5,$AM26,0)))</f>
        <v>33775.578600034118</v>
      </c>
      <c r="AD26" s="314">
        <f ca="1">IF($B$4=0,OFFSET(StateModDepletions_BL!AD$5,$AM26,0),IF($B$4=1,OFFSET(StateModDepletions_BLNoRes!AD$5,$AM26,0)))</f>
        <v>18068.443101674318</v>
      </c>
      <c r="AE26" s="314">
        <f ca="1">IF($B$4=0,OFFSET(StateModDepletions_BL!AE$5,$AM26,0),IF($B$4=1,OFFSET(StateModDepletions_BLNoRes!AE$5,$AM26,0)))</f>
        <v>108220.44859491289</v>
      </c>
      <c r="AF26" s="314">
        <f ca="1">IF($B$4=0,OFFSET(StateModDepletions_BL!AF$5,$AM26,0),IF($B$4=1,OFFSET(StateModDepletions_BLNoRes!AF$5,$AM26,0)))</f>
        <v>17789.653956717772</v>
      </c>
      <c r="AG26" s="314">
        <f ca="1">IF($B$4=0,OFFSET(StateModDepletions_BL!AG$5,$AM26,0),IF($B$4=1,OFFSET(StateModDepletions_BLNoRes!AG$5,$AM26,0)))</f>
        <v>48015.100263668675</v>
      </c>
      <c r="AH26" s="314">
        <f ca="1">IF($B$4=0,OFFSET(StateModDepletions_BL!AH$5,$AM26,0),IF($B$4=1,OFFSET(StateModDepletions_BLNoRes!AH$5,$AM26,0)))</f>
        <v>21969.882396072149</v>
      </c>
      <c r="AI26" s="314">
        <f ca="1">IF($B$4=0,OFFSET(StateModDepletions_BL!AI$5,$AM26,0),IF($B$4=1,OFFSET(StateModDepletions_BLNoRes!AI$5,$AM26,0)))</f>
        <v>25326.970852429822</v>
      </c>
      <c r="AJ26" s="315">
        <f ca="1">IF($B$4=0,OFFSET(StateModDepletions_BL!AJ$5,$AM26,0),IF($B$4=1,OFFSET(StateModDepletions_BLNoRes!AJ$5,$AM26,0)))</f>
        <v>135671.91622325315</v>
      </c>
      <c r="AK26" s="519">
        <f t="shared" si="4"/>
        <v>21</v>
      </c>
      <c r="AL26" s="519">
        <f t="shared" si="5"/>
        <v>1949</v>
      </c>
      <c r="AM26" s="519">
        <f>MATCH($AL26,StateModDepletions_BL!$A$6:$A$90,0)</f>
        <v>21</v>
      </c>
    </row>
    <row r="27" spans="1:39" x14ac:dyDescent="0.25">
      <c r="A27" s="519">
        <f t="shared" si="3"/>
        <v>1950</v>
      </c>
      <c r="B27" s="311">
        <f ca="1">IF($B$4=0,OFFSET(StateModDepletions_BL!B$5,$AM27,0),IF($B$4=1,OFFSET(StateModDepletions_BLNoRes!B$5,$AM27,0)))</f>
        <v>34285.705353364348</v>
      </c>
      <c r="C27" s="312">
        <f ca="1">IF($B$4=0,OFFSET(StateModDepletions_BL!C$5,$AM27,0),IF($B$4=1,OFFSET(StateModDepletions_BLNoRes!C$5,$AM27,0)))</f>
        <v>1026.0025346279144</v>
      </c>
      <c r="D27" s="312">
        <f ca="1">IF($B$4=0,OFFSET(StateModDepletions_BL!D$5,$AM27,0),IF($B$4=1,OFFSET(StateModDepletions_BLNoRes!D$5,$AM27,0)))</f>
        <v>53772.865539550781</v>
      </c>
      <c r="E27" s="312">
        <f ca="1">IF($B$4=0,OFFSET(StateModDepletions_BL!E$5,$AM27,0),IF($B$4=1,OFFSET(StateModDepletions_BLNoRes!E$5,$AM27,0)))</f>
        <v>2810.7051087617874</v>
      </c>
      <c r="F27" s="312">
        <f ca="1">IF($B$4=0,OFFSET(StateModDepletions_BL!F$5,$AM27,0),IF($B$4=1,OFFSET(StateModDepletions_BLNoRes!F$5,$AM27,0)))</f>
        <v>16217.276028670371</v>
      </c>
      <c r="G27" s="312">
        <f ca="1">IF($B$4=0,OFFSET(StateModDepletions_BL!G$5,$AM27,0),IF($B$4=1,OFFSET(StateModDepletions_BLNoRes!G$5,$AM27,0)))</f>
        <v>2036.5992698669434</v>
      </c>
      <c r="H27" s="312">
        <f ca="1">IF($B$4=0,OFFSET(StateModDepletions_BL!H$5,$AM27,0),IF($B$4=1,OFFSET(StateModDepletions_BLNoRes!H$5,$AM27,0)))</f>
        <v>2838.8627778291702</v>
      </c>
      <c r="I27" s="312">
        <f ca="1">IF($B$4=0,OFFSET(StateModDepletions_BL!I$5,$AM27,0),IF($B$4=1,OFFSET(StateModDepletions_BLNoRes!I$5,$AM27,0)))</f>
        <v>112078.99793364108</v>
      </c>
      <c r="J27" s="312">
        <f ca="1">IF($B$4=0,OFFSET(StateModDepletions_BL!J$5,$AM27,0),IF($B$4=1,OFFSET(StateModDepletions_BLNoRes!J$5,$AM27,0)))</f>
        <v>2428.2700288295746</v>
      </c>
      <c r="K27" s="312">
        <f ca="1">IF($B$4=0,OFFSET(StateModDepletions_BL!K$5,$AM27,0),IF($B$4=1,OFFSET(StateModDepletions_BLNoRes!K$5,$AM27,0)))</f>
        <v>19116.242594718933</v>
      </c>
      <c r="L27" s="312">
        <f ca="1">IF($B$4=0,OFFSET(StateModDepletions_BL!L$5,$AM27,0),IF($B$4=1,OFFSET(StateModDepletions_BLNoRes!L$5,$AM27,0)))</f>
        <v>16743.510959118616</v>
      </c>
      <c r="M27" s="312">
        <f ca="1">IF($B$4=0,OFFSET(StateModDepletions_BL!M$5,$AM27,0),IF($B$4=1,OFFSET(StateModDepletions_BLNoRes!M$5,$AM27,0)))</f>
        <v>1359.4136896133423</v>
      </c>
      <c r="N27" s="312">
        <f ca="1">IF($B$4=0,OFFSET(StateModDepletions_BL!N$5,$AM27,0),IF($B$4=1,OFFSET(StateModDepletions_BLNoRes!N$5,$AM27,0)))</f>
        <v>1326.6977829933167</v>
      </c>
      <c r="O27" s="312">
        <f ca="1">IF($B$4=0,OFFSET(StateModDepletions_BL!O$5,$AM27,0),IF($B$4=1,OFFSET(StateModDepletions_BLNoRes!O$5,$AM27,0)))</f>
        <v>32561.059121607315</v>
      </c>
      <c r="P27" s="312">
        <f ca="1">IF($B$4=0,OFFSET(StateModDepletions_BL!P$5,$AM27,0),IF($B$4=1,OFFSET(StateModDepletions_BLNoRes!P$5,$AM27,0)))</f>
        <v>330.66846084594727</v>
      </c>
      <c r="Q27" s="312">
        <f ca="1">IF($B$4=0,OFFSET(StateModDepletions_BL!Q$5,$AM27,0),IF($B$4=1,OFFSET(StateModDepletions_BLNoRes!Q$5,$AM27,0)))</f>
        <v>11380.228502623737</v>
      </c>
      <c r="R27" s="312">
        <f ca="1">IF($B$4=0,OFFSET(StateModDepletions_BL!R$5,$AM27,0),IF($B$4=1,OFFSET(StateModDepletions_BLNoRes!R$5,$AM27,0)))</f>
        <v>598.83215999603271</v>
      </c>
      <c r="S27" s="312">
        <f ca="1">IF($B$4=0,OFFSET(StateModDepletions_BL!S$5,$AM27,0),IF($B$4=1,OFFSET(StateModDepletions_BLNoRes!S$5,$AM27,0)))</f>
        <v>0</v>
      </c>
      <c r="T27" s="312">
        <f ca="1">IF($B$4=0,OFFSET(StateModDepletions_BL!T$5,$AM27,0),IF($B$4=1,OFFSET(StateModDepletions_BLNoRes!T$5,$AM27,0)))</f>
        <v>11039.231351741479</v>
      </c>
      <c r="U27" s="312">
        <f ca="1">IF($B$4=0,OFFSET(StateModDepletions_BL!U$5,$AM27,0),IF($B$4=1,OFFSET(StateModDepletions_BLNoRes!U$5,$AM27,0)))</f>
        <v>1427.7060898840427</v>
      </c>
      <c r="V27" s="312">
        <f ca="1">IF($B$4=0,OFFSET(StateModDepletions_BL!V$5,$AM27,0),IF($B$4=1,OFFSET(StateModDepletions_BLNoRes!V$5,$AM27,0)))</f>
        <v>8538.3033170700073</v>
      </c>
      <c r="W27" s="312">
        <f ca="1">IF($B$4=0,OFFSET(StateModDepletions_BL!W$5,$AM27,0),IF($B$4=1,OFFSET(StateModDepletions_BLNoRes!W$5,$AM27,0)))</f>
        <v>142198.59492837236</v>
      </c>
      <c r="X27" s="312">
        <f ca="1">IF($B$4=0,OFFSET(StateModDepletions_BL!X$5,$AM27,0),IF($B$4=1,OFFSET(StateModDepletions_BLNoRes!X$5,$AM27,0)))</f>
        <v>5700.6438421466055</v>
      </c>
      <c r="Y27" s="312">
        <f ca="1">IF($B$4=0,OFFSET(StateModDepletions_BL!Y$5,$AM27,0),IF($B$4=1,OFFSET(StateModDepletions_BLNoRes!Y$5,$AM27,0)))</f>
        <v>212.11356273293495</v>
      </c>
      <c r="Z27" s="312">
        <f ca="1">IF($B$4=0,OFFSET(StateModDepletions_BL!Z$5,$AM27,0),IF($B$4=1,OFFSET(StateModDepletions_BLNoRes!Z$5,$AM27,0)))</f>
        <v>225796.41400623322</v>
      </c>
      <c r="AA27" s="313">
        <f ca="1">IF($B$4=0,OFFSET(StateModDepletions_BL!AA$5,$AM27,0),IF($B$4=1,OFFSET(StateModDepletions_BLNoRes!AA$5,$AM27,0)))</f>
        <v>77685.061672981319</v>
      </c>
      <c r="AB27" s="314">
        <f ca="1">IF($B$4=0,OFFSET(StateModDepletions_BL!AB$5,$AM27,0),IF($B$4=1,OFFSET(StateModDepletions_BLNoRes!AB$5,$AM27,0)))</f>
        <v>24765.810481309891</v>
      </c>
      <c r="AC27" s="314">
        <f ca="1">IF($B$4=0,OFFSET(StateModDepletions_BL!AC$5,$AM27,0),IF($B$4=1,OFFSET(StateModDepletions_BLNoRes!AC$5,$AM27,0)))</f>
        <v>35311.707887992263</v>
      </c>
      <c r="AD27" s="314">
        <f ca="1">IF($B$4=0,OFFSET(StateModDepletions_BL!AD$5,$AM27,0),IF($B$4=1,OFFSET(StateModDepletions_BLNoRes!AD$5,$AM27,0)))</f>
        <v>18253.875298537314</v>
      </c>
      <c r="AE27" s="314">
        <f ca="1">IF($B$4=0,OFFSET(StateModDepletions_BL!AE$5,$AM27,0),IF($B$4=1,OFFSET(StateModDepletions_BLNoRes!AE$5,$AM27,0)))</f>
        <v>114507.26796247065</v>
      </c>
      <c r="AF27" s="314">
        <f ca="1">IF($B$4=0,OFFSET(StateModDepletions_BL!AF$5,$AM27,0),IF($B$4=1,OFFSET(StateModDepletions_BLNoRes!AF$5,$AM27,0)))</f>
        <v>18102.924648731958</v>
      </c>
      <c r="AG27" s="314">
        <f ca="1">IF($B$4=0,OFFSET(StateModDepletions_BL!AG$5,$AM27,0),IF($B$4=1,OFFSET(StateModDepletions_BLNoRes!AG$5,$AM27,0)))</f>
        <v>32891.727582453263</v>
      </c>
      <c r="AH27" s="314">
        <f ca="1">IF($B$4=0,OFFSET(StateModDepletions_BL!AH$5,$AM27,0),IF($B$4=1,OFFSET(StateModDepletions_BLNoRes!AH$5,$AM27,0)))</f>
        <v>11979.06066261977</v>
      </c>
      <c r="AI27" s="314">
        <f ca="1">IF($B$4=0,OFFSET(StateModDepletions_BL!AI$5,$AM27,0),IF($B$4=1,OFFSET(StateModDepletions_BLNoRes!AI$5,$AM27,0)))</f>
        <v>12466.937441625521</v>
      </c>
      <c r="AJ27" s="315">
        <f ca="1">IF($B$4=0,OFFSET(StateModDepletions_BL!AJ$5,$AM27,0),IF($B$4=1,OFFSET(StateModDepletions_BLNoRes!AJ$5,$AM27,0)))</f>
        <v>147899.23877051898</v>
      </c>
      <c r="AK27" s="519">
        <f t="shared" si="4"/>
        <v>22</v>
      </c>
      <c r="AL27" s="519">
        <f t="shared" si="5"/>
        <v>1950</v>
      </c>
      <c r="AM27" s="519">
        <f>MATCH($AL27,StateModDepletions_BL!$A$6:$A$90,0)</f>
        <v>22</v>
      </c>
    </row>
    <row r="28" spans="1:39" x14ac:dyDescent="0.25">
      <c r="A28" s="519">
        <f t="shared" si="3"/>
        <v>1951</v>
      </c>
      <c r="B28" s="311">
        <f ca="1">IF($B$4=0,OFFSET(StateModDepletions_BL!B$5,$AM28,0),IF($B$4=1,OFFSET(StateModDepletions_BLNoRes!B$5,$AM28,0)))</f>
        <v>31397.317469358444</v>
      </c>
      <c r="C28" s="312">
        <f ca="1">IF($B$4=0,OFFSET(StateModDepletions_BL!C$5,$AM28,0),IF($B$4=1,OFFSET(StateModDepletions_BLNoRes!C$5,$AM28,0)))</f>
        <v>1026.0025346279144</v>
      </c>
      <c r="D28" s="312">
        <f ca="1">IF($B$4=0,OFFSET(StateModDepletions_BL!D$5,$AM28,0),IF($B$4=1,OFFSET(StateModDepletions_BLNoRes!D$5,$AM28,0)))</f>
        <v>39996.90576171875</v>
      </c>
      <c r="E28" s="312">
        <f ca="1">IF($B$4=0,OFFSET(StateModDepletions_BL!E$5,$AM28,0),IF($B$4=1,OFFSET(StateModDepletions_BLNoRes!E$5,$AM28,0)))</f>
        <v>2810.7051087617874</v>
      </c>
      <c r="F28" s="312">
        <f ca="1">IF($B$4=0,OFFSET(StateModDepletions_BL!F$5,$AM28,0),IF($B$4=1,OFFSET(StateModDepletions_BLNoRes!F$5,$AM28,0)))</f>
        <v>15088.39638299495</v>
      </c>
      <c r="G28" s="312">
        <f ca="1">IF($B$4=0,OFFSET(StateModDepletions_BL!G$5,$AM28,0),IF($B$4=1,OFFSET(StateModDepletions_BLNoRes!G$5,$AM28,0)))</f>
        <v>2036.5992698669434</v>
      </c>
      <c r="H28" s="312">
        <f ca="1">IF($B$4=0,OFFSET(StateModDepletions_BL!H$5,$AM28,0),IF($B$4=1,OFFSET(StateModDepletions_BLNoRes!H$5,$AM28,0)))</f>
        <v>2838.8627778291702</v>
      </c>
      <c r="I28" s="312">
        <f ca="1">IF($B$4=0,OFFSET(StateModDepletions_BL!I$5,$AM28,0),IF($B$4=1,OFFSET(StateModDepletions_BLNoRes!I$5,$AM28,0)))</f>
        <v>87977.871916919947</v>
      </c>
      <c r="J28" s="312">
        <f ca="1">IF($B$4=0,OFFSET(StateModDepletions_BL!J$5,$AM28,0),IF($B$4=1,OFFSET(StateModDepletions_BLNoRes!J$5,$AM28,0)))</f>
        <v>1728.9732568264008</v>
      </c>
      <c r="K28" s="312">
        <f ca="1">IF($B$4=0,OFFSET(StateModDepletions_BL!K$5,$AM28,0),IF($B$4=1,OFFSET(StateModDepletions_BLNoRes!K$5,$AM28,0)))</f>
        <v>19116.242594718933</v>
      </c>
      <c r="L28" s="312">
        <f ca="1">IF($B$4=0,OFFSET(StateModDepletions_BL!L$5,$AM28,0),IF($B$4=1,OFFSET(StateModDepletions_BLNoRes!L$5,$AM28,0)))</f>
        <v>16919.275514304634</v>
      </c>
      <c r="M28" s="312">
        <f ca="1">IF($B$4=0,OFFSET(StateModDepletions_BL!M$5,$AM28,0),IF($B$4=1,OFFSET(StateModDepletions_BLNoRes!M$5,$AM28,0)))</f>
        <v>1271.371789932251</v>
      </c>
      <c r="N28" s="312">
        <f ca="1">IF($B$4=0,OFFSET(StateModDepletions_BL!N$5,$AM28,0),IF($B$4=1,OFFSET(StateModDepletions_BLNoRes!N$5,$AM28,0)))</f>
        <v>1326.6977829933167</v>
      </c>
      <c r="O28" s="312">
        <f ca="1">IF($B$4=0,OFFSET(StateModDepletions_BL!O$5,$AM28,0),IF($B$4=1,OFFSET(StateModDepletions_BLNoRes!O$5,$AM28,0)))</f>
        <v>22544.345815821067</v>
      </c>
      <c r="P28" s="312">
        <f ca="1">IF($B$4=0,OFFSET(StateModDepletions_BL!P$5,$AM28,0),IF($B$4=1,OFFSET(StateModDepletions_BLNoRes!P$5,$AM28,0)))</f>
        <v>282.93470501899719</v>
      </c>
      <c r="Q28" s="312">
        <f ca="1">IF($B$4=0,OFFSET(StateModDepletions_BL!Q$5,$AM28,0),IF($B$4=1,OFFSET(StateModDepletions_BLNoRes!Q$5,$AM28,0)))</f>
        <v>10050.207042343915</v>
      </c>
      <c r="R28" s="312">
        <f ca="1">IF($B$4=0,OFFSET(StateModDepletions_BL!R$5,$AM28,0),IF($B$4=1,OFFSET(StateModDepletions_BLNoRes!R$5,$AM28,0)))</f>
        <v>598.83215999603271</v>
      </c>
      <c r="S28" s="312">
        <f ca="1">IF($B$4=0,OFFSET(StateModDepletions_BL!S$5,$AM28,0),IF($B$4=1,OFFSET(StateModDepletions_BLNoRes!S$5,$AM28,0)))</f>
        <v>0</v>
      </c>
      <c r="T28" s="312">
        <f ca="1">IF($B$4=0,OFFSET(StateModDepletions_BL!T$5,$AM28,0),IF($B$4=1,OFFSET(StateModDepletions_BLNoRes!T$5,$AM28,0)))</f>
        <v>6760.3532597281783</v>
      </c>
      <c r="U28" s="312">
        <f ca="1">IF($B$4=0,OFFSET(StateModDepletions_BL!U$5,$AM28,0),IF($B$4=1,OFFSET(StateModDepletions_BLNoRes!U$5,$AM28,0)))</f>
        <v>1381.8042982442598</v>
      </c>
      <c r="V28" s="312">
        <f ca="1">IF($B$4=0,OFFSET(StateModDepletions_BL!V$5,$AM28,0),IF($B$4=1,OFFSET(StateModDepletions_BLNoRes!V$5,$AM28,0)))</f>
        <v>7750.5946841239929</v>
      </c>
      <c r="W28" s="312">
        <f ca="1">IF($B$4=0,OFFSET(StateModDepletions_BL!W$5,$AM28,0),IF($B$4=1,OFFSET(StateModDepletions_BLNoRes!W$5,$AM28,0)))</f>
        <v>128885.95591147586</v>
      </c>
      <c r="X28" s="312">
        <f ca="1">IF($B$4=0,OFFSET(StateModDepletions_BL!X$5,$AM28,0),IF($B$4=1,OFFSET(StateModDepletions_BLNoRes!X$5,$AM28,0)))</f>
        <v>5123.8288842255315</v>
      </c>
      <c r="Y28" s="312">
        <f ca="1">IF($B$4=0,OFFSET(StateModDepletions_BL!Y$5,$AM28,0),IF($B$4=1,OFFSET(StateModDepletions_BLNoRes!Y$5,$AM28,0)))</f>
        <v>212.11356273293495</v>
      </c>
      <c r="Z28" s="312">
        <f ca="1">IF($B$4=0,OFFSET(StateModDepletions_BL!Z$5,$AM28,0),IF($B$4=1,OFFSET(StateModDepletions_BLNoRes!Z$5,$AM28,0)))</f>
        <v>201529.7941827774</v>
      </c>
      <c r="AA28" s="313">
        <f ca="1">IF($B$4=0,OFFSET(StateModDepletions_BL!AA$5,$AM28,0),IF($B$4=1,OFFSET(StateModDepletions_BLNoRes!AA$5,$AM28,0)))</f>
        <v>67307.895824343082</v>
      </c>
      <c r="AB28" s="314">
        <f ca="1">IF($B$4=0,OFFSET(StateModDepletions_BL!AB$5,$AM28,0),IF($B$4=1,OFFSET(StateModDepletions_BLNoRes!AB$5,$AM28,0)))</f>
        <v>24765.810481309891</v>
      </c>
      <c r="AC28" s="314">
        <f ca="1">IF($B$4=0,OFFSET(StateModDepletions_BL!AC$5,$AM28,0),IF($B$4=1,OFFSET(StateModDepletions_BLNoRes!AC$5,$AM28,0)))</f>
        <v>32423.320003986359</v>
      </c>
      <c r="AD28" s="314">
        <f ca="1">IF($B$4=0,OFFSET(StateModDepletions_BL!AD$5,$AM28,0),IF($B$4=1,OFFSET(StateModDepletions_BLNoRes!AD$5,$AM28,0)))</f>
        <v>17124.995652861893</v>
      </c>
      <c r="AE28" s="314">
        <f ca="1">IF($B$4=0,OFFSET(StateModDepletions_BL!AE$5,$AM28,0),IF($B$4=1,OFFSET(StateModDepletions_BLNoRes!AE$5,$AM28,0)))</f>
        <v>89706.845173746347</v>
      </c>
      <c r="AF28" s="314">
        <f ca="1">IF($B$4=0,OFFSET(StateModDepletions_BL!AF$5,$AM28,0),IF($B$4=1,OFFSET(StateModDepletions_BLNoRes!AF$5,$AM28,0)))</f>
        <v>18190.647304236885</v>
      </c>
      <c r="AG28" s="314">
        <f ca="1">IF($B$4=0,OFFSET(StateModDepletions_BL!AG$5,$AM28,0),IF($B$4=1,OFFSET(StateModDepletions_BLNoRes!AG$5,$AM28,0)))</f>
        <v>22827.280520840064</v>
      </c>
      <c r="AH28" s="314">
        <f ca="1">IF($B$4=0,OFFSET(StateModDepletions_BL!AH$5,$AM28,0),IF($B$4=1,OFFSET(StateModDepletions_BLNoRes!AH$5,$AM28,0)))</f>
        <v>10649.039202339947</v>
      </c>
      <c r="AI28" s="314">
        <f ca="1">IF($B$4=0,OFFSET(StateModDepletions_BL!AI$5,$AM28,0),IF($B$4=1,OFFSET(StateModDepletions_BLNoRes!AI$5,$AM28,0)))</f>
        <v>8142.1575579724376</v>
      </c>
      <c r="AJ28" s="315">
        <f ca="1">IF($B$4=0,OFFSET(StateModDepletions_BL!AJ$5,$AM28,0),IF($B$4=1,OFFSET(StateModDepletions_BLNoRes!AJ$5,$AM28,0)))</f>
        <v>134009.78479570139</v>
      </c>
      <c r="AK28" s="519">
        <f t="shared" si="4"/>
        <v>23</v>
      </c>
      <c r="AL28" s="519">
        <f t="shared" si="5"/>
        <v>1951</v>
      </c>
      <c r="AM28" s="519">
        <f>MATCH($AL28,StateModDepletions_BL!$A$6:$A$90,0)</f>
        <v>23</v>
      </c>
    </row>
    <row r="29" spans="1:39" x14ac:dyDescent="0.25">
      <c r="A29" s="519">
        <f t="shared" si="3"/>
        <v>1952</v>
      </c>
      <c r="B29" s="311">
        <f ca="1">IF($B$4=0,OFFSET(StateModDepletions_BL!B$5,$AM29,0),IF($B$4=1,OFFSET(StateModDepletions_BLNoRes!B$5,$AM29,0)))</f>
        <v>35943.856153957546</v>
      </c>
      <c r="C29" s="312">
        <f ca="1">IF($B$4=0,OFFSET(StateModDepletions_BL!C$5,$AM29,0),IF($B$4=1,OFFSET(StateModDepletions_BLNoRes!C$5,$AM29,0)))</f>
        <v>1026.0025346279144</v>
      </c>
      <c r="D29" s="312">
        <f ca="1">IF($B$4=0,OFFSET(StateModDepletions_BL!D$5,$AM29,0),IF($B$4=1,OFFSET(StateModDepletions_BLNoRes!D$5,$AM29,0)))</f>
        <v>155028.49816894531</v>
      </c>
      <c r="E29" s="312">
        <f ca="1">IF($B$4=0,OFFSET(StateModDepletions_BL!E$5,$AM29,0),IF($B$4=1,OFFSET(StateModDepletions_BLNoRes!E$5,$AM29,0)))</f>
        <v>2810.7051087617874</v>
      </c>
      <c r="F29" s="312">
        <f ca="1">IF($B$4=0,OFFSET(StateModDepletions_BL!F$5,$AM29,0),IF($B$4=1,OFFSET(StateModDepletions_BLNoRes!F$5,$AM29,0)))</f>
        <v>17467.8857229352</v>
      </c>
      <c r="G29" s="312">
        <f ca="1">IF($B$4=0,OFFSET(StateModDepletions_BL!G$5,$AM29,0),IF($B$4=1,OFFSET(StateModDepletions_BLNoRes!G$5,$AM29,0)))</f>
        <v>2036.5992698669434</v>
      </c>
      <c r="H29" s="312">
        <f ca="1">IF($B$4=0,OFFSET(StateModDepletions_BL!H$5,$AM29,0),IF($B$4=1,OFFSET(StateModDepletions_BLNoRes!H$5,$AM29,0)))</f>
        <v>2838.8627778291702</v>
      </c>
      <c r="I29" s="312">
        <f ca="1">IF($B$4=0,OFFSET(StateModDepletions_BL!I$5,$AM29,0),IF($B$4=1,OFFSET(StateModDepletions_BLNoRes!I$5,$AM29,0)))</f>
        <v>106876.31756443158</v>
      </c>
      <c r="J29" s="312">
        <f ca="1">IF($B$4=0,OFFSET(StateModDepletions_BL!J$5,$AM29,0),IF($B$4=1,OFFSET(StateModDepletions_BLNoRes!J$5,$AM29,0)))</f>
        <v>2562.5488212108612</v>
      </c>
      <c r="K29" s="312">
        <f ca="1">IF($B$4=0,OFFSET(StateModDepletions_BL!K$5,$AM29,0),IF($B$4=1,OFFSET(StateModDepletions_BLNoRes!K$5,$AM29,0)))</f>
        <v>19116.242594718933</v>
      </c>
      <c r="L29" s="312">
        <f ca="1">IF($B$4=0,OFFSET(StateModDepletions_BL!L$5,$AM29,0),IF($B$4=1,OFFSET(StateModDepletions_BLNoRes!L$5,$AM29,0)))</f>
        <v>16327.365285143274</v>
      </c>
      <c r="M29" s="312">
        <f ca="1">IF($B$4=0,OFFSET(StateModDepletions_BL!M$5,$AM29,0),IF($B$4=1,OFFSET(StateModDepletions_BLNoRes!M$5,$AM29,0)))</f>
        <v>1301.4240398406982</v>
      </c>
      <c r="N29" s="312">
        <f ca="1">IF($B$4=0,OFFSET(StateModDepletions_BL!N$5,$AM29,0),IF($B$4=1,OFFSET(StateModDepletions_BLNoRes!N$5,$AM29,0)))</f>
        <v>1326.6977829933167</v>
      </c>
      <c r="O29" s="312">
        <f ca="1">IF($B$4=0,OFFSET(StateModDepletions_BL!O$5,$AM29,0),IF($B$4=1,OFFSET(StateModDepletions_BLNoRes!O$5,$AM29,0)))</f>
        <v>47462.756666256566</v>
      </c>
      <c r="P29" s="312">
        <f ca="1">IF($B$4=0,OFFSET(StateModDepletions_BL!P$5,$AM29,0),IF($B$4=1,OFFSET(StateModDepletions_BLNoRes!P$5,$AM29,0)))</f>
        <v>518.25602221488953</v>
      </c>
      <c r="Q29" s="312">
        <f ca="1">IF($B$4=0,OFFSET(StateModDepletions_BL!Q$5,$AM29,0),IF($B$4=1,OFFSET(StateModDepletions_BLNoRes!Q$5,$AM29,0)))</f>
        <v>19561.840960398316</v>
      </c>
      <c r="R29" s="312">
        <f ca="1">IF($B$4=0,OFFSET(StateModDepletions_BL!R$5,$AM29,0),IF($B$4=1,OFFSET(StateModDepletions_BLNoRes!R$5,$AM29,0)))</f>
        <v>598.83215999603271</v>
      </c>
      <c r="S29" s="312">
        <f ca="1">IF($B$4=0,OFFSET(StateModDepletions_BL!S$5,$AM29,0),IF($B$4=1,OFFSET(StateModDepletions_BLNoRes!S$5,$AM29,0)))</f>
        <v>0</v>
      </c>
      <c r="T29" s="312">
        <f ca="1">IF($B$4=0,OFFSET(StateModDepletions_BL!T$5,$AM29,0),IF($B$4=1,OFFSET(StateModDepletions_BLNoRes!T$5,$AM29,0)))</f>
        <v>22426.789587594496</v>
      </c>
      <c r="U29" s="312">
        <f ca="1">IF($B$4=0,OFFSET(StateModDepletions_BL!U$5,$AM29,0),IF($B$4=1,OFFSET(StateModDepletions_BLNoRes!U$5,$AM29,0)))</f>
        <v>1538.1952003240585</v>
      </c>
      <c r="V29" s="312">
        <f ca="1">IF($B$4=0,OFFSET(StateModDepletions_BL!V$5,$AM29,0),IF($B$4=1,OFFSET(StateModDepletions_BLNoRes!V$5,$AM29,0)))</f>
        <v>13653.922734260559</v>
      </c>
      <c r="W29" s="312">
        <f ca="1">IF($B$4=0,OFFSET(StateModDepletions_BL!W$5,$AM29,0),IF($B$4=1,OFFSET(StateModDepletions_BLNoRes!W$5,$AM29,0)))</f>
        <v>145404.93223491654</v>
      </c>
      <c r="X29" s="312">
        <f ca="1">IF($B$4=0,OFFSET(StateModDepletions_BL!X$5,$AM29,0),IF($B$4=1,OFFSET(StateModDepletions_BLNoRes!X$5,$AM29,0)))</f>
        <v>5701.0801081098616</v>
      </c>
      <c r="Y29" s="312">
        <f ca="1">IF($B$4=0,OFFSET(StateModDepletions_BL!Y$5,$AM29,0),IF($B$4=1,OFFSET(StateModDepletions_BLNoRes!Y$5,$AM29,0)))</f>
        <v>212.11356273293495</v>
      </c>
      <c r="Z29" s="312">
        <f ca="1">IF($B$4=0,OFFSET(StateModDepletions_BL!Z$5,$AM29,0),IF($B$4=1,OFFSET(StateModDepletions_BLNoRes!Z$5,$AM29,0)))</f>
        <v>248878.65685224533</v>
      </c>
      <c r="AA29" s="313">
        <f ca="1">IF($B$4=0,OFFSET(StateModDepletions_BL!AA$5,$AM29,0),IF($B$4=1,OFFSET(StateModDepletions_BLNoRes!AA$5,$AM29,0)))</f>
        <v>97560.530946485989</v>
      </c>
      <c r="AB29" s="314">
        <f ca="1">IF($B$4=0,OFFSET(StateModDepletions_BL!AB$5,$AM29,0),IF($B$4=1,OFFSET(StateModDepletions_BLNoRes!AB$5,$AM29,0)))</f>
        <v>24765.810481309891</v>
      </c>
      <c r="AC29" s="314">
        <f ca="1">IF($B$4=0,OFFSET(StateModDepletions_BL!AC$5,$AM29,0),IF($B$4=1,OFFSET(StateModDepletions_BLNoRes!AC$5,$AM29,0)))</f>
        <v>36969.85868858546</v>
      </c>
      <c r="AD29" s="314">
        <f ca="1">IF($B$4=0,OFFSET(StateModDepletions_BL!AD$5,$AM29,0),IF($B$4=1,OFFSET(StateModDepletions_BLNoRes!AD$5,$AM29,0)))</f>
        <v>19504.484992802143</v>
      </c>
      <c r="AE29" s="314">
        <f ca="1">IF($B$4=0,OFFSET(StateModDepletions_BL!AE$5,$AM29,0),IF($B$4=1,OFFSET(StateModDepletions_BLNoRes!AE$5,$AM29,0)))</f>
        <v>109438.86638564244</v>
      </c>
      <c r="AF29" s="314">
        <f ca="1">IF($B$4=0,OFFSET(StateModDepletions_BL!AF$5,$AM29,0),IF($B$4=1,OFFSET(StateModDepletions_BLNoRes!AF$5,$AM29,0)))</f>
        <v>17628.789324983973</v>
      </c>
      <c r="AG29" s="314">
        <f ca="1">IF($B$4=0,OFFSET(StateModDepletions_BL!AG$5,$AM29,0),IF($B$4=1,OFFSET(StateModDepletions_BLNoRes!AG$5,$AM29,0)))</f>
        <v>47981.012688471455</v>
      </c>
      <c r="AH29" s="314">
        <f ca="1">IF($B$4=0,OFFSET(StateModDepletions_BL!AH$5,$AM29,0),IF($B$4=1,OFFSET(StateModDepletions_BLNoRes!AH$5,$AM29,0)))</f>
        <v>20160.673120394349</v>
      </c>
      <c r="AI29" s="314">
        <f ca="1">IF($B$4=0,OFFSET(StateModDepletions_BL!AI$5,$AM29,0),IF($B$4=1,OFFSET(StateModDepletions_BLNoRes!AI$5,$AM29,0)))</f>
        <v>23964.984787918555</v>
      </c>
      <c r="AJ29" s="315">
        <f ca="1">IF($B$4=0,OFFSET(StateModDepletions_BL!AJ$5,$AM29,0),IF($B$4=1,OFFSET(StateModDepletions_BLNoRes!AJ$5,$AM29,0)))</f>
        <v>151106.01234302641</v>
      </c>
      <c r="AK29" s="519">
        <f t="shared" si="4"/>
        <v>24</v>
      </c>
      <c r="AL29" s="519">
        <f t="shared" si="5"/>
        <v>1952</v>
      </c>
      <c r="AM29" s="519">
        <f>MATCH($AL29,StateModDepletions_BL!$A$6:$A$90,0)</f>
        <v>24</v>
      </c>
    </row>
    <row r="30" spans="1:39" x14ac:dyDescent="0.25">
      <c r="A30" s="519">
        <f t="shared" si="3"/>
        <v>1953</v>
      </c>
      <c r="B30" s="311">
        <f ca="1">IF($B$4=0,OFFSET(StateModDepletions_BL!B$5,$AM30,0),IF($B$4=1,OFFSET(StateModDepletions_BLNoRes!B$5,$AM30,0)))</f>
        <v>32550.885788820684</v>
      </c>
      <c r="C30" s="312">
        <f ca="1">IF($B$4=0,OFFSET(StateModDepletions_BL!C$5,$AM30,0),IF($B$4=1,OFFSET(StateModDepletions_BLNoRes!C$5,$AM30,0)))</f>
        <v>1026.0025346279144</v>
      </c>
      <c r="D30" s="312">
        <f ca="1">IF($B$4=0,OFFSET(StateModDepletions_BL!D$5,$AM30,0),IF($B$4=1,OFFSET(StateModDepletions_BLNoRes!D$5,$AM30,0)))</f>
        <v>58468.0283203125</v>
      </c>
      <c r="E30" s="312">
        <f ca="1">IF($B$4=0,OFFSET(StateModDepletions_BL!E$5,$AM30,0),IF($B$4=1,OFFSET(StateModDepletions_BLNoRes!E$5,$AM30,0)))</f>
        <v>2810.7051087617874</v>
      </c>
      <c r="F30" s="312">
        <f ca="1">IF($B$4=0,OFFSET(StateModDepletions_BL!F$5,$AM30,0),IF($B$4=1,OFFSET(StateModDepletions_BLNoRes!F$5,$AM30,0)))</f>
        <v>15702.739633738995</v>
      </c>
      <c r="G30" s="312">
        <f ca="1">IF($B$4=0,OFFSET(StateModDepletions_BL!G$5,$AM30,0),IF($B$4=1,OFFSET(StateModDepletions_BLNoRes!G$5,$AM30,0)))</f>
        <v>2036.5992698669434</v>
      </c>
      <c r="H30" s="312">
        <f ca="1">IF($B$4=0,OFFSET(StateModDepletions_BL!H$5,$AM30,0),IF($B$4=1,OFFSET(StateModDepletions_BLNoRes!H$5,$AM30,0)))</f>
        <v>2838.8627778291702</v>
      </c>
      <c r="I30" s="312">
        <f ca="1">IF($B$4=0,OFFSET(StateModDepletions_BL!I$5,$AM30,0),IF($B$4=1,OFFSET(StateModDepletions_BLNoRes!I$5,$AM30,0)))</f>
        <v>103408.25322274491</v>
      </c>
      <c r="J30" s="312">
        <f ca="1">IF($B$4=0,OFFSET(StateModDepletions_BL!J$5,$AM30,0),IF($B$4=1,OFFSET(StateModDepletions_BLNoRes!J$5,$AM30,0)))</f>
        <v>2543.2552964687347</v>
      </c>
      <c r="K30" s="312">
        <f ca="1">IF($B$4=0,OFFSET(StateModDepletions_BL!K$5,$AM30,0),IF($B$4=1,OFFSET(StateModDepletions_BLNoRes!K$5,$AM30,0)))</f>
        <v>19116.242594718933</v>
      </c>
      <c r="L30" s="312">
        <f ca="1">IF($B$4=0,OFFSET(StateModDepletions_BL!L$5,$AM30,0),IF($B$4=1,OFFSET(StateModDepletions_BLNoRes!L$5,$AM30,0)))</f>
        <v>15818.715610660613</v>
      </c>
      <c r="M30" s="312">
        <f ca="1">IF($B$4=0,OFFSET(StateModDepletions_BL!M$5,$AM30,0),IF($B$4=1,OFFSET(StateModDepletions_BLNoRes!M$5,$AM30,0)))</f>
        <v>1322.5819845199585</v>
      </c>
      <c r="N30" s="312">
        <f ca="1">IF($B$4=0,OFFSET(StateModDepletions_BL!N$5,$AM30,0),IF($B$4=1,OFFSET(StateModDepletions_BLNoRes!N$5,$AM30,0)))</f>
        <v>1326.6977829933167</v>
      </c>
      <c r="O30" s="312">
        <f ca="1">IF($B$4=0,OFFSET(StateModDepletions_BL!O$5,$AM30,0),IF($B$4=1,OFFSET(StateModDepletions_BLNoRes!O$5,$AM30,0)))</f>
        <v>32937.01824056216</v>
      </c>
      <c r="P30" s="312">
        <f ca="1">IF($B$4=0,OFFSET(StateModDepletions_BL!P$5,$AM30,0),IF($B$4=1,OFFSET(StateModDepletions_BLNoRes!P$5,$AM30,0)))</f>
        <v>326.69489049911499</v>
      </c>
      <c r="Q30" s="312">
        <f ca="1">IF($B$4=0,OFFSET(StateModDepletions_BL!Q$5,$AM30,0),IF($B$4=1,OFFSET(StateModDepletions_BLNoRes!Q$5,$AM30,0)))</f>
        <v>11708.845556557178</v>
      </c>
      <c r="R30" s="312">
        <f ca="1">IF($B$4=0,OFFSET(StateModDepletions_BL!R$5,$AM30,0),IF($B$4=1,OFFSET(StateModDepletions_BLNoRes!R$5,$AM30,0)))</f>
        <v>598.83215999603271</v>
      </c>
      <c r="S30" s="312">
        <f ca="1">IF($B$4=0,OFFSET(StateModDepletions_BL!S$5,$AM30,0),IF($B$4=1,OFFSET(StateModDepletions_BLNoRes!S$5,$AM30,0)))</f>
        <v>0</v>
      </c>
      <c r="T30" s="312">
        <f ca="1">IF($B$4=0,OFFSET(StateModDepletions_BL!T$5,$AM30,0),IF($B$4=1,OFFSET(StateModDepletions_BLNoRes!T$5,$AM30,0)))</f>
        <v>9295.3481613416225</v>
      </c>
      <c r="U30" s="312">
        <f ca="1">IF($B$4=0,OFFSET(StateModDepletions_BL!U$5,$AM30,0),IF($B$4=1,OFFSET(StateModDepletions_BLNoRes!U$5,$AM30,0)))</f>
        <v>1386.910815268755</v>
      </c>
      <c r="V30" s="312">
        <f ca="1">IF($B$4=0,OFFSET(StateModDepletions_BL!V$5,$AM30,0),IF($B$4=1,OFFSET(StateModDepletions_BLNoRes!V$5,$AM30,0)))</f>
        <v>8315.2823674678802</v>
      </c>
      <c r="W30" s="312">
        <f ca="1">IF($B$4=0,OFFSET(StateModDepletions_BL!W$5,$AM30,0),IF($B$4=1,OFFSET(StateModDepletions_BLNoRes!W$5,$AM30,0)))</f>
        <v>130908.19004777416</v>
      </c>
      <c r="X30" s="312">
        <f ca="1">IF($B$4=0,OFFSET(StateModDepletions_BL!X$5,$AM30,0),IF($B$4=1,OFFSET(StateModDepletions_BLNoRes!X$5,$AM30,0)))</f>
        <v>5716.637038756955</v>
      </c>
      <c r="Y30" s="312">
        <f ca="1">IF($B$4=0,OFFSET(StateModDepletions_BL!Y$5,$AM30,0),IF($B$4=1,OFFSET(StateModDepletions_BLNoRes!Y$5,$AM30,0)))</f>
        <v>212.11356273293495</v>
      </c>
      <c r="Z30" s="312">
        <f ca="1">IF($B$4=0,OFFSET(StateModDepletions_BL!Z$5,$AM30,0),IF($B$4=1,OFFSET(StateModDepletions_BLNoRes!Z$5,$AM30,0)))</f>
        <v>225266.81286621094</v>
      </c>
      <c r="AA30" s="313">
        <f ca="1">IF($B$4=0,OFFSET(StateModDepletions_BL!AA$5,$AM30,0),IF($B$4=1,OFFSET(StateModDepletions_BLNoRes!AA$5,$AM30,0)))</f>
        <v>88429.872216946882</v>
      </c>
      <c r="AB30" s="314">
        <f ca="1">IF($B$4=0,OFFSET(StateModDepletions_BL!AB$5,$AM30,0),IF($B$4=1,OFFSET(StateModDepletions_BLNoRes!AB$5,$AM30,0)))</f>
        <v>24765.810481309891</v>
      </c>
      <c r="AC30" s="314">
        <f ca="1">IF($B$4=0,OFFSET(StateModDepletions_BL!AC$5,$AM30,0),IF($B$4=1,OFFSET(StateModDepletions_BLNoRes!AC$5,$AM30,0)))</f>
        <v>33576.888323448598</v>
      </c>
      <c r="AD30" s="314">
        <f ca="1">IF($B$4=0,OFFSET(StateModDepletions_BL!AD$5,$AM30,0),IF($B$4=1,OFFSET(StateModDepletions_BLNoRes!AD$5,$AM30,0)))</f>
        <v>17739.338903605938</v>
      </c>
      <c r="AE30" s="314">
        <f ca="1">IF($B$4=0,OFFSET(StateModDepletions_BL!AE$5,$AM30,0),IF($B$4=1,OFFSET(StateModDepletions_BLNoRes!AE$5,$AM30,0)))</f>
        <v>105951.50851921365</v>
      </c>
      <c r="AF30" s="314">
        <f ca="1">IF($B$4=0,OFFSET(StateModDepletions_BL!AF$5,$AM30,0),IF($B$4=1,OFFSET(StateModDepletions_BLNoRes!AF$5,$AM30,0)))</f>
        <v>17141.297595180571</v>
      </c>
      <c r="AG30" s="314">
        <f ca="1">IF($B$4=0,OFFSET(StateModDepletions_BL!AG$5,$AM30,0),IF($B$4=1,OFFSET(StateModDepletions_BLNoRes!AG$5,$AM30,0)))</f>
        <v>33263.713131061275</v>
      </c>
      <c r="AH30" s="314">
        <f ca="1">IF($B$4=0,OFFSET(StateModDepletions_BL!AH$5,$AM30,0),IF($B$4=1,OFFSET(StateModDepletions_BLNoRes!AH$5,$AM30,0)))</f>
        <v>12307.677716553211</v>
      </c>
      <c r="AI30" s="314">
        <f ca="1">IF($B$4=0,OFFSET(StateModDepletions_BL!AI$5,$AM30,0),IF($B$4=1,OFFSET(StateModDepletions_BLNoRes!AI$5,$AM30,0)))</f>
        <v>10682.258976610377</v>
      </c>
      <c r="AJ30" s="315">
        <f ca="1">IF($B$4=0,OFFSET(StateModDepletions_BL!AJ$5,$AM30,0),IF($B$4=1,OFFSET(StateModDepletions_BLNoRes!AJ$5,$AM30,0)))</f>
        <v>136624.82708653112</v>
      </c>
      <c r="AK30" s="519">
        <f t="shared" si="4"/>
        <v>25</v>
      </c>
      <c r="AL30" s="519">
        <f t="shared" si="5"/>
        <v>1953</v>
      </c>
      <c r="AM30" s="519">
        <f>MATCH($AL30,StateModDepletions_BL!$A$6:$A$90,0)</f>
        <v>25</v>
      </c>
    </row>
    <row r="31" spans="1:39" x14ac:dyDescent="0.25">
      <c r="A31" s="519">
        <f t="shared" si="3"/>
        <v>1954</v>
      </c>
      <c r="B31" s="311">
        <f ca="1">IF($B$4=0,OFFSET(StateModDepletions_BL!B$5,$AM31,0),IF($B$4=1,OFFSET(StateModDepletions_BLNoRes!B$5,$AM31,0)))</f>
        <v>32824.006477668881</v>
      </c>
      <c r="C31" s="312">
        <f ca="1">IF($B$4=0,OFFSET(StateModDepletions_BL!C$5,$AM31,0),IF($B$4=1,OFFSET(StateModDepletions_BLNoRes!C$5,$AM31,0)))</f>
        <v>1026.0025346279144</v>
      </c>
      <c r="D31" s="312">
        <f ca="1">IF($B$4=0,OFFSET(StateModDepletions_BL!D$5,$AM31,0),IF($B$4=1,OFFSET(StateModDepletions_BLNoRes!D$5,$AM31,0)))</f>
        <v>49191.261489868164</v>
      </c>
      <c r="E31" s="312">
        <f ca="1">IF($B$4=0,OFFSET(StateModDepletions_BL!E$5,$AM31,0),IF($B$4=1,OFFSET(StateModDepletions_BLNoRes!E$5,$AM31,0)))</f>
        <v>2810.7051087617874</v>
      </c>
      <c r="F31" s="312">
        <f ca="1">IF($B$4=0,OFFSET(StateModDepletions_BL!F$5,$AM31,0),IF($B$4=1,OFFSET(StateModDepletions_BLNoRes!F$5,$AM31,0)))</f>
        <v>16567.288561552763</v>
      </c>
      <c r="G31" s="312">
        <f ca="1">IF($B$4=0,OFFSET(StateModDepletions_BL!G$5,$AM31,0),IF($B$4=1,OFFSET(StateModDepletions_BLNoRes!G$5,$AM31,0)))</f>
        <v>2036.5992698669434</v>
      </c>
      <c r="H31" s="312">
        <f ca="1">IF($B$4=0,OFFSET(StateModDepletions_BL!H$5,$AM31,0),IF($B$4=1,OFFSET(StateModDepletions_BLNoRes!H$5,$AM31,0)))</f>
        <v>2838.8627778291702</v>
      </c>
      <c r="I31" s="312">
        <f ca="1">IF($B$4=0,OFFSET(StateModDepletions_BL!I$5,$AM31,0),IF($B$4=1,OFFSET(StateModDepletions_BLNoRes!I$5,$AM31,0)))</f>
        <v>101309.91823638976</v>
      </c>
      <c r="J31" s="312">
        <f ca="1">IF($B$4=0,OFFSET(StateModDepletions_BL!J$5,$AM31,0),IF($B$4=1,OFFSET(StateModDepletions_BLNoRes!J$5,$AM31,0)))</f>
        <v>2386.6363618373871</v>
      </c>
      <c r="K31" s="312">
        <f ca="1">IF($B$4=0,OFFSET(StateModDepletions_BL!K$5,$AM31,0),IF($B$4=1,OFFSET(StateModDepletions_BLNoRes!K$5,$AM31,0)))</f>
        <v>19116.242594718933</v>
      </c>
      <c r="L31" s="312">
        <f ca="1">IF($B$4=0,OFFSET(StateModDepletions_BL!L$5,$AM31,0),IF($B$4=1,OFFSET(StateModDepletions_BLNoRes!L$5,$AM31,0)))</f>
        <v>15727.066177241486</v>
      </c>
      <c r="M31" s="312">
        <f ca="1">IF($B$4=0,OFFSET(StateModDepletions_BL!M$5,$AM31,0),IF($B$4=1,OFFSET(StateModDepletions_BLNoRes!M$5,$AM31,0)))</f>
        <v>1422.4178252220154</v>
      </c>
      <c r="N31" s="312">
        <f ca="1">IF($B$4=0,OFFSET(StateModDepletions_BL!N$5,$AM31,0),IF($B$4=1,OFFSET(StateModDepletions_BLNoRes!N$5,$AM31,0)))</f>
        <v>1326.6977829933167</v>
      </c>
      <c r="O31" s="312">
        <f ca="1">IF($B$4=0,OFFSET(StateModDepletions_BL!O$5,$AM31,0),IF($B$4=1,OFFSET(StateModDepletions_BLNoRes!O$5,$AM31,0)))</f>
        <v>31936.325594289672</v>
      </c>
      <c r="P31" s="312">
        <f ca="1">IF($B$4=0,OFFSET(StateModDepletions_BL!P$5,$AM31,0),IF($B$4=1,OFFSET(StateModDepletions_BLNoRes!P$5,$AM31,0)))</f>
        <v>313.34165453910828</v>
      </c>
      <c r="Q31" s="312">
        <f ca="1">IF($B$4=0,OFFSET(StateModDepletions_BL!Q$5,$AM31,0),IF($B$4=1,OFFSET(StateModDepletions_BLNoRes!Q$5,$AM31,0)))</f>
        <v>9660.2490800768137</v>
      </c>
      <c r="R31" s="312">
        <f ca="1">IF($B$4=0,OFFSET(StateModDepletions_BL!R$5,$AM31,0),IF($B$4=1,OFFSET(StateModDepletions_BLNoRes!R$5,$AM31,0)))</f>
        <v>598.83215999603271</v>
      </c>
      <c r="S31" s="312">
        <f ca="1">IF($B$4=0,OFFSET(StateModDepletions_BL!S$5,$AM31,0),IF($B$4=1,OFFSET(StateModDepletions_BLNoRes!S$5,$AM31,0)))</f>
        <v>0</v>
      </c>
      <c r="T31" s="312">
        <f ca="1">IF($B$4=0,OFFSET(StateModDepletions_BL!T$5,$AM31,0),IF($B$4=1,OFFSET(StateModDepletions_BLNoRes!T$5,$AM31,0)))</f>
        <v>10076.136350274906</v>
      </c>
      <c r="U31" s="312">
        <f ca="1">IF($B$4=0,OFFSET(StateModDepletions_BL!U$5,$AM31,0),IF($B$4=1,OFFSET(StateModDepletions_BLNoRes!U$5,$AM31,0)))</f>
        <v>1404.1277987865105</v>
      </c>
      <c r="V31" s="312">
        <f ca="1">IF($B$4=0,OFFSET(StateModDepletions_BL!V$5,$AM31,0),IF($B$4=1,OFFSET(StateModDepletions_BLNoRes!V$5,$AM31,0)))</f>
        <v>8716.5977029800415</v>
      </c>
      <c r="W31" s="312">
        <f ca="1">IF($B$4=0,OFFSET(StateModDepletions_BL!W$5,$AM31,0),IF($B$4=1,OFFSET(StateModDepletions_BLNoRes!W$5,$AM31,0)))</f>
        <v>134729.36573171959</v>
      </c>
      <c r="X31" s="312">
        <f ca="1">IF($B$4=0,OFFSET(StateModDepletions_BL!X$5,$AM31,0),IF($B$4=1,OFFSET(StateModDepletions_BLNoRes!X$5,$AM31,0)))</f>
        <v>5678.9337385669351</v>
      </c>
      <c r="Y31" s="312">
        <f ca="1">IF($B$4=0,OFFSET(StateModDepletions_BL!Y$5,$AM31,0),IF($B$4=1,OFFSET(StateModDepletions_BLNoRes!Y$5,$AM31,0)))</f>
        <v>212.11356273293495</v>
      </c>
      <c r="Z31" s="312">
        <f ca="1">IF($B$4=0,OFFSET(StateModDepletions_BL!Z$5,$AM31,0),IF($B$4=1,OFFSET(StateModDepletions_BLNoRes!Z$5,$AM31,0)))</f>
        <v>240840.89907646179</v>
      </c>
      <c r="AA31" s="313">
        <f ca="1">IF($B$4=0,OFFSET(StateModDepletions_BL!AA$5,$AM31,0),IF($B$4=1,OFFSET(StateModDepletions_BLNoRes!AA$5,$AM31,0)))</f>
        <v>100220.48604344233</v>
      </c>
      <c r="AB31" s="314">
        <f ca="1">IF($B$4=0,OFFSET(StateModDepletions_BL!AB$5,$AM31,0),IF($B$4=1,OFFSET(StateModDepletions_BLNoRes!AB$5,$AM31,0)))</f>
        <v>24765.810481309891</v>
      </c>
      <c r="AC31" s="314">
        <f ca="1">IF($B$4=0,OFFSET(StateModDepletions_BL!AC$5,$AM31,0),IF($B$4=1,OFFSET(StateModDepletions_BLNoRes!AC$5,$AM31,0)))</f>
        <v>33850.009012296796</v>
      </c>
      <c r="AD31" s="314">
        <f ca="1">IF($B$4=0,OFFSET(StateModDepletions_BL!AD$5,$AM31,0),IF($B$4=1,OFFSET(StateModDepletions_BLNoRes!AD$5,$AM31,0)))</f>
        <v>18603.887831419706</v>
      </c>
      <c r="AE31" s="314">
        <f ca="1">IF($B$4=0,OFFSET(StateModDepletions_BL!AE$5,$AM31,0),IF($B$4=1,OFFSET(StateModDepletions_BLNoRes!AE$5,$AM31,0)))</f>
        <v>103696.55459822714</v>
      </c>
      <c r="AF31" s="314">
        <f ca="1">IF($B$4=0,OFFSET(StateModDepletions_BL!AF$5,$AM31,0),IF($B$4=1,OFFSET(StateModDepletions_BLNoRes!AF$5,$AM31,0)))</f>
        <v>17149.484002463501</v>
      </c>
      <c r="AG31" s="314">
        <f ca="1">IF($B$4=0,OFFSET(StateModDepletions_BL!AG$5,$AM31,0),IF($B$4=1,OFFSET(StateModDepletions_BLNoRes!AG$5,$AM31,0)))</f>
        <v>32249.66724882878</v>
      </c>
      <c r="AH31" s="314">
        <f ca="1">IF($B$4=0,OFFSET(StateModDepletions_BL!AH$5,$AM31,0),IF($B$4=1,OFFSET(StateModDepletions_BLNoRes!AH$5,$AM31,0)))</f>
        <v>10259.081240072846</v>
      </c>
      <c r="AI31" s="314">
        <f ca="1">IF($B$4=0,OFFSET(StateModDepletions_BL!AI$5,$AM31,0),IF($B$4=1,OFFSET(StateModDepletions_BLNoRes!AI$5,$AM31,0)))</f>
        <v>11480.264149061417</v>
      </c>
      <c r="AJ31" s="315">
        <f ca="1">IF($B$4=0,OFFSET(StateModDepletions_BL!AJ$5,$AM31,0),IF($B$4=1,OFFSET(StateModDepletions_BLNoRes!AJ$5,$AM31,0)))</f>
        <v>140408.29947028653</v>
      </c>
      <c r="AK31" s="519">
        <f t="shared" si="4"/>
        <v>26</v>
      </c>
      <c r="AL31" s="519">
        <f t="shared" si="5"/>
        <v>1954</v>
      </c>
      <c r="AM31" s="519">
        <f>MATCH($AL31,StateModDepletions_BL!$A$6:$A$90,0)</f>
        <v>26</v>
      </c>
    </row>
    <row r="32" spans="1:39" x14ac:dyDescent="0.25">
      <c r="A32" s="519">
        <f t="shared" si="3"/>
        <v>1955</v>
      </c>
      <c r="B32" s="311">
        <f ca="1">IF($B$4=0,OFFSET(StateModDepletions_BL!B$5,$AM32,0),IF($B$4=1,OFFSET(StateModDepletions_BLNoRes!B$5,$AM32,0)))</f>
        <v>32342.375977270305</v>
      </c>
      <c r="C32" s="312">
        <f ca="1">IF($B$4=0,OFFSET(StateModDepletions_BL!C$5,$AM32,0),IF($B$4=1,OFFSET(StateModDepletions_BLNoRes!C$5,$AM32,0)))</f>
        <v>1026.0025346279144</v>
      </c>
      <c r="D32" s="312">
        <f ca="1">IF($B$4=0,OFFSET(StateModDepletions_BL!D$5,$AM32,0),IF($B$4=1,OFFSET(StateModDepletions_BLNoRes!D$5,$AM32,0)))</f>
        <v>46107.563781738281</v>
      </c>
      <c r="E32" s="312">
        <f ca="1">IF($B$4=0,OFFSET(StateModDepletions_BL!E$5,$AM32,0),IF($B$4=1,OFFSET(StateModDepletions_BLNoRes!E$5,$AM32,0)))</f>
        <v>2810.7051087617874</v>
      </c>
      <c r="F32" s="312">
        <f ca="1">IF($B$4=0,OFFSET(StateModDepletions_BL!F$5,$AM32,0),IF($B$4=1,OFFSET(StateModDepletions_BLNoRes!F$5,$AM32,0)))</f>
        <v>15898.799339320511</v>
      </c>
      <c r="G32" s="312">
        <f ca="1">IF($B$4=0,OFFSET(StateModDepletions_BL!G$5,$AM32,0),IF($B$4=1,OFFSET(StateModDepletions_BLNoRes!G$5,$AM32,0)))</f>
        <v>2036.5992698669434</v>
      </c>
      <c r="H32" s="312">
        <f ca="1">IF($B$4=0,OFFSET(StateModDepletions_BL!H$5,$AM32,0),IF($B$4=1,OFFSET(StateModDepletions_BLNoRes!H$5,$AM32,0)))</f>
        <v>2838.8627778291702</v>
      </c>
      <c r="I32" s="312">
        <f ca="1">IF($B$4=0,OFFSET(StateModDepletions_BL!I$5,$AM32,0),IF($B$4=1,OFFSET(StateModDepletions_BLNoRes!I$5,$AM32,0)))</f>
        <v>102468.80279185995</v>
      </c>
      <c r="J32" s="312">
        <f ca="1">IF($B$4=0,OFFSET(StateModDepletions_BL!J$5,$AM32,0),IF($B$4=1,OFFSET(StateModDepletions_BLNoRes!J$5,$AM32,0)))</f>
        <v>2602.7169091701508</v>
      </c>
      <c r="K32" s="312">
        <f ca="1">IF($B$4=0,OFFSET(StateModDepletions_BL!K$5,$AM32,0),IF($B$4=1,OFFSET(StateModDepletions_BLNoRes!K$5,$AM32,0)))</f>
        <v>19116.242594718933</v>
      </c>
      <c r="L32" s="312">
        <f ca="1">IF($B$4=0,OFFSET(StateModDepletions_BL!L$5,$AM32,0),IF($B$4=1,OFFSET(StateModDepletions_BLNoRes!L$5,$AM32,0)))</f>
        <v>16059.633210785691</v>
      </c>
      <c r="M32" s="312">
        <f ca="1">IF($B$4=0,OFFSET(StateModDepletions_BL!M$5,$AM32,0),IF($B$4=1,OFFSET(StateModDepletions_BLNoRes!M$5,$AM32,0)))</f>
        <v>1307.7977366447449</v>
      </c>
      <c r="N32" s="312">
        <f ca="1">IF($B$4=0,OFFSET(StateModDepletions_BL!N$5,$AM32,0),IF($B$4=1,OFFSET(StateModDepletions_BLNoRes!N$5,$AM32,0)))</f>
        <v>1326.6977829933167</v>
      </c>
      <c r="O32" s="312">
        <f ca="1">IF($B$4=0,OFFSET(StateModDepletions_BL!O$5,$AM32,0),IF($B$4=1,OFFSET(StateModDepletions_BLNoRes!O$5,$AM32,0)))</f>
        <v>30005.861730037701</v>
      </c>
      <c r="P32" s="312">
        <f ca="1">IF($B$4=0,OFFSET(StateModDepletions_BL!P$5,$AM32,0),IF($B$4=1,OFFSET(StateModDepletions_BLNoRes!P$5,$AM32,0)))</f>
        <v>313.48513579368591</v>
      </c>
      <c r="Q32" s="312">
        <f ca="1">IF($B$4=0,OFFSET(StateModDepletions_BL!Q$5,$AM32,0),IF($B$4=1,OFFSET(StateModDepletions_BLNoRes!Q$5,$AM32,0)))</f>
        <v>11210.242236450315</v>
      </c>
      <c r="R32" s="312">
        <f ca="1">IF($B$4=0,OFFSET(StateModDepletions_BL!R$5,$AM32,0),IF($B$4=1,OFFSET(StateModDepletions_BLNoRes!R$5,$AM32,0)))</f>
        <v>598.83215999603271</v>
      </c>
      <c r="S32" s="312">
        <f ca="1">IF($B$4=0,OFFSET(StateModDepletions_BL!S$5,$AM32,0),IF($B$4=1,OFFSET(StateModDepletions_BLNoRes!S$5,$AM32,0)))</f>
        <v>0</v>
      </c>
      <c r="T32" s="312">
        <f ca="1">IF($B$4=0,OFFSET(StateModDepletions_BL!T$5,$AM32,0),IF($B$4=1,OFFSET(StateModDepletions_BLNoRes!T$5,$AM32,0)))</f>
        <v>9473.6668604769566</v>
      </c>
      <c r="U32" s="312">
        <f ca="1">IF($B$4=0,OFFSET(StateModDepletions_BL!U$5,$AM32,0),IF($B$4=1,OFFSET(StateModDepletions_BLNoRes!U$5,$AM32,0)))</f>
        <v>1411.7931905369169</v>
      </c>
      <c r="V32" s="312">
        <f ca="1">IF($B$4=0,OFFSET(StateModDepletions_BL!V$5,$AM32,0),IF($B$4=1,OFFSET(StateModDepletions_BLNoRes!V$5,$AM32,0)))</f>
        <v>10876.080883979797</v>
      </c>
      <c r="W32" s="312">
        <f ca="1">IF($B$4=0,OFFSET(StateModDepletions_BL!W$5,$AM32,0),IF($B$4=1,OFFSET(StateModDepletions_BLNoRes!W$5,$AM32,0)))</f>
        <v>117427.52425679906</v>
      </c>
      <c r="X32" s="312">
        <f ca="1">IF($B$4=0,OFFSET(StateModDepletions_BL!X$5,$AM32,0),IF($B$4=1,OFFSET(StateModDepletions_BLNoRes!X$5,$AM32,0)))</f>
        <v>5635.5598104481687</v>
      </c>
      <c r="Y32" s="312">
        <f ca="1">IF($B$4=0,OFFSET(StateModDepletions_BL!Y$5,$AM32,0),IF($B$4=1,OFFSET(StateModDepletions_BLNoRes!Y$5,$AM32,0)))</f>
        <v>212.11356273293495</v>
      </c>
      <c r="Z32" s="312">
        <f ca="1">IF($B$4=0,OFFSET(StateModDepletions_BL!Z$5,$AM32,0),IF($B$4=1,OFFSET(StateModDepletions_BLNoRes!Z$5,$AM32,0)))</f>
        <v>215498.89399719238</v>
      </c>
      <c r="AA32" s="313">
        <f ca="1">IF($B$4=0,OFFSET(StateModDepletions_BL!AA$5,$AM32,0),IF($B$4=1,OFFSET(StateModDepletions_BLNoRes!AA$5,$AM32,0)))</f>
        <v>92223.696367212222</v>
      </c>
      <c r="AB32" s="314">
        <f ca="1">IF($B$4=0,OFFSET(StateModDepletions_BL!AB$5,$AM32,0),IF($B$4=1,OFFSET(StateModDepletions_BLNoRes!AB$5,$AM32,0)))</f>
        <v>24765.810481309891</v>
      </c>
      <c r="AC32" s="314">
        <f ca="1">IF($B$4=0,OFFSET(StateModDepletions_BL!AC$5,$AM32,0),IF($B$4=1,OFFSET(StateModDepletions_BLNoRes!AC$5,$AM32,0)))</f>
        <v>33368.37851189822</v>
      </c>
      <c r="AD32" s="314">
        <f ca="1">IF($B$4=0,OFFSET(StateModDepletions_BL!AD$5,$AM32,0),IF($B$4=1,OFFSET(StateModDepletions_BLNoRes!AD$5,$AM32,0)))</f>
        <v>17935.398609187454</v>
      </c>
      <c r="AE32" s="314">
        <f ca="1">IF($B$4=0,OFFSET(StateModDepletions_BL!AE$5,$AM32,0),IF($B$4=1,OFFSET(StateModDepletions_BLNoRes!AE$5,$AM32,0)))</f>
        <v>105071.51970103011</v>
      </c>
      <c r="AF32" s="314">
        <f ca="1">IF($B$4=0,OFFSET(StateModDepletions_BL!AF$5,$AM32,0),IF($B$4=1,OFFSET(StateModDepletions_BLNoRes!AF$5,$AM32,0)))</f>
        <v>17367.430947430435</v>
      </c>
      <c r="AG32" s="314">
        <f ca="1">IF($B$4=0,OFFSET(StateModDepletions_BL!AG$5,$AM32,0),IF($B$4=1,OFFSET(StateModDepletions_BLNoRes!AG$5,$AM32,0)))</f>
        <v>30319.346865831387</v>
      </c>
      <c r="AH32" s="314">
        <f ca="1">IF($B$4=0,OFFSET(StateModDepletions_BL!AH$5,$AM32,0),IF($B$4=1,OFFSET(StateModDepletions_BLNoRes!AH$5,$AM32,0)))</f>
        <v>11809.074396446347</v>
      </c>
      <c r="AI32" s="314">
        <f ca="1">IF($B$4=0,OFFSET(StateModDepletions_BL!AI$5,$AM32,0),IF($B$4=1,OFFSET(StateModDepletions_BLNoRes!AI$5,$AM32,0)))</f>
        <v>10885.460051013873</v>
      </c>
      <c r="AJ32" s="315">
        <f ca="1">IF($B$4=0,OFFSET(StateModDepletions_BL!AJ$5,$AM32,0),IF($B$4=1,OFFSET(StateModDepletions_BLNoRes!AJ$5,$AM32,0)))</f>
        <v>123063.08406724723</v>
      </c>
      <c r="AK32" s="519">
        <f t="shared" si="4"/>
        <v>27</v>
      </c>
      <c r="AL32" s="519">
        <f t="shared" si="5"/>
        <v>1955</v>
      </c>
      <c r="AM32" s="519">
        <f>MATCH($AL32,StateModDepletions_BL!$A$6:$A$90,0)</f>
        <v>27</v>
      </c>
    </row>
    <row r="33" spans="1:39" x14ac:dyDescent="0.25">
      <c r="A33" s="519">
        <f t="shared" si="3"/>
        <v>1956</v>
      </c>
      <c r="B33" s="311">
        <f ca="1">IF($B$4=0,OFFSET(StateModDepletions_BL!B$5,$AM33,0),IF($B$4=1,OFFSET(StateModDepletions_BLNoRes!B$5,$AM33,0)))</f>
        <v>32405.807645309716</v>
      </c>
      <c r="C33" s="312">
        <f ca="1">IF($B$4=0,OFFSET(StateModDepletions_BL!C$5,$AM33,0),IF($B$4=1,OFFSET(StateModDepletions_BLNoRes!C$5,$AM33,0)))</f>
        <v>1026.0025346279144</v>
      </c>
      <c r="D33" s="312">
        <f ca="1">IF($B$4=0,OFFSET(StateModDepletions_BL!D$5,$AM33,0),IF($B$4=1,OFFSET(StateModDepletions_BLNoRes!D$5,$AM33,0)))</f>
        <v>56676.412353515625</v>
      </c>
      <c r="E33" s="312">
        <f ca="1">IF($B$4=0,OFFSET(StateModDepletions_BL!E$5,$AM33,0),IF($B$4=1,OFFSET(StateModDepletions_BLNoRes!E$5,$AM33,0)))</f>
        <v>2810.7051087617874</v>
      </c>
      <c r="F33" s="312">
        <f ca="1">IF($B$4=0,OFFSET(StateModDepletions_BL!F$5,$AM33,0),IF($B$4=1,OFFSET(StateModDepletions_BLNoRes!F$5,$AM33,0)))</f>
        <v>15621.842332586646</v>
      </c>
      <c r="G33" s="312">
        <f ca="1">IF($B$4=0,OFFSET(StateModDepletions_BL!G$5,$AM33,0),IF($B$4=1,OFFSET(StateModDepletions_BLNoRes!G$5,$AM33,0)))</f>
        <v>2036.5992698669434</v>
      </c>
      <c r="H33" s="312">
        <f ca="1">IF($B$4=0,OFFSET(StateModDepletions_BL!H$5,$AM33,0),IF($B$4=1,OFFSET(StateModDepletions_BLNoRes!H$5,$AM33,0)))</f>
        <v>2838.8627778291702</v>
      </c>
      <c r="I33" s="312">
        <f ca="1">IF($B$4=0,OFFSET(StateModDepletions_BL!I$5,$AM33,0),IF($B$4=1,OFFSET(StateModDepletions_BLNoRes!I$5,$AM33,0)))</f>
        <v>113647.51011633128</v>
      </c>
      <c r="J33" s="312">
        <f ca="1">IF($B$4=0,OFFSET(StateModDepletions_BL!J$5,$AM33,0),IF($B$4=1,OFFSET(StateModDepletions_BLNoRes!J$5,$AM33,0)))</f>
        <v>2608.8834187984467</v>
      </c>
      <c r="K33" s="312">
        <f ca="1">IF($B$4=0,OFFSET(StateModDepletions_BL!K$5,$AM33,0),IF($B$4=1,OFFSET(StateModDepletions_BLNoRes!K$5,$AM33,0)))</f>
        <v>19116.242594718933</v>
      </c>
      <c r="L33" s="312">
        <f ca="1">IF($B$4=0,OFFSET(StateModDepletions_BL!L$5,$AM33,0),IF($B$4=1,OFFSET(StateModDepletions_BLNoRes!L$5,$AM33,0)))</f>
        <v>18232.466757401817</v>
      </c>
      <c r="M33" s="312">
        <f ca="1">IF($B$4=0,OFFSET(StateModDepletions_BL!M$5,$AM33,0),IF($B$4=1,OFFSET(StateModDepletions_BLNoRes!M$5,$AM33,0)))</f>
        <v>1371.3970828056335</v>
      </c>
      <c r="N33" s="312">
        <f ca="1">IF($B$4=0,OFFSET(StateModDepletions_BL!N$5,$AM33,0),IF($B$4=1,OFFSET(StateModDepletions_BLNoRes!N$5,$AM33,0)))</f>
        <v>1326.6977829933167</v>
      </c>
      <c r="O33" s="312">
        <f ca="1">IF($B$4=0,OFFSET(StateModDepletions_BL!O$5,$AM33,0),IF($B$4=1,OFFSET(StateModDepletions_BLNoRes!O$5,$AM33,0)))</f>
        <v>27144.165951116458</v>
      </c>
      <c r="P33" s="312">
        <f ca="1">IF($B$4=0,OFFSET(StateModDepletions_BL!P$5,$AM33,0),IF($B$4=1,OFFSET(StateModDepletions_BLNoRes!P$5,$AM33,0)))</f>
        <v>303.62273526191711</v>
      </c>
      <c r="Q33" s="312">
        <f ca="1">IF($B$4=0,OFFSET(StateModDepletions_BL!Q$5,$AM33,0),IF($B$4=1,OFFSET(StateModDepletions_BLNoRes!Q$5,$AM33,0)))</f>
        <v>11010.946844130754</v>
      </c>
      <c r="R33" s="312">
        <f ca="1">IF($B$4=0,OFFSET(StateModDepletions_BL!R$5,$AM33,0),IF($B$4=1,OFFSET(StateModDepletions_BLNoRes!R$5,$AM33,0)))</f>
        <v>598.83215999603271</v>
      </c>
      <c r="S33" s="312">
        <f ca="1">IF($B$4=0,OFFSET(StateModDepletions_BL!S$5,$AM33,0),IF($B$4=1,OFFSET(StateModDepletions_BLNoRes!S$5,$AM33,0)))</f>
        <v>0</v>
      </c>
      <c r="T33" s="312">
        <f ca="1">IF($B$4=0,OFFSET(StateModDepletions_BL!T$5,$AM33,0),IF($B$4=1,OFFSET(StateModDepletions_BLNoRes!T$5,$AM33,0)))</f>
        <v>10760.28426789621</v>
      </c>
      <c r="U33" s="312">
        <f ca="1">IF($B$4=0,OFFSET(StateModDepletions_BL!U$5,$AM33,0),IF($B$4=1,OFFSET(StateModDepletions_BLNoRes!U$5,$AM33,0)))</f>
        <v>1420.9431223273277</v>
      </c>
      <c r="V33" s="312">
        <f ca="1">IF($B$4=0,OFFSET(StateModDepletions_BL!V$5,$AM33,0),IF($B$4=1,OFFSET(StateModDepletions_BLNoRes!V$5,$AM33,0)))</f>
        <v>8135.2251586914063</v>
      </c>
      <c r="W33" s="312">
        <f ca="1">IF($B$4=0,OFFSET(StateModDepletions_BL!W$5,$AM33,0),IF($B$4=1,OFFSET(StateModDepletions_BLNoRes!W$5,$AM33,0)))</f>
        <v>114084.41693088754</v>
      </c>
      <c r="X33" s="312">
        <f ca="1">IF($B$4=0,OFFSET(StateModDepletions_BL!X$5,$AM33,0),IF($B$4=1,OFFSET(StateModDepletions_BLNoRes!X$5,$AM33,0)))</f>
        <v>5542.4217932387837</v>
      </c>
      <c r="Y33" s="312">
        <f ca="1">IF($B$4=0,OFFSET(StateModDepletions_BL!Y$5,$AM33,0),IF($B$4=1,OFFSET(StateModDepletions_BLNoRes!Y$5,$AM33,0)))</f>
        <v>212.11356273293495</v>
      </c>
      <c r="Z33" s="312">
        <f ca="1">IF($B$4=0,OFFSET(StateModDepletions_BL!Z$5,$AM33,0),IF($B$4=1,OFFSET(StateModDepletions_BLNoRes!Z$5,$AM33,0)))</f>
        <v>211346.36829090118</v>
      </c>
      <c r="AA33" s="313">
        <f ca="1">IF($B$4=0,OFFSET(StateModDepletions_BL!AA$5,$AM33,0),IF($B$4=1,OFFSET(StateModDepletions_BLNoRes!AA$5,$AM33,0)))</f>
        <v>91507.416004041923</v>
      </c>
      <c r="AB33" s="314">
        <f ca="1">IF($B$4=0,OFFSET(StateModDepletions_BL!AB$5,$AM33,0),IF($B$4=1,OFFSET(StateModDepletions_BLNoRes!AB$5,$AM33,0)))</f>
        <v>24765.810481309891</v>
      </c>
      <c r="AC33" s="314">
        <f ca="1">IF($B$4=0,OFFSET(StateModDepletions_BL!AC$5,$AM33,0),IF($B$4=1,OFFSET(StateModDepletions_BLNoRes!AC$5,$AM33,0)))</f>
        <v>33431.810179937631</v>
      </c>
      <c r="AD33" s="314">
        <f ca="1">IF($B$4=0,OFFSET(StateModDepletions_BL!AD$5,$AM33,0),IF($B$4=1,OFFSET(StateModDepletions_BLNoRes!AD$5,$AM33,0)))</f>
        <v>17658.441602453589</v>
      </c>
      <c r="AE33" s="314">
        <f ca="1">IF($B$4=0,OFFSET(StateModDepletions_BL!AE$5,$AM33,0),IF($B$4=1,OFFSET(StateModDepletions_BLNoRes!AE$5,$AM33,0)))</f>
        <v>116256.39353512973</v>
      </c>
      <c r="AF33" s="314">
        <f ca="1">IF($B$4=0,OFFSET(StateModDepletions_BL!AF$5,$AM33,0),IF($B$4=1,OFFSET(StateModDepletions_BLNoRes!AF$5,$AM33,0)))</f>
        <v>19603.86384020745</v>
      </c>
      <c r="AG33" s="314">
        <f ca="1">IF($B$4=0,OFFSET(StateModDepletions_BL!AG$5,$AM33,0),IF($B$4=1,OFFSET(StateModDepletions_BLNoRes!AG$5,$AM33,0)))</f>
        <v>27447.788686378375</v>
      </c>
      <c r="AH33" s="314">
        <f ca="1">IF($B$4=0,OFFSET(StateModDepletions_BL!AH$5,$AM33,0),IF($B$4=1,OFFSET(StateModDepletions_BLNoRes!AH$5,$AM33,0)))</f>
        <v>11609.779004126787</v>
      </c>
      <c r="AI33" s="314">
        <f ca="1">IF($B$4=0,OFFSET(StateModDepletions_BL!AI$5,$AM33,0),IF($B$4=1,OFFSET(StateModDepletions_BLNoRes!AI$5,$AM33,0)))</f>
        <v>12181.227390223537</v>
      </c>
      <c r="AJ33" s="315">
        <f ca="1">IF($B$4=0,OFFSET(StateModDepletions_BL!AJ$5,$AM33,0),IF($B$4=1,OFFSET(StateModDepletions_BLNoRes!AJ$5,$AM33,0)))</f>
        <v>119626.83872412633</v>
      </c>
      <c r="AK33" s="519">
        <f t="shared" si="4"/>
        <v>28</v>
      </c>
      <c r="AL33" s="519">
        <f t="shared" si="5"/>
        <v>1956</v>
      </c>
      <c r="AM33" s="519">
        <f>MATCH($AL33,StateModDepletions_BL!$A$6:$A$90,0)</f>
        <v>28</v>
      </c>
    </row>
    <row r="34" spans="1:39" x14ac:dyDescent="0.25">
      <c r="A34" s="519">
        <f t="shared" si="3"/>
        <v>1957</v>
      </c>
      <c r="B34" s="311">
        <f ca="1">IF($B$4=0,OFFSET(StateModDepletions_BL!B$5,$AM34,0),IF($B$4=1,OFFSET(StateModDepletions_BLNoRes!B$5,$AM34,0)))</f>
        <v>27357.338185831904</v>
      </c>
      <c r="C34" s="312">
        <f ca="1">IF($B$4=0,OFFSET(StateModDepletions_BL!C$5,$AM34,0),IF($B$4=1,OFFSET(StateModDepletions_BLNoRes!C$5,$AM34,0)))</f>
        <v>1026.0025346279144</v>
      </c>
      <c r="D34" s="312">
        <f ca="1">IF($B$4=0,OFFSET(StateModDepletions_BL!D$5,$AM34,0),IF($B$4=1,OFFSET(StateModDepletions_BLNoRes!D$5,$AM34,0)))</f>
        <v>157969.27038574219</v>
      </c>
      <c r="E34" s="312">
        <f ca="1">IF($B$4=0,OFFSET(StateModDepletions_BL!E$5,$AM34,0),IF($B$4=1,OFFSET(StateModDepletions_BLNoRes!E$5,$AM34,0)))</f>
        <v>2810.7051087617874</v>
      </c>
      <c r="F34" s="312">
        <f ca="1">IF($B$4=0,OFFSET(StateModDepletions_BL!F$5,$AM34,0),IF($B$4=1,OFFSET(StateModDepletions_BLNoRes!F$5,$AM34,0)))</f>
        <v>13413.913911610842</v>
      </c>
      <c r="G34" s="312">
        <f ca="1">IF($B$4=0,OFFSET(StateModDepletions_BL!G$5,$AM34,0),IF($B$4=1,OFFSET(StateModDepletions_BLNoRes!G$5,$AM34,0)))</f>
        <v>2036.5992698669434</v>
      </c>
      <c r="H34" s="312">
        <f ca="1">IF($B$4=0,OFFSET(StateModDepletions_BL!H$5,$AM34,0),IF($B$4=1,OFFSET(StateModDepletions_BLNoRes!H$5,$AM34,0)))</f>
        <v>2838.8627778291702</v>
      </c>
      <c r="I34" s="312">
        <f ca="1">IF($B$4=0,OFFSET(StateModDepletions_BL!I$5,$AM34,0),IF($B$4=1,OFFSET(StateModDepletions_BLNoRes!I$5,$AM34,0)))</f>
        <v>82659.740735501051</v>
      </c>
      <c r="J34" s="312">
        <f ca="1">IF($B$4=0,OFFSET(StateModDepletions_BL!J$5,$AM34,0),IF($B$4=1,OFFSET(StateModDepletions_BLNoRes!J$5,$AM34,0)))</f>
        <v>2498.0162160396576</v>
      </c>
      <c r="K34" s="312">
        <f ca="1">IF($B$4=0,OFFSET(StateModDepletions_BL!K$5,$AM34,0),IF($B$4=1,OFFSET(StateModDepletions_BLNoRes!K$5,$AM34,0)))</f>
        <v>19116.242594718933</v>
      </c>
      <c r="L34" s="312">
        <f ca="1">IF($B$4=0,OFFSET(StateModDepletions_BL!L$5,$AM34,0),IF($B$4=1,OFFSET(StateModDepletions_BLNoRes!L$5,$AM34,0)))</f>
        <v>12869.110400743779</v>
      </c>
      <c r="M34" s="312">
        <f ca="1">IF($B$4=0,OFFSET(StateModDepletions_BL!M$5,$AM34,0),IF($B$4=1,OFFSET(StateModDepletions_BLNoRes!M$5,$AM34,0)))</f>
        <v>1363.3774552345276</v>
      </c>
      <c r="N34" s="312">
        <f ca="1">IF($B$4=0,OFFSET(StateModDepletions_BL!N$5,$AM34,0),IF($B$4=1,OFFSET(StateModDepletions_BLNoRes!N$5,$AM34,0)))</f>
        <v>1326.6977829933167</v>
      </c>
      <c r="O34" s="312">
        <f ca="1">IF($B$4=0,OFFSET(StateModDepletions_BL!O$5,$AM34,0),IF($B$4=1,OFFSET(StateModDepletions_BLNoRes!O$5,$AM34,0)))</f>
        <v>38001.08438181736</v>
      </c>
      <c r="P34" s="312">
        <f ca="1">IF($B$4=0,OFFSET(StateModDepletions_BL!P$5,$AM34,0),IF($B$4=1,OFFSET(StateModDepletions_BLNoRes!P$5,$AM34,0)))</f>
        <v>430.12261247634888</v>
      </c>
      <c r="Q34" s="312">
        <f ca="1">IF($B$4=0,OFFSET(StateModDepletions_BL!Q$5,$AM34,0),IF($B$4=1,OFFSET(StateModDepletions_BLNoRes!Q$5,$AM34,0)))</f>
        <v>19396.470980316401</v>
      </c>
      <c r="R34" s="312">
        <f ca="1">IF($B$4=0,OFFSET(StateModDepletions_BL!R$5,$AM34,0),IF($B$4=1,OFFSET(StateModDepletions_BLNoRes!R$5,$AM34,0)))</f>
        <v>598.83215999603271</v>
      </c>
      <c r="S34" s="312">
        <f ca="1">IF($B$4=0,OFFSET(StateModDepletions_BL!S$5,$AM34,0),IF($B$4=1,OFFSET(StateModDepletions_BLNoRes!S$5,$AM34,0)))</f>
        <v>0</v>
      </c>
      <c r="T34" s="312">
        <f ca="1">IF($B$4=0,OFFSET(StateModDepletions_BL!T$5,$AM34,0),IF($B$4=1,OFFSET(StateModDepletions_BLNoRes!T$5,$AM34,0)))</f>
        <v>21470.390010908621</v>
      </c>
      <c r="U34" s="312">
        <f ca="1">IF($B$4=0,OFFSET(StateModDepletions_BL!U$5,$AM34,0),IF($B$4=1,OFFSET(StateModDepletions_BLNoRes!U$5,$AM34,0)))</f>
        <v>1583.6459755762935</v>
      </c>
      <c r="V34" s="312">
        <f ca="1">IF($B$4=0,OFFSET(StateModDepletions_BL!V$5,$AM34,0),IF($B$4=1,OFFSET(StateModDepletions_BLNoRes!V$5,$AM34,0)))</f>
        <v>17425.663586616516</v>
      </c>
      <c r="W34" s="312">
        <f ca="1">IF($B$4=0,OFFSET(StateModDepletions_BL!W$5,$AM34,0),IF($B$4=1,OFFSET(StateModDepletions_BLNoRes!W$5,$AM34,0)))</f>
        <v>97710.700722340189</v>
      </c>
      <c r="X34" s="312">
        <f ca="1">IF($B$4=0,OFFSET(StateModDepletions_BL!X$5,$AM34,0),IF($B$4=1,OFFSET(StateModDepletions_BLNoRes!X$5,$AM34,0)))</f>
        <v>5784.680172637105</v>
      </c>
      <c r="Y34" s="312">
        <f ca="1">IF($B$4=0,OFFSET(StateModDepletions_BL!Y$5,$AM34,0),IF($B$4=1,OFFSET(StateModDepletions_BLNoRes!Y$5,$AM34,0)))</f>
        <v>212.11356273293495</v>
      </c>
      <c r="Z34" s="312">
        <f ca="1">IF($B$4=0,OFFSET(StateModDepletions_BL!Z$5,$AM34,0),IF($B$4=1,OFFSET(StateModDepletions_BLNoRes!Z$5,$AM34,0)))</f>
        <v>221849.88265037537</v>
      </c>
      <c r="AA34" s="313">
        <f ca="1">IF($B$4=0,OFFSET(StateModDepletions_BL!AA$5,$AM34,0),IF($B$4=1,OFFSET(StateModDepletions_BLNoRes!AA$5,$AM34,0)))</f>
        <v>118142.38819266514</v>
      </c>
      <c r="AB34" s="314">
        <f ca="1">IF($B$4=0,OFFSET(StateModDepletions_BL!AB$5,$AM34,0),IF($B$4=1,OFFSET(StateModDepletions_BLNoRes!AB$5,$AM34,0)))</f>
        <v>24765.810481309891</v>
      </c>
      <c r="AC34" s="314">
        <f ca="1">IF($B$4=0,OFFSET(StateModDepletions_BL!AC$5,$AM34,0),IF($B$4=1,OFFSET(StateModDepletions_BLNoRes!AC$5,$AM34,0)))</f>
        <v>28383.340720459819</v>
      </c>
      <c r="AD34" s="314">
        <f ca="1">IF($B$4=0,OFFSET(StateModDepletions_BL!AD$5,$AM34,0),IF($B$4=1,OFFSET(StateModDepletions_BLNoRes!AD$5,$AM34,0)))</f>
        <v>15450.513181477785</v>
      </c>
      <c r="AE34" s="314">
        <f ca="1">IF($B$4=0,OFFSET(StateModDepletions_BL!AE$5,$AM34,0),IF($B$4=1,OFFSET(StateModDepletions_BLNoRes!AE$5,$AM34,0)))</f>
        <v>85157.756951540709</v>
      </c>
      <c r="AF34" s="314">
        <f ca="1">IF($B$4=0,OFFSET(StateModDepletions_BL!AF$5,$AM34,0),IF($B$4=1,OFFSET(StateModDepletions_BLNoRes!AF$5,$AM34,0)))</f>
        <v>14232.487855978306</v>
      </c>
      <c r="AG34" s="314">
        <f ca="1">IF($B$4=0,OFFSET(StateModDepletions_BL!AG$5,$AM34,0),IF($B$4=1,OFFSET(StateModDepletions_BLNoRes!AG$5,$AM34,0)))</f>
        <v>38431.206994293709</v>
      </c>
      <c r="AH34" s="314">
        <f ca="1">IF($B$4=0,OFFSET(StateModDepletions_BL!AH$5,$AM34,0),IF($B$4=1,OFFSET(StateModDepletions_BLNoRes!AH$5,$AM34,0)))</f>
        <v>19995.303140312433</v>
      </c>
      <c r="AI34" s="314">
        <f ca="1">IF($B$4=0,OFFSET(StateModDepletions_BL!AI$5,$AM34,0),IF($B$4=1,OFFSET(StateModDepletions_BLNoRes!AI$5,$AM34,0)))</f>
        <v>23054.035986484916</v>
      </c>
      <c r="AJ34" s="315">
        <f ca="1">IF($B$4=0,OFFSET(StateModDepletions_BL!AJ$5,$AM34,0),IF($B$4=1,OFFSET(StateModDepletions_BLNoRes!AJ$5,$AM34,0)))</f>
        <v>103495.38089497729</v>
      </c>
      <c r="AK34" s="519">
        <f t="shared" si="4"/>
        <v>29</v>
      </c>
      <c r="AL34" s="519">
        <f t="shared" si="5"/>
        <v>1957</v>
      </c>
      <c r="AM34" s="519">
        <f>MATCH($AL34,StateModDepletions_BL!$A$6:$A$90,0)</f>
        <v>29</v>
      </c>
    </row>
    <row r="35" spans="1:39" x14ac:dyDescent="0.25">
      <c r="A35" s="519">
        <f t="shared" si="3"/>
        <v>1958</v>
      </c>
      <c r="B35" s="311">
        <f ca="1">IF($B$4=0,OFFSET(StateModDepletions_BL!B$5,$AM35,0),IF($B$4=1,OFFSET(StateModDepletions_BLNoRes!B$5,$AM35,0)))</f>
        <v>34975.645249500871</v>
      </c>
      <c r="C35" s="312">
        <f ca="1">IF($B$4=0,OFFSET(StateModDepletions_BL!C$5,$AM35,0),IF($B$4=1,OFFSET(StateModDepletions_BLNoRes!C$5,$AM35,0)))</f>
        <v>1026.0025346279144</v>
      </c>
      <c r="D35" s="312">
        <f ca="1">IF($B$4=0,OFFSET(StateModDepletions_BL!D$5,$AM35,0),IF($B$4=1,OFFSET(StateModDepletions_BLNoRes!D$5,$AM35,0)))</f>
        <v>114682.65545654297</v>
      </c>
      <c r="E35" s="312">
        <f ca="1">IF($B$4=0,OFFSET(StateModDepletions_BL!E$5,$AM35,0),IF($B$4=1,OFFSET(StateModDepletions_BLNoRes!E$5,$AM35,0)))</f>
        <v>2810.7051087617874</v>
      </c>
      <c r="F35" s="312">
        <f ca="1">IF($B$4=0,OFFSET(StateModDepletions_BL!F$5,$AM35,0),IF($B$4=1,OFFSET(StateModDepletions_BLNoRes!F$5,$AM35,0)))</f>
        <v>17211.469055905938</v>
      </c>
      <c r="G35" s="312">
        <f ca="1">IF($B$4=0,OFFSET(StateModDepletions_BL!G$5,$AM35,0),IF($B$4=1,OFFSET(StateModDepletions_BLNoRes!G$5,$AM35,0)))</f>
        <v>2036.5992698669434</v>
      </c>
      <c r="H35" s="312">
        <f ca="1">IF($B$4=0,OFFSET(StateModDepletions_BL!H$5,$AM35,0),IF($B$4=1,OFFSET(StateModDepletions_BLNoRes!H$5,$AM35,0)))</f>
        <v>2838.8627778291702</v>
      </c>
      <c r="I35" s="312">
        <f ca="1">IF($B$4=0,OFFSET(StateModDepletions_BL!I$5,$AM35,0),IF($B$4=1,OFFSET(StateModDepletions_BLNoRes!I$5,$AM35,0)))</f>
        <v>113163.85779730976</v>
      </c>
      <c r="J35" s="312">
        <f ca="1">IF($B$4=0,OFFSET(StateModDepletions_BL!J$5,$AM35,0),IF($B$4=1,OFFSET(StateModDepletions_BLNoRes!J$5,$AM35,0)))</f>
        <v>2474.2328126430511</v>
      </c>
      <c r="K35" s="312">
        <f ca="1">IF($B$4=0,OFFSET(StateModDepletions_BL!K$5,$AM35,0),IF($B$4=1,OFFSET(StateModDepletions_BLNoRes!K$5,$AM35,0)))</f>
        <v>19116.242594718933</v>
      </c>
      <c r="L35" s="312">
        <f ca="1">IF($B$4=0,OFFSET(StateModDepletions_BL!L$5,$AM35,0),IF($B$4=1,OFFSET(StateModDepletions_BLNoRes!L$5,$AM35,0)))</f>
        <v>18232.20676027982</v>
      </c>
      <c r="M35" s="312">
        <f ca="1">IF($B$4=0,OFFSET(StateModDepletions_BL!M$5,$AM35,0),IF($B$4=1,OFFSET(StateModDepletions_BLNoRes!M$5,$AM35,0)))</f>
        <v>1367.6555404663086</v>
      </c>
      <c r="N35" s="312">
        <f ca="1">IF($B$4=0,OFFSET(StateModDepletions_BL!N$5,$AM35,0),IF($B$4=1,OFFSET(StateModDepletions_BLNoRes!N$5,$AM35,0)))</f>
        <v>1326.6977829933167</v>
      </c>
      <c r="O35" s="312">
        <f ca="1">IF($B$4=0,OFFSET(StateModDepletions_BL!O$5,$AM35,0),IF($B$4=1,OFFSET(StateModDepletions_BLNoRes!O$5,$AM35,0)))</f>
        <v>51156.390819339533</v>
      </c>
      <c r="P35" s="312">
        <f ca="1">IF($B$4=0,OFFSET(StateModDepletions_BL!P$5,$AM35,0),IF($B$4=1,OFFSET(StateModDepletions_BLNoRes!P$5,$AM35,0)))</f>
        <v>472.9890251159668</v>
      </c>
      <c r="Q35" s="312">
        <f ca="1">IF($B$4=0,OFFSET(StateModDepletions_BL!Q$5,$AM35,0),IF($B$4=1,OFFSET(StateModDepletions_BLNoRes!Q$5,$AM35,0)))</f>
        <v>16882.486840639263</v>
      </c>
      <c r="R35" s="312">
        <f ca="1">IF($B$4=0,OFFSET(StateModDepletions_BL!R$5,$AM35,0),IF($B$4=1,OFFSET(StateModDepletions_BLNoRes!R$5,$AM35,0)))</f>
        <v>598.83215999603271</v>
      </c>
      <c r="S35" s="312">
        <f ca="1">IF($B$4=0,OFFSET(StateModDepletions_BL!S$5,$AM35,0),IF($B$4=1,OFFSET(StateModDepletions_BLNoRes!S$5,$AM35,0)))</f>
        <v>0</v>
      </c>
      <c r="T35" s="312">
        <f ca="1">IF($B$4=0,OFFSET(StateModDepletions_BL!T$5,$AM35,0),IF($B$4=1,OFFSET(StateModDepletions_BLNoRes!T$5,$AM35,0)))</f>
        <v>21660.689084881917</v>
      </c>
      <c r="U35" s="312">
        <f ca="1">IF($B$4=0,OFFSET(StateModDepletions_BL!U$5,$AM35,0),IF($B$4=1,OFFSET(StateModDepletions_BLNoRes!U$5,$AM35,0)))</f>
        <v>1515.6032690627253</v>
      </c>
      <c r="V35" s="312">
        <f ca="1">IF($B$4=0,OFFSET(StateModDepletions_BL!V$5,$AM35,0),IF($B$4=1,OFFSET(StateModDepletions_BLNoRes!V$5,$AM35,0)))</f>
        <v>12421.686657905579</v>
      </c>
      <c r="W35" s="312">
        <f ca="1">IF($B$4=0,OFFSET(StateModDepletions_BL!W$5,$AM35,0),IF($B$4=1,OFFSET(StateModDepletions_BLNoRes!W$5,$AM35,0)))</f>
        <v>154367.14214976475</v>
      </c>
      <c r="X35" s="312">
        <f ca="1">IF($B$4=0,OFFSET(StateModDepletions_BL!X$5,$AM35,0),IF($B$4=1,OFFSET(StateModDepletions_BLNoRes!X$5,$AM35,0)))</f>
        <v>5828.4267360717058</v>
      </c>
      <c r="Y35" s="312">
        <f ca="1">IF($B$4=0,OFFSET(StateModDepletions_BL!Y$5,$AM35,0),IF($B$4=1,OFFSET(StateModDepletions_BLNoRes!Y$5,$AM35,0)))</f>
        <v>212.11356273293495</v>
      </c>
      <c r="Z35" s="312">
        <f ca="1">IF($B$4=0,OFFSET(StateModDepletions_BL!Z$5,$AM35,0),IF($B$4=1,OFFSET(StateModDepletions_BLNoRes!Z$5,$AM35,0)))</f>
        <v>221959.72789573669</v>
      </c>
      <c r="AA35" s="313">
        <f ca="1">IF($B$4=0,OFFSET(StateModDepletions_BL!AA$5,$AM35,0),IF($B$4=1,OFFSET(StateModDepletions_BLNoRes!AA$5,$AM35,0)))</f>
        <v>61552.0454471673</v>
      </c>
      <c r="AB35" s="314">
        <f ca="1">IF($B$4=0,OFFSET(StateModDepletions_BL!AB$5,$AM35,0),IF($B$4=1,OFFSET(StateModDepletions_BLNoRes!AB$5,$AM35,0)))</f>
        <v>24765.810481309891</v>
      </c>
      <c r="AC35" s="314">
        <f ca="1">IF($B$4=0,OFFSET(StateModDepletions_BL!AC$5,$AM35,0),IF($B$4=1,OFFSET(StateModDepletions_BLNoRes!AC$5,$AM35,0)))</f>
        <v>36001.647784128785</v>
      </c>
      <c r="AD35" s="314">
        <f ca="1">IF($B$4=0,OFFSET(StateModDepletions_BL!AD$5,$AM35,0),IF($B$4=1,OFFSET(StateModDepletions_BLNoRes!AD$5,$AM35,0)))</f>
        <v>19248.068325772882</v>
      </c>
      <c r="AE35" s="314">
        <f ca="1">IF($B$4=0,OFFSET(StateModDepletions_BL!AE$5,$AM35,0),IF($B$4=1,OFFSET(StateModDepletions_BLNoRes!AE$5,$AM35,0)))</f>
        <v>115638.09060995281</v>
      </c>
      <c r="AF35" s="314">
        <f ca="1">IF($B$4=0,OFFSET(StateModDepletions_BL!AF$5,$AM35,0),IF($B$4=1,OFFSET(StateModDepletions_BLNoRes!AF$5,$AM35,0)))</f>
        <v>19599.862300746128</v>
      </c>
      <c r="AG35" s="314">
        <f ca="1">IF($B$4=0,OFFSET(StateModDepletions_BL!AG$5,$AM35,0),IF($B$4=1,OFFSET(StateModDepletions_BLNoRes!AG$5,$AM35,0)))</f>
        <v>51629.3798444555</v>
      </c>
      <c r="AH35" s="314">
        <f ca="1">IF($B$4=0,OFFSET(StateModDepletions_BL!AH$5,$AM35,0),IF($B$4=1,OFFSET(StateModDepletions_BLNoRes!AH$5,$AM35,0)))</f>
        <v>17481.319000635296</v>
      </c>
      <c r="AI35" s="314">
        <f ca="1">IF($B$4=0,OFFSET(StateModDepletions_BL!AI$5,$AM35,0),IF($B$4=1,OFFSET(StateModDepletions_BLNoRes!AI$5,$AM35,0)))</f>
        <v>23176.292353944642</v>
      </c>
      <c r="AJ35" s="315">
        <f ca="1">IF($B$4=0,OFFSET(StateModDepletions_BL!AJ$5,$AM35,0),IF($B$4=1,OFFSET(StateModDepletions_BLNoRes!AJ$5,$AM35,0)))</f>
        <v>160195.56888583646</v>
      </c>
      <c r="AK35" s="519">
        <f t="shared" si="4"/>
        <v>30</v>
      </c>
      <c r="AL35" s="519">
        <f t="shared" si="5"/>
        <v>1958</v>
      </c>
      <c r="AM35" s="519">
        <f>MATCH($AL35,StateModDepletions_BL!$A$6:$A$90,0)</f>
        <v>30</v>
      </c>
    </row>
    <row r="36" spans="1:39" x14ac:dyDescent="0.25">
      <c r="A36" s="519">
        <f t="shared" si="3"/>
        <v>1959</v>
      </c>
      <c r="B36" s="311">
        <f ca="1">IF($B$4=0,OFFSET(StateModDepletions_BL!B$5,$AM36,0),IF($B$4=1,OFFSET(StateModDepletions_BLNoRes!B$5,$AM36,0)))</f>
        <v>29126.36716248095</v>
      </c>
      <c r="C36" s="312">
        <f ca="1">IF($B$4=0,OFFSET(StateModDepletions_BL!C$5,$AM36,0),IF($B$4=1,OFFSET(StateModDepletions_BLNoRes!C$5,$AM36,0)))</f>
        <v>1026.0025346279144</v>
      </c>
      <c r="D36" s="312">
        <f ca="1">IF($B$4=0,OFFSET(StateModDepletions_BL!D$5,$AM36,0),IF($B$4=1,OFFSET(StateModDepletions_BLNoRes!D$5,$AM36,0)))</f>
        <v>36245.572387695313</v>
      </c>
      <c r="E36" s="312">
        <f ca="1">IF($B$4=0,OFFSET(StateModDepletions_BL!E$5,$AM36,0),IF($B$4=1,OFFSET(StateModDepletions_BLNoRes!E$5,$AM36,0)))</f>
        <v>2810.7051087617874</v>
      </c>
      <c r="F36" s="312">
        <f ca="1">IF($B$4=0,OFFSET(StateModDepletions_BL!F$5,$AM36,0),IF($B$4=1,OFFSET(StateModDepletions_BLNoRes!F$5,$AM36,0)))</f>
        <v>13969.66473415494</v>
      </c>
      <c r="G36" s="312">
        <f ca="1">IF($B$4=0,OFFSET(StateModDepletions_BL!G$5,$AM36,0),IF($B$4=1,OFFSET(StateModDepletions_BLNoRes!G$5,$AM36,0)))</f>
        <v>2036.5992698669434</v>
      </c>
      <c r="H36" s="312">
        <f ca="1">IF($B$4=0,OFFSET(StateModDepletions_BL!H$5,$AM36,0),IF($B$4=1,OFFSET(StateModDepletions_BLNoRes!H$5,$AM36,0)))</f>
        <v>2838.8627778291702</v>
      </c>
      <c r="I36" s="312">
        <f ca="1">IF($B$4=0,OFFSET(StateModDepletions_BL!I$5,$AM36,0),IF($B$4=1,OFFSET(StateModDepletions_BLNoRes!I$5,$AM36,0)))</f>
        <v>102182.24745930731</v>
      </c>
      <c r="J36" s="312">
        <f ca="1">IF($B$4=0,OFFSET(StateModDepletions_BL!J$5,$AM36,0),IF($B$4=1,OFFSET(StateModDepletions_BLNoRes!J$5,$AM36,0)))</f>
        <v>2126.3059251308441</v>
      </c>
      <c r="K36" s="312">
        <f ca="1">IF($B$4=0,OFFSET(StateModDepletions_BL!K$5,$AM36,0),IF($B$4=1,OFFSET(StateModDepletions_BLNoRes!K$5,$AM36,0)))</f>
        <v>19116.242594718933</v>
      </c>
      <c r="L36" s="312">
        <f ca="1">IF($B$4=0,OFFSET(StateModDepletions_BL!L$5,$AM36,0),IF($B$4=1,OFFSET(StateModDepletions_BLNoRes!L$5,$AM36,0)))</f>
        <v>15624.306823872028</v>
      </c>
      <c r="M36" s="312">
        <f ca="1">IF($B$4=0,OFFSET(StateModDepletions_BL!M$5,$AM36,0),IF($B$4=1,OFFSET(StateModDepletions_BLNoRes!M$5,$AM36,0)))</f>
        <v>1175.4560527801514</v>
      </c>
      <c r="N36" s="312">
        <f ca="1">IF($B$4=0,OFFSET(StateModDepletions_BL!N$5,$AM36,0),IF($B$4=1,OFFSET(StateModDepletions_BLNoRes!N$5,$AM36,0)))</f>
        <v>1326.6977829933167</v>
      </c>
      <c r="O36" s="312">
        <f ca="1">IF($B$4=0,OFFSET(StateModDepletions_BL!O$5,$AM36,0),IF($B$4=1,OFFSET(StateModDepletions_BLNoRes!O$5,$AM36,0)))</f>
        <v>21510.987733452097</v>
      </c>
      <c r="P36" s="312">
        <f ca="1">IF($B$4=0,OFFSET(StateModDepletions_BL!P$5,$AM36,0),IF($B$4=1,OFFSET(StateModDepletions_BLNoRes!P$5,$AM36,0)))</f>
        <v>283.36485433578491</v>
      </c>
      <c r="Q36" s="312">
        <f ca="1">IF($B$4=0,OFFSET(StateModDepletions_BL!Q$5,$AM36,0),IF($B$4=1,OFFSET(StateModDepletions_BLNoRes!Q$5,$AM36,0)))</f>
        <v>8141.9567873813212</v>
      </c>
      <c r="R36" s="312">
        <f ca="1">IF($B$4=0,OFFSET(StateModDepletions_BL!R$5,$AM36,0),IF($B$4=1,OFFSET(StateModDepletions_BLNoRes!R$5,$AM36,0)))</f>
        <v>598.83215999603271</v>
      </c>
      <c r="S36" s="312">
        <f ca="1">IF($B$4=0,OFFSET(StateModDepletions_BL!S$5,$AM36,0),IF($B$4=1,OFFSET(StateModDepletions_BLNoRes!S$5,$AM36,0)))</f>
        <v>0</v>
      </c>
      <c r="T36" s="312">
        <f ca="1">IF($B$4=0,OFFSET(StateModDepletions_BL!T$5,$AM36,0),IF($B$4=1,OFFSET(StateModDepletions_BLNoRes!T$5,$AM36,0)))</f>
        <v>5217.2766748991608</v>
      </c>
      <c r="U36" s="312">
        <f ca="1">IF($B$4=0,OFFSET(StateModDepletions_BL!U$5,$AM36,0),IF($B$4=1,OFFSET(StateModDepletions_BLNoRes!U$5,$AM36,0)))</f>
        <v>1380.9769555926323</v>
      </c>
      <c r="V36" s="312">
        <f ca="1">IF($B$4=0,OFFSET(StateModDepletions_BL!V$5,$AM36,0),IF($B$4=1,OFFSET(StateModDepletions_BLNoRes!V$5,$AM36,0)))</f>
        <v>7407.9379396438599</v>
      </c>
      <c r="W36" s="312">
        <f ca="1">IF($B$4=0,OFFSET(StateModDepletions_BL!W$5,$AM36,0),IF($B$4=1,OFFSET(StateModDepletions_BLNoRes!W$5,$AM36,0)))</f>
        <v>129094.38120553239</v>
      </c>
      <c r="X36" s="312">
        <f ca="1">IF($B$4=0,OFFSET(StateModDepletions_BL!X$5,$AM36,0),IF($B$4=1,OFFSET(StateModDepletions_BLNoRes!X$5,$AM36,0)))</f>
        <v>5475.8954146504402</v>
      </c>
      <c r="Y36" s="312">
        <f ca="1">IF($B$4=0,OFFSET(StateModDepletions_BL!Y$5,$AM36,0),IF($B$4=1,OFFSET(StateModDepletions_BLNoRes!Y$5,$AM36,0)))</f>
        <v>212.11356273293495</v>
      </c>
      <c r="Z36" s="312">
        <f ca="1">IF($B$4=0,OFFSET(StateModDepletions_BL!Z$5,$AM36,0),IF($B$4=1,OFFSET(StateModDepletions_BLNoRes!Z$5,$AM36,0)))</f>
        <v>212893.71466958523</v>
      </c>
      <c r="AA36" s="313">
        <f ca="1">IF($B$4=0,OFFSET(StateModDepletions_BL!AA$5,$AM36,0),IF($B$4=1,OFFSET(StateModDepletions_BLNoRes!AA$5,$AM36,0)))</f>
        <v>78111.324486669459</v>
      </c>
      <c r="AB36" s="314">
        <f ca="1">IF($B$4=0,OFFSET(StateModDepletions_BL!AB$5,$AM36,0),IF($B$4=1,OFFSET(StateModDepletions_BLNoRes!AB$5,$AM36,0)))</f>
        <v>24765.810481309891</v>
      </c>
      <c r="AC36" s="314">
        <f ca="1">IF($B$4=0,OFFSET(StateModDepletions_BL!AC$5,$AM36,0),IF($B$4=1,OFFSET(StateModDepletions_BLNoRes!AC$5,$AM36,0)))</f>
        <v>30152.369697108865</v>
      </c>
      <c r="AD36" s="314">
        <f ca="1">IF($B$4=0,OFFSET(StateModDepletions_BL!AD$5,$AM36,0),IF($B$4=1,OFFSET(StateModDepletions_BLNoRes!AD$5,$AM36,0)))</f>
        <v>16006.264004021883</v>
      </c>
      <c r="AE36" s="314">
        <f ca="1">IF($B$4=0,OFFSET(StateModDepletions_BL!AE$5,$AM36,0),IF($B$4=1,OFFSET(StateModDepletions_BLNoRes!AE$5,$AM36,0)))</f>
        <v>104308.55338443816</v>
      </c>
      <c r="AF36" s="314">
        <f ca="1">IF($B$4=0,OFFSET(StateModDepletions_BL!AF$5,$AM36,0),IF($B$4=1,OFFSET(StateModDepletions_BLNoRes!AF$5,$AM36,0)))</f>
        <v>16799.762876652181</v>
      </c>
      <c r="AG36" s="314">
        <f ca="1">IF($B$4=0,OFFSET(StateModDepletions_BL!AG$5,$AM36,0),IF($B$4=1,OFFSET(StateModDepletions_BLNoRes!AG$5,$AM36,0)))</f>
        <v>21794.352587787882</v>
      </c>
      <c r="AH36" s="314">
        <f ca="1">IF($B$4=0,OFFSET(StateModDepletions_BL!AH$5,$AM36,0),IF($B$4=1,OFFSET(StateModDepletions_BLNoRes!AH$5,$AM36,0)))</f>
        <v>8740.7889473773539</v>
      </c>
      <c r="AI36" s="314">
        <f ca="1">IF($B$4=0,OFFSET(StateModDepletions_BL!AI$5,$AM36,0),IF($B$4=1,OFFSET(StateModDepletions_BLNoRes!AI$5,$AM36,0)))</f>
        <v>6598.253630491793</v>
      </c>
      <c r="AJ36" s="315">
        <f ca="1">IF($B$4=0,OFFSET(StateModDepletions_BL!AJ$5,$AM36,0),IF($B$4=1,OFFSET(StateModDepletions_BLNoRes!AJ$5,$AM36,0)))</f>
        <v>134570.27662018285</v>
      </c>
      <c r="AK36" s="519">
        <f t="shared" si="4"/>
        <v>31</v>
      </c>
      <c r="AL36" s="519">
        <f t="shared" si="5"/>
        <v>1959</v>
      </c>
      <c r="AM36" s="519">
        <f>MATCH($AL36,StateModDepletions_BL!$A$6:$A$90,0)</f>
        <v>31</v>
      </c>
    </row>
    <row r="37" spans="1:39" x14ac:dyDescent="0.25">
      <c r="A37" s="519">
        <f t="shared" si="3"/>
        <v>1960</v>
      </c>
      <c r="B37" s="311">
        <f ca="1">IF($B$4=0,OFFSET(StateModDepletions_BL!B$5,$AM37,0),IF($B$4=1,OFFSET(StateModDepletions_BLNoRes!B$5,$AM37,0)))</f>
        <v>33758.625381410122</v>
      </c>
      <c r="C37" s="312">
        <f ca="1">IF($B$4=0,OFFSET(StateModDepletions_BL!C$5,$AM37,0),IF($B$4=1,OFFSET(StateModDepletions_BLNoRes!C$5,$AM37,0)))</f>
        <v>1026.0025346279144</v>
      </c>
      <c r="D37" s="312">
        <f ca="1">IF($B$4=0,OFFSET(StateModDepletions_BL!D$5,$AM37,0),IF($B$4=1,OFFSET(StateModDepletions_BLNoRes!D$5,$AM37,0)))</f>
        <v>101742.96533203125</v>
      </c>
      <c r="E37" s="312">
        <f ca="1">IF($B$4=0,OFFSET(StateModDepletions_BL!E$5,$AM37,0),IF($B$4=1,OFFSET(StateModDepletions_BLNoRes!E$5,$AM37,0)))</f>
        <v>2810.7051087617874</v>
      </c>
      <c r="F37" s="312">
        <f ca="1">IF($B$4=0,OFFSET(StateModDepletions_BL!F$5,$AM37,0),IF($B$4=1,OFFSET(StateModDepletions_BLNoRes!F$5,$AM37,0)))</f>
        <v>16334.205378994346</v>
      </c>
      <c r="G37" s="312">
        <f ca="1">IF($B$4=0,OFFSET(StateModDepletions_BL!G$5,$AM37,0),IF($B$4=1,OFFSET(StateModDepletions_BLNoRes!G$5,$AM37,0)))</f>
        <v>2036.5992698669434</v>
      </c>
      <c r="H37" s="312">
        <f ca="1">IF($B$4=0,OFFSET(StateModDepletions_BL!H$5,$AM37,0),IF($B$4=1,OFFSET(StateModDepletions_BLNoRes!H$5,$AM37,0)))</f>
        <v>2838.8627778291702</v>
      </c>
      <c r="I37" s="312">
        <f ca="1">IF($B$4=0,OFFSET(StateModDepletions_BL!I$5,$AM37,0),IF($B$4=1,OFFSET(StateModDepletions_BLNoRes!I$5,$AM37,0)))</f>
        <v>108193.52961089928</v>
      </c>
      <c r="J37" s="312">
        <f ca="1">IF($B$4=0,OFFSET(StateModDepletions_BL!J$5,$AM37,0),IF($B$4=1,OFFSET(StateModDepletions_BLNoRes!J$5,$AM37,0)))</f>
        <v>2373.1802003383636</v>
      </c>
      <c r="K37" s="312">
        <f ca="1">IF($B$4=0,OFFSET(StateModDepletions_BL!K$5,$AM37,0),IF($B$4=1,OFFSET(StateModDepletions_BLNoRes!K$5,$AM37,0)))</f>
        <v>19116.242594718933</v>
      </c>
      <c r="L37" s="312">
        <f ca="1">IF($B$4=0,OFFSET(StateModDepletions_BL!L$5,$AM37,0),IF($B$4=1,OFFSET(StateModDepletions_BLNoRes!L$5,$AM37,0)))</f>
        <v>17173.013142339882</v>
      </c>
      <c r="M37" s="312">
        <f ca="1">IF($B$4=0,OFFSET(StateModDepletions_BL!M$5,$AM37,0),IF($B$4=1,OFFSET(StateModDepletions_BLNoRes!M$5,$AM37,0)))</f>
        <v>1379.0741891860962</v>
      </c>
      <c r="N37" s="312">
        <f ca="1">IF($B$4=0,OFFSET(StateModDepletions_BL!N$5,$AM37,0),IF($B$4=1,OFFSET(StateModDepletions_BLNoRes!N$5,$AM37,0)))</f>
        <v>1326.6977829933167</v>
      </c>
      <c r="O37" s="312">
        <f ca="1">IF($B$4=0,OFFSET(StateModDepletions_BL!O$5,$AM37,0),IF($B$4=1,OFFSET(StateModDepletions_BLNoRes!O$5,$AM37,0)))</f>
        <v>35367.749925701399</v>
      </c>
      <c r="P37" s="312">
        <f ca="1">IF($B$4=0,OFFSET(StateModDepletions_BL!P$5,$AM37,0),IF($B$4=1,OFFSET(StateModDepletions_BLNoRes!P$5,$AM37,0)))</f>
        <v>352.55170226097107</v>
      </c>
      <c r="Q37" s="312">
        <f ca="1">IF($B$4=0,OFFSET(StateModDepletions_BL!Q$5,$AM37,0),IF($B$4=1,OFFSET(StateModDepletions_BLNoRes!Q$5,$AM37,0)))</f>
        <v>14600.691522046924</v>
      </c>
      <c r="R37" s="312">
        <f ca="1">IF($B$4=0,OFFSET(StateModDepletions_BL!R$5,$AM37,0),IF($B$4=1,OFFSET(StateModDepletions_BLNoRes!R$5,$AM37,0)))</f>
        <v>598.83215999603271</v>
      </c>
      <c r="S37" s="312">
        <f ca="1">IF($B$4=0,OFFSET(StateModDepletions_BL!S$5,$AM37,0),IF($B$4=1,OFFSET(StateModDepletions_BLNoRes!S$5,$AM37,0)))</f>
        <v>0</v>
      </c>
      <c r="T37" s="312">
        <f ca="1">IF($B$4=0,OFFSET(StateModDepletions_BL!T$5,$AM37,0),IF($B$4=1,OFFSET(StateModDepletions_BLNoRes!T$5,$AM37,0)))</f>
        <v>18748.358072878793</v>
      </c>
      <c r="U37" s="312">
        <f ca="1">IF($B$4=0,OFFSET(StateModDepletions_BL!U$5,$AM37,0),IF($B$4=1,OFFSET(StateModDepletions_BLNoRes!U$5,$AM37,0)))</f>
        <v>1521.3486390233181</v>
      </c>
      <c r="V37" s="312">
        <f ca="1">IF($B$4=0,OFFSET(StateModDepletions_BL!V$5,$AM37,0),IF($B$4=1,OFFSET(StateModDepletions_BLNoRes!V$5,$AM37,0)))</f>
        <v>11104.052372932434</v>
      </c>
      <c r="W37" s="312">
        <f ca="1">IF($B$4=0,OFFSET(StateModDepletions_BL!W$5,$AM37,0),IF($B$4=1,OFFSET(StateModDepletions_BLNoRes!W$5,$AM37,0)))</f>
        <v>148222.9838984643</v>
      </c>
      <c r="X37" s="312">
        <f ca="1">IF($B$4=0,OFFSET(StateModDepletions_BL!X$5,$AM37,0),IF($B$4=1,OFFSET(StateModDepletions_BLNoRes!X$5,$AM37,0)))</f>
        <v>5443.4723812458151</v>
      </c>
      <c r="Y37" s="312">
        <f ca="1">IF($B$4=0,OFFSET(StateModDepletions_BL!Y$5,$AM37,0),IF($B$4=1,OFFSET(StateModDepletions_BLNoRes!Y$5,$AM37,0)))</f>
        <v>212.11356273293495</v>
      </c>
      <c r="Z37" s="312">
        <f ca="1">IF($B$4=0,OFFSET(StateModDepletions_BL!Z$5,$AM37,0),IF($B$4=1,OFFSET(StateModDepletions_BLNoRes!Z$5,$AM37,0)))</f>
        <v>216480.86566162109</v>
      </c>
      <c r="AA37" s="313">
        <f ca="1">IF($B$4=0,OFFSET(StateModDepletions_BL!AA$5,$AM37,0),IF($B$4=1,OFFSET(StateModDepletions_BLNoRes!AA$5,$AM37,0)))</f>
        <v>62602.295819178042</v>
      </c>
      <c r="AB37" s="314">
        <f ca="1">IF($B$4=0,OFFSET(StateModDepletions_BL!AB$5,$AM37,0),IF($B$4=1,OFFSET(StateModDepletions_BLNoRes!AB$5,$AM37,0)))</f>
        <v>24765.810481309891</v>
      </c>
      <c r="AC37" s="314">
        <f ca="1">IF($B$4=0,OFFSET(StateModDepletions_BL!AC$5,$AM37,0),IF($B$4=1,OFFSET(StateModDepletions_BLNoRes!AC$5,$AM37,0)))</f>
        <v>34784.627916038036</v>
      </c>
      <c r="AD37" s="314">
        <f ca="1">IF($B$4=0,OFFSET(StateModDepletions_BL!AD$5,$AM37,0),IF($B$4=1,OFFSET(StateModDepletions_BLNoRes!AD$5,$AM37,0)))</f>
        <v>18370.804648861289</v>
      </c>
      <c r="AE37" s="314">
        <f ca="1">IF($B$4=0,OFFSET(StateModDepletions_BL!AE$5,$AM37,0),IF($B$4=1,OFFSET(StateModDepletions_BLNoRes!AE$5,$AM37,0)))</f>
        <v>110566.70981123764</v>
      </c>
      <c r="AF37" s="314">
        <f ca="1">IF($B$4=0,OFFSET(StateModDepletions_BL!AF$5,$AM37,0),IF($B$4=1,OFFSET(StateModDepletions_BLNoRes!AF$5,$AM37,0)))</f>
        <v>18552.087331525978</v>
      </c>
      <c r="AG37" s="314">
        <f ca="1">IF($B$4=0,OFFSET(StateModDepletions_BL!AG$5,$AM37,0),IF($B$4=1,OFFSET(StateModDepletions_BLNoRes!AG$5,$AM37,0)))</f>
        <v>35720.30162796237</v>
      </c>
      <c r="AH37" s="314">
        <f ca="1">IF($B$4=0,OFFSET(StateModDepletions_BL!AH$5,$AM37,0),IF($B$4=1,OFFSET(StateModDepletions_BLNoRes!AH$5,$AM37,0)))</f>
        <v>15199.523682042956</v>
      </c>
      <c r="AI37" s="314">
        <f ca="1">IF($B$4=0,OFFSET(StateModDepletions_BL!AI$5,$AM37,0),IF($B$4=1,OFFSET(StateModDepletions_BLNoRes!AI$5,$AM37,0)))</f>
        <v>20269.706711902112</v>
      </c>
      <c r="AJ37" s="315">
        <f ca="1">IF($B$4=0,OFFSET(StateModDepletions_BL!AJ$5,$AM37,0),IF($B$4=1,OFFSET(StateModDepletions_BLNoRes!AJ$5,$AM37,0)))</f>
        <v>153666.45627971011</v>
      </c>
      <c r="AK37" s="519">
        <f t="shared" si="4"/>
        <v>32</v>
      </c>
      <c r="AL37" s="519">
        <f t="shared" si="5"/>
        <v>1960</v>
      </c>
      <c r="AM37" s="519">
        <f>MATCH($AL37,StateModDepletions_BL!$A$6:$A$90,0)</f>
        <v>32</v>
      </c>
    </row>
    <row r="38" spans="1:39" x14ac:dyDescent="0.25">
      <c r="A38" s="519">
        <f t="shared" si="3"/>
        <v>1961</v>
      </c>
      <c r="B38" s="311">
        <f ca="1">IF($B$4=0,OFFSET(StateModDepletions_BL!B$5,$AM38,0),IF($B$4=1,OFFSET(StateModDepletions_BLNoRes!B$5,$AM38,0)))</f>
        <v>30749.22798448056</v>
      </c>
      <c r="C38" s="312">
        <f ca="1">IF($B$4=0,OFFSET(StateModDepletions_BL!C$5,$AM38,0),IF($B$4=1,OFFSET(StateModDepletions_BLNoRes!C$5,$AM38,0)))</f>
        <v>1026.0025346279144</v>
      </c>
      <c r="D38" s="312">
        <f ca="1">IF($B$4=0,OFFSET(StateModDepletions_BL!D$5,$AM38,0),IF($B$4=1,OFFSET(StateModDepletions_BLNoRes!D$5,$AM38,0)))</f>
        <v>71889.613693237305</v>
      </c>
      <c r="E38" s="312">
        <f ca="1">IF($B$4=0,OFFSET(StateModDepletions_BL!E$5,$AM38,0),IF($B$4=1,OFFSET(StateModDepletions_BLNoRes!E$5,$AM38,0)))</f>
        <v>2810.7051087617874</v>
      </c>
      <c r="F38" s="312">
        <f ca="1">IF($B$4=0,OFFSET(StateModDepletions_BL!F$5,$AM38,0),IF($B$4=1,OFFSET(StateModDepletions_BLNoRes!F$5,$AM38,0)))</f>
        <v>15128.98440952599</v>
      </c>
      <c r="G38" s="312">
        <f ca="1">IF($B$4=0,OFFSET(StateModDepletions_BL!G$5,$AM38,0),IF($B$4=1,OFFSET(StateModDepletions_BLNoRes!G$5,$AM38,0)))</f>
        <v>2036.5992698669434</v>
      </c>
      <c r="H38" s="312">
        <f ca="1">IF($B$4=0,OFFSET(StateModDepletions_BL!H$5,$AM38,0),IF($B$4=1,OFFSET(StateModDepletions_BLNoRes!H$5,$AM38,0)))</f>
        <v>2838.8627778291702</v>
      </c>
      <c r="I38" s="312">
        <f ca="1">IF($B$4=0,OFFSET(StateModDepletions_BL!I$5,$AM38,0),IF($B$4=1,OFFSET(StateModDepletions_BLNoRes!I$5,$AM38,0)))</f>
        <v>101554.08679379523</v>
      </c>
      <c r="J38" s="312">
        <f ca="1">IF($B$4=0,OFFSET(StateModDepletions_BL!J$5,$AM38,0),IF($B$4=1,OFFSET(StateModDepletions_BLNoRes!J$5,$AM38,0)))</f>
        <v>2472.733104467392</v>
      </c>
      <c r="K38" s="312">
        <f ca="1">IF($B$4=0,OFFSET(StateModDepletions_BL!K$5,$AM38,0),IF($B$4=1,OFFSET(StateModDepletions_BLNoRes!K$5,$AM38,0)))</f>
        <v>19116.242594718933</v>
      </c>
      <c r="L38" s="312">
        <f ca="1">IF($B$4=0,OFFSET(StateModDepletions_BL!L$5,$AM38,0),IF($B$4=1,OFFSET(StateModDepletions_BLNoRes!L$5,$AM38,0)))</f>
        <v>15770.570674411952</v>
      </c>
      <c r="M38" s="312">
        <f ca="1">IF($B$4=0,OFFSET(StateModDepletions_BL!M$5,$AM38,0),IF($B$4=1,OFFSET(StateModDepletions_BLNoRes!M$5,$AM38,0)))</f>
        <v>1380.1715097427368</v>
      </c>
      <c r="N38" s="312">
        <f ca="1">IF($B$4=0,OFFSET(StateModDepletions_BL!N$5,$AM38,0),IF($B$4=1,OFFSET(StateModDepletions_BLNoRes!N$5,$AM38,0)))</f>
        <v>1326.6977829933167</v>
      </c>
      <c r="O38" s="312">
        <f ca="1">IF($B$4=0,OFFSET(StateModDepletions_BL!O$5,$AM38,0),IF($B$4=1,OFFSET(StateModDepletions_BLNoRes!O$5,$AM38,0)))</f>
        <v>32640.176850123778</v>
      </c>
      <c r="P38" s="312">
        <f ca="1">IF($B$4=0,OFFSET(StateModDepletions_BL!P$5,$AM38,0),IF($B$4=1,OFFSET(StateModDepletions_BLNoRes!P$5,$AM38,0)))</f>
        <v>293.17856025695801</v>
      </c>
      <c r="Q38" s="312">
        <f ca="1">IF($B$4=0,OFFSET(StateModDepletions_BL!Q$5,$AM38,0),IF($B$4=1,OFFSET(StateModDepletions_BLNoRes!Q$5,$AM38,0)))</f>
        <v>15644.20481492579</v>
      </c>
      <c r="R38" s="312">
        <f ca="1">IF($B$4=0,OFFSET(StateModDepletions_BL!R$5,$AM38,0),IF($B$4=1,OFFSET(StateModDepletions_BLNoRes!R$5,$AM38,0)))</f>
        <v>598.83215999603271</v>
      </c>
      <c r="S38" s="312">
        <f ca="1">IF($B$4=0,OFFSET(StateModDepletions_BL!S$5,$AM38,0),IF($B$4=1,OFFSET(StateModDepletions_BLNoRes!S$5,$AM38,0)))</f>
        <v>0</v>
      </c>
      <c r="T38" s="312">
        <f ca="1">IF($B$4=0,OFFSET(StateModDepletions_BL!T$5,$AM38,0),IF($B$4=1,OFFSET(StateModDepletions_BLNoRes!T$5,$AM38,0)))</f>
        <v>13027.311045491026</v>
      </c>
      <c r="U38" s="312">
        <f ca="1">IF($B$4=0,OFFSET(StateModDepletions_BL!U$5,$AM38,0),IF($B$4=1,OFFSET(StateModDepletions_BLNoRes!U$5,$AM38,0)))</f>
        <v>1435.9494752287865</v>
      </c>
      <c r="V38" s="312">
        <f ca="1">IF($B$4=0,OFFSET(StateModDepletions_BL!V$5,$AM38,0),IF($B$4=1,OFFSET(StateModDepletions_BLNoRes!V$5,$AM38,0)))</f>
        <v>11586.666974067688</v>
      </c>
      <c r="W38" s="312">
        <f ca="1">IF($B$4=0,OFFSET(StateModDepletions_BL!W$5,$AM38,0),IF($B$4=1,OFFSET(StateModDepletions_BLNoRes!W$5,$AM38,0)))</f>
        <v>135370.83024166868</v>
      </c>
      <c r="X38" s="312">
        <f ca="1">IF($B$4=0,OFFSET(StateModDepletions_BL!X$5,$AM38,0),IF($B$4=1,OFFSET(StateModDepletions_BLNoRes!X$5,$AM38,0)))</f>
        <v>5401.3159805538853</v>
      </c>
      <c r="Y38" s="312">
        <f ca="1">IF($B$4=0,OFFSET(StateModDepletions_BL!Y$5,$AM38,0),IF($B$4=1,OFFSET(StateModDepletions_BLNoRes!Y$5,$AM38,0)))</f>
        <v>212.11356273293495</v>
      </c>
      <c r="Z38" s="312">
        <f ca="1">IF($B$4=0,OFFSET(StateModDepletions_BL!Z$5,$AM38,0),IF($B$4=1,OFFSET(StateModDepletions_BLNoRes!Z$5,$AM38,0)))</f>
        <v>255672.63536930084</v>
      </c>
      <c r="AA38" s="313">
        <f ca="1">IF($B$4=0,OFFSET(StateModDepletions_BL!AA$5,$AM38,0),IF($B$4=1,OFFSET(StateModDepletions_BLNoRes!AA$5,$AM38,0)))</f>
        <v>114688.37558434534</v>
      </c>
      <c r="AB38" s="314">
        <f ca="1">IF($B$4=0,OFFSET(StateModDepletions_BL!AB$5,$AM38,0),IF($B$4=1,OFFSET(StateModDepletions_BLNoRes!AB$5,$AM38,0)))</f>
        <v>24765.810481309891</v>
      </c>
      <c r="AC38" s="314">
        <f ca="1">IF($B$4=0,OFFSET(StateModDepletions_BL!AC$5,$AM38,0),IF($B$4=1,OFFSET(StateModDepletions_BLNoRes!AC$5,$AM38,0)))</f>
        <v>31775.230519108474</v>
      </c>
      <c r="AD38" s="314">
        <f ca="1">IF($B$4=0,OFFSET(StateModDepletions_BL!AD$5,$AM38,0),IF($B$4=1,OFFSET(StateModDepletions_BLNoRes!AD$5,$AM38,0)))</f>
        <v>17165.583679392934</v>
      </c>
      <c r="AE38" s="314">
        <f ca="1">IF($B$4=0,OFFSET(StateModDepletions_BL!AE$5,$AM38,0),IF($B$4=1,OFFSET(StateModDepletions_BLNoRes!AE$5,$AM38,0)))</f>
        <v>104026.81989826262</v>
      </c>
      <c r="AF38" s="314">
        <f ca="1">IF($B$4=0,OFFSET(StateModDepletions_BL!AF$5,$AM38,0),IF($B$4=1,OFFSET(StateModDepletions_BLNoRes!AF$5,$AM38,0)))</f>
        <v>17150.742184154689</v>
      </c>
      <c r="AG38" s="314">
        <f ca="1">IF($B$4=0,OFFSET(StateModDepletions_BL!AG$5,$AM38,0),IF($B$4=1,OFFSET(StateModDepletions_BLNoRes!AG$5,$AM38,0)))</f>
        <v>32933.35541038074</v>
      </c>
      <c r="AH38" s="314">
        <f ca="1">IF($B$4=0,OFFSET(StateModDepletions_BL!AH$5,$AM38,0),IF($B$4=1,OFFSET(StateModDepletions_BLNoRes!AH$5,$AM38,0)))</f>
        <v>16243.036974921823</v>
      </c>
      <c r="AI38" s="314">
        <f ca="1">IF($B$4=0,OFFSET(StateModDepletions_BL!AI$5,$AM38,0),IF($B$4=1,OFFSET(StateModDepletions_BLNoRes!AI$5,$AM38,0)))</f>
        <v>14463.260520719812</v>
      </c>
      <c r="AJ38" s="315">
        <f ca="1">IF($B$4=0,OFFSET(StateModDepletions_BL!AJ$5,$AM38,0),IF($B$4=1,OFFSET(StateModDepletions_BLNoRes!AJ$5,$AM38,0)))</f>
        <v>140772.14622222257</v>
      </c>
      <c r="AK38" s="519">
        <f t="shared" si="4"/>
        <v>33</v>
      </c>
      <c r="AL38" s="519">
        <f t="shared" si="5"/>
        <v>1961</v>
      </c>
      <c r="AM38" s="519">
        <f>MATCH($AL38,StateModDepletions_BL!$A$6:$A$90,0)</f>
        <v>33</v>
      </c>
    </row>
    <row r="39" spans="1:39" x14ac:dyDescent="0.25">
      <c r="A39" s="519">
        <f t="shared" si="3"/>
        <v>1962</v>
      </c>
      <c r="B39" s="311">
        <f ca="1">IF($B$4=0,OFFSET(StateModDepletions_BL!B$5,$AM39,0),IF($B$4=1,OFFSET(StateModDepletions_BLNoRes!B$5,$AM39,0)))</f>
        <v>33841.750220432878</v>
      </c>
      <c r="C39" s="312">
        <f ca="1">IF($B$4=0,OFFSET(StateModDepletions_BL!C$5,$AM39,0),IF($B$4=1,OFFSET(StateModDepletions_BLNoRes!C$5,$AM39,0)))</f>
        <v>1026.0025346279144</v>
      </c>
      <c r="D39" s="312">
        <f ca="1">IF($B$4=0,OFFSET(StateModDepletions_BL!D$5,$AM39,0),IF($B$4=1,OFFSET(StateModDepletions_BLNoRes!D$5,$AM39,0)))</f>
        <v>96137.953765869141</v>
      </c>
      <c r="E39" s="312">
        <f ca="1">IF($B$4=0,OFFSET(StateModDepletions_BL!E$5,$AM39,0),IF($B$4=1,OFFSET(StateModDepletions_BLNoRes!E$5,$AM39,0)))</f>
        <v>2810.7051087617874</v>
      </c>
      <c r="F39" s="312">
        <f ca="1">IF($B$4=0,OFFSET(StateModDepletions_BL!F$5,$AM39,0),IF($B$4=1,OFFSET(StateModDepletions_BLNoRes!F$5,$AM39,0)))</f>
        <v>16666.76443195343</v>
      </c>
      <c r="G39" s="312">
        <f ca="1">IF($B$4=0,OFFSET(StateModDepletions_BL!G$5,$AM39,0),IF($B$4=1,OFFSET(StateModDepletions_BLNoRes!G$5,$AM39,0)))</f>
        <v>2036.5992698669434</v>
      </c>
      <c r="H39" s="312">
        <f ca="1">IF($B$4=0,OFFSET(StateModDepletions_BL!H$5,$AM39,0),IF($B$4=1,OFFSET(StateModDepletions_BLNoRes!H$5,$AM39,0)))</f>
        <v>2838.8627778291702</v>
      </c>
      <c r="I39" s="312">
        <f ca="1">IF($B$4=0,OFFSET(StateModDepletions_BL!I$5,$AM39,0),IF($B$4=1,OFFSET(StateModDepletions_BLNoRes!I$5,$AM39,0)))</f>
        <v>109097.29241359234</v>
      </c>
      <c r="J39" s="312">
        <f ca="1">IF($B$4=0,OFFSET(StateModDepletions_BL!J$5,$AM39,0),IF($B$4=1,OFFSET(StateModDepletions_BLNoRes!J$5,$AM39,0)))</f>
        <v>2256.3404939174652</v>
      </c>
      <c r="K39" s="312">
        <f ca="1">IF($B$4=0,OFFSET(StateModDepletions_BL!K$5,$AM39,0),IF($B$4=1,OFFSET(StateModDepletions_BLNoRes!K$5,$AM39,0)))</f>
        <v>19116.242594718933</v>
      </c>
      <c r="L39" s="312">
        <f ca="1">IF($B$4=0,OFFSET(StateModDepletions_BL!L$5,$AM39,0),IF($B$4=1,OFFSET(StateModDepletions_BLNoRes!L$5,$AM39,0)))</f>
        <v>17026.498659089208</v>
      </c>
      <c r="M39" s="312">
        <f ca="1">IF($B$4=0,OFFSET(StateModDepletions_BL!M$5,$AM39,0),IF($B$4=1,OFFSET(StateModDepletions_BLNoRes!M$5,$AM39,0)))</f>
        <v>1385.7694554328918</v>
      </c>
      <c r="N39" s="312">
        <f ca="1">IF($B$4=0,OFFSET(StateModDepletions_BL!N$5,$AM39,0),IF($B$4=1,OFFSET(StateModDepletions_BLNoRes!N$5,$AM39,0)))</f>
        <v>1326.6977829933167</v>
      </c>
      <c r="O39" s="312">
        <f ca="1">IF($B$4=0,OFFSET(StateModDepletions_BL!O$5,$AM39,0),IF($B$4=1,OFFSET(StateModDepletions_BLNoRes!O$5,$AM39,0)))</f>
        <v>34110.4794750125</v>
      </c>
      <c r="P39" s="312">
        <f ca="1">IF($B$4=0,OFFSET(StateModDepletions_BL!P$5,$AM39,0),IF($B$4=1,OFFSET(StateModDepletions_BLNoRes!P$5,$AM39,0)))</f>
        <v>339.00571370124817</v>
      </c>
      <c r="Q39" s="312">
        <f ca="1">IF($B$4=0,OFFSET(StateModDepletions_BL!Q$5,$AM39,0),IF($B$4=1,OFFSET(StateModDepletions_BLNoRes!Q$5,$AM39,0)))</f>
        <v>14265.200619138777</v>
      </c>
      <c r="R39" s="312">
        <f ca="1">IF($B$4=0,OFFSET(StateModDepletions_BL!R$5,$AM39,0),IF($B$4=1,OFFSET(StateModDepletions_BLNoRes!R$5,$AM39,0)))</f>
        <v>598.83215999603271</v>
      </c>
      <c r="S39" s="312">
        <f ca="1">IF($B$4=0,OFFSET(StateModDepletions_BL!S$5,$AM39,0),IF($B$4=1,OFFSET(StateModDepletions_BLNoRes!S$5,$AM39,0)))</f>
        <v>0</v>
      </c>
      <c r="T39" s="312">
        <f ca="1">IF($B$4=0,OFFSET(StateModDepletions_BL!T$5,$AM39,0),IF($B$4=1,OFFSET(StateModDepletions_BLNoRes!T$5,$AM39,0)))</f>
        <v>14673.212002659217</v>
      </c>
      <c r="U39" s="312">
        <f ca="1">IF($B$4=0,OFFSET(StateModDepletions_BL!U$5,$AM39,0),IF($B$4=1,OFFSET(StateModDepletions_BLNoRes!U$5,$AM39,0)))</f>
        <v>1437.8885340120464</v>
      </c>
      <c r="V39" s="312">
        <f ca="1">IF($B$4=0,OFFSET(StateModDepletions_BL!V$5,$AM39,0),IF($B$4=1,OFFSET(StateModDepletions_BLNoRes!V$5,$AM39,0)))</f>
        <v>10833.813507556915</v>
      </c>
      <c r="W39" s="312">
        <f ca="1">IF($B$4=0,OFFSET(StateModDepletions_BL!W$5,$AM39,0),IF($B$4=1,OFFSET(StateModDepletions_BLNoRes!W$5,$AM39,0)))</f>
        <v>137689.01850137458</v>
      </c>
      <c r="X39" s="312">
        <f ca="1">IF($B$4=0,OFFSET(StateModDepletions_BL!X$5,$AM39,0),IF($B$4=1,OFFSET(StateModDepletions_BLNoRes!X$5,$AM39,0)))</f>
        <v>5449.6475036814809</v>
      </c>
      <c r="Y39" s="312">
        <f ca="1">IF($B$4=0,OFFSET(StateModDepletions_BL!Y$5,$AM39,0),IF($B$4=1,OFFSET(StateModDepletions_BLNoRes!Y$5,$AM39,0)))</f>
        <v>212.11356273293495</v>
      </c>
      <c r="Z39" s="312">
        <f ca="1">IF($B$4=0,OFFSET(StateModDepletions_BL!Z$5,$AM39,0),IF($B$4=1,OFFSET(StateModDepletions_BLNoRes!Z$5,$AM39,0)))</f>
        <v>210731.67543363571</v>
      </c>
      <c r="AA39" s="313">
        <f ca="1">IF($B$4=0,OFFSET(StateModDepletions_BL!AA$5,$AM39,0),IF($B$4=1,OFFSET(StateModDepletions_BLNoRes!AA$5,$AM39,0)))</f>
        <v>67380.895865846716</v>
      </c>
      <c r="AB39" s="314">
        <f ca="1">IF($B$4=0,OFFSET(StateModDepletions_BL!AB$5,$AM39,0),IF($B$4=1,OFFSET(StateModDepletions_BLNoRes!AB$5,$AM39,0)))</f>
        <v>24765.810481309891</v>
      </c>
      <c r="AC39" s="314">
        <f ca="1">IF($B$4=0,OFFSET(StateModDepletions_BL!AC$5,$AM39,0),IF($B$4=1,OFFSET(StateModDepletions_BLNoRes!AC$5,$AM39,0)))</f>
        <v>34867.752755060792</v>
      </c>
      <c r="AD39" s="314">
        <f ca="1">IF($B$4=0,OFFSET(StateModDepletions_BL!AD$5,$AM39,0),IF($B$4=1,OFFSET(StateModDepletions_BLNoRes!AD$5,$AM39,0)))</f>
        <v>18703.363701820374</v>
      </c>
      <c r="AE39" s="314">
        <f ca="1">IF($B$4=0,OFFSET(StateModDepletions_BL!AE$5,$AM39,0),IF($B$4=1,OFFSET(StateModDepletions_BLNoRes!AE$5,$AM39,0)))</f>
        <v>111353.6329075098</v>
      </c>
      <c r="AF39" s="314">
        <f ca="1">IF($B$4=0,OFFSET(StateModDepletions_BL!AF$5,$AM39,0),IF($B$4=1,OFFSET(StateModDepletions_BLNoRes!AF$5,$AM39,0)))</f>
        <v>18412.268114522099</v>
      </c>
      <c r="AG39" s="314">
        <f ca="1">IF($B$4=0,OFFSET(StateModDepletions_BL!AG$5,$AM39,0),IF($B$4=1,OFFSET(StateModDepletions_BLNoRes!AG$5,$AM39,0)))</f>
        <v>34449.485188713748</v>
      </c>
      <c r="AH39" s="314">
        <f ca="1">IF($B$4=0,OFFSET(StateModDepletions_BL!AH$5,$AM39,0),IF($B$4=1,OFFSET(StateModDepletions_BLNoRes!AH$5,$AM39,0)))</f>
        <v>14864.03277913481</v>
      </c>
      <c r="AI39" s="314">
        <f ca="1">IF($B$4=0,OFFSET(StateModDepletions_BL!AI$5,$AM39,0),IF($B$4=1,OFFSET(StateModDepletions_BLNoRes!AI$5,$AM39,0)))</f>
        <v>16111.100536671263</v>
      </c>
      <c r="AJ39" s="315">
        <f ca="1">IF($B$4=0,OFFSET(StateModDepletions_BL!AJ$5,$AM39,0),IF($B$4=1,OFFSET(StateModDepletions_BLNoRes!AJ$5,$AM39,0)))</f>
        <v>143138.66600505606</v>
      </c>
      <c r="AK39" s="519">
        <f t="shared" ref="AK39:AK70" si="6">IF(ISERROR(AK38),NA(),IF(AK38&gt;=NumRunYears,NA(),AK38+1))</f>
        <v>34</v>
      </c>
      <c r="AL39" s="519">
        <f t="shared" si="5"/>
        <v>1962</v>
      </c>
      <c r="AM39" s="519">
        <f>MATCH($AL39,StateModDepletions_BL!$A$6:$A$90,0)</f>
        <v>34</v>
      </c>
    </row>
    <row r="40" spans="1:39" x14ac:dyDescent="0.25">
      <c r="A40" s="519">
        <f t="shared" si="3"/>
        <v>1963</v>
      </c>
      <c r="B40" s="311">
        <f ca="1">IF($B$4=0,OFFSET(StateModDepletions_BL!B$5,$AM40,0),IF($B$4=1,OFFSET(StateModDepletions_BLNoRes!B$5,$AM40,0)))</f>
        <v>31530.187563896179</v>
      </c>
      <c r="C40" s="312">
        <f ca="1">IF($B$4=0,OFFSET(StateModDepletions_BL!C$5,$AM40,0),IF($B$4=1,OFFSET(StateModDepletions_BLNoRes!C$5,$AM40,0)))</f>
        <v>1026.0025346279144</v>
      </c>
      <c r="D40" s="312">
        <f ca="1">IF($B$4=0,OFFSET(StateModDepletions_BL!D$5,$AM40,0),IF($B$4=1,OFFSET(StateModDepletions_BLNoRes!D$5,$AM40,0)))</f>
        <v>42910.715103149414</v>
      </c>
      <c r="E40" s="312">
        <f ca="1">IF($B$4=0,OFFSET(StateModDepletions_BL!E$5,$AM40,0),IF($B$4=1,OFFSET(StateModDepletions_BLNoRes!E$5,$AM40,0)))</f>
        <v>2810.7051087617874</v>
      </c>
      <c r="F40" s="312">
        <f ca="1">IF($B$4=0,OFFSET(StateModDepletions_BL!F$5,$AM40,0),IF($B$4=1,OFFSET(StateModDepletions_BLNoRes!F$5,$AM40,0)))</f>
        <v>15815.032400101423</v>
      </c>
      <c r="G40" s="312">
        <f ca="1">IF($B$4=0,OFFSET(StateModDepletions_BL!G$5,$AM40,0),IF($B$4=1,OFFSET(StateModDepletions_BLNoRes!G$5,$AM40,0)))</f>
        <v>2036.5992698669434</v>
      </c>
      <c r="H40" s="312">
        <f ca="1">IF($B$4=0,OFFSET(StateModDepletions_BL!H$5,$AM40,0),IF($B$4=1,OFFSET(StateModDepletions_BLNoRes!H$5,$AM40,0)))</f>
        <v>2838.8627778291702</v>
      </c>
      <c r="I40" s="312">
        <f ca="1">IF($B$4=0,OFFSET(StateModDepletions_BL!I$5,$AM40,0),IF($B$4=1,OFFSET(StateModDepletions_BLNoRes!I$5,$AM40,0)))</f>
        <v>101639.33189398237</v>
      </c>
      <c r="J40" s="312">
        <f ca="1">IF($B$4=0,OFFSET(StateModDepletions_BL!J$5,$AM40,0),IF($B$4=1,OFFSET(StateModDepletions_BLNoRes!J$5,$AM40,0)))</f>
        <v>2361.7754743099213</v>
      </c>
      <c r="K40" s="312">
        <f ca="1">IF($B$4=0,OFFSET(StateModDepletions_BL!K$5,$AM40,0),IF($B$4=1,OFFSET(StateModDepletions_BLNoRes!K$5,$AM40,0)))</f>
        <v>19116.242594718933</v>
      </c>
      <c r="L40" s="312">
        <f ca="1">IF($B$4=0,OFFSET(StateModDepletions_BL!L$5,$AM40,0),IF($B$4=1,OFFSET(StateModDepletions_BLNoRes!L$5,$AM40,0)))</f>
        <v>16196.553621947769</v>
      </c>
      <c r="M40" s="312">
        <f ca="1">IF($B$4=0,OFFSET(StateModDepletions_BL!M$5,$AM40,0),IF($B$4=1,OFFSET(StateModDepletions_BLNoRes!M$5,$AM40,0)))</f>
        <v>1360.4503207206726</v>
      </c>
      <c r="N40" s="312">
        <f ca="1">IF($B$4=0,OFFSET(StateModDepletions_BL!N$5,$AM40,0),IF($B$4=1,OFFSET(StateModDepletions_BLNoRes!N$5,$AM40,0)))</f>
        <v>1326.6977829933167</v>
      </c>
      <c r="O40" s="312">
        <f ca="1">IF($B$4=0,OFFSET(StateModDepletions_BL!O$5,$AM40,0),IF($B$4=1,OFFSET(StateModDepletions_BLNoRes!O$5,$AM40,0)))</f>
        <v>27349.719536131695</v>
      </c>
      <c r="P40" s="312">
        <f ca="1">IF($B$4=0,OFFSET(StateModDepletions_BL!P$5,$AM40,0),IF($B$4=1,OFFSET(StateModDepletions_BLNoRes!P$5,$AM40,0)))</f>
        <v>297.23484969139099</v>
      </c>
      <c r="Q40" s="312">
        <f ca="1">IF($B$4=0,OFFSET(StateModDepletions_BL!Q$5,$AM40,0),IF($B$4=1,OFFSET(StateModDepletions_BLNoRes!Q$5,$AM40,0)))</f>
        <v>11039.338425010443</v>
      </c>
      <c r="R40" s="312">
        <f ca="1">IF($B$4=0,OFFSET(StateModDepletions_BL!R$5,$AM40,0),IF($B$4=1,OFFSET(StateModDepletions_BLNoRes!R$5,$AM40,0)))</f>
        <v>598.83215999603271</v>
      </c>
      <c r="S40" s="312">
        <f ca="1">IF($B$4=0,OFFSET(StateModDepletions_BL!S$5,$AM40,0),IF($B$4=1,OFFSET(StateModDepletions_BLNoRes!S$5,$AM40,0)))</f>
        <v>0</v>
      </c>
      <c r="T40" s="312">
        <f ca="1">IF($B$4=0,OFFSET(StateModDepletions_BL!T$5,$AM40,0),IF($B$4=1,OFFSET(StateModDepletions_BLNoRes!T$5,$AM40,0)))</f>
        <v>11024.686499603913</v>
      </c>
      <c r="U40" s="312">
        <f ca="1">IF($B$4=0,OFFSET(StateModDepletions_BL!U$5,$AM40,0),IF($B$4=1,OFFSET(StateModDepletions_BLNoRes!U$5,$AM40,0)))</f>
        <v>1423.1451075971127</v>
      </c>
      <c r="V40" s="312">
        <f ca="1">IF($B$4=0,OFFSET(StateModDepletions_BL!V$5,$AM40,0),IF($B$4=1,OFFSET(StateModDepletions_BLNoRes!V$5,$AM40,0)))</f>
        <v>8364.9141054153442</v>
      </c>
      <c r="W40" s="312">
        <f ca="1">IF($B$4=0,OFFSET(StateModDepletions_BL!W$5,$AM40,0),IF($B$4=1,OFFSET(StateModDepletions_BLNoRes!W$5,$AM40,0)))</f>
        <v>133161.01313156978</v>
      </c>
      <c r="X40" s="312">
        <f ca="1">IF($B$4=0,OFFSET(StateModDepletions_BL!X$5,$AM40,0),IF($B$4=1,OFFSET(StateModDepletions_BLNoRes!X$5,$AM40,0)))</f>
        <v>5403.6943594208051</v>
      </c>
      <c r="Y40" s="312">
        <f ca="1">IF($B$4=0,OFFSET(StateModDepletions_BL!Y$5,$AM40,0),IF($B$4=1,OFFSET(StateModDepletions_BLNoRes!Y$5,$AM40,0)))</f>
        <v>212.11356273293495</v>
      </c>
      <c r="Z40" s="312">
        <f ca="1">IF($B$4=0,OFFSET(StateModDepletions_BL!Z$5,$AM40,0),IF($B$4=1,OFFSET(StateModDepletions_BLNoRes!Z$5,$AM40,0)))</f>
        <v>206590.76850557327</v>
      </c>
      <c r="AA40" s="313">
        <f ca="1">IF($B$4=0,OFFSET(StateModDepletions_BL!AA$5,$AM40,0),IF($B$4=1,OFFSET(StateModDepletions_BLNoRes!AA$5,$AM40,0)))</f>
        <v>67813.947451849759</v>
      </c>
      <c r="AB40" s="314">
        <f ca="1">IF($B$4=0,OFFSET(StateModDepletions_BL!AB$5,$AM40,0),IF($B$4=1,OFFSET(StateModDepletions_BLNoRes!AB$5,$AM40,0)))</f>
        <v>24765.810481309891</v>
      </c>
      <c r="AC40" s="314">
        <f ca="1">IF($B$4=0,OFFSET(StateModDepletions_BL!AC$5,$AM40,0),IF($B$4=1,OFFSET(StateModDepletions_BLNoRes!AC$5,$AM40,0)))</f>
        <v>32556.190098524094</v>
      </c>
      <c r="AD40" s="314">
        <f ca="1">IF($B$4=0,OFFSET(StateModDepletions_BL!AD$5,$AM40,0),IF($B$4=1,OFFSET(StateModDepletions_BLNoRes!AD$5,$AM40,0)))</f>
        <v>17851.631669968367</v>
      </c>
      <c r="AE40" s="314">
        <f ca="1">IF($B$4=0,OFFSET(StateModDepletions_BL!AE$5,$AM40,0),IF($B$4=1,OFFSET(StateModDepletions_BLNoRes!AE$5,$AM40,0)))</f>
        <v>104001.10736829229</v>
      </c>
      <c r="AF40" s="314">
        <f ca="1">IF($B$4=0,OFFSET(StateModDepletions_BL!AF$5,$AM40,0),IF($B$4=1,OFFSET(StateModDepletions_BLNoRes!AF$5,$AM40,0)))</f>
        <v>17557.003942668442</v>
      </c>
      <c r="AG40" s="314">
        <f ca="1">IF($B$4=0,OFFSET(StateModDepletions_BL!AG$5,$AM40,0),IF($B$4=1,OFFSET(StateModDepletions_BLNoRes!AG$5,$AM40,0)))</f>
        <v>27646.954385823086</v>
      </c>
      <c r="AH40" s="314">
        <f ca="1">IF($B$4=0,OFFSET(StateModDepletions_BL!AH$5,$AM40,0),IF($B$4=1,OFFSET(StateModDepletions_BLNoRes!AH$5,$AM40,0)))</f>
        <v>11638.170585006475</v>
      </c>
      <c r="AI40" s="314">
        <f ca="1">IF($B$4=0,OFFSET(StateModDepletions_BL!AI$5,$AM40,0),IF($B$4=1,OFFSET(StateModDepletions_BLNoRes!AI$5,$AM40,0)))</f>
        <v>12447.831607201026</v>
      </c>
      <c r="AJ40" s="315">
        <f ca="1">IF($B$4=0,OFFSET(StateModDepletions_BL!AJ$5,$AM40,0),IF($B$4=1,OFFSET(StateModDepletions_BLNoRes!AJ$5,$AM40,0)))</f>
        <v>138564.70749099058</v>
      </c>
      <c r="AK40" s="519">
        <f t="shared" si="6"/>
        <v>35</v>
      </c>
      <c r="AL40" s="519">
        <f t="shared" si="5"/>
        <v>1963</v>
      </c>
      <c r="AM40" s="519">
        <f>MATCH($AL40,StateModDepletions_BL!$A$6:$A$90,0)</f>
        <v>35</v>
      </c>
    </row>
    <row r="41" spans="1:39" x14ac:dyDescent="0.25">
      <c r="A41" s="519">
        <f t="shared" si="3"/>
        <v>1964</v>
      </c>
      <c r="B41" s="311">
        <f ca="1">IF($B$4=0,OFFSET(StateModDepletions_BL!B$5,$AM41,0),IF($B$4=1,OFFSET(StateModDepletions_BLNoRes!B$5,$AM41,0)))</f>
        <v>34959.862106569111</v>
      </c>
      <c r="C41" s="312">
        <f ca="1">IF($B$4=0,OFFSET(StateModDepletions_BL!C$5,$AM41,0),IF($B$4=1,OFFSET(StateModDepletions_BLNoRes!C$5,$AM41,0)))</f>
        <v>1026.0025346279144</v>
      </c>
      <c r="D41" s="312">
        <f ca="1">IF($B$4=0,OFFSET(StateModDepletions_BL!D$5,$AM41,0),IF($B$4=1,OFFSET(StateModDepletions_BLNoRes!D$5,$AM41,0)))</f>
        <v>54616.380432128906</v>
      </c>
      <c r="E41" s="312">
        <f ca="1">IF($B$4=0,OFFSET(StateModDepletions_BL!E$5,$AM41,0),IF($B$4=1,OFFSET(StateModDepletions_BLNoRes!E$5,$AM41,0)))</f>
        <v>2810.7051087617874</v>
      </c>
      <c r="F41" s="312">
        <f ca="1">IF($B$4=0,OFFSET(StateModDepletions_BL!F$5,$AM41,0),IF($B$4=1,OFFSET(StateModDepletions_BLNoRes!F$5,$AM41,0)))</f>
        <v>15979.494484096766</v>
      </c>
      <c r="G41" s="312">
        <f ca="1">IF($B$4=0,OFFSET(StateModDepletions_BL!G$5,$AM41,0),IF($B$4=1,OFFSET(StateModDepletions_BLNoRes!G$5,$AM41,0)))</f>
        <v>2036.5992698669434</v>
      </c>
      <c r="H41" s="312">
        <f ca="1">IF($B$4=0,OFFSET(StateModDepletions_BL!H$5,$AM41,0),IF($B$4=1,OFFSET(StateModDepletions_BLNoRes!H$5,$AM41,0)))</f>
        <v>2838.8627778291702</v>
      </c>
      <c r="I41" s="312">
        <f ca="1">IF($B$4=0,OFFSET(StateModDepletions_BL!I$5,$AM41,0),IF($B$4=1,OFFSET(StateModDepletions_BLNoRes!I$5,$AM41,0)))</f>
        <v>101638.59579022229</v>
      </c>
      <c r="J41" s="312">
        <f ca="1">IF($B$4=0,OFFSET(StateModDepletions_BL!J$5,$AM41,0),IF($B$4=1,OFFSET(StateModDepletions_BLNoRes!J$5,$AM41,0)))</f>
        <v>2166.6441113948822</v>
      </c>
      <c r="K41" s="312">
        <f ca="1">IF($B$4=0,OFFSET(StateModDepletions_BL!K$5,$AM41,0),IF($B$4=1,OFFSET(StateModDepletions_BLNoRes!K$5,$AM41,0)))</f>
        <v>19116.242594718933</v>
      </c>
      <c r="L41" s="312">
        <f ca="1">IF($B$4=0,OFFSET(StateModDepletions_BL!L$5,$AM41,0),IF($B$4=1,OFFSET(StateModDepletions_BLNoRes!L$5,$AM41,0)))</f>
        <v>17125.739578403522</v>
      </c>
      <c r="M41" s="312">
        <f ca="1">IF($B$4=0,OFFSET(StateModDepletions_BL!M$5,$AM41,0),IF($B$4=1,OFFSET(StateModDepletions_BLNoRes!M$5,$AM41,0)))</f>
        <v>1326.5622525215149</v>
      </c>
      <c r="N41" s="312">
        <f ca="1">IF($B$4=0,OFFSET(StateModDepletions_BL!N$5,$AM41,0),IF($B$4=1,OFFSET(StateModDepletions_BLNoRes!N$5,$AM41,0)))</f>
        <v>1326.6977829933167</v>
      </c>
      <c r="O41" s="312">
        <f ca="1">IF($B$4=0,OFFSET(StateModDepletions_BL!O$5,$AM41,0),IF($B$4=1,OFFSET(StateModDepletions_BLNoRes!O$5,$AM41,0)))</f>
        <v>24091.023422099803</v>
      </c>
      <c r="P41" s="312">
        <f ca="1">IF($B$4=0,OFFSET(StateModDepletions_BL!P$5,$AM41,0),IF($B$4=1,OFFSET(StateModDepletions_BLNoRes!P$5,$AM41,0)))</f>
        <v>267.43048429489136</v>
      </c>
      <c r="Q41" s="312">
        <f ca="1">IF($B$4=0,OFFSET(StateModDepletions_BL!Q$5,$AM41,0),IF($B$4=1,OFFSET(StateModDepletions_BLNoRes!Q$5,$AM41,0)))</f>
        <v>13347.473749727011</v>
      </c>
      <c r="R41" s="312">
        <f ca="1">IF($B$4=0,OFFSET(StateModDepletions_BL!R$5,$AM41,0),IF($B$4=1,OFFSET(StateModDepletions_BLNoRes!R$5,$AM41,0)))</f>
        <v>598.83215999603271</v>
      </c>
      <c r="S41" s="312">
        <f ca="1">IF($B$4=0,OFFSET(StateModDepletions_BL!S$5,$AM41,0),IF($B$4=1,OFFSET(StateModDepletions_BLNoRes!S$5,$AM41,0)))</f>
        <v>0</v>
      </c>
      <c r="T41" s="312">
        <f ca="1">IF($B$4=0,OFFSET(StateModDepletions_BL!T$5,$AM41,0),IF($B$4=1,OFFSET(StateModDepletions_BLNoRes!T$5,$AM41,0)))</f>
        <v>10909.181837835238</v>
      </c>
      <c r="U41" s="312">
        <f ca="1">IF($B$4=0,OFFSET(StateModDepletions_BL!U$5,$AM41,0),IF($B$4=1,OFFSET(StateModDepletions_BLNoRes!U$5,$AM41,0)))</f>
        <v>1392.7702518999577</v>
      </c>
      <c r="V41" s="312">
        <f ca="1">IF($B$4=0,OFFSET(StateModDepletions_BL!V$5,$AM41,0),IF($B$4=1,OFFSET(StateModDepletions_BLNoRes!V$5,$AM41,0)))</f>
        <v>10091.796875953674</v>
      </c>
      <c r="W41" s="312">
        <f ca="1">IF($B$4=0,OFFSET(StateModDepletions_BL!W$5,$AM41,0),IF($B$4=1,OFFSET(StateModDepletions_BLNoRes!W$5,$AM41,0)))</f>
        <v>111098.35054181858</v>
      </c>
      <c r="X41" s="312">
        <f ca="1">IF($B$4=0,OFFSET(StateModDepletions_BL!X$5,$AM41,0),IF($B$4=1,OFFSET(StateModDepletions_BLNoRes!X$5,$AM41,0)))</f>
        <v>5242.9200390612359</v>
      </c>
      <c r="Y41" s="312">
        <f ca="1">IF($B$4=0,OFFSET(StateModDepletions_BL!Y$5,$AM41,0),IF($B$4=1,OFFSET(StateModDepletions_BLNoRes!Y$5,$AM41,0)))</f>
        <v>212.11356273293495</v>
      </c>
      <c r="Z41" s="312">
        <f ca="1">IF($B$4=0,OFFSET(StateModDepletions_BL!Z$5,$AM41,0),IF($B$4=1,OFFSET(StateModDepletions_BLNoRes!Z$5,$AM41,0)))</f>
        <v>206358.84523962438</v>
      </c>
      <c r="AA41" s="313">
        <f ca="1">IF($B$4=0,OFFSET(StateModDepletions_BL!AA$5,$AM41,0),IF($B$4=1,OFFSET(StateModDepletions_BLNoRes!AA$5,$AM41,0)))</f>
        <v>89805.461096011626</v>
      </c>
      <c r="AB41" s="314">
        <f ca="1">IF($B$4=0,OFFSET(StateModDepletions_BL!AB$5,$AM41,0),IF($B$4=1,OFFSET(StateModDepletions_BLNoRes!AB$5,$AM41,0)))</f>
        <v>24765.810481309891</v>
      </c>
      <c r="AC41" s="314">
        <f ca="1">IF($B$4=0,OFFSET(StateModDepletions_BL!AC$5,$AM41,0),IF($B$4=1,OFFSET(StateModDepletions_BLNoRes!AC$5,$AM41,0)))</f>
        <v>35985.864641197026</v>
      </c>
      <c r="AD41" s="314">
        <f ca="1">IF($B$4=0,OFFSET(StateModDepletions_BL!AD$5,$AM41,0),IF($B$4=1,OFFSET(StateModDepletions_BLNoRes!AD$5,$AM41,0)))</f>
        <v>18016.093753963709</v>
      </c>
      <c r="AE41" s="314">
        <f ca="1">IF($B$4=0,OFFSET(StateModDepletions_BL!AE$5,$AM41,0),IF($B$4=1,OFFSET(StateModDepletions_BLNoRes!AE$5,$AM41,0)))</f>
        <v>103805.23990161717</v>
      </c>
      <c r="AF41" s="314">
        <f ca="1">IF($B$4=0,OFFSET(StateModDepletions_BL!AF$5,$AM41,0),IF($B$4=1,OFFSET(StateModDepletions_BLNoRes!AF$5,$AM41,0)))</f>
        <v>18452.301830925036</v>
      </c>
      <c r="AG41" s="314">
        <f ca="1">IF($B$4=0,OFFSET(StateModDepletions_BL!AG$5,$AM41,0),IF($B$4=1,OFFSET(StateModDepletions_BLNoRes!AG$5,$AM41,0)))</f>
        <v>24358.453906394694</v>
      </c>
      <c r="AH41" s="314">
        <f ca="1">IF($B$4=0,OFFSET(StateModDepletions_BL!AH$5,$AM41,0),IF($B$4=1,OFFSET(StateModDepletions_BLNoRes!AH$5,$AM41,0)))</f>
        <v>13946.305909723043</v>
      </c>
      <c r="AI41" s="314">
        <f ca="1">IF($B$4=0,OFFSET(StateModDepletions_BL!AI$5,$AM41,0),IF($B$4=1,OFFSET(StateModDepletions_BLNoRes!AI$5,$AM41,0)))</f>
        <v>12301.952089735196</v>
      </c>
      <c r="AJ41" s="315">
        <f ca="1">IF($B$4=0,OFFSET(StateModDepletions_BL!AJ$5,$AM41,0),IF($B$4=1,OFFSET(StateModDepletions_BLNoRes!AJ$5,$AM41,0)))</f>
        <v>116341.27058087982</v>
      </c>
      <c r="AK41" s="519">
        <f t="shared" si="6"/>
        <v>36</v>
      </c>
      <c r="AL41" s="519">
        <f t="shared" si="5"/>
        <v>1964</v>
      </c>
      <c r="AM41" s="519">
        <f>MATCH($AL41,StateModDepletions_BL!$A$6:$A$90,0)</f>
        <v>36</v>
      </c>
    </row>
    <row r="42" spans="1:39" x14ac:dyDescent="0.25">
      <c r="A42" s="519">
        <f t="shared" si="3"/>
        <v>1965</v>
      </c>
      <c r="B42" s="311">
        <f ca="1">IF($B$4=0,OFFSET(StateModDepletions_BL!B$5,$AM42,0),IF($B$4=1,OFFSET(StateModDepletions_BLNoRes!B$5,$AM42,0)))</f>
        <v>35846.368672192097</v>
      </c>
      <c r="C42" s="312">
        <f ca="1">IF($B$4=0,OFFSET(StateModDepletions_BL!C$5,$AM42,0),IF($B$4=1,OFFSET(StateModDepletions_BLNoRes!C$5,$AM42,0)))</f>
        <v>1026.0025346279144</v>
      </c>
      <c r="D42" s="312">
        <f ca="1">IF($B$4=0,OFFSET(StateModDepletions_BL!D$5,$AM42,0),IF($B$4=1,OFFSET(StateModDepletions_BLNoRes!D$5,$AM42,0)))</f>
        <v>143532.74061584473</v>
      </c>
      <c r="E42" s="312">
        <f ca="1">IF($B$4=0,OFFSET(StateModDepletions_BL!E$5,$AM42,0),IF($B$4=1,OFFSET(StateModDepletions_BLNoRes!E$5,$AM42,0)))</f>
        <v>2810.7051087617874</v>
      </c>
      <c r="F42" s="312">
        <f ca="1">IF($B$4=0,OFFSET(StateModDepletions_BL!F$5,$AM42,0),IF($B$4=1,OFFSET(StateModDepletions_BLNoRes!F$5,$AM42,0)))</f>
        <v>14952.056076958776</v>
      </c>
      <c r="G42" s="312">
        <f ca="1">IF($B$4=0,OFFSET(StateModDepletions_BL!G$5,$AM42,0),IF($B$4=1,OFFSET(StateModDepletions_BLNoRes!G$5,$AM42,0)))</f>
        <v>2036.5992698669434</v>
      </c>
      <c r="H42" s="312">
        <f ca="1">IF($B$4=0,OFFSET(StateModDepletions_BL!H$5,$AM42,0),IF($B$4=1,OFFSET(StateModDepletions_BLNoRes!H$5,$AM42,0)))</f>
        <v>2838.8627778291702</v>
      </c>
      <c r="I42" s="312">
        <f ca="1">IF($B$4=0,OFFSET(StateModDepletions_BL!I$5,$AM42,0),IF($B$4=1,OFFSET(StateModDepletions_BLNoRes!I$5,$AM42,0)))</f>
        <v>103113.30942165852</v>
      </c>
      <c r="J42" s="312">
        <f ca="1">IF($B$4=0,OFFSET(StateModDepletions_BL!J$5,$AM42,0),IF($B$4=1,OFFSET(StateModDepletions_BLNoRes!J$5,$AM42,0)))</f>
        <v>2641.7379815578461</v>
      </c>
      <c r="K42" s="312">
        <f ca="1">IF($B$4=0,OFFSET(StateModDepletions_BL!K$5,$AM42,0),IF($B$4=1,OFFSET(StateModDepletions_BLNoRes!K$5,$AM42,0)))</f>
        <v>19116.242594718933</v>
      </c>
      <c r="L42" s="312">
        <f ca="1">IF($B$4=0,OFFSET(StateModDepletions_BL!L$5,$AM42,0),IF($B$4=1,OFFSET(StateModDepletions_BLNoRes!L$5,$AM42,0)))</f>
        <v>15211.297102726989</v>
      </c>
      <c r="M42" s="312">
        <f ca="1">IF($B$4=0,OFFSET(StateModDepletions_BL!M$5,$AM42,0),IF($B$4=1,OFFSET(StateModDepletions_BLNoRes!M$5,$AM42,0)))</f>
        <v>1344.3224596977234</v>
      </c>
      <c r="N42" s="312">
        <f ca="1">IF($B$4=0,OFFSET(StateModDepletions_BL!N$5,$AM42,0),IF($B$4=1,OFFSET(StateModDepletions_BLNoRes!N$5,$AM42,0)))</f>
        <v>1326.6977829933167</v>
      </c>
      <c r="O42" s="312">
        <f ca="1">IF($B$4=0,OFFSET(StateModDepletions_BL!O$5,$AM42,0),IF($B$4=1,OFFSET(StateModDepletions_BLNoRes!O$5,$AM42,0)))</f>
        <v>41241.056261251601</v>
      </c>
      <c r="P42" s="312">
        <f ca="1">IF($B$4=0,OFFSET(StateModDepletions_BL!P$5,$AM42,0),IF($B$4=1,OFFSET(StateModDepletions_BLNoRes!P$5,$AM42,0)))</f>
        <v>318.11277675628662</v>
      </c>
      <c r="Q42" s="312">
        <f ca="1">IF($B$4=0,OFFSET(StateModDepletions_BL!Q$5,$AM42,0),IF($B$4=1,OFFSET(StateModDepletions_BLNoRes!Q$5,$AM42,0)))</f>
        <v>20051.339646920562</v>
      </c>
      <c r="R42" s="312">
        <f ca="1">IF($B$4=0,OFFSET(StateModDepletions_BL!R$5,$AM42,0),IF($B$4=1,OFFSET(StateModDepletions_BLNoRes!R$5,$AM42,0)))</f>
        <v>598.83215999603271</v>
      </c>
      <c r="S42" s="312">
        <f ca="1">IF($B$4=0,OFFSET(StateModDepletions_BL!S$5,$AM42,0),IF($B$4=1,OFFSET(StateModDepletions_BLNoRes!S$5,$AM42,0)))</f>
        <v>0</v>
      </c>
      <c r="T42" s="312">
        <f ca="1">IF($B$4=0,OFFSET(StateModDepletions_BL!T$5,$AM42,0),IF($B$4=1,OFFSET(StateModDepletions_BLNoRes!T$5,$AM42,0)))</f>
        <v>21916.606464814322</v>
      </c>
      <c r="U42" s="312">
        <f ca="1">IF($B$4=0,OFFSET(StateModDepletions_BL!U$5,$AM42,0),IF($B$4=1,OFFSET(StateModDepletions_BLNoRes!U$5,$AM42,0)))</f>
        <v>1571.9742879245805</v>
      </c>
      <c r="V42" s="312">
        <f ca="1">IF($B$4=0,OFFSET(StateModDepletions_BL!V$5,$AM42,0),IF($B$4=1,OFFSET(StateModDepletions_BLNoRes!V$5,$AM42,0)))</f>
        <v>17239.281411170959</v>
      </c>
      <c r="W42" s="312">
        <f ca="1">IF($B$4=0,OFFSET(StateModDepletions_BL!W$5,$AM42,0),IF($B$4=1,OFFSET(StateModDepletions_BLNoRes!W$5,$AM42,0)))</f>
        <v>104997.31663843959</v>
      </c>
      <c r="X42" s="312">
        <f ca="1">IF($B$4=0,OFFSET(StateModDepletions_BL!X$5,$AM42,0),IF($B$4=1,OFFSET(StateModDepletions_BLNoRes!X$5,$AM42,0)))</f>
        <v>5748.5890097618103</v>
      </c>
      <c r="Y42" s="312">
        <f ca="1">IF($B$4=0,OFFSET(StateModDepletions_BL!Y$5,$AM42,0),IF($B$4=1,OFFSET(StateModDepletions_BLNoRes!Y$5,$AM42,0)))</f>
        <v>212.11356273293495</v>
      </c>
      <c r="Z42" s="312">
        <f ca="1">IF($B$4=0,OFFSET(StateModDepletions_BL!Z$5,$AM42,0),IF($B$4=1,OFFSET(StateModDepletions_BLNoRes!Z$5,$AM42,0)))</f>
        <v>240105.43230438232</v>
      </c>
      <c r="AA42" s="313">
        <f ca="1">IF($B$4=0,OFFSET(StateModDepletions_BL!AA$5,$AM42,0),IF($B$4=1,OFFSET(StateModDepletions_BLNoRes!AA$5,$AM42,0)))</f>
        <v>129147.41309344798</v>
      </c>
      <c r="AB42" s="314">
        <f ca="1">IF($B$4=0,OFFSET(StateModDepletions_BL!AB$5,$AM42,0),IF($B$4=1,OFFSET(StateModDepletions_BLNoRes!AB$5,$AM42,0)))</f>
        <v>24765.810481309891</v>
      </c>
      <c r="AC42" s="314">
        <f ca="1">IF($B$4=0,OFFSET(StateModDepletions_BL!AC$5,$AM42,0),IF($B$4=1,OFFSET(StateModDepletions_BLNoRes!AC$5,$AM42,0)))</f>
        <v>36872.371206820011</v>
      </c>
      <c r="AD42" s="314">
        <f ca="1">IF($B$4=0,OFFSET(StateModDepletions_BL!AD$5,$AM42,0),IF($B$4=1,OFFSET(StateModDepletions_BLNoRes!AD$5,$AM42,0)))</f>
        <v>16988.655346825719</v>
      </c>
      <c r="AE42" s="314">
        <f ca="1">IF($B$4=0,OFFSET(StateModDepletions_BL!AE$5,$AM42,0),IF($B$4=1,OFFSET(StateModDepletions_BLNoRes!AE$5,$AM42,0)))</f>
        <v>105755.04740321636</v>
      </c>
      <c r="AF42" s="314">
        <f ca="1">IF($B$4=0,OFFSET(StateModDepletions_BL!AF$5,$AM42,0),IF($B$4=1,OFFSET(StateModDepletions_BLNoRes!AF$5,$AM42,0)))</f>
        <v>16555.619562424712</v>
      </c>
      <c r="AG42" s="314">
        <f ca="1">IF($B$4=0,OFFSET(StateModDepletions_BL!AG$5,$AM42,0),IF($B$4=1,OFFSET(StateModDepletions_BLNoRes!AG$5,$AM42,0)))</f>
        <v>41559.169038007887</v>
      </c>
      <c r="AH42" s="314">
        <f ca="1">IF($B$4=0,OFFSET(StateModDepletions_BL!AH$5,$AM42,0),IF($B$4=1,OFFSET(StateModDepletions_BLNoRes!AH$5,$AM42,0)))</f>
        <v>20650.171806916595</v>
      </c>
      <c r="AI42" s="314">
        <f ca="1">IF($B$4=0,OFFSET(StateModDepletions_BL!AI$5,$AM42,0),IF($B$4=1,OFFSET(StateModDepletions_BLNoRes!AI$5,$AM42,0)))</f>
        <v>23488.580752738904</v>
      </c>
      <c r="AJ42" s="315">
        <f ca="1">IF($B$4=0,OFFSET(StateModDepletions_BL!AJ$5,$AM42,0),IF($B$4=1,OFFSET(StateModDepletions_BLNoRes!AJ$5,$AM42,0)))</f>
        <v>110745.9056482014</v>
      </c>
      <c r="AK42" s="519">
        <f t="shared" si="6"/>
        <v>37</v>
      </c>
      <c r="AL42" s="519">
        <f t="shared" si="5"/>
        <v>1965</v>
      </c>
      <c r="AM42" s="519">
        <f>MATCH($AL42,StateModDepletions_BL!$A$6:$A$90,0)</f>
        <v>37</v>
      </c>
    </row>
    <row r="43" spans="1:39" x14ac:dyDescent="0.25">
      <c r="A43" s="519">
        <f t="shared" si="3"/>
        <v>1966</v>
      </c>
      <c r="B43" s="311">
        <f ca="1">IF($B$4=0,OFFSET(StateModDepletions_BL!B$5,$AM43,0),IF($B$4=1,OFFSET(StateModDepletions_BLNoRes!B$5,$AM43,0)))</f>
        <v>37568.151311397552</v>
      </c>
      <c r="C43" s="312">
        <f ca="1">IF($B$4=0,OFFSET(StateModDepletions_BL!C$5,$AM43,0),IF($B$4=1,OFFSET(StateModDepletions_BLNoRes!C$5,$AM43,0)))</f>
        <v>1026.0025346279144</v>
      </c>
      <c r="D43" s="312">
        <f ca="1">IF($B$4=0,OFFSET(StateModDepletions_BL!D$5,$AM43,0),IF($B$4=1,OFFSET(StateModDepletions_BLNoRes!D$5,$AM43,0)))</f>
        <v>87768.272521972656</v>
      </c>
      <c r="E43" s="312">
        <f ca="1">IF($B$4=0,OFFSET(StateModDepletions_BL!E$5,$AM43,0),IF($B$4=1,OFFSET(StateModDepletions_BLNoRes!E$5,$AM43,0)))</f>
        <v>2810.7051087617874</v>
      </c>
      <c r="F43" s="312">
        <f ca="1">IF($B$4=0,OFFSET(StateModDepletions_BL!F$5,$AM43,0),IF($B$4=1,OFFSET(StateModDepletions_BLNoRes!F$5,$AM43,0)))</f>
        <v>17362.744509041309</v>
      </c>
      <c r="G43" s="312">
        <f ca="1">IF($B$4=0,OFFSET(StateModDepletions_BL!G$5,$AM43,0),IF($B$4=1,OFFSET(StateModDepletions_BLNoRes!G$5,$AM43,0)))</f>
        <v>2036.5992698669434</v>
      </c>
      <c r="H43" s="312">
        <f ca="1">IF($B$4=0,OFFSET(StateModDepletions_BL!H$5,$AM43,0),IF($B$4=1,OFFSET(StateModDepletions_BLNoRes!H$5,$AM43,0)))</f>
        <v>2838.8627778291702</v>
      </c>
      <c r="I43" s="312">
        <f ca="1">IF($B$4=0,OFFSET(StateModDepletions_BL!I$5,$AM43,0),IF($B$4=1,OFFSET(StateModDepletions_BLNoRes!I$5,$AM43,0)))</f>
        <v>113555.80522208288</v>
      </c>
      <c r="J43" s="312">
        <f ca="1">IF($B$4=0,OFFSET(StateModDepletions_BL!J$5,$AM43,0),IF($B$4=1,OFFSET(StateModDepletions_BLNoRes!J$5,$AM43,0)))</f>
        <v>2646.8207185268402</v>
      </c>
      <c r="K43" s="312">
        <f ca="1">IF($B$4=0,OFFSET(StateModDepletions_BL!K$5,$AM43,0),IF($B$4=1,OFFSET(StateModDepletions_BLNoRes!K$5,$AM43,0)))</f>
        <v>19116.242594718933</v>
      </c>
      <c r="L43" s="312">
        <f ca="1">IF($B$4=0,OFFSET(StateModDepletions_BL!L$5,$AM43,0),IF($B$4=1,OFFSET(StateModDepletions_BLNoRes!L$5,$AM43,0)))</f>
        <v>17675.331380695101</v>
      </c>
      <c r="M43" s="312">
        <f ca="1">IF($B$4=0,OFFSET(StateModDepletions_BL!M$5,$AM43,0),IF($B$4=1,OFFSET(StateModDepletions_BLNoRes!M$5,$AM43,0)))</f>
        <v>1392.3019318580627</v>
      </c>
      <c r="N43" s="312">
        <f ca="1">IF($B$4=0,OFFSET(StateModDepletions_BL!N$5,$AM43,0),IF($B$4=1,OFFSET(StateModDepletions_BLNoRes!N$5,$AM43,0)))</f>
        <v>1326.6977829933167</v>
      </c>
      <c r="O43" s="312">
        <f ca="1">IF($B$4=0,OFFSET(StateModDepletions_BL!O$5,$AM43,0),IF($B$4=1,OFFSET(StateModDepletions_BLNoRes!O$5,$AM43,0)))</f>
        <v>42446.593457879055</v>
      </c>
      <c r="P43" s="312">
        <f ca="1">IF($B$4=0,OFFSET(StateModDepletions_BL!P$5,$AM43,0),IF($B$4=1,OFFSET(StateModDepletions_BLNoRes!P$5,$AM43,0)))</f>
        <v>375.74047517776489</v>
      </c>
      <c r="Q43" s="312">
        <f ca="1">IF($B$4=0,OFFSET(StateModDepletions_BL!Q$5,$AM43,0),IF($B$4=1,OFFSET(StateModDepletions_BLNoRes!Q$5,$AM43,0)))</f>
        <v>14722.323054287583</v>
      </c>
      <c r="R43" s="312">
        <f ca="1">IF($B$4=0,OFFSET(StateModDepletions_BL!R$5,$AM43,0),IF($B$4=1,OFFSET(StateModDepletions_BLNoRes!R$5,$AM43,0)))</f>
        <v>598.83215999603271</v>
      </c>
      <c r="S43" s="312">
        <f ca="1">IF($B$4=0,OFFSET(StateModDepletions_BL!S$5,$AM43,0),IF($B$4=1,OFFSET(StateModDepletions_BLNoRes!S$5,$AM43,0)))</f>
        <v>0</v>
      </c>
      <c r="T43" s="312">
        <f ca="1">IF($B$4=0,OFFSET(StateModDepletions_BL!T$5,$AM43,0),IF($B$4=1,OFFSET(StateModDepletions_BLNoRes!T$5,$AM43,0)))</f>
        <v>15944.430327699409</v>
      </c>
      <c r="U43" s="312">
        <f ca="1">IF($B$4=0,OFFSET(StateModDepletions_BL!U$5,$AM43,0),IF($B$4=1,OFFSET(StateModDepletions_BLNoRes!U$5,$AM43,0)))</f>
        <v>1449.4838941693306</v>
      </c>
      <c r="V43" s="312">
        <f ca="1">IF($B$4=0,OFFSET(StateModDepletions_BL!V$5,$AM43,0),IF($B$4=1,OFFSET(StateModDepletions_BLNoRes!V$5,$AM43,0)))</f>
        <v>10810.212825775146</v>
      </c>
      <c r="W43" s="312">
        <f ca="1">IF($B$4=0,OFFSET(StateModDepletions_BL!W$5,$AM43,0),IF($B$4=1,OFFSET(StateModDepletions_BLNoRes!W$5,$AM43,0)))</f>
        <v>150470.49067461834</v>
      </c>
      <c r="X43" s="312">
        <f ca="1">IF($B$4=0,OFFSET(StateModDepletions_BL!X$5,$AM43,0),IF($B$4=1,OFFSET(StateModDepletions_BLNoRes!X$5,$AM43,0)))</f>
        <v>5631.5411239029872</v>
      </c>
      <c r="Y43" s="312">
        <f ca="1">IF($B$4=0,OFFSET(StateModDepletions_BL!Y$5,$AM43,0),IF($B$4=1,OFFSET(StateModDepletions_BLNoRes!Y$5,$AM43,0)))</f>
        <v>212.11356273293495</v>
      </c>
      <c r="Z43" s="312">
        <f ca="1">IF($B$4=0,OFFSET(StateModDepletions_BL!Z$5,$AM43,0),IF($B$4=1,OFFSET(StateModDepletions_BLNoRes!Z$5,$AM43,0)))</f>
        <v>192137.37558543682</v>
      </c>
      <c r="AA43" s="313">
        <f ca="1">IF($B$4=0,OFFSET(StateModDepletions_BL!AA$5,$AM43,0),IF($B$4=1,OFFSET(StateModDepletions_BLNoRes!AA$5,$AM43,0)))</f>
        <v>35823.23022418256</v>
      </c>
      <c r="AB43" s="314">
        <f ca="1">IF($B$4=0,OFFSET(StateModDepletions_BL!AB$5,$AM43,0),IF($B$4=1,OFFSET(StateModDepletions_BLNoRes!AB$5,$AM43,0)))</f>
        <v>24765.810481309891</v>
      </c>
      <c r="AC43" s="314">
        <f ca="1">IF($B$4=0,OFFSET(StateModDepletions_BL!AC$5,$AM43,0),IF($B$4=1,OFFSET(StateModDepletions_BLNoRes!AC$5,$AM43,0)))</f>
        <v>38594.153846025467</v>
      </c>
      <c r="AD43" s="314">
        <f ca="1">IF($B$4=0,OFFSET(StateModDepletions_BL!AD$5,$AM43,0),IF($B$4=1,OFFSET(StateModDepletions_BLNoRes!AD$5,$AM43,0)))</f>
        <v>19399.343778908253</v>
      </c>
      <c r="AE43" s="314">
        <f ca="1">IF($B$4=0,OFFSET(StateModDepletions_BL!AE$5,$AM43,0),IF($B$4=1,OFFSET(StateModDepletions_BLNoRes!AE$5,$AM43,0)))</f>
        <v>116202.62594060972</v>
      </c>
      <c r="AF43" s="314">
        <f ca="1">IF($B$4=0,OFFSET(StateModDepletions_BL!AF$5,$AM43,0),IF($B$4=1,OFFSET(StateModDepletions_BLNoRes!AF$5,$AM43,0)))</f>
        <v>19067.633312553164</v>
      </c>
      <c r="AG43" s="314">
        <f ca="1">IF($B$4=0,OFFSET(StateModDepletions_BL!AG$5,$AM43,0),IF($B$4=1,OFFSET(StateModDepletions_BLNoRes!AG$5,$AM43,0)))</f>
        <v>42822.33393305682</v>
      </c>
      <c r="AH43" s="314">
        <f ca="1">IF($B$4=0,OFFSET(StateModDepletions_BL!AH$5,$AM43,0),IF($B$4=1,OFFSET(StateModDepletions_BLNoRes!AH$5,$AM43,0)))</f>
        <v>15321.155214283615</v>
      </c>
      <c r="AI43" s="314">
        <f ca="1">IF($B$4=0,OFFSET(StateModDepletions_BL!AI$5,$AM43,0),IF($B$4=1,OFFSET(StateModDepletions_BLNoRes!AI$5,$AM43,0)))</f>
        <v>17393.914221868741</v>
      </c>
      <c r="AJ43" s="315">
        <f ca="1">IF($B$4=0,OFFSET(StateModDepletions_BL!AJ$5,$AM43,0),IF($B$4=1,OFFSET(StateModDepletions_BLNoRes!AJ$5,$AM43,0)))</f>
        <v>156102.03179852132</v>
      </c>
      <c r="AK43" s="519">
        <f t="shared" si="6"/>
        <v>38</v>
      </c>
      <c r="AL43" s="519">
        <f t="shared" si="5"/>
        <v>1966</v>
      </c>
      <c r="AM43" s="519">
        <f>MATCH($AL43,StateModDepletions_BL!$A$6:$A$90,0)</f>
        <v>38</v>
      </c>
    </row>
    <row r="44" spans="1:39" x14ac:dyDescent="0.25">
      <c r="A44" s="519">
        <f t="shared" si="3"/>
        <v>1967</v>
      </c>
      <c r="B44" s="311">
        <f ca="1">IF($B$4=0,OFFSET(StateModDepletions_BL!B$5,$AM44,0),IF($B$4=1,OFFSET(StateModDepletions_BLNoRes!B$5,$AM44,0)))</f>
        <v>31686.862961187959</v>
      </c>
      <c r="C44" s="312">
        <f ca="1">IF($B$4=0,OFFSET(StateModDepletions_BL!C$5,$AM44,0),IF($B$4=1,OFFSET(StateModDepletions_BLNoRes!C$5,$AM44,0)))</f>
        <v>1026.0025346279144</v>
      </c>
      <c r="D44" s="312">
        <f ca="1">IF($B$4=0,OFFSET(StateModDepletions_BL!D$5,$AM44,0),IF($B$4=1,OFFSET(StateModDepletions_BLNoRes!D$5,$AM44,0)))</f>
        <v>66750.247802734375</v>
      </c>
      <c r="E44" s="312">
        <f ca="1">IF($B$4=0,OFFSET(StateModDepletions_BL!E$5,$AM44,0),IF($B$4=1,OFFSET(StateModDepletions_BLNoRes!E$5,$AM44,0)))</f>
        <v>2810.7051087617874</v>
      </c>
      <c r="F44" s="312">
        <f ca="1">IF($B$4=0,OFFSET(StateModDepletions_BL!F$5,$AM44,0),IF($B$4=1,OFFSET(StateModDepletions_BLNoRes!F$5,$AM44,0)))</f>
        <v>14525.841252490878</v>
      </c>
      <c r="G44" s="312">
        <f ca="1">IF($B$4=0,OFFSET(StateModDepletions_BL!G$5,$AM44,0),IF($B$4=1,OFFSET(StateModDepletions_BLNoRes!G$5,$AM44,0)))</f>
        <v>2036.5992698669434</v>
      </c>
      <c r="H44" s="312">
        <f ca="1">IF($B$4=0,OFFSET(StateModDepletions_BL!H$5,$AM44,0),IF($B$4=1,OFFSET(StateModDepletions_BLNoRes!H$5,$AM44,0)))</f>
        <v>2838.8627778291702</v>
      </c>
      <c r="I44" s="312">
        <f ca="1">IF($B$4=0,OFFSET(StateModDepletions_BL!I$5,$AM44,0),IF($B$4=1,OFFSET(StateModDepletions_BLNoRes!I$5,$AM44,0)))</f>
        <v>101795.7415252924</v>
      </c>
      <c r="J44" s="312">
        <f ca="1">IF($B$4=0,OFFSET(StateModDepletions_BL!J$5,$AM44,0),IF($B$4=1,OFFSET(StateModDepletions_BLNoRes!J$5,$AM44,0)))</f>
        <v>2454.0069634914398</v>
      </c>
      <c r="K44" s="312">
        <f ca="1">IF($B$4=0,OFFSET(StateModDepletions_BL!K$5,$AM44,0),IF($B$4=1,OFFSET(StateModDepletions_BLNoRes!K$5,$AM44,0)))</f>
        <v>19116.242594718933</v>
      </c>
      <c r="L44" s="312">
        <f ca="1">IF($B$4=0,OFFSET(StateModDepletions_BL!L$5,$AM44,0),IF($B$4=1,OFFSET(StateModDepletions_BLNoRes!L$5,$AM44,0)))</f>
        <v>16179.824101522561</v>
      </c>
      <c r="M44" s="312">
        <f ca="1">IF($B$4=0,OFFSET(StateModDepletions_BL!M$5,$AM44,0),IF($B$4=1,OFFSET(StateModDepletions_BLNoRes!M$5,$AM44,0)))</f>
        <v>1334.5336737632751</v>
      </c>
      <c r="N44" s="312">
        <f ca="1">IF($B$4=0,OFFSET(StateModDepletions_BL!N$5,$AM44,0),IF($B$4=1,OFFSET(StateModDepletions_BLNoRes!N$5,$AM44,0)))</f>
        <v>1326.6977829933167</v>
      </c>
      <c r="O44" s="312">
        <f ca="1">IF($B$4=0,OFFSET(StateModDepletions_BL!O$5,$AM44,0),IF($B$4=1,OFFSET(StateModDepletions_BLNoRes!O$5,$AM44,0)))</f>
        <v>32428.521812146973</v>
      </c>
      <c r="P44" s="312">
        <f ca="1">IF($B$4=0,OFFSET(StateModDepletions_BL!P$5,$AM44,0),IF($B$4=1,OFFSET(StateModDepletions_BLNoRes!P$5,$AM44,0)))</f>
        <v>279.71633386611938</v>
      </c>
      <c r="Q44" s="312">
        <f ca="1">IF($B$4=0,OFFSET(StateModDepletions_BL!Q$5,$AM44,0),IF($B$4=1,OFFSET(StateModDepletions_BLNoRes!Q$5,$AM44,0)))</f>
        <v>12217.200193241239</v>
      </c>
      <c r="R44" s="312">
        <f ca="1">IF($B$4=0,OFFSET(StateModDepletions_BL!R$5,$AM44,0),IF($B$4=1,OFFSET(StateModDepletions_BLNoRes!R$5,$AM44,0)))</f>
        <v>598.83215999603271</v>
      </c>
      <c r="S44" s="312">
        <f ca="1">IF($B$4=0,OFFSET(StateModDepletions_BL!S$5,$AM44,0),IF($B$4=1,OFFSET(StateModDepletions_BLNoRes!S$5,$AM44,0)))</f>
        <v>0</v>
      </c>
      <c r="T44" s="312">
        <f ca="1">IF($B$4=0,OFFSET(StateModDepletions_BL!T$5,$AM44,0),IF($B$4=1,OFFSET(StateModDepletions_BLNoRes!T$5,$AM44,0)))</f>
        <v>9483.3890823152669</v>
      </c>
      <c r="U44" s="312">
        <f ca="1">IF($B$4=0,OFFSET(StateModDepletions_BL!U$5,$AM44,0),IF($B$4=1,OFFSET(StateModDepletions_BLNoRes!U$5,$AM44,0)))</f>
        <v>1388.3039614178776</v>
      </c>
      <c r="V44" s="312">
        <f ca="1">IF($B$4=0,OFFSET(StateModDepletions_BL!V$5,$AM44,0),IF($B$4=1,OFFSET(StateModDepletions_BLNoRes!V$5,$AM44,0)))</f>
        <v>9854.772985458374</v>
      </c>
      <c r="W44" s="312">
        <f ca="1">IF($B$4=0,OFFSET(StateModDepletions_BL!W$5,$AM44,0),IF($B$4=1,OFFSET(StateModDepletions_BLNoRes!W$5,$AM44,0)))</f>
        <v>124389.34408653124</v>
      </c>
      <c r="X44" s="312">
        <f ca="1">IF($B$4=0,OFFSET(StateModDepletions_BL!X$5,$AM44,0),IF($B$4=1,OFFSET(StateModDepletions_BLNoRes!X$5,$AM44,0)))</f>
        <v>5359.1497383802935</v>
      </c>
      <c r="Y44" s="312">
        <f ca="1">IF($B$4=0,OFFSET(StateModDepletions_BL!Y$5,$AM44,0),IF($B$4=1,OFFSET(StateModDepletions_BLNoRes!Y$5,$AM44,0)))</f>
        <v>212.11356273293495</v>
      </c>
      <c r="Z44" s="312">
        <f ca="1">IF($B$4=0,OFFSET(StateModDepletions_BL!Z$5,$AM44,0),IF($B$4=1,OFFSET(StateModDepletions_BLNoRes!Z$5,$AM44,0)))</f>
        <v>215328.78787088394</v>
      </c>
      <c r="AA44" s="313">
        <f ca="1">IF($B$4=0,OFFSET(StateModDepletions_BL!AA$5,$AM44,0),IF($B$4=1,OFFSET(StateModDepletions_BLNoRes!AA$5,$AM44,0)))</f>
        <v>85368.18048323947</v>
      </c>
      <c r="AB44" s="314">
        <f ca="1">IF($B$4=0,OFFSET(StateModDepletions_BL!AB$5,$AM44,0),IF($B$4=1,OFFSET(StateModDepletions_BLNoRes!AB$5,$AM44,0)))</f>
        <v>24765.810481309891</v>
      </c>
      <c r="AC44" s="314">
        <f ca="1">IF($B$4=0,OFFSET(StateModDepletions_BL!AC$5,$AM44,0),IF($B$4=1,OFFSET(StateModDepletions_BLNoRes!AC$5,$AM44,0)))</f>
        <v>32712.865495815873</v>
      </c>
      <c r="AD44" s="314">
        <f ca="1">IF($B$4=0,OFFSET(StateModDepletions_BL!AD$5,$AM44,0),IF($B$4=1,OFFSET(StateModDepletions_BLNoRes!AD$5,$AM44,0)))</f>
        <v>16562.440522357821</v>
      </c>
      <c r="AE44" s="314">
        <f ca="1">IF($B$4=0,OFFSET(StateModDepletions_BL!AE$5,$AM44,0),IF($B$4=1,OFFSET(StateModDepletions_BLNoRes!AE$5,$AM44,0)))</f>
        <v>104249.74848878384</v>
      </c>
      <c r="AF44" s="314">
        <f ca="1">IF($B$4=0,OFFSET(StateModDepletions_BL!AF$5,$AM44,0),IF($B$4=1,OFFSET(StateModDepletions_BLNoRes!AF$5,$AM44,0)))</f>
        <v>17514.357775285836</v>
      </c>
      <c r="AG44" s="314">
        <f ca="1">IF($B$4=0,OFFSET(StateModDepletions_BL!AG$5,$AM44,0),IF($B$4=1,OFFSET(StateModDepletions_BLNoRes!AG$5,$AM44,0)))</f>
        <v>32708.238146013093</v>
      </c>
      <c r="AH44" s="314">
        <f ca="1">IF($B$4=0,OFFSET(StateModDepletions_BL!AH$5,$AM44,0),IF($B$4=1,OFFSET(StateModDepletions_BLNoRes!AH$5,$AM44,0)))</f>
        <v>12816.032353237271</v>
      </c>
      <c r="AI44" s="314">
        <f ca="1">IF($B$4=0,OFFSET(StateModDepletions_BL!AI$5,$AM44,0),IF($B$4=1,OFFSET(StateModDepletions_BLNoRes!AI$5,$AM44,0)))</f>
        <v>10871.693043733145</v>
      </c>
      <c r="AJ44" s="315">
        <f ca="1">IF($B$4=0,OFFSET(StateModDepletions_BL!AJ$5,$AM44,0),IF($B$4=1,OFFSET(StateModDepletions_BLNoRes!AJ$5,$AM44,0)))</f>
        <v>129748.49382491154</v>
      </c>
      <c r="AK44" s="519">
        <f t="shared" si="6"/>
        <v>39</v>
      </c>
      <c r="AL44" s="519">
        <f t="shared" si="5"/>
        <v>1967</v>
      </c>
      <c r="AM44" s="519">
        <f>MATCH($AL44,StateModDepletions_BL!$A$6:$A$90,0)</f>
        <v>39</v>
      </c>
    </row>
    <row r="45" spans="1:39" x14ac:dyDescent="0.25">
      <c r="A45" s="519">
        <f t="shared" si="3"/>
        <v>1968</v>
      </c>
      <c r="B45" s="311">
        <f ca="1">IF($B$4=0,OFFSET(StateModDepletions_BL!B$5,$AM45,0),IF($B$4=1,OFFSET(StateModDepletions_BLNoRes!B$5,$AM45,0)))</f>
        <v>34560.241704016924</v>
      </c>
      <c r="C45" s="312">
        <f ca="1">IF($B$4=0,OFFSET(StateModDepletions_BL!C$5,$AM45,0),IF($B$4=1,OFFSET(StateModDepletions_BLNoRes!C$5,$AM45,0)))</f>
        <v>1026.0025346279144</v>
      </c>
      <c r="D45" s="312">
        <f ca="1">IF($B$4=0,OFFSET(StateModDepletions_BL!D$5,$AM45,0),IF($B$4=1,OFFSET(StateModDepletions_BLNoRes!D$5,$AM45,0)))</f>
        <v>84623.095092773438</v>
      </c>
      <c r="E45" s="312">
        <f ca="1">IF($B$4=0,OFFSET(StateModDepletions_BL!E$5,$AM45,0),IF($B$4=1,OFFSET(StateModDepletions_BLNoRes!E$5,$AM45,0)))</f>
        <v>2810.7051087617874</v>
      </c>
      <c r="F45" s="312">
        <f ca="1">IF($B$4=0,OFFSET(StateModDepletions_BL!F$5,$AM45,0),IF($B$4=1,OFFSET(StateModDepletions_BLNoRes!F$5,$AM45,0)))</f>
        <v>16135.560477878898</v>
      </c>
      <c r="G45" s="312">
        <f ca="1">IF($B$4=0,OFFSET(StateModDepletions_BL!G$5,$AM45,0),IF($B$4=1,OFFSET(StateModDepletions_BLNoRes!G$5,$AM45,0)))</f>
        <v>2036.5992698669434</v>
      </c>
      <c r="H45" s="312">
        <f ca="1">IF($B$4=0,OFFSET(StateModDepletions_BL!H$5,$AM45,0),IF($B$4=1,OFFSET(StateModDepletions_BLNoRes!H$5,$AM45,0)))</f>
        <v>2838.8627778291702</v>
      </c>
      <c r="I45" s="312">
        <f ca="1">IF($B$4=0,OFFSET(StateModDepletions_BL!I$5,$AM45,0),IF($B$4=1,OFFSET(StateModDepletions_BLNoRes!I$5,$AM45,0)))</f>
        <v>106983.93912896514</v>
      </c>
      <c r="J45" s="312">
        <f ca="1">IF($B$4=0,OFFSET(StateModDepletions_BL!J$5,$AM45,0),IF($B$4=1,OFFSET(StateModDepletions_BLNoRes!J$5,$AM45,0)))</f>
        <v>2528.0301320552826</v>
      </c>
      <c r="K45" s="312">
        <f ca="1">IF($B$4=0,OFFSET(StateModDepletions_BL!K$5,$AM45,0),IF($B$4=1,OFFSET(StateModDepletions_BLNoRes!K$5,$AM45,0)))</f>
        <v>19116.242594718933</v>
      </c>
      <c r="L45" s="312">
        <f ca="1">IF($B$4=0,OFFSET(StateModDepletions_BL!L$5,$AM45,0),IF($B$4=1,OFFSET(StateModDepletions_BLNoRes!L$5,$AM45,0)))</f>
        <v>17221.875707402811</v>
      </c>
      <c r="M45" s="312">
        <f ca="1">IF($B$4=0,OFFSET(StateModDepletions_BL!M$5,$AM45,0),IF($B$4=1,OFFSET(StateModDepletions_BLNoRes!M$5,$AM45,0)))</f>
        <v>1281.8706030845642</v>
      </c>
      <c r="N45" s="312">
        <f ca="1">IF($B$4=0,OFFSET(StateModDepletions_BL!N$5,$AM45,0),IF($B$4=1,OFFSET(StateModDepletions_BLNoRes!N$5,$AM45,0)))</f>
        <v>1326.6977829933167</v>
      </c>
      <c r="O45" s="312">
        <f ca="1">IF($B$4=0,OFFSET(StateModDepletions_BL!O$5,$AM45,0),IF($B$4=1,OFFSET(StateModDepletions_BLNoRes!O$5,$AM45,0)))</f>
        <v>35978.223360313554</v>
      </c>
      <c r="P45" s="312">
        <f ca="1">IF($B$4=0,OFFSET(StateModDepletions_BL!P$5,$AM45,0),IF($B$4=1,OFFSET(StateModDepletions_BLNoRes!P$5,$AM45,0)))</f>
        <v>282.12049269676208</v>
      </c>
      <c r="Q45" s="312">
        <f ca="1">IF($B$4=0,OFFSET(StateModDepletions_BL!Q$5,$AM45,0),IF($B$4=1,OFFSET(StateModDepletions_BLNoRes!Q$5,$AM45,0)))</f>
        <v>18313.488672539592</v>
      </c>
      <c r="R45" s="312">
        <f ca="1">IF($B$4=0,OFFSET(StateModDepletions_BL!R$5,$AM45,0),IF($B$4=1,OFFSET(StateModDepletions_BLNoRes!R$5,$AM45,0)))</f>
        <v>598.83215999603271</v>
      </c>
      <c r="S45" s="312">
        <f ca="1">IF($B$4=0,OFFSET(StateModDepletions_BL!S$5,$AM45,0),IF($B$4=1,OFFSET(StateModDepletions_BLNoRes!S$5,$AM45,0)))</f>
        <v>0</v>
      </c>
      <c r="T45" s="312">
        <f ca="1">IF($B$4=0,OFFSET(StateModDepletions_BL!T$5,$AM45,0),IF($B$4=1,OFFSET(StateModDepletions_BLNoRes!T$5,$AM45,0)))</f>
        <v>18819.472222829238</v>
      </c>
      <c r="U45" s="312">
        <f ca="1">IF($B$4=0,OFFSET(StateModDepletions_BL!U$5,$AM45,0),IF($B$4=1,OFFSET(StateModDepletions_BLNoRes!U$5,$AM45,0)))</f>
        <v>1490.3383675813675</v>
      </c>
      <c r="V45" s="312">
        <f ca="1">IF($B$4=0,OFFSET(StateModDepletions_BL!V$5,$AM45,0),IF($B$4=1,OFFSET(StateModDepletions_BLNoRes!V$5,$AM45,0)))</f>
        <v>13552.42827129364</v>
      </c>
      <c r="W45" s="312">
        <f ca="1">IF($B$4=0,OFFSET(StateModDepletions_BL!W$5,$AM45,0),IF($B$4=1,OFFSET(StateModDepletions_BLNoRes!W$5,$AM45,0)))</f>
        <v>122032.46293586835</v>
      </c>
      <c r="X45" s="312">
        <f ca="1">IF($B$4=0,OFFSET(StateModDepletions_BL!X$5,$AM45,0),IF($B$4=1,OFFSET(StateModDepletions_BLNoRes!X$5,$AM45,0)))</f>
        <v>5410.0378453359008</v>
      </c>
      <c r="Y45" s="312">
        <f ca="1">IF($B$4=0,OFFSET(StateModDepletions_BL!Y$5,$AM45,0),IF($B$4=1,OFFSET(StateModDepletions_BLNoRes!Y$5,$AM45,0)))</f>
        <v>212.11356273293495</v>
      </c>
      <c r="Z45" s="312">
        <f ca="1">IF($B$4=0,OFFSET(StateModDepletions_BL!Z$5,$AM45,0),IF($B$4=1,OFFSET(StateModDepletions_BLNoRes!Z$5,$AM45,0)))</f>
        <v>226500.1316202879</v>
      </c>
      <c r="AA45" s="313">
        <f ca="1">IF($B$4=0,OFFSET(StateModDepletions_BL!AA$5,$AM45,0),IF($B$4=1,OFFSET(StateModDepletions_BLNoRes!AA$5,$AM45,0)))</f>
        <v>98845.517276350714</v>
      </c>
      <c r="AB45" s="314">
        <f ca="1">IF($B$4=0,OFFSET(StateModDepletions_BL!AB$5,$AM45,0),IF($B$4=1,OFFSET(StateModDepletions_BLNoRes!AB$5,$AM45,0)))</f>
        <v>24765.810481309891</v>
      </c>
      <c r="AC45" s="314">
        <f ca="1">IF($B$4=0,OFFSET(StateModDepletions_BL!AC$5,$AM45,0),IF($B$4=1,OFFSET(StateModDepletions_BLNoRes!AC$5,$AM45,0)))</f>
        <v>35586.244238644838</v>
      </c>
      <c r="AD45" s="314">
        <f ca="1">IF($B$4=0,OFFSET(StateModDepletions_BL!AD$5,$AM45,0),IF($B$4=1,OFFSET(StateModDepletions_BLNoRes!AD$5,$AM45,0)))</f>
        <v>18172.159747745842</v>
      </c>
      <c r="AE45" s="314">
        <f ca="1">IF($B$4=0,OFFSET(StateModDepletions_BL!AE$5,$AM45,0),IF($B$4=1,OFFSET(StateModDepletions_BLNoRes!AE$5,$AM45,0)))</f>
        <v>109511.96926102042</v>
      </c>
      <c r="AF45" s="314">
        <f ca="1">IF($B$4=0,OFFSET(StateModDepletions_BL!AF$5,$AM45,0),IF($B$4=1,OFFSET(StateModDepletions_BLNoRes!AF$5,$AM45,0)))</f>
        <v>18503.746310487375</v>
      </c>
      <c r="AG45" s="314">
        <f ca="1">IF($B$4=0,OFFSET(StateModDepletions_BL!AG$5,$AM45,0),IF($B$4=1,OFFSET(StateModDepletions_BLNoRes!AG$5,$AM45,0)))</f>
        <v>36260.343853010316</v>
      </c>
      <c r="AH45" s="314">
        <f ca="1">IF($B$4=0,OFFSET(StateModDepletions_BL!AH$5,$AM45,0),IF($B$4=1,OFFSET(StateModDepletions_BLNoRes!AH$5,$AM45,0)))</f>
        <v>18912.320832535625</v>
      </c>
      <c r="AI45" s="314">
        <f ca="1">IF($B$4=0,OFFSET(StateModDepletions_BL!AI$5,$AM45,0),IF($B$4=1,OFFSET(StateModDepletions_BLNoRes!AI$5,$AM45,0)))</f>
        <v>20309.810590410605</v>
      </c>
      <c r="AJ45" s="315">
        <f ca="1">IF($B$4=0,OFFSET(StateModDepletions_BL!AJ$5,$AM45,0),IF($B$4=1,OFFSET(StateModDepletions_BLNoRes!AJ$5,$AM45,0)))</f>
        <v>127442.50078120425</v>
      </c>
      <c r="AK45" s="519">
        <f t="shared" si="6"/>
        <v>40</v>
      </c>
      <c r="AL45" s="519">
        <f t="shared" si="5"/>
        <v>1968</v>
      </c>
      <c r="AM45" s="519">
        <f>MATCH($AL45,StateModDepletions_BL!$A$6:$A$90,0)</f>
        <v>40</v>
      </c>
    </row>
    <row r="46" spans="1:39" x14ac:dyDescent="0.25">
      <c r="A46" s="519">
        <f t="shared" si="3"/>
        <v>1969</v>
      </c>
      <c r="B46" s="311">
        <f ca="1">IF($B$4=0,OFFSET(StateModDepletions_BL!B$5,$AM46,0),IF($B$4=1,OFFSET(StateModDepletions_BLNoRes!B$5,$AM46,0)))</f>
        <v>29870.540133647621</v>
      </c>
      <c r="C46" s="312">
        <f ca="1">IF($B$4=0,OFFSET(StateModDepletions_BL!C$5,$AM46,0),IF($B$4=1,OFFSET(StateModDepletions_BLNoRes!C$5,$AM46,0)))</f>
        <v>1026.0025346279144</v>
      </c>
      <c r="D46" s="312">
        <f ca="1">IF($B$4=0,OFFSET(StateModDepletions_BL!D$5,$AM46,0),IF($B$4=1,OFFSET(StateModDepletions_BLNoRes!D$5,$AM46,0)))</f>
        <v>117387.23657226563</v>
      </c>
      <c r="E46" s="312">
        <f ca="1">IF($B$4=0,OFFSET(StateModDepletions_BL!E$5,$AM46,0),IF($B$4=1,OFFSET(StateModDepletions_BLNoRes!E$5,$AM46,0)))</f>
        <v>2810.7051087617874</v>
      </c>
      <c r="F46" s="312">
        <f ca="1">IF($B$4=0,OFFSET(StateModDepletions_BL!F$5,$AM46,0),IF($B$4=1,OFFSET(StateModDepletions_BLNoRes!F$5,$AM46,0)))</f>
        <v>14800.226827248931</v>
      </c>
      <c r="G46" s="312">
        <f ca="1">IF($B$4=0,OFFSET(StateModDepletions_BL!G$5,$AM46,0),IF($B$4=1,OFFSET(StateModDepletions_BLNoRes!G$5,$AM46,0)))</f>
        <v>2036.5992698669434</v>
      </c>
      <c r="H46" s="312">
        <f ca="1">IF($B$4=0,OFFSET(StateModDepletions_BL!H$5,$AM46,0),IF($B$4=1,OFFSET(StateModDepletions_BLNoRes!H$5,$AM46,0)))</f>
        <v>2838.8627778291702</v>
      </c>
      <c r="I46" s="312">
        <f ca="1">IF($B$4=0,OFFSET(StateModDepletions_BL!I$5,$AM46,0),IF($B$4=1,OFFSET(StateModDepletions_BLNoRes!I$5,$AM46,0)))</f>
        <v>95233.045182973146</v>
      </c>
      <c r="J46" s="312">
        <f ca="1">IF($B$4=0,OFFSET(StateModDepletions_BL!J$5,$AM46,0),IF($B$4=1,OFFSET(StateModDepletions_BLNoRes!J$5,$AM46,0)))</f>
        <v>2397.33522772789</v>
      </c>
      <c r="K46" s="312">
        <f ca="1">IF($B$4=0,OFFSET(StateModDepletions_BL!K$5,$AM46,0),IF($B$4=1,OFFSET(StateModDepletions_BLNoRes!K$5,$AM46,0)))</f>
        <v>19116.242594718933</v>
      </c>
      <c r="L46" s="312">
        <f ca="1">IF($B$4=0,OFFSET(StateModDepletions_BL!L$5,$AM46,0),IF($B$4=1,OFFSET(StateModDepletions_BLNoRes!L$5,$AM46,0)))</f>
        <v>15744.438654966658</v>
      </c>
      <c r="M46" s="312">
        <f ca="1">IF($B$4=0,OFFSET(StateModDepletions_BL!M$5,$AM46,0),IF($B$4=1,OFFSET(StateModDepletions_BLNoRes!M$5,$AM46,0)))</f>
        <v>1368.1098251342773</v>
      </c>
      <c r="N46" s="312">
        <f ca="1">IF($B$4=0,OFFSET(StateModDepletions_BL!N$5,$AM46,0),IF($B$4=1,OFFSET(StateModDepletions_BLNoRes!N$5,$AM46,0)))</f>
        <v>1326.6977829933167</v>
      </c>
      <c r="O46" s="312">
        <f ca="1">IF($B$4=0,OFFSET(StateModDepletions_BL!O$5,$AM46,0),IF($B$4=1,OFFSET(StateModDepletions_BLNoRes!O$5,$AM46,0)))</f>
        <v>43538.423692292054</v>
      </c>
      <c r="P46" s="312">
        <f ca="1">IF($B$4=0,OFFSET(StateModDepletions_BL!P$5,$AM46,0),IF($B$4=1,OFFSET(StateModDepletions_BLNoRes!P$5,$AM46,0)))</f>
        <v>367.20778131484985</v>
      </c>
      <c r="Q46" s="312">
        <f ca="1">IF($B$4=0,OFFSET(StateModDepletions_BL!Q$5,$AM46,0),IF($B$4=1,OFFSET(StateModDepletions_BLNoRes!Q$5,$AM46,0)))</f>
        <v>19674.585597217083</v>
      </c>
      <c r="R46" s="312">
        <f ca="1">IF($B$4=0,OFFSET(StateModDepletions_BL!R$5,$AM46,0),IF($B$4=1,OFFSET(StateModDepletions_BLNoRes!R$5,$AM46,0)))</f>
        <v>598.83215999603271</v>
      </c>
      <c r="S46" s="312">
        <f ca="1">IF($B$4=0,OFFSET(StateModDepletions_BL!S$5,$AM46,0),IF($B$4=1,OFFSET(StateModDepletions_BLNoRes!S$5,$AM46,0)))</f>
        <v>0</v>
      </c>
      <c r="T46" s="312">
        <f ca="1">IF($B$4=0,OFFSET(StateModDepletions_BL!T$5,$AM46,0),IF($B$4=1,OFFSET(StateModDepletions_BLNoRes!T$5,$AM46,0)))</f>
        <v>18187.302203739062</v>
      </c>
      <c r="U46" s="312">
        <f ca="1">IF($B$4=0,OFFSET(StateModDepletions_BL!U$5,$AM46,0),IF($B$4=1,OFFSET(StateModDepletions_BLNoRes!U$5,$AM46,0)))</f>
        <v>1504.6878689717705</v>
      </c>
      <c r="V46" s="312">
        <f ca="1">IF($B$4=0,OFFSET(StateModDepletions_BL!V$5,$AM46,0),IF($B$4=1,OFFSET(StateModDepletions_BLNoRes!V$5,$AM46,0)))</f>
        <v>15615.632664680481</v>
      </c>
      <c r="W46" s="312">
        <f ca="1">IF($B$4=0,OFFSET(StateModDepletions_BL!W$5,$AM46,0),IF($B$4=1,OFFSET(StateModDepletions_BLNoRes!W$5,$AM46,0)))</f>
        <v>133181.57528177247</v>
      </c>
      <c r="X46" s="312">
        <f ca="1">IF($B$4=0,OFFSET(StateModDepletions_BL!X$5,$AM46,0),IF($B$4=1,OFFSET(StateModDepletions_BLNoRes!X$5,$AM46,0)))</f>
        <v>5591.2270271853195</v>
      </c>
      <c r="Y46" s="312">
        <f ca="1">IF($B$4=0,OFFSET(StateModDepletions_BL!Y$5,$AM46,0),IF($B$4=1,OFFSET(StateModDepletions_BLNoRes!Y$5,$AM46,0)))</f>
        <v>212.11356273293495</v>
      </c>
      <c r="Z46" s="312">
        <f ca="1">IF($B$4=0,OFFSET(StateModDepletions_BL!Z$5,$AM46,0),IF($B$4=1,OFFSET(StateModDepletions_BLNoRes!Z$5,$AM46,0)))</f>
        <v>256162.06614875793</v>
      </c>
      <c r="AA46" s="313">
        <f ca="1">IF($B$4=0,OFFSET(StateModDepletions_BL!AA$5,$AM46,0),IF($B$4=1,OFFSET(StateModDepletions_BLNoRes!AA$5,$AM46,0)))</f>
        <v>117177.15027706721</v>
      </c>
      <c r="AB46" s="314">
        <f ca="1">IF($B$4=0,OFFSET(StateModDepletions_BL!AB$5,$AM46,0),IF($B$4=1,OFFSET(StateModDepletions_BLNoRes!AB$5,$AM46,0)))</f>
        <v>24765.810481309891</v>
      </c>
      <c r="AC46" s="314">
        <f ca="1">IF($B$4=0,OFFSET(StateModDepletions_BL!AC$5,$AM46,0),IF($B$4=1,OFFSET(StateModDepletions_BLNoRes!AC$5,$AM46,0)))</f>
        <v>30896.542668275535</v>
      </c>
      <c r="AD46" s="314">
        <f ca="1">IF($B$4=0,OFFSET(StateModDepletions_BL!AD$5,$AM46,0),IF($B$4=1,OFFSET(StateModDepletions_BLNoRes!AD$5,$AM46,0)))</f>
        <v>16836.826097115874</v>
      </c>
      <c r="AE46" s="314">
        <f ca="1">IF($B$4=0,OFFSET(StateModDepletions_BL!AE$5,$AM46,0),IF($B$4=1,OFFSET(StateModDepletions_BLNoRes!AE$5,$AM46,0)))</f>
        <v>97630.380410701036</v>
      </c>
      <c r="AF46" s="314">
        <f ca="1">IF($B$4=0,OFFSET(StateModDepletions_BL!AF$5,$AM46,0),IF($B$4=1,OFFSET(StateModDepletions_BLNoRes!AF$5,$AM46,0)))</f>
        <v>17112.548480100937</v>
      </c>
      <c r="AG46" s="314">
        <f ca="1">IF($B$4=0,OFFSET(StateModDepletions_BL!AG$5,$AM46,0),IF($B$4=1,OFFSET(StateModDepletions_BLNoRes!AG$5,$AM46,0)))</f>
        <v>43905.631473606903</v>
      </c>
      <c r="AH46" s="314">
        <f ca="1">IF($B$4=0,OFFSET(StateModDepletions_BL!AH$5,$AM46,0),IF($B$4=1,OFFSET(StateModDepletions_BLNoRes!AH$5,$AM46,0)))</f>
        <v>20273.417757213116</v>
      </c>
      <c r="AI46" s="314">
        <f ca="1">IF($B$4=0,OFFSET(StateModDepletions_BL!AI$5,$AM46,0),IF($B$4=1,OFFSET(StateModDepletions_BLNoRes!AI$5,$AM46,0)))</f>
        <v>19691.990072710832</v>
      </c>
      <c r="AJ46" s="315">
        <f ca="1">IF($B$4=0,OFFSET(StateModDepletions_BL!AJ$5,$AM46,0),IF($B$4=1,OFFSET(StateModDepletions_BLNoRes!AJ$5,$AM46,0)))</f>
        <v>138772.80230895779</v>
      </c>
      <c r="AK46" s="519">
        <f t="shared" si="6"/>
        <v>41</v>
      </c>
      <c r="AL46" s="519">
        <f t="shared" si="5"/>
        <v>1969</v>
      </c>
      <c r="AM46" s="519">
        <f>MATCH($AL46,StateModDepletions_BL!$A$6:$A$90,0)</f>
        <v>41</v>
      </c>
    </row>
    <row r="47" spans="1:39" x14ac:dyDescent="0.25">
      <c r="A47" s="519">
        <f t="shared" si="3"/>
        <v>1970</v>
      </c>
      <c r="B47" s="311">
        <f ca="1">IF($B$4=0,OFFSET(StateModDepletions_BL!B$5,$AM47,0),IF($B$4=1,OFFSET(StateModDepletions_BLNoRes!B$5,$AM47,0)))</f>
        <v>28151.461044341326</v>
      </c>
      <c r="C47" s="312">
        <f ca="1">IF($B$4=0,OFFSET(StateModDepletions_BL!C$5,$AM47,0),IF($B$4=1,OFFSET(StateModDepletions_BLNoRes!C$5,$AM47,0)))</f>
        <v>1026.0025346279144</v>
      </c>
      <c r="D47" s="312">
        <f ca="1">IF($B$4=0,OFFSET(StateModDepletions_BL!D$5,$AM47,0),IF($B$4=1,OFFSET(StateModDepletions_BLNoRes!D$5,$AM47,0)))</f>
        <v>80171.122483491898</v>
      </c>
      <c r="E47" s="312">
        <f ca="1">IF($B$4=0,OFFSET(StateModDepletions_BL!E$5,$AM47,0),IF($B$4=1,OFFSET(StateModDepletions_BLNoRes!E$5,$AM47,0)))</f>
        <v>2810.7051087617874</v>
      </c>
      <c r="F47" s="312">
        <f ca="1">IF($B$4=0,OFFSET(StateModDepletions_BL!F$5,$AM47,0),IF($B$4=1,OFFSET(StateModDepletions_BLNoRes!F$5,$AM47,0)))</f>
        <v>13909.451530009508</v>
      </c>
      <c r="G47" s="312">
        <f ca="1">IF($B$4=0,OFFSET(StateModDepletions_BL!G$5,$AM47,0),IF($B$4=1,OFFSET(StateModDepletions_BLNoRes!G$5,$AM47,0)))</f>
        <v>2036.5992698669434</v>
      </c>
      <c r="H47" s="312">
        <f ca="1">IF($B$4=0,OFFSET(StateModDepletions_BL!H$5,$AM47,0),IF($B$4=1,OFFSET(StateModDepletions_BLNoRes!H$5,$AM47,0)))</f>
        <v>2838.8627778291702</v>
      </c>
      <c r="I47" s="312">
        <f ca="1">IF($B$4=0,OFFSET(StateModDepletions_BL!I$5,$AM47,0),IF($B$4=1,OFFSET(StateModDepletions_BLNoRes!I$5,$AM47,0)))</f>
        <v>100921.8668550998</v>
      </c>
      <c r="J47" s="312">
        <f ca="1">IF($B$4=0,OFFSET(StateModDepletions_BL!J$5,$AM47,0),IF($B$4=1,OFFSET(StateModDepletions_BLNoRes!J$5,$AM47,0)))</f>
        <v>2376.8262364864349</v>
      </c>
      <c r="K47" s="312">
        <f ca="1">IF($B$4=0,OFFSET(StateModDepletions_BL!K$5,$AM47,0),IF($B$4=1,OFFSET(StateModDepletions_BLNoRes!K$5,$AM47,0)))</f>
        <v>19116.242594718933</v>
      </c>
      <c r="L47" s="312">
        <f ca="1">IF($B$4=0,OFFSET(StateModDepletions_BL!L$5,$AM47,0),IF($B$4=1,OFFSET(StateModDepletions_BLNoRes!L$5,$AM47,0)))</f>
        <v>15751.173635646704</v>
      </c>
      <c r="M47" s="312">
        <f ca="1">IF($B$4=0,OFFSET(StateModDepletions_BL!M$5,$AM47,0),IF($B$4=1,OFFSET(StateModDepletions_BLNoRes!M$5,$AM47,0)))</f>
        <v>1376.2565293312073</v>
      </c>
      <c r="N47" s="312">
        <f ca="1">IF($B$4=0,OFFSET(StateModDepletions_BL!N$5,$AM47,0),IF($B$4=1,OFFSET(StateModDepletions_BLNoRes!N$5,$AM47,0)))</f>
        <v>1326.6977829933167</v>
      </c>
      <c r="O47" s="312">
        <f ca="1">IF($B$4=0,OFFSET(StateModDepletions_BL!O$5,$AM47,0),IF($B$4=1,OFFSET(StateModDepletions_BLNoRes!O$5,$AM47,0)))</f>
        <v>44226.549510678728</v>
      </c>
      <c r="P47" s="312">
        <f ca="1">IF($B$4=0,OFFSET(StateModDepletions_BL!P$5,$AM47,0),IF($B$4=1,OFFSET(StateModDepletions_BLNoRes!P$5,$AM47,0)))</f>
        <v>329.66480350494385</v>
      </c>
      <c r="Q47" s="312">
        <f ca="1">IF($B$4=0,OFFSET(StateModDepletions_BL!Q$5,$AM47,0),IF($B$4=1,OFFSET(StateModDepletions_BLNoRes!Q$5,$AM47,0)))</f>
        <v>15503.716050311923</v>
      </c>
      <c r="R47" s="312">
        <f ca="1">IF($B$4=0,OFFSET(StateModDepletions_BL!R$5,$AM47,0),IF($B$4=1,OFFSET(StateModDepletions_BLNoRes!R$5,$AM47,0)))</f>
        <v>598.83215999603271</v>
      </c>
      <c r="S47" s="312">
        <f ca="1">IF($B$4=0,OFFSET(StateModDepletions_BL!S$5,$AM47,0),IF($B$4=1,OFFSET(StateModDepletions_BLNoRes!S$5,$AM47,0)))</f>
        <v>0</v>
      </c>
      <c r="T47" s="312">
        <f ca="1">IF($B$4=0,OFFSET(StateModDepletions_BL!T$5,$AM47,0),IF($B$4=1,OFFSET(StateModDepletions_BLNoRes!T$5,$AM47,0)))</f>
        <v>14716.137461963817</v>
      </c>
      <c r="U47" s="312">
        <f ca="1">IF($B$4=0,OFFSET(StateModDepletions_BL!U$5,$AM47,0),IF($B$4=1,OFFSET(StateModDepletions_BLNoRes!U$5,$AM47,0)))</f>
        <v>1379.0204287801726</v>
      </c>
      <c r="V47" s="312">
        <f ca="1">IF($B$4=0,OFFSET(StateModDepletions_BL!V$5,$AM47,0),IF($B$4=1,OFFSET(StateModDepletions_BLNoRes!V$5,$AM47,0)))</f>
        <v>13195.320412635803</v>
      </c>
      <c r="W47" s="312">
        <f ca="1">IF($B$4=0,OFFSET(StateModDepletions_BL!W$5,$AM47,0),IF($B$4=1,OFFSET(StateModDepletions_BLNoRes!W$5,$AM47,0)))</f>
        <v>124886.67524479672</v>
      </c>
      <c r="X47" s="312">
        <f ca="1">IF($B$4=0,OFFSET(StateModDepletions_BL!X$5,$AM47,0),IF($B$4=1,OFFSET(StateModDepletions_BLNoRes!X$5,$AM47,0)))</f>
        <v>5569.2497825026512</v>
      </c>
      <c r="Y47" s="312">
        <f ca="1">IF($B$4=0,OFFSET(StateModDepletions_BL!Y$5,$AM47,0),IF($B$4=1,OFFSET(StateModDepletions_BLNoRes!Y$5,$AM47,0)))</f>
        <v>212.11356273293495</v>
      </c>
      <c r="Z47" s="312">
        <f ca="1">IF($B$4=0,OFFSET(StateModDepletions_BL!Z$5,$AM47,0),IF($B$4=1,OFFSET(StateModDepletions_BLNoRes!Z$5,$AM47,0)))</f>
        <v>206200.7319226265</v>
      </c>
      <c r="AA47" s="313">
        <f ca="1">IF($B$4=0,OFFSET(StateModDepletions_BL!AA$5,$AM47,0),IF($B$4=1,OFFSET(StateModDepletions_BLNoRes!AA$5,$AM47,0)))</f>
        <v>75532.693332594194</v>
      </c>
      <c r="AB47" s="314">
        <f ca="1">IF($B$4=0,OFFSET(StateModDepletions_BL!AB$5,$AM47,0),IF($B$4=1,OFFSET(StateModDepletions_BLNoRes!AB$5,$AM47,0)))</f>
        <v>24765.810481309891</v>
      </c>
      <c r="AC47" s="314">
        <f ca="1">IF($B$4=0,OFFSET(StateModDepletions_BL!AC$5,$AM47,0),IF($B$4=1,OFFSET(StateModDepletions_BLNoRes!AC$5,$AM47,0)))</f>
        <v>29177.46357896924</v>
      </c>
      <c r="AD47" s="314">
        <f ca="1">IF($B$4=0,OFFSET(StateModDepletions_BL!AD$5,$AM47,0),IF($B$4=1,OFFSET(StateModDepletions_BLNoRes!AD$5,$AM47,0)))</f>
        <v>15946.050799876451</v>
      </c>
      <c r="AE47" s="314">
        <f ca="1">IF($B$4=0,OFFSET(StateModDepletions_BL!AE$5,$AM47,0),IF($B$4=1,OFFSET(StateModDepletions_BLNoRes!AE$5,$AM47,0)))</f>
        <v>103298.69309158623</v>
      </c>
      <c r="AF47" s="314">
        <f ca="1">IF($B$4=0,OFFSET(StateModDepletions_BL!AF$5,$AM47,0),IF($B$4=1,OFFSET(StateModDepletions_BLNoRes!AF$5,$AM47,0)))</f>
        <v>17127.430164977912</v>
      </c>
      <c r="AG47" s="314">
        <f ca="1">IF($B$4=0,OFFSET(StateModDepletions_BL!AG$5,$AM47,0),IF($B$4=1,OFFSET(StateModDepletions_BLNoRes!AG$5,$AM47,0)))</f>
        <v>44556.214314183671</v>
      </c>
      <c r="AH47" s="314">
        <f ca="1">IF($B$4=0,OFFSET(StateModDepletions_BL!AH$5,$AM47,0),IF($B$4=1,OFFSET(StateModDepletions_BLNoRes!AH$5,$AM47,0)))</f>
        <v>16102.548210307956</v>
      </c>
      <c r="AI47" s="314">
        <f ca="1">IF($B$4=0,OFFSET(StateModDepletions_BL!AI$5,$AM47,0),IF($B$4=1,OFFSET(StateModDepletions_BLNoRes!AI$5,$AM47,0)))</f>
        <v>16095.157890743991</v>
      </c>
      <c r="AJ47" s="315">
        <f ca="1">IF($B$4=0,OFFSET(StateModDepletions_BL!AJ$5,$AM47,0),IF($B$4=1,OFFSET(StateModDepletions_BLNoRes!AJ$5,$AM47,0)))</f>
        <v>130455.92502729937</v>
      </c>
      <c r="AK47" s="519">
        <f t="shared" si="6"/>
        <v>42</v>
      </c>
      <c r="AL47" s="519">
        <f t="shared" si="5"/>
        <v>1970</v>
      </c>
      <c r="AM47" s="519">
        <f>MATCH($AL47,StateModDepletions_BL!$A$6:$A$90,0)</f>
        <v>42</v>
      </c>
    </row>
    <row r="48" spans="1:39" x14ac:dyDescent="0.25">
      <c r="A48" s="519">
        <f t="shared" si="3"/>
        <v>1971</v>
      </c>
      <c r="B48" s="311">
        <f ca="1">IF($B$4=0,OFFSET(StateModDepletions_BL!B$5,$AM48,0),IF($B$4=1,OFFSET(StateModDepletions_BLNoRes!B$5,$AM48,0)))</f>
        <v>29967.910879969597</v>
      </c>
      <c r="C48" s="312">
        <f ca="1">IF($B$4=0,OFFSET(StateModDepletions_BL!C$5,$AM48,0),IF($B$4=1,OFFSET(StateModDepletions_BLNoRes!C$5,$AM48,0)))</f>
        <v>1026.0025346279144</v>
      </c>
      <c r="D48" s="312">
        <f ca="1">IF($B$4=0,OFFSET(StateModDepletions_BL!D$5,$AM48,0),IF($B$4=1,OFFSET(StateModDepletions_BLNoRes!D$5,$AM48,0)))</f>
        <v>45783.0703125</v>
      </c>
      <c r="E48" s="312">
        <f ca="1">IF($B$4=0,OFFSET(StateModDepletions_BL!E$5,$AM48,0),IF($B$4=1,OFFSET(StateModDepletions_BLNoRes!E$5,$AM48,0)))</f>
        <v>2810.7051087617874</v>
      </c>
      <c r="F48" s="312">
        <f ca="1">IF($B$4=0,OFFSET(StateModDepletions_BL!F$5,$AM48,0),IF($B$4=1,OFFSET(StateModDepletions_BLNoRes!F$5,$AM48,0)))</f>
        <v>14750.519942641258</v>
      </c>
      <c r="G48" s="312">
        <f ca="1">IF($B$4=0,OFFSET(StateModDepletions_BL!G$5,$AM48,0),IF($B$4=1,OFFSET(StateModDepletions_BLNoRes!G$5,$AM48,0)))</f>
        <v>2036.5992698669434</v>
      </c>
      <c r="H48" s="312">
        <f ca="1">IF($B$4=0,OFFSET(StateModDepletions_BL!H$5,$AM48,0),IF($B$4=1,OFFSET(StateModDepletions_BLNoRes!H$5,$AM48,0)))</f>
        <v>2838.8627778291702</v>
      </c>
      <c r="I48" s="312">
        <f ca="1">IF($B$4=0,OFFSET(StateModDepletions_BL!I$5,$AM48,0),IF($B$4=1,OFFSET(StateModDepletions_BLNoRes!I$5,$AM48,0)))</f>
        <v>102780.18254506215</v>
      </c>
      <c r="J48" s="312">
        <f ca="1">IF($B$4=0,OFFSET(StateModDepletions_BL!J$5,$AM48,0),IF($B$4=1,OFFSET(StateModDepletions_BLNoRes!J$5,$AM48,0)))</f>
        <v>2291.3252675533295</v>
      </c>
      <c r="K48" s="312">
        <f ca="1">IF($B$4=0,OFFSET(StateModDepletions_BL!K$5,$AM48,0),IF($B$4=1,OFFSET(StateModDepletions_BLNoRes!K$5,$AM48,0)))</f>
        <v>19116.242594718933</v>
      </c>
      <c r="L48" s="312">
        <f ca="1">IF($B$4=0,OFFSET(StateModDepletions_BL!L$5,$AM48,0),IF($B$4=1,OFFSET(StateModDepletions_BLNoRes!L$5,$AM48,0)))</f>
        <v>16144.195183590044</v>
      </c>
      <c r="M48" s="312">
        <f ca="1">IF($B$4=0,OFFSET(StateModDepletions_BL!M$5,$AM48,0),IF($B$4=1,OFFSET(StateModDepletions_BLNoRes!M$5,$AM48,0)))</f>
        <v>1331.7065773010254</v>
      </c>
      <c r="N48" s="312">
        <f ca="1">IF($B$4=0,OFFSET(StateModDepletions_BL!N$5,$AM48,0),IF($B$4=1,OFFSET(StateModDepletions_BLNoRes!N$5,$AM48,0)))</f>
        <v>1326.6977829933167</v>
      </c>
      <c r="O48" s="312">
        <f ca="1">IF($B$4=0,OFFSET(StateModDepletions_BL!O$5,$AM48,0),IF($B$4=1,OFFSET(StateModDepletions_BLNoRes!O$5,$AM48,0)))</f>
        <v>34386.770392640014</v>
      </c>
      <c r="P48" s="312">
        <f ca="1">IF($B$4=0,OFFSET(StateModDepletions_BL!P$5,$AM48,0),IF($B$4=1,OFFSET(StateModDepletions_BLNoRes!P$5,$AM48,0)))</f>
        <v>303.36001968383789</v>
      </c>
      <c r="Q48" s="312">
        <f ca="1">IF($B$4=0,OFFSET(StateModDepletions_BL!Q$5,$AM48,0),IF($B$4=1,OFFSET(StateModDepletions_BLNoRes!Q$5,$AM48,0)))</f>
        <v>13889.142258904874</v>
      </c>
      <c r="R48" s="312">
        <f ca="1">IF($B$4=0,OFFSET(StateModDepletions_BL!R$5,$AM48,0),IF($B$4=1,OFFSET(StateModDepletions_BLNoRes!R$5,$AM48,0)))</f>
        <v>598.83215999603271</v>
      </c>
      <c r="S48" s="312">
        <f ca="1">IF($B$4=0,OFFSET(StateModDepletions_BL!S$5,$AM48,0),IF($B$4=1,OFFSET(StateModDepletions_BLNoRes!S$5,$AM48,0)))</f>
        <v>0</v>
      </c>
      <c r="T48" s="312">
        <f ca="1">IF($B$4=0,OFFSET(StateModDepletions_BL!T$5,$AM48,0),IF($B$4=1,OFFSET(StateModDepletions_BLNoRes!T$5,$AM48,0)))</f>
        <v>14330.51057212241</v>
      </c>
      <c r="U48" s="312">
        <f ca="1">IF($B$4=0,OFFSET(StateModDepletions_BL!U$5,$AM48,0),IF($B$4=1,OFFSET(StateModDepletions_BLNoRes!U$5,$AM48,0)))</f>
        <v>1428.8591300845146</v>
      </c>
      <c r="V48" s="312">
        <f ca="1">IF($B$4=0,OFFSET(StateModDepletions_BL!V$5,$AM48,0),IF($B$4=1,OFFSET(StateModDepletions_BLNoRes!V$5,$AM48,0)))</f>
        <v>11747.252390861511</v>
      </c>
      <c r="W48" s="312">
        <f ca="1">IF($B$4=0,OFFSET(StateModDepletions_BL!W$5,$AM48,0),IF($B$4=1,OFFSET(StateModDepletions_BLNoRes!W$5,$AM48,0)))</f>
        <v>125327.73513019427</v>
      </c>
      <c r="X48" s="312">
        <f ca="1">IF($B$4=0,OFFSET(StateModDepletions_BL!X$5,$AM48,0),IF($B$4=1,OFFSET(StateModDepletions_BLNoRes!X$5,$AM48,0)))</f>
        <v>5842.043161115761</v>
      </c>
      <c r="Y48" s="312">
        <f ca="1">IF($B$4=0,OFFSET(StateModDepletions_BL!Y$5,$AM48,0),IF($B$4=1,OFFSET(StateModDepletions_BLNoRes!Y$5,$AM48,0)))</f>
        <v>212.11356273293495</v>
      </c>
      <c r="Z48" s="312">
        <f ca="1">IF($B$4=0,OFFSET(StateModDepletions_BL!Z$5,$AM48,0),IF($B$4=1,OFFSET(StateModDepletions_BLNoRes!Z$5,$AM48,0)))</f>
        <v>207111.20185446739</v>
      </c>
      <c r="AA48" s="313">
        <f ca="1">IF($B$4=0,OFFSET(StateModDepletions_BL!AA$5,$AM48,0),IF($B$4=1,OFFSET(StateModDepletions_BLNoRes!AA$5,$AM48,0)))</f>
        <v>75729.310000424433</v>
      </c>
      <c r="AB48" s="314">
        <f ca="1">IF($B$4=0,OFFSET(StateModDepletions_BL!AB$5,$AM48,0),IF($B$4=1,OFFSET(StateModDepletions_BLNoRes!AB$5,$AM48,0)))</f>
        <v>24765.810481309891</v>
      </c>
      <c r="AC48" s="314">
        <f ca="1">IF($B$4=0,OFFSET(StateModDepletions_BL!AC$5,$AM48,0),IF($B$4=1,OFFSET(StateModDepletions_BLNoRes!AC$5,$AM48,0)))</f>
        <v>30993.913414597511</v>
      </c>
      <c r="AD48" s="314">
        <f ca="1">IF($B$4=0,OFFSET(StateModDepletions_BL!AD$5,$AM48,0),IF($B$4=1,OFFSET(StateModDepletions_BLNoRes!AD$5,$AM48,0)))</f>
        <v>16787.119212508202</v>
      </c>
      <c r="AE48" s="314">
        <f ca="1">IF($B$4=0,OFFSET(StateModDepletions_BL!AE$5,$AM48,0),IF($B$4=1,OFFSET(StateModDepletions_BLNoRes!AE$5,$AM48,0)))</f>
        <v>105071.50781261548</v>
      </c>
      <c r="AF48" s="314">
        <f ca="1">IF($B$4=0,OFFSET(StateModDepletions_BL!AF$5,$AM48,0),IF($B$4=1,OFFSET(StateModDepletions_BLNoRes!AF$5,$AM48,0)))</f>
        <v>17475.901760891069</v>
      </c>
      <c r="AG48" s="314">
        <f ca="1">IF($B$4=0,OFFSET(StateModDepletions_BL!AG$5,$AM48,0),IF($B$4=1,OFFSET(StateModDepletions_BLNoRes!AG$5,$AM48,0)))</f>
        <v>34690.130412323851</v>
      </c>
      <c r="AH48" s="314">
        <f ca="1">IF($B$4=0,OFFSET(StateModDepletions_BL!AH$5,$AM48,0),IF($B$4=1,OFFSET(StateModDepletions_BLNoRes!AH$5,$AM48,0)))</f>
        <v>14487.974418900907</v>
      </c>
      <c r="AI48" s="314">
        <f ca="1">IF($B$4=0,OFFSET(StateModDepletions_BL!AI$5,$AM48,0),IF($B$4=1,OFFSET(StateModDepletions_BLNoRes!AI$5,$AM48,0)))</f>
        <v>15759.369702206925</v>
      </c>
      <c r="AJ48" s="315">
        <f ca="1">IF($B$4=0,OFFSET(StateModDepletions_BL!AJ$5,$AM48,0),IF($B$4=1,OFFSET(StateModDepletions_BLNoRes!AJ$5,$AM48,0)))</f>
        <v>131169.77829131004</v>
      </c>
      <c r="AK48" s="519">
        <f t="shared" si="6"/>
        <v>43</v>
      </c>
      <c r="AL48" s="519">
        <f t="shared" si="5"/>
        <v>1971</v>
      </c>
      <c r="AM48" s="519">
        <f>MATCH($AL48,StateModDepletions_BL!$A$6:$A$90,0)</f>
        <v>43</v>
      </c>
    </row>
    <row r="49" spans="1:39" x14ac:dyDescent="0.25">
      <c r="A49" s="519">
        <f t="shared" si="3"/>
        <v>1972</v>
      </c>
      <c r="B49" s="311">
        <f ca="1">IF($B$4=0,OFFSET(StateModDepletions_BL!B$5,$AM49,0),IF($B$4=1,OFFSET(StateModDepletions_BLNoRes!B$5,$AM49,0)))</f>
        <v>28959.076632585377</v>
      </c>
      <c r="C49" s="312">
        <f ca="1">IF($B$4=0,OFFSET(StateModDepletions_BL!C$5,$AM49,0),IF($B$4=1,OFFSET(StateModDepletions_BLNoRes!C$5,$AM49,0)))</f>
        <v>1026.0025346279144</v>
      </c>
      <c r="D49" s="312">
        <f ca="1">IF($B$4=0,OFFSET(StateModDepletions_BL!D$5,$AM49,0),IF($B$4=1,OFFSET(StateModDepletions_BLNoRes!D$5,$AM49,0)))</f>
        <v>47512.08748626709</v>
      </c>
      <c r="E49" s="312">
        <f ca="1">IF($B$4=0,OFFSET(StateModDepletions_BL!E$5,$AM49,0),IF($B$4=1,OFFSET(StateModDepletions_BLNoRes!E$5,$AM49,0)))</f>
        <v>2810.7051087617874</v>
      </c>
      <c r="F49" s="312">
        <f ca="1">IF($B$4=0,OFFSET(StateModDepletions_BL!F$5,$AM49,0),IF($B$4=1,OFFSET(StateModDepletions_BLNoRes!F$5,$AM49,0)))</f>
        <v>14524.992597967386</v>
      </c>
      <c r="G49" s="312">
        <f ca="1">IF($B$4=0,OFFSET(StateModDepletions_BL!G$5,$AM49,0),IF($B$4=1,OFFSET(StateModDepletions_BLNoRes!G$5,$AM49,0)))</f>
        <v>2036.5992698669434</v>
      </c>
      <c r="H49" s="312">
        <f ca="1">IF($B$4=0,OFFSET(StateModDepletions_BL!H$5,$AM49,0),IF($B$4=1,OFFSET(StateModDepletions_BLNoRes!H$5,$AM49,0)))</f>
        <v>2838.8627778291702</v>
      </c>
      <c r="I49" s="312">
        <f ca="1">IF($B$4=0,OFFSET(StateModDepletions_BL!I$5,$AM49,0),IF($B$4=1,OFFSET(StateModDepletions_BLNoRes!I$5,$AM49,0)))</f>
        <v>103038.31285062432</v>
      </c>
      <c r="J49" s="312">
        <f ca="1">IF($B$4=0,OFFSET(StateModDepletions_BL!J$5,$AM49,0),IF($B$4=1,OFFSET(StateModDepletions_BLNoRes!J$5,$AM49,0)))</f>
        <v>2146.1474950313568</v>
      </c>
      <c r="K49" s="312">
        <f ca="1">IF($B$4=0,OFFSET(StateModDepletions_BL!K$5,$AM49,0),IF($B$4=1,OFFSET(StateModDepletions_BLNoRes!K$5,$AM49,0)))</f>
        <v>19116.242594718933</v>
      </c>
      <c r="L49" s="312">
        <f ca="1">IF($B$4=0,OFFSET(StateModDepletions_BL!L$5,$AM49,0),IF($B$4=1,OFFSET(StateModDepletions_BLNoRes!L$5,$AM49,0)))</f>
        <v>17311.585790008307</v>
      </c>
      <c r="M49" s="312">
        <f ca="1">IF($B$4=0,OFFSET(StateModDepletions_BL!M$5,$AM49,0),IF($B$4=1,OFFSET(StateModDepletions_BLNoRes!M$5,$AM49,0)))</f>
        <v>1347.1212892532349</v>
      </c>
      <c r="N49" s="312">
        <f ca="1">IF($B$4=0,OFFSET(StateModDepletions_BL!N$5,$AM49,0),IF($B$4=1,OFFSET(StateModDepletions_BLNoRes!N$5,$AM49,0)))</f>
        <v>1326.6977829933167</v>
      </c>
      <c r="O49" s="312">
        <f ca="1">IF($B$4=0,OFFSET(StateModDepletions_BL!O$5,$AM49,0),IF($B$4=1,OFFSET(StateModDepletions_BLNoRes!O$5,$AM49,0)))</f>
        <v>26104.948727636114</v>
      </c>
      <c r="P49" s="312">
        <f ca="1">IF($B$4=0,OFFSET(StateModDepletions_BL!P$5,$AM49,0),IF($B$4=1,OFFSET(StateModDepletions_BLNoRes!P$5,$AM49,0)))</f>
        <v>291.31498432159424</v>
      </c>
      <c r="Q49" s="312">
        <f ca="1">IF($B$4=0,OFFSET(StateModDepletions_BL!Q$5,$AM49,0),IF($B$4=1,OFFSET(StateModDepletions_BLNoRes!Q$5,$AM49,0)))</f>
        <v>10668.882056046277</v>
      </c>
      <c r="R49" s="312">
        <f ca="1">IF($B$4=0,OFFSET(StateModDepletions_BL!R$5,$AM49,0),IF($B$4=1,OFFSET(StateModDepletions_BLNoRes!R$5,$AM49,0)))</f>
        <v>598.83215999603271</v>
      </c>
      <c r="S49" s="312">
        <f ca="1">IF($B$4=0,OFFSET(StateModDepletions_BL!S$5,$AM49,0),IF($B$4=1,OFFSET(StateModDepletions_BLNoRes!S$5,$AM49,0)))</f>
        <v>0</v>
      </c>
      <c r="T49" s="312">
        <f ca="1">IF($B$4=0,OFFSET(StateModDepletions_BL!T$5,$AM49,0),IF($B$4=1,OFFSET(StateModDepletions_BLNoRes!T$5,$AM49,0)))</f>
        <v>8331.7644957155735</v>
      </c>
      <c r="U49" s="312">
        <f ca="1">IF($B$4=0,OFFSET(StateModDepletions_BL!U$5,$AM49,0),IF($B$4=1,OFFSET(StateModDepletions_BLNoRes!U$5,$AM49,0)))</f>
        <v>1353.1931121349335</v>
      </c>
      <c r="V49" s="312">
        <f ca="1">IF($B$4=0,OFFSET(StateModDepletions_BL!V$5,$AM49,0),IF($B$4=1,OFFSET(StateModDepletions_BLNoRes!V$5,$AM49,0)))</f>
        <v>8836.2280311584473</v>
      </c>
      <c r="W49" s="312">
        <f ca="1">IF($B$4=0,OFFSET(StateModDepletions_BL!W$5,$AM49,0),IF($B$4=1,OFFSET(StateModDepletions_BLNoRes!W$5,$AM49,0)))</f>
        <v>140402.17323814676</v>
      </c>
      <c r="X49" s="312">
        <f ca="1">IF($B$4=0,OFFSET(StateModDepletions_BL!X$5,$AM49,0),IF($B$4=1,OFFSET(StateModDepletions_BLNoRes!X$5,$AM49,0)))</f>
        <v>5366.0709318489935</v>
      </c>
      <c r="Y49" s="312">
        <f ca="1">IF($B$4=0,OFFSET(StateModDepletions_BL!Y$5,$AM49,0),IF($B$4=1,OFFSET(StateModDepletions_BLNoRes!Y$5,$AM49,0)))</f>
        <v>212.11356273293495</v>
      </c>
      <c r="Z49" s="312">
        <f ca="1">IF($B$4=0,OFFSET(StateModDepletions_BL!Z$5,$AM49,0),IF($B$4=1,OFFSET(StateModDepletions_BLNoRes!Z$5,$AM49,0)))</f>
        <v>203495.78237521648</v>
      </c>
      <c r="AA49" s="313">
        <f ca="1">IF($B$4=0,OFFSET(StateModDepletions_BL!AA$5,$AM49,0),IF($B$4=1,OFFSET(StateModDepletions_BLNoRes!AA$5,$AM49,0)))</f>
        <v>57515.424642487793</v>
      </c>
      <c r="AB49" s="314">
        <f ca="1">IF($B$4=0,OFFSET(StateModDepletions_BL!AB$5,$AM49,0),IF($B$4=1,OFFSET(StateModDepletions_BLNoRes!AB$5,$AM49,0)))</f>
        <v>24765.810481309891</v>
      </c>
      <c r="AC49" s="314">
        <f ca="1">IF($B$4=0,OFFSET(StateModDepletions_BL!AC$5,$AM49,0),IF($B$4=1,OFFSET(StateModDepletions_BLNoRes!AC$5,$AM49,0)))</f>
        <v>29985.079167213291</v>
      </c>
      <c r="AD49" s="314">
        <f ca="1">IF($B$4=0,OFFSET(StateModDepletions_BL!AD$5,$AM49,0),IF($B$4=1,OFFSET(StateModDepletions_BLNoRes!AD$5,$AM49,0)))</f>
        <v>16561.59186783433</v>
      </c>
      <c r="AE49" s="314">
        <f ca="1">IF($B$4=0,OFFSET(StateModDepletions_BL!AE$5,$AM49,0),IF($B$4=1,OFFSET(StateModDepletions_BLNoRes!AE$5,$AM49,0)))</f>
        <v>105184.46034565568</v>
      </c>
      <c r="AF49" s="314">
        <f ca="1">IF($B$4=0,OFFSET(StateModDepletions_BL!AF$5,$AM49,0),IF($B$4=1,OFFSET(StateModDepletions_BLNoRes!AF$5,$AM49,0)))</f>
        <v>18658.707079261541</v>
      </c>
      <c r="AG49" s="314">
        <f ca="1">IF($B$4=0,OFFSET(StateModDepletions_BL!AG$5,$AM49,0),IF($B$4=1,OFFSET(StateModDepletions_BLNoRes!AG$5,$AM49,0)))</f>
        <v>26396.263711957708</v>
      </c>
      <c r="AH49" s="314">
        <f ca="1">IF($B$4=0,OFFSET(StateModDepletions_BL!AH$5,$AM49,0),IF($B$4=1,OFFSET(StateModDepletions_BLNoRes!AH$5,$AM49,0)))</f>
        <v>11267.71421604231</v>
      </c>
      <c r="AI49" s="314">
        <f ca="1">IF($B$4=0,OFFSET(StateModDepletions_BL!AI$5,$AM49,0),IF($B$4=1,OFFSET(StateModDepletions_BLNoRes!AI$5,$AM49,0)))</f>
        <v>9684.957607850507</v>
      </c>
      <c r="AJ49" s="315">
        <f ca="1">IF($B$4=0,OFFSET(StateModDepletions_BL!AJ$5,$AM49,0),IF($B$4=1,OFFSET(StateModDepletions_BLNoRes!AJ$5,$AM49,0)))</f>
        <v>145768.24416999574</v>
      </c>
      <c r="AK49" s="519">
        <f t="shared" si="6"/>
        <v>44</v>
      </c>
      <c r="AL49" s="519">
        <f t="shared" si="5"/>
        <v>1972</v>
      </c>
      <c r="AM49" s="519">
        <f>MATCH($AL49,StateModDepletions_BL!$A$6:$A$90,0)</f>
        <v>44</v>
      </c>
    </row>
    <row r="50" spans="1:39" x14ac:dyDescent="0.25">
      <c r="A50" s="519">
        <f t="shared" si="3"/>
        <v>1973</v>
      </c>
      <c r="B50" s="311">
        <f ca="1">IF($B$4=0,OFFSET(StateModDepletions_BL!B$5,$AM50,0),IF($B$4=1,OFFSET(StateModDepletions_BLNoRes!B$5,$AM50,0)))</f>
        <v>32108.014996483922</v>
      </c>
      <c r="C50" s="312">
        <f ca="1">IF($B$4=0,OFFSET(StateModDepletions_BL!C$5,$AM50,0),IF($B$4=1,OFFSET(StateModDepletions_BLNoRes!C$5,$AM50,0)))</f>
        <v>1026.0025346279144</v>
      </c>
      <c r="D50" s="312">
        <f ca="1">IF($B$4=0,OFFSET(StateModDepletions_BL!D$5,$AM50,0),IF($B$4=1,OFFSET(StateModDepletions_BLNoRes!D$5,$AM50,0)))</f>
        <v>150796.97979736328</v>
      </c>
      <c r="E50" s="312">
        <f ca="1">IF($B$4=0,OFFSET(StateModDepletions_BL!E$5,$AM50,0),IF($B$4=1,OFFSET(StateModDepletions_BLNoRes!E$5,$AM50,0)))</f>
        <v>2810.7051087617874</v>
      </c>
      <c r="F50" s="312">
        <f ca="1">IF($B$4=0,OFFSET(StateModDepletions_BL!F$5,$AM50,0),IF($B$4=1,OFFSET(StateModDepletions_BLNoRes!F$5,$AM50,0)))</f>
        <v>15736.575765907764</v>
      </c>
      <c r="G50" s="312">
        <f ca="1">IF($B$4=0,OFFSET(StateModDepletions_BL!G$5,$AM50,0),IF($B$4=1,OFFSET(StateModDepletions_BLNoRes!G$5,$AM50,0)))</f>
        <v>2036.5992698669434</v>
      </c>
      <c r="H50" s="312">
        <f ca="1">IF($B$4=0,OFFSET(StateModDepletions_BL!H$5,$AM50,0),IF($B$4=1,OFFSET(StateModDepletions_BLNoRes!H$5,$AM50,0)))</f>
        <v>2838.8627778291702</v>
      </c>
      <c r="I50" s="312">
        <f ca="1">IF($B$4=0,OFFSET(StateModDepletions_BL!I$5,$AM50,0),IF($B$4=1,OFFSET(StateModDepletions_BLNoRes!I$5,$AM50,0)))</f>
        <v>100808.38901187479</v>
      </c>
      <c r="J50" s="312">
        <f ca="1">IF($B$4=0,OFFSET(StateModDepletions_BL!J$5,$AM50,0),IF($B$4=1,OFFSET(StateModDepletions_BLNoRes!J$5,$AM50,0)))</f>
        <v>2622.0049874782562</v>
      </c>
      <c r="K50" s="312">
        <f ca="1">IF($B$4=0,OFFSET(StateModDepletions_BL!K$5,$AM50,0),IF($B$4=1,OFFSET(StateModDepletions_BLNoRes!K$5,$AM50,0)))</f>
        <v>19116.242594718933</v>
      </c>
      <c r="L50" s="312">
        <f ca="1">IF($B$4=0,OFFSET(StateModDepletions_BL!L$5,$AM50,0),IF($B$4=1,OFFSET(StateModDepletions_BLNoRes!L$5,$AM50,0)))</f>
        <v>16675.612427562442</v>
      </c>
      <c r="M50" s="312">
        <f ca="1">IF($B$4=0,OFFSET(StateModDepletions_BL!M$5,$AM50,0),IF($B$4=1,OFFSET(StateModDepletions_BLNoRes!M$5,$AM50,0)))</f>
        <v>1347.8015170097351</v>
      </c>
      <c r="N50" s="312">
        <f ca="1">IF($B$4=0,OFFSET(StateModDepletions_BL!N$5,$AM50,0),IF($B$4=1,OFFSET(StateModDepletions_BLNoRes!N$5,$AM50,0)))</f>
        <v>1326.6977829933167</v>
      </c>
      <c r="O50" s="312">
        <f ca="1">IF($B$4=0,OFFSET(StateModDepletions_BL!O$5,$AM50,0),IF($B$4=1,OFFSET(StateModDepletions_BLNoRes!O$5,$AM50,0)))</f>
        <v>46213.245385034461</v>
      </c>
      <c r="P50" s="312">
        <f ca="1">IF($B$4=0,OFFSET(StateModDepletions_BL!P$5,$AM50,0),IF($B$4=1,OFFSET(StateModDepletions_BLNoRes!P$5,$AM50,0)))</f>
        <v>499.77720880508423</v>
      </c>
      <c r="Q50" s="312">
        <f ca="1">IF($B$4=0,OFFSET(StateModDepletions_BL!Q$5,$AM50,0),IF($B$4=1,OFFSET(StateModDepletions_BLNoRes!Q$5,$AM50,0)))</f>
        <v>20791.402812924236</v>
      </c>
      <c r="R50" s="312">
        <f ca="1">IF($B$4=0,OFFSET(StateModDepletions_BL!R$5,$AM50,0),IF($B$4=1,OFFSET(StateModDepletions_BLNoRes!R$5,$AM50,0)))</f>
        <v>598.83215999603271</v>
      </c>
      <c r="S50" s="312">
        <f ca="1">IF($B$4=0,OFFSET(StateModDepletions_BL!S$5,$AM50,0),IF($B$4=1,OFFSET(StateModDepletions_BLNoRes!S$5,$AM50,0)))</f>
        <v>0</v>
      </c>
      <c r="T50" s="312">
        <f ca="1">IF($B$4=0,OFFSET(StateModDepletions_BL!T$5,$AM50,0),IF($B$4=1,OFFSET(StateModDepletions_BLNoRes!T$5,$AM50,0)))</f>
        <v>24543.977572198884</v>
      </c>
      <c r="U50" s="312">
        <f ca="1">IF($B$4=0,OFFSET(StateModDepletions_BL!U$5,$AM50,0),IF($B$4=1,OFFSET(StateModDepletions_BLNoRes!U$5,$AM50,0)))</f>
        <v>1572.5964852571487</v>
      </c>
      <c r="V50" s="312">
        <f ca="1">IF($B$4=0,OFFSET(StateModDepletions_BL!V$5,$AM50,0),IF($B$4=1,OFFSET(StateModDepletions_BLNoRes!V$5,$AM50,0)))</f>
        <v>15842.156903266907</v>
      </c>
      <c r="W50" s="312">
        <f ca="1">IF($B$4=0,OFFSET(StateModDepletions_BL!W$5,$AM50,0),IF($B$4=1,OFFSET(StateModDepletions_BLNoRes!W$5,$AM50,0)))</f>
        <v>121226.89363225146</v>
      </c>
      <c r="X50" s="312">
        <f ca="1">IF($B$4=0,OFFSET(StateModDepletions_BL!X$5,$AM50,0),IF($B$4=1,OFFSET(StateModDepletions_BLNoRes!X$5,$AM50,0)))</f>
        <v>6054.2960319519043</v>
      </c>
      <c r="Y50" s="312">
        <f ca="1">IF($B$4=0,OFFSET(StateModDepletions_BL!Y$5,$AM50,0),IF($B$4=1,OFFSET(StateModDepletions_BLNoRes!Y$5,$AM50,0)))</f>
        <v>212.11356273293495</v>
      </c>
      <c r="Z50" s="312">
        <f ca="1">IF($B$4=0,OFFSET(StateModDepletions_BL!Z$5,$AM50,0),IF($B$4=1,OFFSET(StateModDepletions_BLNoRes!Z$5,$AM50,0)))</f>
        <v>194350.9814043045</v>
      </c>
      <c r="AA50" s="313">
        <f ca="1">IF($B$4=0,OFFSET(StateModDepletions_BL!AA$5,$AM50,0),IF($B$4=1,OFFSET(StateModDepletions_BLNoRes!AA$5,$AM50,0)))</f>
        <v>66857.678177368201</v>
      </c>
      <c r="AB50" s="314">
        <f ca="1">IF($B$4=0,OFFSET(StateModDepletions_BL!AB$5,$AM50,0),IF($B$4=1,OFFSET(StateModDepletions_BLNoRes!AB$5,$AM50,0)))</f>
        <v>24765.810481309891</v>
      </c>
      <c r="AC50" s="314">
        <f ca="1">IF($B$4=0,OFFSET(StateModDepletions_BL!AC$5,$AM50,0),IF($B$4=1,OFFSET(StateModDepletions_BLNoRes!AC$5,$AM50,0)))</f>
        <v>33134.017531111836</v>
      </c>
      <c r="AD50" s="314">
        <f ca="1">IF($B$4=0,OFFSET(StateModDepletions_BL!AD$5,$AM50,0),IF($B$4=1,OFFSET(StateModDepletions_BLNoRes!AD$5,$AM50,0)))</f>
        <v>17773.175035774708</v>
      </c>
      <c r="AE50" s="314">
        <f ca="1">IF($B$4=0,OFFSET(StateModDepletions_BL!AE$5,$AM50,0),IF($B$4=1,OFFSET(StateModDepletions_BLNoRes!AE$5,$AM50,0)))</f>
        <v>103430.39399935305</v>
      </c>
      <c r="AF50" s="314">
        <f ca="1">IF($B$4=0,OFFSET(StateModDepletions_BL!AF$5,$AM50,0),IF($B$4=1,OFFSET(StateModDepletions_BLNoRes!AF$5,$AM50,0)))</f>
        <v>18023.413944572178</v>
      </c>
      <c r="AG50" s="314">
        <f ca="1">IF($B$4=0,OFFSET(StateModDepletions_BL!AG$5,$AM50,0),IF($B$4=1,OFFSET(StateModDepletions_BLNoRes!AG$5,$AM50,0)))</f>
        <v>46713.022593839545</v>
      </c>
      <c r="AH50" s="314">
        <f ca="1">IF($B$4=0,OFFSET(StateModDepletions_BL!AH$5,$AM50,0),IF($B$4=1,OFFSET(StateModDepletions_BLNoRes!AH$5,$AM50,0)))</f>
        <v>21390.234972920269</v>
      </c>
      <c r="AI50" s="314">
        <f ca="1">IF($B$4=0,OFFSET(StateModDepletions_BL!AI$5,$AM50,0),IF($B$4=1,OFFSET(StateModDepletions_BLNoRes!AI$5,$AM50,0)))</f>
        <v>26116.574057456033</v>
      </c>
      <c r="AJ50" s="315">
        <f ca="1">IF($B$4=0,OFFSET(StateModDepletions_BL!AJ$5,$AM50,0),IF($B$4=1,OFFSET(StateModDepletions_BLNoRes!AJ$5,$AM50,0)))</f>
        <v>127281.18966420337</v>
      </c>
      <c r="AK50" s="519">
        <f t="shared" si="6"/>
        <v>45</v>
      </c>
      <c r="AL50" s="519">
        <f t="shared" si="5"/>
        <v>1973</v>
      </c>
      <c r="AM50" s="519">
        <f>MATCH($AL50,StateModDepletions_BL!$A$6:$A$90,0)</f>
        <v>45</v>
      </c>
    </row>
    <row r="51" spans="1:39" x14ac:dyDescent="0.25">
      <c r="A51" s="519">
        <f t="shared" si="3"/>
        <v>1974</v>
      </c>
      <c r="B51" s="311">
        <f ca="1">IF($B$4=0,OFFSET(StateModDepletions_BL!B$5,$AM51,0),IF($B$4=1,OFFSET(StateModDepletions_BLNoRes!B$5,$AM51,0)))</f>
        <v>32314.612410843372</v>
      </c>
      <c r="C51" s="312">
        <f ca="1">IF($B$4=0,OFFSET(StateModDepletions_BL!C$5,$AM51,0),IF($B$4=1,OFFSET(StateModDepletions_BLNoRes!C$5,$AM51,0)))</f>
        <v>1026.0025346279144</v>
      </c>
      <c r="D51" s="312">
        <f ca="1">IF($B$4=0,OFFSET(StateModDepletions_BL!D$5,$AM51,0),IF($B$4=1,OFFSET(StateModDepletions_BLNoRes!D$5,$AM51,0)))</f>
        <v>40279.934093475342</v>
      </c>
      <c r="E51" s="312">
        <f ca="1">IF($B$4=0,OFFSET(StateModDepletions_BL!E$5,$AM51,0),IF($B$4=1,OFFSET(StateModDepletions_BLNoRes!E$5,$AM51,0)))</f>
        <v>2810.7051087617874</v>
      </c>
      <c r="F51" s="312">
        <f ca="1">IF($B$4=0,OFFSET(StateModDepletions_BL!F$5,$AM51,0),IF($B$4=1,OFFSET(StateModDepletions_BLNoRes!F$5,$AM51,0)))</f>
        <v>15462.811552643776</v>
      </c>
      <c r="G51" s="312">
        <f ca="1">IF($B$4=0,OFFSET(StateModDepletions_BL!G$5,$AM51,0),IF($B$4=1,OFFSET(StateModDepletions_BLNoRes!G$5,$AM51,0)))</f>
        <v>2036.5992698669434</v>
      </c>
      <c r="H51" s="312">
        <f ca="1">IF($B$4=0,OFFSET(StateModDepletions_BL!H$5,$AM51,0),IF($B$4=1,OFFSET(StateModDepletions_BLNoRes!H$5,$AM51,0)))</f>
        <v>2838.8627778291702</v>
      </c>
      <c r="I51" s="312">
        <f ca="1">IF($B$4=0,OFFSET(StateModDepletions_BL!I$5,$AM51,0),IF($B$4=1,OFFSET(StateModDepletions_BLNoRes!I$5,$AM51,0)))</f>
        <v>103588.40484564006</v>
      </c>
      <c r="J51" s="312">
        <f ca="1">IF($B$4=0,OFFSET(StateModDepletions_BL!J$5,$AM51,0),IF($B$4=1,OFFSET(StateModDepletions_BLNoRes!J$5,$AM51,0)))</f>
        <v>2373.4899613857269</v>
      </c>
      <c r="K51" s="312">
        <f ca="1">IF($B$4=0,OFFSET(StateModDepletions_BL!K$5,$AM51,0),IF($B$4=1,OFFSET(StateModDepletions_BLNoRes!K$5,$AM51,0)))</f>
        <v>19116.242594718933</v>
      </c>
      <c r="L51" s="312">
        <f ca="1">IF($B$4=0,OFFSET(StateModDepletions_BL!L$5,$AM51,0),IF($B$4=1,OFFSET(StateModDepletions_BLNoRes!L$5,$AM51,0)))</f>
        <v>17338.054353497922</v>
      </c>
      <c r="M51" s="312">
        <f ca="1">IF($B$4=0,OFFSET(StateModDepletions_BL!M$5,$AM51,0),IF($B$4=1,OFFSET(StateModDepletions_BLNoRes!M$5,$AM51,0)))</f>
        <v>1360.4285321235657</v>
      </c>
      <c r="N51" s="312">
        <f ca="1">IF($B$4=0,OFFSET(StateModDepletions_BL!N$5,$AM51,0),IF($B$4=1,OFFSET(StateModDepletions_BLNoRes!N$5,$AM51,0)))</f>
        <v>1326.6977829933167</v>
      </c>
      <c r="O51" s="312">
        <f ca="1">IF($B$4=0,OFFSET(StateModDepletions_BL!O$5,$AM51,0),IF($B$4=1,OFFSET(StateModDepletions_BLNoRes!O$5,$AM51,0)))</f>
        <v>30344.521927861944</v>
      </c>
      <c r="P51" s="312">
        <f ca="1">IF($B$4=0,OFFSET(StateModDepletions_BL!P$5,$AM51,0),IF($B$4=1,OFFSET(StateModDepletions_BLNoRes!P$5,$AM51,0)))</f>
        <v>323.53977632522583</v>
      </c>
      <c r="Q51" s="312">
        <f ca="1">IF($B$4=0,OFFSET(StateModDepletions_BL!Q$5,$AM51,0),IF($B$4=1,OFFSET(StateModDepletions_BLNoRes!Q$5,$AM51,0)))</f>
        <v>9579.7517871744931</v>
      </c>
      <c r="R51" s="312">
        <f ca="1">IF($B$4=0,OFFSET(StateModDepletions_BL!R$5,$AM51,0),IF($B$4=1,OFFSET(StateModDepletions_BLNoRes!R$5,$AM51,0)))</f>
        <v>598.83215999603271</v>
      </c>
      <c r="S51" s="312">
        <f ca="1">IF($B$4=0,OFFSET(StateModDepletions_BL!S$5,$AM51,0),IF($B$4=1,OFFSET(StateModDepletions_BLNoRes!S$5,$AM51,0)))</f>
        <v>0</v>
      </c>
      <c r="T51" s="312">
        <f ca="1">IF($B$4=0,OFFSET(StateModDepletions_BL!T$5,$AM51,0),IF($B$4=1,OFFSET(StateModDepletions_BLNoRes!T$5,$AM51,0)))</f>
        <v>8467.5039081656196</v>
      </c>
      <c r="U51" s="312">
        <f ca="1">IF($B$4=0,OFFSET(StateModDepletions_BL!U$5,$AM51,0),IF($B$4=1,OFFSET(StateModDepletions_BLNoRes!U$5,$AM51,0)))</f>
        <v>1385.7892159932842</v>
      </c>
      <c r="V51" s="312">
        <f ca="1">IF($B$4=0,OFFSET(StateModDepletions_BL!V$5,$AM51,0),IF($B$4=1,OFFSET(StateModDepletions_BLNoRes!V$5,$AM51,0)))</f>
        <v>6907.3946990966797</v>
      </c>
      <c r="W51" s="312">
        <f ca="1">IF($B$4=0,OFFSET(StateModDepletions_BL!W$5,$AM51,0),IF($B$4=1,OFFSET(StateModDepletions_BLNoRes!W$5,$AM51,0)))</f>
        <v>148773.97719586239</v>
      </c>
      <c r="X51" s="312">
        <f ca="1">IF($B$4=0,OFFSET(StateModDepletions_BL!X$5,$AM51,0),IF($B$4=1,OFFSET(StateModDepletions_BLNoRes!X$5,$AM51,0)))</f>
        <v>5290.403453667237</v>
      </c>
      <c r="Y51" s="312">
        <f ca="1">IF($B$4=0,OFFSET(StateModDepletions_BL!Y$5,$AM51,0),IF($B$4=1,OFFSET(StateModDepletions_BLNoRes!Y$5,$AM51,0)))</f>
        <v>212.11356273293495</v>
      </c>
      <c r="Z51" s="312">
        <f ca="1">IF($B$4=0,OFFSET(StateModDepletions_BL!Z$5,$AM51,0),IF($B$4=1,OFFSET(StateModDepletions_BLNoRes!Z$5,$AM51,0)))</f>
        <v>212606.75881898403</v>
      </c>
      <c r="AA51" s="313">
        <f ca="1">IF($B$4=0,OFFSET(StateModDepletions_BL!AA$5,$AM51,0),IF($B$4=1,OFFSET(StateModDepletions_BLNoRes!AA$5,$AM51,0)))</f>
        <v>58330.264606721466</v>
      </c>
      <c r="AB51" s="314">
        <f ca="1">IF($B$4=0,OFFSET(StateModDepletions_BL!AB$5,$AM51,0),IF($B$4=1,OFFSET(StateModDepletions_BLNoRes!AB$5,$AM51,0)))</f>
        <v>24765.810481309891</v>
      </c>
      <c r="AC51" s="314">
        <f ca="1">IF($B$4=0,OFFSET(StateModDepletions_BL!AC$5,$AM51,0),IF($B$4=1,OFFSET(StateModDepletions_BLNoRes!AC$5,$AM51,0)))</f>
        <v>33340.614945471287</v>
      </c>
      <c r="AD51" s="314">
        <f ca="1">IF($B$4=0,OFFSET(StateModDepletions_BL!AD$5,$AM51,0),IF($B$4=1,OFFSET(StateModDepletions_BLNoRes!AD$5,$AM51,0)))</f>
        <v>17499.410822510719</v>
      </c>
      <c r="AE51" s="314">
        <f ca="1">IF($B$4=0,OFFSET(StateModDepletions_BL!AE$5,$AM51,0),IF($B$4=1,OFFSET(StateModDepletions_BLNoRes!AE$5,$AM51,0)))</f>
        <v>105961.89480702579</v>
      </c>
      <c r="AF51" s="314">
        <f ca="1">IF($B$4=0,OFFSET(StateModDepletions_BL!AF$5,$AM51,0),IF($B$4=1,OFFSET(StateModDepletions_BLNoRes!AF$5,$AM51,0)))</f>
        <v>18698.482885621488</v>
      </c>
      <c r="AG51" s="314">
        <f ca="1">IF($B$4=0,OFFSET(StateModDepletions_BL!AG$5,$AM51,0),IF($B$4=1,OFFSET(StateModDepletions_BLNoRes!AG$5,$AM51,0)))</f>
        <v>30668.06170418717</v>
      </c>
      <c r="AH51" s="314">
        <f ca="1">IF($B$4=0,OFFSET(StateModDepletions_BL!AH$5,$AM51,0),IF($B$4=1,OFFSET(StateModDepletions_BLNoRes!AH$5,$AM51,0)))</f>
        <v>10178.583947170526</v>
      </c>
      <c r="AI51" s="314">
        <f ca="1">IF($B$4=0,OFFSET(StateModDepletions_BL!AI$5,$AM51,0),IF($B$4=1,OFFSET(StateModDepletions_BLNoRes!AI$5,$AM51,0)))</f>
        <v>9853.2931241589031</v>
      </c>
      <c r="AJ51" s="315">
        <f ca="1">IF($B$4=0,OFFSET(StateModDepletions_BL!AJ$5,$AM51,0),IF($B$4=1,OFFSET(StateModDepletions_BLNoRes!AJ$5,$AM51,0)))</f>
        <v>154064.38064952963</v>
      </c>
      <c r="AK51" s="519">
        <f t="shared" si="6"/>
        <v>46</v>
      </c>
      <c r="AL51" s="519">
        <f t="shared" si="5"/>
        <v>1974</v>
      </c>
      <c r="AM51" s="519">
        <f>MATCH($AL51,StateModDepletions_BL!$A$6:$A$90,0)</f>
        <v>46</v>
      </c>
    </row>
    <row r="52" spans="1:39" x14ac:dyDescent="0.25">
      <c r="A52" s="519">
        <f t="shared" si="3"/>
        <v>1975</v>
      </c>
      <c r="B52" s="311">
        <f ca="1">IF($B$4=0,OFFSET(StateModDepletions_BL!B$5,$AM52,0),IF($B$4=1,OFFSET(StateModDepletions_BLNoRes!B$5,$AM52,0)))</f>
        <v>33939.48683860153</v>
      </c>
      <c r="C52" s="312">
        <f ca="1">IF($B$4=0,OFFSET(StateModDepletions_BL!C$5,$AM52,0),IF($B$4=1,OFFSET(StateModDepletions_BLNoRes!C$5,$AM52,0)))</f>
        <v>1026.0025346279144</v>
      </c>
      <c r="D52" s="312">
        <f ca="1">IF($B$4=0,OFFSET(StateModDepletions_BL!D$5,$AM52,0),IF($B$4=1,OFFSET(StateModDepletions_BLNoRes!D$5,$AM52,0)))</f>
        <v>140442.57757568359</v>
      </c>
      <c r="E52" s="312">
        <f ca="1">IF($B$4=0,OFFSET(StateModDepletions_BL!E$5,$AM52,0),IF($B$4=1,OFFSET(StateModDepletions_BLNoRes!E$5,$AM52,0)))</f>
        <v>2810.7051087617874</v>
      </c>
      <c r="F52" s="312">
        <f ca="1">IF($B$4=0,OFFSET(StateModDepletions_BL!F$5,$AM52,0),IF($B$4=1,OFFSET(StateModDepletions_BLNoRes!F$5,$AM52,0)))</f>
        <v>16464.602327659726</v>
      </c>
      <c r="G52" s="312">
        <f ca="1">IF($B$4=0,OFFSET(StateModDepletions_BL!G$5,$AM52,0),IF($B$4=1,OFFSET(StateModDepletions_BLNoRes!G$5,$AM52,0)))</f>
        <v>2036.5992698669434</v>
      </c>
      <c r="H52" s="312">
        <f ca="1">IF($B$4=0,OFFSET(StateModDepletions_BL!H$5,$AM52,0),IF($B$4=1,OFFSET(StateModDepletions_BLNoRes!H$5,$AM52,0)))</f>
        <v>2838.8627778291702</v>
      </c>
      <c r="I52" s="312">
        <f ca="1">IF($B$4=0,OFFSET(StateModDepletions_BL!I$5,$AM52,0),IF($B$4=1,OFFSET(StateModDepletions_BLNoRes!I$5,$AM52,0)))</f>
        <v>106796.9945128113</v>
      </c>
      <c r="J52" s="312">
        <f ca="1">IF($B$4=0,OFFSET(StateModDepletions_BL!J$5,$AM52,0),IF($B$4=1,OFFSET(StateModDepletions_BLNoRes!J$5,$AM52,0)))</f>
        <v>2598.5521600246429</v>
      </c>
      <c r="K52" s="312">
        <f ca="1">IF($B$4=0,OFFSET(StateModDepletions_BL!K$5,$AM52,0),IF($B$4=1,OFFSET(StateModDepletions_BLNoRes!K$5,$AM52,0)))</f>
        <v>19116.242594718933</v>
      </c>
      <c r="L52" s="312">
        <f ca="1">IF($B$4=0,OFFSET(StateModDepletions_BL!L$5,$AM52,0),IF($B$4=1,OFFSET(StateModDepletions_BLNoRes!L$5,$AM52,0)))</f>
        <v>17700.164730645705</v>
      </c>
      <c r="M52" s="312">
        <f ca="1">IF($B$4=0,OFFSET(StateModDepletions_BL!M$5,$AM52,0),IF($B$4=1,OFFSET(StateModDepletions_BLNoRes!M$5,$AM52,0)))</f>
        <v>1392.1547365188599</v>
      </c>
      <c r="N52" s="312">
        <f ca="1">IF($B$4=0,OFFSET(StateModDepletions_BL!N$5,$AM52,0),IF($B$4=1,OFFSET(StateModDepletions_BLNoRes!N$5,$AM52,0)))</f>
        <v>1326.6977829933167</v>
      </c>
      <c r="O52" s="312">
        <f ca="1">IF($B$4=0,OFFSET(StateModDepletions_BL!O$5,$AM52,0),IF($B$4=1,OFFSET(StateModDepletions_BLNoRes!O$5,$AM52,0)))</f>
        <v>49327.010736568351</v>
      </c>
      <c r="P52" s="312">
        <f ca="1">IF($B$4=0,OFFSET(StateModDepletions_BL!P$5,$AM52,0),IF($B$4=1,OFFSET(StateModDepletions_BLNoRes!P$5,$AM52,0)))</f>
        <v>470.41834115982056</v>
      </c>
      <c r="Q52" s="312">
        <f ca="1">IF($B$4=0,OFFSET(StateModDepletions_BL!Q$5,$AM52,0),IF($B$4=1,OFFSET(StateModDepletions_BLNoRes!Q$5,$AM52,0)))</f>
        <v>22074.900729071349</v>
      </c>
      <c r="R52" s="312">
        <f ca="1">IF($B$4=0,OFFSET(StateModDepletions_BL!R$5,$AM52,0),IF($B$4=1,OFFSET(StateModDepletions_BLNoRes!R$5,$AM52,0)))</f>
        <v>598.83215999603271</v>
      </c>
      <c r="S52" s="312">
        <f ca="1">IF($B$4=0,OFFSET(StateModDepletions_BL!S$5,$AM52,0),IF($B$4=1,OFFSET(StateModDepletions_BLNoRes!S$5,$AM52,0)))</f>
        <v>0</v>
      </c>
      <c r="T52" s="312">
        <f ca="1">IF($B$4=0,OFFSET(StateModDepletions_BL!T$5,$AM52,0),IF($B$4=1,OFFSET(StateModDepletions_BLNoRes!T$5,$AM52,0)))</f>
        <v>26657.148342332031</v>
      </c>
      <c r="U52" s="312">
        <f ca="1">IF($B$4=0,OFFSET(StateModDepletions_BL!U$5,$AM52,0),IF($B$4=1,OFFSET(StateModDepletions_BLNoRes!U$5,$AM52,0)))</f>
        <v>1556.6532515699107</v>
      </c>
      <c r="V52" s="312">
        <f ca="1">IF($B$4=0,OFFSET(StateModDepletions_BL!V$5,$AM52,0),IF($B$4=1,OFFSET(StateModDepletions_BLNoRes!V$5,$AM52,0)))</f>
        <v>15913.491417884827</v>
      </c>
      <c r="W52" s="312">
        <f ca="1">IF($B$4=0,OFFSET(StateModDepletions_BL!W$5,$AM52,0),IF($B$4=1,OFFSET(StateModDepletions_BLNoRes!W$5,$AM52,0)))</f>
        <v>123258.50775124475</v>
      </c>
      <c r="X52" s="312">
        <f ca="1">IF($B$4=0,OFFSET(StateModDepletions_BL!X$5,$AM52,0),IF($B$4=1,OFFSET(StateModDepletions_BLNoRes!X$5,$AM52,0)))</f>
        <v>5406.5516634359956</v>
      </c>
      <c r="Y52" s="312">
        <f ca="1">IF($B$4=0,OFFSET(StateModDepletions_BL!Y$5,$AM52,0),IF($B$4=1,OFFSET(StateModDepletions_BLNoRes!Y$5,$AM52,0)))</f>
        <v>212.11356273293495</v>
      </c>
      <c r="Z52" s="312">
        <f ca="1">IF($B$4=0,OFFSET(StateModDepletions_BL!Z$5,$AM52,0),IF($B$4=1,OFFSET(StateModDepletions_BLNoRes!Z$5,$AM52,0)))</f>
        <v>242635.86738777161</v>
      </c>
      <c r="AA52" s="313">
        <f ca="1">IF($B$4=0,OFFSET(StateModDepletions_BL!AA$5,$AM52,0),IF($B$4=1,OFFSET(StateModDepletions_BLNoRes!AA$5,$AM52,0)))</f>
        <v>113758.69441035793</v>
      </c>
      <c r="AB52" s="314">
        <f ca="1">IF($B$4=0,OFFSET(StateModDepletions_BL!AB$5,$AM52,0),IF($B$4=1,OFFSET(StateModDepletions_BLNoRes!AB$5,$AM52,0)))</f>
        <v>24765.810481309891</v>
      </c>
      <c r="AC52" s="314">
        <f ca="1">IF($B$4=0,OFFSET(StateModDepletions_BL!AC$5,$AM52,0),IF($B$4=1,OFFSET(StateModDepletions_BLNoRes!AC$5,$AM52,0)))</f>
        <v>34965.489373229444</v>
      </c>
      <c r="AD52" s="314">
        <f ca="1">IF($B$4=0,OFFSET(StateModDepletions_BL!AD$5,$AM52,0),IF($B$4=1,OFFSET(StateModDepletions_BLNoRes!AD$5,$AM52,0)))</f>
        <v>18501.20159752667</v>
      </c>
      <c r="AE52" s="314">
        <f ca="1">IF($B$4=0,OFFSET(StateModDepletions_BL!AE$5,$AM52,0),IF($B$4=1,OFFSET(StateModDepletions_BLNoRes!AE$5,$AM52,0)))</f>
        <v>109395.54667283595</v>
      </c>
      <c r="AF52" s="314">
        <f ca="1">IF($B$4=0,OFFSET(StateModDepletions_BL!AF$5,$AM52,0),IF($B$4=1,OFFSET(StateModDepletions_BLNoRes!AF$5,$AM52,0)))</f>
        <v>19092.319467164565</v>
      </c>
      <c r="AG52" s="314">
        <f ca="1">IF($B$4=0,OFFSET(StateModDepletions_BL!AG$5,$AM52,0),IF($B$4=1,OFFSET(StateModDepletions_BLNoRes!AG$5,$AM52,0)))</f>
        <v>49797.429077728171</v>
      </c>
      <c r="AH52" s="314">
        <f ca="1">IF($B$4=0,OFFSET(StateModDepletions_BL!AH$5,$AM52,0),IF($B$4=1,OFFSET(StateModDepletions_BLNoRes!AH$5,$AM52,0)))</f>
        <v>22673.732889067382</v>
      </c>
      <c r="AI52" s="314">
        <f ca="1">IF($B$4=0,OFFSET(StateModDepletions_BL!AI$5,$AM52,0),IF($B$4=1,OFFSET(StateModDepletions_BLNoRes!AI$5,$AM52,0)))</f>
        <v>28213.801593901942</v>
      </c>
      <c r="AJ52" s="315">
        <f ca="1">IF($B$4=0,OFFSET(StateModDepletions_BL!AJ$5,$AM52,0),IF($B$4=1,OFFSET(StateModDepletions_BLNoRes!AJ$5,$AM52,0)))</f>
        <v>128665.05941468074</v>
      </c>
      <c r="AK52" s="519">
        <f t="shared" si="6"/>
        <v>47</v>
      </c>
      <c r="AL52" s="519">
        <f t="shared" si="5"/>
        <v>1975</v>
      </c>
      <c r="AM52" s="519">
        <f>MATCH($AL52,StateModDepletions_BL!$A$6:$A$90,0)</f>
        <v>47</v>
      </c>
    </row>
    <row r="53" spans="1:39" x14ac:dyDescent="0.25">
      <c r="A53" s="519">
        <f t="shared" si="3"/>
        <v>1976</v>
      </c>
      <c r="B53" s="311">
        <f ca="1">IF($B$4=0,OFFSET(StateModDepletions_BL!B$5,$AM53,0),IF($B$4=1,OFFSET(StateModDepletions_BLNoRes!B$5,$AM53,0)))</f>
        <v>32271.799607232213</v>
      </c>
      <c r="C53" s="312">
        <f ca="1">IF($B$4=0,OFFSET(StateModDepletions_BL!C$5,$AM53,0),IF($B$4=1,OFFSET(StateModDepletions_BLNoRes!C$5,$AM53,0)))</f>
        <v>1026.0025346279144</v>
      </c>
      <c r="D53" s="312">
        <f ca="1">IF($B$4=0,OFFSET(StateModDepletions_BL!D$5,$AM53,0),IF($B$4=1,OFFSET(StateModDepletions_BLNoRes!D$5,$AM53,0)))</f>
        <v>74668.012512207031</v>
      </c>
      <c r="E53" s="312">
        <f ca="1">IF($B$4=0,OFFSET(StateModDepletions_BL!E$5,$AM53,0),IF($B$4=1,OFFSET(StateModDepletions_BLNoRes!E$5,$AM53,0)))</f>
        <v>2810.7051087617874</v>
      </c>
      <c r="F53" s="312">
        <f ca="1">IF($B$4=0,OFFSET(StateModDepletions_BL!F$5,$AM53,0),IF($B$4=1,OFFSET(StateModDepletions_BLNoRes!F$5,$AM53,0)))</f>
        <v>15847.775936208665</v>
      </c>
      <c r="G53" s="312">
        <f ca="1">IF($B$4=0,OFFSET(StateModDepletions_BL!G$5,$AM53,0),IF($B$4=1,OFFSET(StateModDepletions_BLNoRes!G$5,$AM53,0)))</f>
        <v>2036.5992698669434</v>
      </c>
      <c r="H53" s="312">
        <f ca="1">IF($B$4=0,OFFSET(StateModDepletions_BL!H$5,$AM53,0),IF($B$4=1,OFFSET(StateModDepletions_BLNoRes!H$5,$AM53,0)))</f>
        <v>2838.8627778291702</v>
      </c>
      <c r="I53" s="312">
        <f ca="1">IF($B$4=0,OFFSET(StateModDepletions_BL!I$5,$AM53,0),IF($B$4=1,OFFSET(StateModDepletions_BLNoRes!I$5,$AM53,0)))</f>
        <v>99038.2399174124</v>
      </c>
      <c r="J53" s="312">
        <f ca="1">IF($B$4=0,OFFSET(StateModDepletions_BL!J$5,$AM53,0),IF($B$4=1,OFFSET(StateModDepletions_BLNoRes!J$5,$AM53,0)))</f>
        <v>2606.5198438167572</v>
      </c>
      <c r="K53" s="312">
        <f ca="1">IF($B$4=0,OFFSET(StateModDepletions_BL!K$5,$AM53,0),IF($B$4=1,OFFSET(StateModDepletions_BLNoRes!K$5,$AM53,0)))</f>
        <v>19116.242594718933</v>
      </c>
      <c r="L53" s="312">
        <f ca="1">IF($B$4=0,OFFSET(StateModDepletions_BL!L$5,$AM53,0),IF($B$4=1,OFFSET(StateModDepletions_BLNoRes!L$5,$AM53,0)))</f>
        <v>16774.593496486552</v>
      </c>
      <c r="M53" s="312">
        <f ca="1">IF($B$4=0,OFFSET(StateModDepletions_BL!M$5,$AM53,0),IF($B$4=1,OFFSET(StateModDepletions_BLNoRes!M$5,$AM53,0)))</f>
        <v>1262.1614189147949</v>
      </c>
      <c r="N53" s="312">
        <f ca="1">IF($B$4=0,OFFSET(StateModDepletions_BL!N$5,$AM53,0),IF($B$4=1,OFFSET(StateModDepletions_BLNoRes!N$5,$AM53,0)))</f>
        <v>1326.6977829933167</v>
      </c>
      <c r="O53" s="312">
        <f ca="1">IF($B$4=0,OFFSET(StateModDepletions_BL!O$5,$AM53,0),IF($B$4=1,OFFSET(StateModDepletions_BLNoRes!O$5,$AM53,0)))</f>
        <v>39506.195093207512</v>
      </c>
      <c r="P53" s="312">
        <f ca="1">IF($B$4=0,OFFSET(StateModDepletions_BL!P$5,$AM53,0),IF($B$4=1,OFFSET(StateModDepletions_BLNoRes!P$5,$AM53,0)))</f>
        <v>388.27916288375854</v>
      </c>
      <c r="Q53" s="312">
        <f ca="1">IF($B$4=0,OFFSET(StateModDepletions_BL!Q$5,$AM53,0),IF($B$4=1,OFFSET(StateModDepletions_BLNoRes!Q$5,$AM53,0)))</f>
        <v>13462.662733092904</v>
      </c>
      <c r="R53" s="312">
        <f ca="1">IF($B$4=0,OFFSET(StateModDepletions_BL!R$5,$AM53,0),IF($B$4=1,OFFSET(StateModDepletions_BLNoRes!R$5,$AM53,0)))</f>
        <v>598.83215999603271</v>
      </c>
      <c r="S53" s="312">
        <f ca="1">IF($B$4=0,OFFSET(StateModDepletions_BL!S$5,$AM53,0),IF($B$4=1,OFFSET(StateModDepletions_BLNoRes!S$5,$AM53,0)))</f>
        <v>0</v>
      </c>
      <c r="T53" s="312">
        <f ca="1">IF($B$4=0,OFFSET(StateModDepletions_BL!T$5,$AM53,0),IF($B$4=1,OFFSET(StateModDepletions_BLNoRes!T$5,$AM53,0)))</f>
        <v>12727.703257718013</v>
      </c>
      <c r="U53" s="312">
        <f ca="1">IF($B$4=0,OFFSET(StateModDepletions_BL!U$5,$AM53,0),IF($B$4=1,OFFSET(StateModDepletions_BLNoRes!U$5,$AM53,0)))</f>
        <v>1415.5440880656242</v>
      </c>
      <c r="V53" s="312">
        <f ca="1">IF($B$4=0,OFFSET(StateModDepletions_BL!V$5,$AM53,0),IF($B$4=1,OFFSET(StateModDepletions_BLNoRes!V$5,$AM53,0)))</f>
        <v>10966.615132331848</v>
      </c>
      <c r="W53" s="312">
        <f ca="1">IF($B$4=0,OFFSET(StateModDepletions_BL!W$5,$AM53,0),IF($B$4=1,OFFSET(StateModDepletions_BLNoRes!W$5,$AM53,0)))</f>
        <v>125321.5025957857</v>
      </c>
      <c r="X53" s="312">
        <f ca="1">IF($B$4=0,OFFSET(StateModDepletions_BL!X$5,$AM53,0),IF($B$4=1,OFFSET(StateModDepletions_BLNoRes!X$5,$AM53,0)))</f>
        <v>5118.8121231942059</v>
      </c>
      <c r="Y53" s="312">
        <f ca="1">IF($B$4=0,OFFSET(StateModDepletions_BL!Y$5,$AM53,0),IF($B$4=1,OFFSET(StateModDepletions_BLNoRes!Y$5,$AM53,0)))</f>
        <v>212.11356273293495</v>
      </c>
      <c r="Z53" s="312">
        <f ca="1">IF($B$4=0,OFFSET(StateModDepletions_BL!Z$5,$AM53,0),IF($B$4=1,OFFSET(StateModDepletions_BLNoRes!Z$5,$AM53,0)))</f>
        <v>221127.03445386887</v>
      </c>
      <c r="AA53" s="313">
        <f ca="1">IF($B$4=0,OFFSET(StateModDepletions_BL!AA$5,$AM53,0),IF($B$4=1,OFFSET(StateModDepletions_BLNoRes!AA$5,$AM53,0)))</f>
        <v>90474.606172156025</v>
      </c>
      <c r="AB53" s="314">
        <f ca="1">IF($B$4=0,OFFSET(StateModDepletions_BL!AB$5,$AM53,0),IF($B$4=1,OFFSET(StateModDepletions_BLNoRes!AB$5,$AM53,0)))</f>
        <v>24765.810481309891</v>
      </c>
      <c r="AC53" s="314">
        <f ca="1">IF($B$4=0,OFFSET(StateModDepletions_BL!AC$5,$AM53,0),IF($B$4=1,OFFSET(StateModDepletions_BLNoRes!AC$5,$AM53,0)))</f>
        <v>33297.802141860127</v>
      </c>
      <c r="AD53" s="314">
        <f ca="1">IF($B$4=0,OFFSET(StateModDepletions_BL!AD$5,$AM53,0),IF($B$4=1,OFFSET(StateModDepletions_BLNoRes!AD$5,$AM53,0)))</f>
        <v>17884.375206075609</v>
      </c>
      <c r="AE53" s="314">
        <f ca="1">IF($B$4=0,OFFSET(StateModDepletions_BL!AE$5,$AM53,0),IF($B$4=1,OFFSET(StateModDepletions_BLNoRes!AE$5,$AM53,0)))</f>
        <v>101644.75976122916</v>
      </c>
      <c r="AF53" s="314">
        <f ca="1">IF($B$4=0,OFFSET(StateModDepletions_BL!AF$5,$AM53,0),IF($B$4=1,OFFSET(StateModDepletions_BLNoRes!AF$5,$AM53,0)))</f>
        <v>18036.754915401347</v>
      </c>
      <c r="AG53" s="314">
        <f ca="1">IF($B$4=0,OFFSET(StateModDepletions_BL!AG$5,$AM53,0),IF($B$4=1,OFFSET(StateModDepletions_BLNoRes!AG$5,$AM53,0)))</f>
        <v>39894.474256091271</v>
      </c>
      <c r="AH53" s="314">
        <f ca="1">IF($B$4=0,OFFSET(StateModDepletions_BL!AH$5,$AM53,0),IF($B$4=1,OFFSET(StateModDepletions_BLNoRes!AH$5,$AM53,0)))</f>
        <v>14061.494893088937</v>
      </c>
      <c r="AI53" s="314">
        <f ca="1">IF($B$4=0,OFFSET(StateModDepletions_BL!AI$5,$AM53,0),IF($B$4=1,OFFSET(StateModDepletions_BLNoRes!AI$5,$AM53,0)))</f>
        <v>14143.247345783637</v>
      </c>
      <c r="AJ53" s="315">
        <f ca="1">IF($B$4=0,OFFSET(StateModDepletions_BL!AJ$5,$AM53,0),IF($B$4=1,OFFSET(StateModDepletions_BLNoRes!AJ$5,$AM53,0)))</f>
        <v>130440.31471897991</v>
      </c>
      <c r="AK53" s="519">
        <f t="shared" si="6"/>
        <v>48</v>
      </c>
      <c r="AL53" s="519">
        <f t="shared" si="5"/>
        <v>1976</v>
      </c>
      <c r="AM53" s="519">
        <f>MATCH($AL53,StateModDepletions_BL!$A$6:$A$90,0)</f>
        <v>48</v>
      </c>
    </row>
    <row r="54" spans="1:39" x14ac:dyDescent="0.25">
      <c r="A54" s="519">
        <f t="shared" si="3"/>
        <v>1977</v>
      </c>
      <c r="B54" s="311">
        <f ca="1">IF($B$4=0,OFFSET(StateModDepletions_BL!B$5,$AM54,0),IF($B$4=1,OFFSET(StateModDepletions_BLNoRes!B$5,$AM54,0)))</f>
        <v>29248.120573095977</v>
      </c>
      <c r="C54" s="312">
        <f ca="1">IF($B$4=0,OFFSET(StateModDepletions_BL!C$5,$AM54,0),IF($B$4=1,OFFSET(StateModDepletions_BLNoRes!C$5,$AM54,0)))</f>
        <v>1026.0025346279144</v>
      </c>
      <c r="D54" s="312">
        <f ca="1">IF($B$4=0,OFFSET(StateModDepletions_BL!D$5,$AM54,0),IF($B$4=1,OFFSET(StateModDepletions_BLNoRes!D$5,$AM54,0)))</f>
        <v>11956.477355957031</v>
      </c>
      <c r="E54" s="312">
        <f ca="1">IF($B$4=0,OFFSET(StateModDepletions_BL!E$5,$AM54,0),IF($B$4=1,OFFSET(StateModDepletions_BLNoRes!E$5,$AM54,0)))</f>
        <v>2810.7051087617874</v>
      </c>
      <c r="F54" s="312">
        <f ca="1">IF($B$4=0,OFFSET(StateModDepletions_BL!F$5,$AM54,0),IF($B$4=1,OFFSET(StateModDepletions_BLNoRes!F$5,$AM54,0)))</f>
        <v>14361.647783756256</v>
      </c>
      <c r="G54" s="312">
        <f ca="1">IF($B$4=0,OFFSET(StateModDepletions_BL!G$5,$AM54,0),IF($B$4=1,OFFSET(StateModDepletions_BLNoRes!G$5,$AM54,0)))</f>
        <v>2036.5992698669434</v>
      </c>
      <c r="H54" s="312">
        <f ca="1">IF($B$4=0,OFFSET(StateModDepletions_BL!H$5,$AM54,0),IF($B$4=1,OFFSET(StateModDepletions_BLNoRes!H$5,$AM54,0)))</f>
        <v>2838.8627778291702</v>
      </c>
      <c r="I54" s="312">
        <f ca="1">IF($B$4=0,OFFSET(StateModDepletions_BL!I$5,$AM54,0),IF($B$4=1,OFFSET(StateModDepletions_BLNoRes!I$5,$AM54,0)))</f>
        <v>84104.795855864882</v>
      </c>
      <c r="J54" s="312">
        <f ca="1">IF($B$4=0,OFFSET(StateModDepletions_BL!J$5,$AM54,0),IF($B$4=1,OFFSET(StateModDepletions_BLNoRes!J$5,$AM54,0)))</f>
        <v>1822.4736440181732</v>
      </c>
      <c r="K54" s="312">
        <f ca="1">IF($B$4=0,OFFSET(StateModDepletions_BL!K$5,$AM54,0),IF($B$4=1,OFFSET(StateModDepletions_BLNoRes!K$5,$AM54,0)))</f>
        <v>19116.242594718933</v>
      </c>
      <c r="L54" s="312">
        <f ca="1">IF($B$4=0,OFFSET(StateModDepletions_BL!L$5,$AM54,0),IF($B$4=1,OFFSET(StateModDepletions_BLNoRes!L$5,$AM54,0)))</f>
        <v>18972.278492756173</v>
      </c>
      <c r="M54" s="312">
        <f ca="1">IF($B$4=0,OFFSET(StateModDepletions_BL!M$5,$AM54,0),IF($B$4=1,OFFSET(StateModDepletions_BLNoRes!M$5,$AM54,0)))</f>
        <v>1248.9770970344543</v>
      </c>
      <c r="N54" s="312">
        <f ca="1">IF($B$4=0,OFFSET(StateModDepletions_BL!N$5,$AM54,0),IF($B$4=1,OFFSET(StateModDepletions_BLNoRes!N$5,$AM54,0)))</f>
        <v>1326.6977829933167</v>
      </c>
      <c r="O54" s="312">
        <f ca="1">IF($B$4=0,OFFSET(StateModDepletions_BL!O$5,$AM54,0),IF($B$4=1,OFFSET(StateModDepletions_BLNoRes!O$5,$AM54,0)))</f>
        <v>16747.635945065391</v>
      </c>
      <c r="P54" s="312">
        <f ca="1">IF($B$4=0,OFFSET(StateModDepletions_BL!P$5,$AM54,0),IF($B$4=1,OFFSET(StateModDepletions_BLNoRes!P$5,$AM54,0)))</f>
        <v>283.90742826461792</v>
      </c>
      <c r="Q54" s="312">
        <f ca="1">IF($B$4=0,OFFSET(StateModDepletions_BL!Q$5,$AM54,0),IF($B$4=1,OFFSET(StateModDepletions_BLNoRes!Q$5,$AM54,0)))</f>
        <v>6132.9705138765275</v>
      </c>
      <c r="R54" s="312">
        <f ca="1">IF($B$4=0,OFFSET(StateModDepletions_BL!R$5,$AM54,0),IF($B$4=1,OFFSET(StateModDepletions_BLNoRes!R$5,$AM54,0)))</f>
        <v>598.83215999603271</v>
      </c>
      <c r="S54" s="312">
        <f ca="1">IF($B$4=0,OFFSET(StateModDepletions_BL!S$5,$AM54,0),IF($B$4=1,OFFSET(StateModDepletions_BLNoRes!S$5,$AM54,0)))</f>
        <v>0</v>
      </c>
      <c r="T54" s="312">
        <f ca="1">IF($B$4=0,OFFSET(StateModDepletions_BL!T$5,$AM54,0),IF($B$4=1,OFFSET(StateModDepletions_BLNoRes!T$5,$AM54,0)))</f>
        <v>4535.9121962659801</v>
      </c>
      <c r="U54" s="312">
        <f ca="1">IF($B$4=0,OFFSET(StateModDepletions_BL!U$5,$AM54,0),IF($B$4=1,OFFSET(StateModDepletions_BLNoRes!U$5,$AM54,0)))</f>
        <v>1382.1353635957498</v>
      </c>
      <c r="V54" s="312">
        <f ca="1">IF($B$4=0,OFFSET(StateModDepletions_BL!V$5,$AM54,0),IF($B$4=1,OFFSET(StateModDepletions_BLNoRes!V$5,$AM54,0)))</f>
        <v>4082.4014501571655</v>
      </c>
      <c r="W54" s="312">
        <f ca="1">IF($B$4=0,OFFSET(StateModDepletions_BL!W$5,$AM54,0),IF($B$4=1,OFFSET(StateModDepletions_BLNoRes!W$5,$AM54,0)))</f>
        <v>125656.29801665588</v>
      </c>
      <c r="X54" s="312">
        <f ca="1">IF($B$4=0,OFFSET(StateModDepletions_BL!X$5,$AM54,0),IF($B$4=1,OFFSET(StateModDepletions_BLNoRes!X$5,$AM54,0)))</f>
        <v>4611.0848365724087</v>
      </c>
      <c r="Y54" s="312">
        <f ca="1">IF($B$4=0,OFFSET(StateModDepletions_BL!Y$5,$AM54,0),IF($B$4=1,OFFSET(StateModDepletions_BLNoRes!Y$5,$AM54,0)))</f>
        <v>212.11356273293495</v>
      </c>
      <c r="Z54" s="312">
        <f ca="1">IF($B$4=0,OFFSET(StateModDepletions_BL!Z$5,$AM54,0),IF($B$4=1,OFFSET(StateModDepletions_BLNoRes!Z$5,$AM54,0)))</f>
        <v>197216.21497511864</v>
      </c>
      <c r="AA54" s="313">
        <f ca="1">IF($B$4=0,OFFSET(StateModDepletions_BL!AA$5,$AM54,0),IF($B$4=1,OFFSET(StateModDepletions_BLNoRes!AA$5,$AM54,0)))</f>
        <v>66736.718559157409</v>
      </c>
      <c r="AB54" s="314">
        <f ca="1">IF($B$4=0,OFFSET(StateModDepletions_BL!AB$5,$AM54,0),IF($B$4=1,OFFSET(StateModDepletions_BLNoRes!AB$5,$AM54,0)))</f>
        <v>24765.810481309891</v>
      </c>
      <c r="AC54" s="314">
        <f ca="1">IF($B$4=0,OFFSET(StateModDepletions_BL!AC$5,$AM54,0),IF($B$4=1,OFFSET(StateModDepletions_BLNoRes!AC$5,$AM54,0)))</f>
        <v>30274.123107723892</v>
      </c>
      <c r="AD54" s="314">
        <f ca="1">IF($B$4=0,OFFSET(StateModDepletions_BL!AD$5,$AM54,0),IF($B$4=1,OFFSET(StateModDepletions_BLNoRes!AD$5,$AM54,0)))</f>
        <v>16398.247053623199</v>
      </c>
      <c r="AE54" s="314">
        <f ca="1">IF($B$4=0,OFFSET(StateModDepletions_BL!AE$5,$AM54,0),IF($B$4=1,OFFSET(StateModDepletions_BLNoRes!AE$5,$AM54,0)))</f>
        <v>85927.269499883056</v>
      </c>
      <c r="AF54" s="314">
        <f ca="1">IF($B$4=0,OFFSET(StateModDepletions_BL!AF$5,$AM54,0),IF($B$4=1,OFFSET(StateModDepletions_BLNoRes!AF$5,$AM54,0)))</f>
        <v>20221.255589790628</v>
      </c>
      <c r="AG54" s="314">
        <f ca="1">IF($B$4=0,OFFSET(StateModDepletions_BL!AG$5,$AM54,0),IF($B$4=1,OFFSET(StateModDepletions_BLNoRes!AG$5,$AM54,0)))</f>
        <v>17031.543373330009</v>
      </c>
      <c r="AH54" s="314">
        <f ca="1">IF($B$4=0,OFFSET(StateModDepletions_BL!AH$5,$AM54,0),IF($B$4=1,OFFSET(StateModDepletions_BLNoRes!AH$5,$AM54,0)))</f>
        <v>6731.8026738725603</v>
      </c>
      <c r="AI54" s="314">
        <f ca="1">IF($B$4=0,OFFSET(StateModDepletions_BL!AI$5,$AM54,0),IF($B$4=1,OFFSET(StateModDepletions_BLNoRes!AI$5,$AM54,0)))</f>
        <v>5918.0475598617304</v>
      </c>
      <c r="AJ54" s="315">
        <f ca="1">IF($B$4=0,OFFSET(StateModDepletions_BL!AJ$5,$AM54,0),IF($B$4=1,OFFSET(StateModDepletions_BLNoRes!AJ$5,$AM54,0)))</f>
        <v>130267.38285322829</v>
      </c>
      <c r="AK54" s="519">
        <f t="shared" si="6"/>
        <v>49</v>
      </c>
      <c r="AL54" s="519">
        <f t="shared" si="5"/>
        <v>1977</v>
      </c>
      <c r="AM54" s="519">
        <f>MATCH($AL54,StateModDepletions_BL!$A$6:$A$90,0)</f>
        <v>49</v>
      </c>
    </row>
    <row r="55" spans="1:39" x14ac:dyDescent="0.25">
      <c r="A55" s="519">
        <f t="shared" si="3"/>
        <v>1978</v>
      </c>
      <c r="B55" s="311">
        <f ca="1">IF($B$4=0,OFFSET(StateModDepletions_BL!B$5,$AM55,0),IF($B$4=1,OFFSET(StateModDepletions_BLNoRes!B$5,$AM55,0)))</f>
        <v>32663.967499434948</v>
      </c>
      <c r="C55" s="312">
        <f ca="1">IF($B$4=0,OFFSET(StateModDepletions_BL!C$5,$AM55,0),IF($B$4=1,OFFSET(StateModDepletions_BLNoRes!C$5,$AM55,0)))</f>
        <v>1026.0025346279144</v>
      </c>
      <c r="D55" s="312">
        <f ca="1">IF($B$4=0,OFFSET(StateModDepletions_BL!D$5,$AM55,0),IF($B$4=1,OFFSET(StateModDepletions_BLNoRes!D$5,$AM55,0)))</f>
        <v>94725.125732421875</v>
      </c>
      <c r="E55" s="312">
        <f ca="1">IF($B$4=0,OFFSET(StateModDepletions_BL!E$5,$AM55,0),IF($B$4=1,OFFSET(StateModDepletions_BLNoRes!E$5,$AM55,0)))</f>
        <v>2810.7051087617874</v>
      </c>
      <c r="F55" s="312">
        <f ca="1">IF($B$4=0,OFFSET(StateModDepletions_BL!F$5,$AM55,0),IF($B$4=1,OFFSET(StateModDepletions_BLNoRes!F$5,$AM55,0)))</f>
        <v>15757.657014206052</v>
      </c>
      <c r="G55" s="312">
        <f ca="1">IF($B$4=0,OFFSET(StateModDepletions_BL!G$5,$AM55,0),IF($B$4=1,OFFSET(StateModDepletions_BLNoRes!G$5,$AM55,0)))</f>
        <v>2036.5992698669434</v>
      </c>
      <c r="H55" s="312">
        <f ca="1">IF($B$4=0,OFFSET(StateModDepletions_BL!H$5,$AM55,0),IF($B$4=1,OFFSET(StateModDepletions_BLNoRes!H$5,$AM55,0)))</f>
        <v>2838.8627778291702</v>
      </c>
      <c r="I55" s="312">
        <f ca="1">IF($B$4=0,OFFSET(StateModDepletions_BL!I$5,$AM55,0),IF($B$4=1,OFFSET(StateModDepletions_BLNoRes!I$5,$AM55,0)))</f>
        <v>107554.99094175547</v>
      </c>
      <c r="J55" s="312">
        <f ca="1">IF($B$4=0,OFFSET(StateModDepletions_BL!J$5,$AM55,0),IF($B$4=1,OFFSET(StateModDepletions_BLNoRes!J$5,$AM55,0)))</f>
        <v>2598.9155948162079</v>
      </c>
      <c r="K55" s="312">
        <f ca="1">IF($B$4=0,OFFSET(StateModDepletions_BL!K$5,$AM55,0),IF($B$4=1,OFFSET(StateModDepletions_BLNoRes!K$5,$AM55,0)))</f>
        <v>19116.242594718933</v>
      </c>
      <c r="L55" s="312">
        <f ca="1">IF($B$4=0,OFFSET(StateModDepletions_BL!L$5,$AM55,0),IF($B$4=1,OFFSET(StateModDepletions_BLNoRes!L$5,$AM55,0)))</f>
        <v>17675.036001138331</v>
      </c>
      <c r="M55" s="312">
        <f ca="1">IF($B$4=0,OFFSET(StateModDepletions_BL!M$5,$AM55,0),IF($B$4=1,OFFSET(StateModDepletions_BLNoRes!M$5,$AM55,0)))</f>
        <v>1281.6547131538391</v>
      </c>
      <c r="N55" s="312">
        <f ca="1">IF($B$4=0,OFFSET(StateModDepletions_BL!N$5,$AM55,0),IF($B$4=1,OFFSET(StateModDepletions_BLNoRes!N$5,$AM55,0)))</f>
        <v>1326.6977829933167</v>
      </c>
      <c r="O55" s="312">
        <f ca="1">IF($B$4=0,OFFSET(StateModDepletions_BL!O$5,$AM55,0),IF($B$4=1,OFFSET(StateModDepletions_BLNoRes!O$5,$AM55,0)))</f>
        <v>29880.79686471678</v>
      </c>
      <c r="P55" s="312">
        <f ca="1">IF($B$4=0,OFFSET(StateModDepletions_BL!P$5,$AM55,0),IF($B$4=1,OFFSET(StateModDepletions_BLNoRes!P$5,$AM55,0)))</f>
        <v>360.53236293792725</v>
      </c>
      <c r="Q55" s="312">
        <f ca="1">IF($B$4=0,OFFSET(StateModDepletions_BL!Q$5,$AM55,0),IF($B$4=1,OFFSET(StateModDepletions_BLNoRes!Q$5,$AM55,0)))</f>
        <v>15376.096411794424</v>
      </c>
      <c r="R55" s="312">
        <f ca="1">IF($B$4=0,OFFSET(StateModDepletions_BL!R$5,$AM55,0),IF($B$4=1,OFFSET(StateModDepletions_BLNoRes!R$5,$AM55,0)))</f>
        <v>598.83215999603271</v>
      </c>
      <c r="S55" s="312">
        <f ca="1">IF($B$4=0,OFFSET(StateModDepletions_BL!S$5,$AM55,0),IF($B$4=1,OFFSET(StateModDepletions_BLNoRes!S$5,$AM55,0)))</f>
        <v>0</v>
      </c>
      <c r="T55" s="312">
        <f ca="1">IF($B$4=0,OFFSET(StateModDepletions_BL!T$5,$AM55,0),IF($B$4=1,OFFSET(StateModDepletions_BLNoRes!T$5,$AM55,0)))</f>
        <v>19007.437615180388</v>
      </c>
      <c r="U55" s="312">
        <f ca="1">IF($B$4=0,OFFSET(StateModDepletions_BL!U$5,$AM55,0),IF($B$4=1,OFFSET(StateModDepletions_BLNoRes!U$5,$AM55,0)))</f>
        <v>1517.900700993674</v>
      </c>
      <c r="V55" s="312">
        <f ca="1">IF($B$4=0,OFFSET(StateModDepletions_BL!V$5,$AM55,0),IF($B$4=1,OFFSET(StateModDepletions_BLNoRes!V$5,$AM55,0)))</f>
        <v>11504.302476882935</v>
      </c>
      <c r="W55" s="312">
        <f ca="1">IF($B$4=0,OFFSET(StateModDepletions_BL!W$5,$AM55,0),IF($B$4=1,OFFSET(StateModDepletions_BLNoRes!W$5,$AM55,0)))</f>
        <v>130792.08832687854</v>
      </c>
      <c r="X55" s="312">
        <f ca="1">IF($B$4=0,OFFSET(StateModDepletions_BL!X$5,$AM55,0),IF($B$4=1,OFFSET(StateModDepletions_BLNoRes!X$5,$AM55,0)))</f>
        <v>5294.4705147699988</v>
      </c>
      <c r="Y55" s="312">
        <f ca="1">IF($B$4=0,OFFSET(StateModDepletions_BL!Y$5,$AM55,0),IF($B$4=1,OFFSET(StateModDepletions_BLNoRes!Y$5,$AM55,0)))</f>
        <v>212.11356273293495</v>
      </c>
      <c r="Z55" s="312">
        <f ca="1">IF($B$4=0,OFFSET(StateModDepletions_BL!Z$5,$AM55,0),IF($B$4=1,OFFSET(StateModDepletions_BLNoRes!Z$5,$AM55,0)))</f>
        <v>223214.94013214111</v>
      </c>
      <c r="AA55" s="313">
        <f ca="1">IF($B$4=0,OFFSET(StateModDepletions_BL!AA$5,$AM55,0),IF($B$4=1,OFFSET(StateModDepletions_BLNoRes!AA$5,$AM55,0)))</f>
        <v>86916.267727759638</v>
      </c>
      <c r="AB55" s="314">
        <f ca="1">IF($B$4=0,OFFSET(StateModDepletions_BL!AB$5,$AM55,0),IF($B$4=1,OFFSET(StateModDepletions_BLNoRes!AB$5,$AM55,0)))</f>
        <v>24765.810481309891</v>
      </c>
      <c r="AC55" s="314">
        <f ca="1">IF($B$4=0,OFFSET(StateModDepletions_BL!AC$5,$AM55,0),IF($B$4=1,OFFSET(StateModDepletions_BLNoRes!AC$5,$AM55,0)))</f>
        <v>33689.970034062862</v>
      </c>
      <c r="AD55" s="314">
        <f ca="1">IF($B$4=0,OFFSET(StateModDepletions_BL!AD$5,$AM55,0),IF($B$4=1,OFFSET(StateModDepletions_BLNoRes!AD$5,$AM55,0)))</f>
        <v>17794.256284072995</v>
      </c>
      <c r="AE55" s="314">
        <f ca="1">IF($B$4=0,OFFSET(StateModDepletions_BL!AE$5,$AM55,0),IF($B$4=1,OFFSET(StateModDepletions_BLNoRes!AE$5,$AM55,0)))</f>
        <v>110153.90653657168</v>
      </c>
      <c r="AF55" s="314">
        <f ca="1">IF($B$4=0,OFFSET(StateModDepletions_BL!AF$5,$AM55,0),IF($B$4=1,OFFSET(StateModDepletions_BLNoRes!AF$5,$AM55,0)))</f>
        <v>18956.69071429217</v>
      </c>
      <c r="AG55" s="314">
        <f ca="1">IF($B$4=0,OFFSET(StateModDepletions_BL!AG$5,$AM55,0),IF($B$4=1,OFFSET(StateModDepletions_BLNoRes!AG$5,$AM55,0)))</f>
        <v>30241.329227654707</v>
      </c>
      <c r="AH55" s="314">
        <f ca="1">IF($B$4=0,OFFSET(StateModDepletions_BL!AH$5,$AM55,0),IF($B$4=1,OFFSET(StateModDepletions_BLNoRes!AH$5,$AM55,0)))</f>
        <v>15974.928571790457</v>
      </c>
      <c r="AI55" s="314">
        <f ca="1">IF($B$4=0,OFFSET(StateModDepletions_BL!AI$5,$AM55,0),IF($B$4=1,OFFSET(StateModDepletions_BLNoRes!AI$5,$AM55,0)))</f>
        <v>20525.338316174064</v>
      </c>
      <c r="AJ55" s="315">
        <f ca="1">IF($B$4=0,OFFSET(StateModDepletions_BL!AJ$5,$AM55,0),IF($B$4=1,OFFSET(StateModDepletions_BLNoRes!AJ$5,$AM55,0)))</f>
        <v>136086.55884164854</v>
      </c>
      <c r="AK55" s="519">
        <f t="shared" si="6"/>
        <v>50</v>
      </c>
      <c r="AL55" s="519">
        <f t="shared" si="5"/>
        <v>1978</v>
      </c>
      <c r="AM55" s="519">
        <f>MATCH($AL55,StateModDepletions_BL!$A$6:$A$90,0)</f>
        <v>50</v>
      </c>
    </row>
    <row r="56" spans="1:39" x14ac:dyDescent="0.25">
      <c r="A56" s="519">
        <f t="shared" si="3"/>
        <v>1979</v>
      </c>
      <c r="B56" s="311">
        <f ca="1">IF($B$4=0,OFFSET(StateModDepletions_BL!B$5,$AM56,0),IF($B$4=1,OFFSET(StateModDepletions_BLNoRes!B$5,$AM56,0)))</f>
        <v>34818.433326393366</v>
      </c>
      <c r="C56" s="312">
        <f ca="1">IF($B$4=0,OFFSET(StateModDepletions_BL!C$5,$AM56,0),IF($B$4=1,OFFSET(StateModDepletions_BLNoRes!C$5,$AM56,0)))</f>
        <v>1026.0025346279144</v>
      </c>
      <c r="D56" s="312">
        <f ca="1">IF($B$4=0,OFFSET(StateModDepletions_BL!D$5,$AM56,0),IF($B$4=1,OFFSET(StateModDepletions_BLNoRes!D$5,$AM56,0)))</f>
        <v>153056.35571289063</v>
      </c>
      <c r="E56" s="312">
        <f ca="1">IF($B$4=0,OFFSET(StateModDepletions_BL!E$5,$AM56,0),IF($B$4=1,OFFSET(StateModDepletions_BLNoRes!E$5,$AM56,0)))</f>
        <v>2810.7051087617874</v>
      </c>
      <c r="F56" s="312">
        <f ca="1">IF($B$4=0,OFFSET(StateModDepletions_BL!F$5,$AM56,0),IF($B$4=1,OFFSET(StateModDepletions_BLNoRes!F$5,$AM56,0)))</f>
        <v>17041.523613594472</v>
      </c>
      <c r="G56" s="312">
        <f ca="1">IF($B$4=0,OFFSET(StateModDepletions_BL!G$5,$AM56,0),IF($B$4=1,OFFSET(StateModDepletions_BLNoRes!G$5,$AM56,0)))</f>
        <v>2036.5992698669434</v>
      </c>
      <c r="H56" s="312">
        <f ca="1">IF($B$4=0,OFFSET(StateModDepletions_BL!H$5,$AM56,0),IF($B$4=1,OFFSET(StateModDepletions_BLNoRes!H$5,$AM56,0)))</f>
        <v>2838.8627778291702</v>
      </c>
      <c r="I56" s="312">
        <f ca="1">IF($B$4=0,OFFSET(StateModDepletions_BL!I$5,$AM56,0),IF($B$4=1,OFFSET(StateModDepletions_BLNoRes!I$5,$AM56,0)))</f>
        <v>114947.24525035918</v>
      </c>
      <c r="J56" s="312">
        <f ca="1">IF($B$4=0,OFFSET(StateModDepletions_BL!J$5,$AM56,0),IF($B$4=1,OFFSET(StateModDepletions_BLNoRes!J$5,$AM56,0)))</f>
        <v>2546.4172914028168</v>
      </c>
      <c r="K56" s="312">
        <f ca="1">IF($B$4=0,OFFSET(StateModDepletions_BL!K$5,$AM56,0),IF($B$4=1,OFFSET(StateModDepletions_BLNoRes!K$5,$AM56,0)))</f>
        <v>19116.242594718933</v>
      </c>
      <c r="L56" s="312">
        <f ca="1">IF($B$4=0,OFFSET(StateModDepletions_BL!L$5,$AM56,0),IF($B$4=1,OFFSET(StateModDepletions_BLNoRes!L$5,$AM56,0)))</f>
        <v>18588.346675483972</v>
      </c>
      <c r="M56" s="312">
        <f ca="1">IF($B$4=0,OFFSET(StateModDepletions_BL!M$5,$AM56,0),IF($B$4=1,OFFSET(StateModDepletions_BLNoRes!M$5,$AM56,0)))</f>
        <v>1053.0147466734052</v>
      </c>
      <c r="N56" s="312">
        <f ca="1">IF($B$4=0,OFFSET(StateModDepletions_BL!N$5,$AM56,0),IF($B$4=1,OFFSET(StateModDepletions_BLNoRes!N$5,$AM56,0)))</f>
        <v>1326.6977829933167</v>
      </c>
      <c r="O56" s="312">
        <f ca="1">IF($B$4=0,OFFSET(StateModDepletions_BL!O$5,$AM56,0),IF($B$4=1,OFFSET(StateModDepletions_BLNoRes!O$5,$AM56,0)))</f>
        <v>51768.329088537474</v>
      </c>
      <c r="P56" s="312">
        <f ca="1">IF($B$4=0,OFFSET(StateModDepletions_BL!P$5,$AM56,0),IF($B$4=1,OFFSET(StateModDepletions_BLNoRes!P$5,$AM56,0)))</f>
        <v>518.88225340843201</v>
      </c>
      <c r="Q56" s="312">
        <f ca="1">IF($B$4=0,OFFSET(StateModDepletions_BL!Q$5,$AM56,0),IF($B$4=1,OFFSET(StateModDepletions_BLNoRes!Q$5,$AM56,0)))</f>
        <v>21943.668578594923</v>
      </c>
      <c r="R56" s="312">
        <f ca="1">IF($B$4=0,OFFSET(StateModDepletions_BL!R$5,$AM56,0),IF($B$4=1,OFFSET(StateModDepletions_BLNoRes!R$5,$AM56,0)))</f>
        <v>598.83215999603271</v>
      </c>
      <c r="S56" s="312">
        <f ca="1">IF($B$4=0,OFFSET(StateModDepletions_BL!S$5,$AM56,0),IF($B$4=1,OFFSET(StateModDepletions_BLNoRes!S$5,$AM56,0)))</f>
        <v>0</v>
      </c>
      <c r="T56" s="312">
        <f ca="1">IF($B$4=0,OFFSET(StateModDepletions_BL!T$5,$AM56,0),IF($B$4=1,OFFSET(StateModDepletions_BLNoRes!T$5,$AM56,0)))</f>
        <v>23909.199002336638</v>
      </c>
      <c r="U56" s="312">
        <f ca="1">IF($B$4=0,OFFSET(StateModDepletions_BL!U$5,$AM56,0),IF($B$4=1,OFFSET(StateModDepletions_BLNoRes!U$5,$AM56,0)))</f>
        <v>1528.2040997990548</v>
      </c>
      <c r="V56" s="312">
        <f ca="1">IF($B$4=0,OFFSET(StateModDepletions_BL!V$5,$AM56,0),IF($B$4=1,OFFSET(StateModDepletions_BLNoRes!V$5,$AM56,0)))</f>
        <v>14958.229292869568</v>
      </c>
      <c r="W56" s="312">
        <f ca="1">IF($B$4=0,OFFSET(StateModDepletions_BL!W$5,$AM56,0),IF($B$4=1,OFFSET(StateModDepletions_BLNoRes!W$5,$AM56,0)))</f>
        <v>133356.65783659712</v>
      </c>
      <c r="X56" s="312">
        <f ca="1">IF($B$4=0,OFFSET(StateModDepletions_BL!X$5,$AM56,0),IF($B$4=1,OFFSET(StateModDepletions_BLNoRes!X$5,$AM56,0)))</f>
        <v>5574.691083804606</v>
      </c>
      <c r="Y56" s="312">
        <f ca="1">IF($B$4=0,OFFSET(StateModDepletions_BL!Y$5,$AM56,0),IF($B$4=1,OFFSET(StateModDepletions_BLNoRes!Y$5,$AM56,0)))</f>
        <v>212.11356273293495</v>
      </c>
      <c r="Z56" s="312">
        <f ca="1">IF($B$4=0,OFFSET(StateModDepletions_BL!Z$5,$AM56,0),IF($B$4=1,OFFSET(StateModDepletions_BLNoRes!Z$5,$AM56,0)))</f>
        <v>235127.42077720165</v>
      </c>
      <c r="AA56" s="313">
        <f ca="1">IF($B$4=0,OFFSET(StateModDepletions_BL!AA$5,$AM56,0),IF($B$4=1,OFFSET(StateModDepletions_BLNoRes!AA$5,$AM56,0)))</f>
        <v>95983.958294066993</v>
      </c>
      <c r="AB56" s="314">
        <f ca="1">IF($B$4=0,OFFSET(StateModDepletions_BL!AB$5,$AM56,0),IF($B$4=1,OFFSET(StateModDepletions_BLNoRes!AB$5,$AM56,0)))</f>
        <v>24765.810481309891</v>
      </c>
      <c r="AC56" s="314">
        <f ca="1">IF($B$4=0,OFFSET(StateModDepletions_BL!AC$5,$AM56,0),IF($B$4=1,OFFSET(StateModDepletions_BLNoRes!AC$5,$AM56,0)))</f>
        <v>35844.43586102128</v>
      </c>
      <c r="AD56" s="314">
        <f ca="1">IF($B$4=0,OFFSET(StateModDepletions_BL!AD$5,$AM56,0),IF($B$4=1,OFFSET(StateModDepletions_BLNoRes!AD$5,$AM56,0)))</f>
        <v>19078.122883461416</v>
      </c>
      <c r="AE56" s="314">
        <f ca="1">IF($B$4=0,OFFSET(StateModDepletions_BL!AE$5,$AM56,0),IF($B$4=1,OFFSET(StateModDepletions_BLNoRes!AE$5,$AM56,0)))</f>
        <v>117493.66254176199</v>
      </c>
      <c r="AF56" s="314">
        <f ca="1">IF($B$4=0,OFFSET(StateModDepletions_BL!AF$5,$AM56,0),IF($B$4=1,OFFSET(StateModDepletions_BLNoRes!AF$5,$AM56,0)))</f>
        <v>19641.361422157377</v>
      </c>
      <c r="AG56" s="314">
        <f ca="1">IF($B$4=0,OFFSET(StateModDepletions_BL!AG$5,$AM56,0),IF($B$4=1,OFFSET(StateModDepletions_BLNoRes!AG$5,$AM56,0)))</f>
        <v>52287.211341945906</v>
      </c>
      <c r="AH56" s="314">
        <f ca="1">IF($B$4=0,OFFSET(StateModDepletions_BL!AH$5,$AM56,0),IF($B$4=1,OFFSET(StateModDepletions_BLNoRes!AH$5,$AM56,0)))</f>
        <v>22542.500738590956</v>
      </c>
      <c r="AI56" s="314">
        <f ca="1">IF($B$4=0,OFFSET(StateModDepletions_BL!AI$5,$AM56,0),IF($B$4=1,OFFSET(StateModDepletions_BLNoRes!AI$5,$AM56,0)))</f>
        <v>25437.403102135693</v>
      </c>
      <c r="AJ56" s="315">
        <f ca="1">IF($B$4=0,OFFSET(StateModDepletions_BL!AJ$5,$AM56,0),IF($B$4=1,OFFSET(StateModDepletions_BLNoRes!AJ$5,$AM56,0)))</f>
        <v>138931.34892040174</v>
      </c>
      <c r="AK56" s="519">
        <f t="shared" si="6"/>
        <v>51</v>
      </c>
      <c r="AL56" s="519">
        <f t="shared" si="5"/>
        <v>1979</v>
      </c>
      <c r="AM56" s="519">
        <f>MATCH($AL56,StateModDepletions_BL!$A$6:$A$90,0)</f>
        <v>51</v>
      </c>
    </row>
    <row r="57" spans="1:39" x14ac:dyDescent="0.25">
      <c r="A57" s="519">
        <f t="shared" si="3"/>
        <v>1980</v>
      </c>
      <c r="B57" s="311">
        <f ca="1">IF($B$4=0,OFFSET(StateModDepletions_BL!B$5,$AM57,0),IF($B$4=1,OFFSET(StateModDepletions_BLNoRes!B$5,$AM57,0)))</f>
        <v>34649.475097376853</v>
      </c>
      <c r="C57" s="312">
        <f ca="1">IF($B$4=0,OFFSET(StateModDepletions_BL!C$5,$AM57,0),IF($B$4=1,OFFSET(StateModDepletions_BLNoRes!C$5,$AM57,0)))</f>
        <v>1026.0025346279144</v>
      </c>
      <c r="D57" s="312">
        <f ca="1">IF($B$4=0,OFFSET(StateModDepletions_BL!D$5,$AM57,0),IF($B$4=1,OFFSET(StateModDepletions_BLNoRes!D$5,$AM57,0)))</f>
        <v>131129.88012695313</v>
      </c>
      <c r="E57" s="312">
        <f ca="1">IF($B$4=0,OFFSET(StateModDepletions_BL!E$5,$AM57,0),IF($B$4=1,OFFSET(StateModDepletions_BLNoRes!E$5,$AM57,0)))</f>
        <v>2810.7051087617874</v>
      </c>
      <c r="F57" s="312">
        <f ca="1">IF($B$4=0,OFFSET(StateModDepletions_BL!F$5,$AM57,0),IF($B$4=1,OFFSET(StateModDepletions_BLNoRes!F$5,$AM57,0)))</f>
        <v>17090.547840058804</v>
      </c>
      <c r="G57" s="312">
        <f ca="1">IF($B$4=0,OFFSET(StateModDepletions_BL!G$5,$AM57,0),IF($B$4=1,OFFSET(StateModDepletions_BLNoRes!G$5,$AM57,0)))</f>
        <v>2036.5992698669434</v>
      </c>
      <c r="H57" s="312">
        <f ca="1">IF($B$4=0,OFFSET(StateModDepletions_BL!H$5,$AM57,0),IF($B$4=1,OFFSET(StateModDepletions_BLNoRes!H$5,$AM57,0)))</f>
        <v>2838.8627778291702</v>
      </c>
      <c r="I57" s="312">
        <f ca="1">IF($B$4=0,OFFSET(StateModDepletions_BL!I$5,$AM57,0),IF($B$4=1,OFFSET(StateModDepletions_BLNoRes!I$5,$AM57,0)))</f>
        <v>108364.56731256843</v>
      </c>
      <c r="J57" s="312">
        <f ca="1">IF($B$4=0,OFFSET(StateModDepletions_BL!J$5,$AM57,0),IF($B$4=1,OFFSET(StateModDepletions_BLNoRes!J$5,$AM57,0)))</f>
        <v>2602.7835385799408</v>
      </c>
      <c r="K57" s="312">
        <f ca="1">IF($B$4=0,OFFSET(StateModDepletions_BL!K$5,$AM57,0),IF($B$4=1,OFFSET(StateModDepletions_BLNoRes!K$5,$AM57,0)))</f>
        <v>19116.242594718933</v>
      </c>
      <c r="L57" s="312">
        <f ca="1">IF($B$4=0,OFFSET(StateModDepletions_BL!L$5,$AM57,0),IF($B$4=1,OFFSET(StateModDepletions_BLNoRes!L$5,$AM57,0)))</f>
        <v>18161.660935111347</v>
      </c>
      <c r="M57" s="312">
        <f ca="1">IF($B$4=0,OFFSET(StateModDepletions_BL!M$5,$AM57,0),IF($B$4=1,OFFSET(StateModDepletions_BLNoRes!M$5,$AM57,0)))</f>
        <v>1277.0373687744141</v>
      </c>
      <c r="N57" s="312">
        <f ca="1">IF($B$4=0,OFFSET(StateModDepletions_BL!N$5,$AM57,0),IF($B$4=1,OFFSET(StateModDepletions_BLNoRes!N$5,$AM57,0)))</f>
        <v>1326.6977829933167</v>
      </c>
      <c r="O57" s="312">
        <f ca="1">IF($B$4=0,OFFSET(StateModDepletions_BL!O$5,$AM57,0),IF($B$4=1,OFFSET(StateModDepletions_BLNoRes!O$5,$AM57,0)))</f>
        <v>50710.173060326357</v>
      </c>
      <c r="P57" s="312">
        <f ca="1">IF($B$4=0,OFFSET(StateModDepletions_BL!P$5,$AM57,0),IF($B$4=1,OFFSET(StateModDepletions_BLNoRes!P$5,$AM57,0)))</f>
        <v>433.62366819381714</v>
      </c>
      <c r="Q57" s="312">
        <f ca="1">IF($B$4=0,OFFSET(StateModDepletions_BL!Q$5,$AM57,0),IF($B$4=1,OFFSET(StateModDepletions_BLNoRes!Q$5,$AM57,0)))</f>
        <v>22249.933236964047</v>
      </c>
      <c r="R57" s="312">
        <f ca="1">IF($B$4=0,OFFSET(StateModDepletions_BL!R$5,$AM57,0),IF($B$4=1,OFFSET(StateModDepletions_BLNoRes!R$5,$AM57,0)))</f>
        <v>598.83215999603271</v>
      </c>
      <c r="S57" s="312">
        <f ca="1">IF($B$4=0,OFFSET(StateModDepletions_BL!S$5,$AM57,0),IF($B$4=1,OFFSET(StateModDepletions_BLNoRes!S$5,$AM57,0)))</f>
        <v>0</v>
      </c>
      <c r="T57" s="312">
        <f ca="1">IF($B$4=0,OFFSET(StateModDepletions_BL!T$5,$AM57,0),IF($B$4=1,OFFSET(StateModDepletions_BLNoRes!T$5,$AM57,0)))</f>
        <v>24388.805813178347</v>
      </c>
      <c r="U57" s="312">
        <f ca="1">IF($B$4=0,OFFSET(StateModDepletions_BL!U$5,$AM57,0),IF($B$4=1,OFFSET(StateModDepletions_BLNoRes!U$5,$AM57,0)))</f>
        <v>1517.5168644580017</v>
      </c>
      <c r="V57" s="312">
        <f ca="1">IF($B$4=0,OFFSET(StateModDepletions_BL!V$5,$AM57,0),IF($B$4=1,OFFSET(StateModDepletions_BLNoRes!V$5,$AM57,0)))</f>
        <v>15539.443257331848</v>
      </c>
      <c r="W57" s="312">
        <f ca="1">IF($B$4=0,OFFSET(StateModDepletions_BL!W$5,$AM57,0),IF($B$4=1,OFFSET(StateModDepletions_BLNoRes!W$5,$AM57,0)))</f>
        <v>136225.26494624064</v>
      </c>
      <c r="X57" s="312">
        <f ca="1">IF($B$4=0,OFFSET(StateModDepletions_BL!X$5,$AM57,0),IF($B$4=1,OFFSET(StateModDepletions_BLNoRes!X$5,$AM57,0)))</f>
        <v>5801.8749884203207</v>
      </c>
      <c r="Y57" s="312">
        <f ca="1">IF($B$4=0,OFFSET(StateModDepletions_BL!Y$5,$AM57,0),IF($B$4=1,OFFSET(StateModDepletions_BLNoRes!Y$5,$AM57,0)))</f>
        <v>212.11356273293495</v>
      </c>
      <c r="Z57" s="312">
        <f ca="1">IF($B$4=0,OFFSET(StateModDepletions_BL!Z$5,$AM57,0),IF($B$4=1,OFFSET(StateModDepletions_BLNoRes!Z$5,$AM57,0)))</f>
        <v>252202.05038642883</v>
      </c>
      <c r="AA57" s="313">
        <f ca="1">IF($B$4=0,OFFSET(StateModDepletions_BL!AA$5,$AM57,0),IF($B$4=1,OFFSET(StateModDepletions_BLNoRes!AA$5,$AM57,0)))</f>
        <v>109962.79688903494</v>
      </c>
      <c r="AB57" s="314">
        <f ca="1">IF($B$4=0,OFFSET(StateModDepletions_BL!AB$5,$AM57,0),IF($B$4=1,OFFSET(StateModDepletions_BLNoRes!AB$5,$AM57,0)))</f>
        <v>24765.810481309891</v>
      </c>
      <c r="AC57" s="314">
        <f ca="1">IF($B$4=0,OFFSET(StateModDepletions_BL!AC$5,$AM57,0),IF($B$4=1,OFFSET(StateModDepletions_BLNoRes!AC$5,$AM57,0)))</f>
        <v>35675.477632004768</v>
      </c>
      <c r="AD57" s="314">
        <f ca="1">IF($B$4=0,OFFSET(StateModDepletions_BL!AD$5,$AM57,0),IF($B$4=1,OFFSET(StateModDepletions_BLNoRes!AD$5,$AM57,0)))</f>
        <v>19127.147109925747</v>
      </c>
      <c r="AE57" s="314">
        <f ca="1">IF($B$4=0,OFFSET(StateModDepletions_BL!AE$5,$AM57,0),IF($B$4=1,OFFSET(StateModDepletions_BLNoRes!AE$5,$AM57,0)))</f>
        <v>110967.35085114837</v>
      </c>
      <c r="AF57" s="314">
        <f ca="1">IF($B$4=0,OFFSET(StateModDepletions_BL!AF$5,$AM57,0),IF($B$4=1,OFFSET(StateModDepletions_BLNoRes!AF$5,$AM57,0)))</f>
        <v>19438.698303885762</v>
      </c>
      <c r="AG57" s="314">
        <f ca="1">IF($B$4=0,OFFSET(StateModDepletions_BL!AG$5,$AM57,0),IF($B$4=1,OFFSET(StateModDepletions_BLNoRes!AG$5,$AM57,0)))</f>
        <v>51143.796728520174</v>
      </c>
      <c r="AH57" s="314">
        <f ca="1">IF($B$4=0,OFFSET(StateModDepletions_BL!AH$5,$AM57,0),IF($B$4=1,OFFSET(StateModDepletions_BLNoRes!AH$5,$AM57,0)))</f>
        <v>22848.76539696008</v>
      </c>
      <c r="AI57" s="314">
        <f ca="1">IF($B$4=0,OFFSET(StateModDepletions_BL!AI$5,$AM57,0),IF($B$4=1,OFFSET(StateModDepletions_BLNoRes!AI$5,$AM57,0)))</f>
        <v>25906.322677636348</v>
      </c>
      <c r="AJ57" s="315">
        <f ca="1">IF($B$4=0,OFFSET(StateModDepletions_BL!AJ$5,$AM57,0),IF($B$4=1,OFFSET(StateModDepletions_BLNoRes!AJ$5,$AM57,0)))</f>
        <v>142027.13993466095</v>
      </c>
      <c r="AK57" s="519">
        <f t="shared" si="6"/>
        <v>52</v>
      </c>
      <c r="AL57" s="519">
        <f t="shared" si="5"/>
        <v>1980</v>
      </c>
      <c r="AM57" s="519">
        <f>MATCH($AL57,StateModDepletions_BL!$A$6:$A$90,0)</f>
        <v>52</v>
      </c>
    </row>
    <row r="58" spans="1:39" x14ac:dyDescent="0.25">
      <c r="A58" s="519">
        <f t="shared" si="3"/>
        <v>1981</v>
      </c>
      <c r="B58" s="311">
        <f ca="1">IF($B$4=0,OFFSET(StateModDepletions_BL!B$5,$AM58,0),IF($B$4=1,OFFSET(StateModDepletions_BLNoRes!B$5,$AM58,0)))</f>
        <v>29347.417821828276</v>
      </c>
      <c r="C58" s="312">
        <f ca="1">IF($B$4=0,OFFSET(StateModDepletions_BL!C$5,$AM58,0),IF($B$4=1,OFFSET(StateModDepletions_BLNoRes!C$5,$AM58,0)))</f>
        <v>1026.0025346279144</v>
      </c>
      <c r="D58" s="312">
        <f ca="1">IF($B$4=0,OFFSET(StateModDepletions_BL!D$5,$AM58,0),IF($B$4=1,OFFSET(StateModDepletions_BLNoRes!D$5,$AM58,0)))</f>
        <v>51567.463470458984</v>
      </c>
      <c r="E58" s="312">
        <f ca="1">IF($B$4=0,OFFSET(StateModDepletions_BL!E$5,$AM58,0),IF($B$4=1,OFFSET(StateModDepletions_BLNoRes!E$5,$AM58,0)))</f>
        <v>2810.7051087617874</v>
      </c>
      <c r="F58" s="312">
        <f ca="1">IF($B$4=0,OFFSET(StateModDepletions_BL!F$5,$AM58,0),IF($B$4=1,OFFSET(StateModDepletions_BLNoRes!F$5,$AM58,0)))</f>
        <v>14468.325735732913</v>
      </c>
      <c r="G58" s="312">
        <f ca="1">IF($B$4=0,OFFSET(StateModDepletions_BL!G$5,$AM58,0),IF($B$4=1,OFFSET(StateModDepletions_BLNoRes!G$5,$AM58,0)))</f>
        <v>2036.5992698669434</v>
      </c>
      <c r="H58" s="312">
        <f ca="1">IF($B$4=0,OFFSET(StateModDepletions_BL!H$5,$AM58,0),IF($B$4=1,OFFSET(StateModDepletions_BLNoRes!H$5,$AM58,0)))</f>
        <v>2838.8627778291702</v>
      </c>
      <c r="I58" s="312">
        <f ca="1">IF($B$4=0,OFFSET(StateModDepletions_BL!I$5,$AM58,0),IF($B$4=1,OFFSET(StateModDepletions_BLNoRes!I$5,$AM58,0)))</f>
        <v>107395.35631874949</v>
      </c>
      <c r="J58" s="312">
        <f ca="1">IF($B$4=0,OFFSET(StateModDepletions_BL!J$5,$AM58,0),IF($B$4=1,OFFSET(StateModDepletions_BLNoRes!J$5,$AM58,0)))</f>
        <v>2472.343003988266</v>
      </c>
      <c r="K58" s="312">
        <f ca="1">IF($B$4=0,OFFSET(StateModDepletions_BL!K$5,$AM58,0),IF($B$4=1,OFFSET(StateModDepletions_BLNoRes!K$5,$AM58,0)))</f>
        <v>19116.242594718933</v>
      </c>
      <c r="L58" s="312">
        <f ca="1">IF($B$4=0,OFFSET(StateModDepletions_BL!L$5,$AM58,0),IF($B$4=1,OFFSET(StateModDepletions_BLNoRes!L$5,$AM58,0)))</f>
        <v>16433.650581985705</v>
      </c>
      <c r="M58" s="312">
        <f ca="1">IF($B$4=0,OFFSET(StateModDepletions_BL!M$5,$AM58,0),IF($B$4=1,OFFSET(StateModDepletions_BLNoRes!M$5,$AM58,0)))</f>
        <v>1309.692943572998</v>
      </c>
      <c r="N58" s="312">
        <f ca="1">IF($B$4=0,OFFSET(StateModDepletions_BL!N$5,$AM58,0),IF($B$4=1,OFFSET(StateModDepletions_BLNoRes!N$5,$AM58,0)))</f>
        <v>1326.6977829933167</v>
      </c>
      <c r="O58" s="312">
        <f ca="1">IF($B$4=0,OFFSET(StateModDepletions_BL!O$5,$AM58,0),IF($B$4=1,OFFSET(StateModDepletions_BLNoRes!O$5,$AM58,0)))</f>
        <v>37337.216328157563</v>
      </c>
      <c r="P58" s="312">
        <f ca="1">IF($B$4=0,OFFSET(StateModDepletions_BL!P$5,$AM58,0),IF($B$4=1,OFFSET(StateModDepletions_BLNoRes!P$5,$AM58,0)))</f>
        <v>308.57198524475098</v>
      </c>
      <c r="Q58" s="312">
        <f ca="1">IF($B$4=0,OFFSET(StateModDepletions_BL!Q$5,$AM58,0),IF($B$4=1,OFFSET(StateModDepletions_BLNoRes!Q$5,$AM58,0)))</f>
        <v>13682.542457818985</v>
      </c>
      <c r="R58" s="312">
        <f ca="1">IF($B$4=0,OFFSET(StateModDepletions_BL!R$5,$AM58,0),IF($B$4=1,OFFSET(StateModDepletions_BLNoRes!R$5,$AM58,0)))</f>
        <v>598.83215999603271</v>
      </c>
      <c r="S58" s="312">
        <f ca="1">IF($B$4=0,OFFSET(StateModDepletions_BL!S$5,$AM58,0),IF($B$4=1,OFFSET(StateModDepletions_BLNoRes!S$5,$AM58,0)))</f>
        <v>0</v>
      </c>
      <c r="T58" s="312">
        <f ca="1">IF($B$4=0,OFFSET(StateModDepletions_BL!T$5,$AM58,0),IF($B$4=1,OFFSET(StateModDepletions_BLNoRes!T$5,$AM58,0)))</f>
        <v>10730.838914417551</v>
      </c>
      <c r="U58" s="312">
        <f ca="1">IF($B$4=0,OFFSET(StateModDepletions_BL!U$5,$AM58,0),IF($B$4=1,OFFSET(StateModDepletions_BLNoRes!U$5,$AM58,0)))</f>
        <v>1395.4111227498179</v>
      </c>
      <c r="V58" s="312">
        <f ca="1">IF($B$4=0,OFFSET(StateModDepletions_BL!V$5,$AM58,0),IF($B$4=1,OFFSET(StateModDepletions_BLNoRes!V$5,$AM58,0)))</f>
        <v>10904.005724906921</v>
      </c>
      <c r="W58" s="312">
        <f ca="1">IF($B$4=0,OFFSET(StateModDepletions_BL!W$5,$AM58,0),IF($B$4=1,OFFSET(StateModDepletions_BLNoRes!W$5,$AM58,0)))</f>
        <v>124571.48228519007</v>
      </c>
      <c r="X58" s="312">
        <f ca="1">IF($B$4=0,OFFSET(StateModDepletions_BL!X$5,$AM58,0),IF($B$4=1,OFFSET(StateModDepletions_BLNoRes!X$5,$AM58,0)))</f>
        <v>5498.9465467855334</v>
      </c>
      <c r="Y58" s="312">
        <f ca="1">IF($B$4=0,OFFSET(StateModDepletions_BL!Y$5,$AM58,0),IF($B$4=1,OFFSET(StateModDepletions_BLNoRes!Y$5,$AM58,0)))</f>
        <v>212.11356273293495</v>
      </c>
      <c r="Z58" s="312">
        <f ca="1">IF($B$4=0,OFFSET(StateModDepletions_BL!Z$5,$AM58,0),IF($B$4=1,OFFSET(StateModDepletions_BLNoRes!Z$5,$AM58,0)))</f>
        <v>246454.71502113342</v>
      </c>
      <c r="AA58" s="313">
        <f ca="1">IF($B$4=0,OFFSET(StateModDepletions_BL!AA$5,$AM58,0),IF($B$4=1,OFFSET(StateModDepletions_BLNoRes!AA$5,$AM58,0)))</f>
        <v>116172.17262642489</v>
      </c>
      <c r="AB58" s="314">
        <f ca="1">IF($B$4=0,OFFSET(StateModDepletions_BL!AB$5,$AM58,0),IF($B$4=1,OFFSET(StateModDepletions_BLNoRes!AB$5,$AM58,0)))</f>
        <v>24765.810481309891</v>
      </c>
      <c r="AC58" s="314">
        <f ca="1">IF($B$4=0,OFFSET(StateModDepletions_BL!AC$5,$AM58,0),IF($B$4=1,OFFSET(StateModDepletions_BLNoRes!AC$5,$AM58,0)))</f>
        <v>30373.42035645619</v>
      </c>
      <c r="AD58" s="314">
        <f ca="1">IF($B$4=0,OFFSET(StateModDepletions_BL!AD$5,$AM58,0),IF($B$4=1,OFFSET(StateModDepletions_BLNoRes!AD$5,$AM58,0)))</f>
        <v>16504.925005599856</v>
      </c>
      <c r="AE58" s="314">
        <f ca="1">IF($B$4=0,OFFSET(StateModDepletions_BL!AE$5,$AM58,0),IF($B$4=1,OFFSET(StateModDepletions_BLNoRes!AE$5,$AM58,0)))</f>
        <v>109867.69932273775</v>
      </c>
      <c r="AF58" s="314">
        <f ca="1">IF($B$4=0,OFFSET(StateModDepletions_BL!AF$5,$AM58,0),IF($B$4=1,OFFSET(StateModDepletions_BLNoRes!AF$5,$AM58,0)))</f>
        <v>17743.343525558703</v>
      </c>
      <c r="AG58" s="314">
        <f ca="1">IF($B$4=0,OFFSET(StateModDepletions_BL!AG$5,$AM58,0),IF($B$4=1,OFFSET(StateModDepletions_BLNoRes!AG$5,$AM58,0)))</f>
        <v>37645.788313402314</v>
      </c>
      <c r="AH58" s="314">
        <f ca="1">IF($B$4=0,OFFSET(StateModDepletions_BL!AH$5,$AM58,0),IF($B$4=1,OFFSET(StateModDepletions_BLNoRes!AH$5,$AM58,0)))</f>
        <v>14281.374617815018</v>
      </c>
      <c r="AI58" s="314">
        <f ca="1">IF($B$4=0,OFFSET(StateModDepletions_BL!AI$5,$AM58,0),IF($B$4=1,OFFSET(StateModDepletions_BLNoRes!AI$5,$AM58,0)))</f>
        <v>12126.250037167369</v>
      </c>
      <c r="AJ58" s="315">
        <f ca="1">IF($B$4=0,OFFSET(StateModDepletions_BL!AJ$5,$AM58,0),IF($B$4=1,OFFSET(StateModDepletions_BLNoRes!AJ$5,$AM58,0)))</f>
        <v>130070.4288319756</v>
      </c>
      <c r="AK58" s="519">
        <f t="shared" si="6"/>
        <v>53</v>
      </c>
      <c r="AL58" s="519">
        <f t="shared" si="5"/>
        <v>1981</v>
      </c>
      <c r="AM58" s="519">
        <f>MATCH($AL58,StateModDepletions_BL!$A$6:$A$90,0)</f>
        <v>53</v>
      </c>
    </row>
    <row r="59" spans="1:39" x14ac:dyDescent="0.25">
      <c r="A59" s="519">
        <f t="shared" si="3"/>
        <v>1982</v>
      </c>
      <c r="B59" s="311">
        <f ca="1">IF($B$4=0,OFFSET(StateModDepletions_BL!B$5,$AM59,0),IF($B$4=1,OFFSET(StateModDepletions_BLNoRes!B$5,$AM59,0)))</f>
        <v>32442.301158115268</v>
      </c>
      <c r="C59" s="312">
        <f ca="1">IF($B$4=0,OFFSET(StateModDepletions_BL!C$5,$AM59,0),IF($B$4=1,OFFSET(StateModDepletions_BLNoRes!C$5,$AM59,0)))</f>
        <v>1026.0025346279144</v>
      </c>
      <c r="D59" s="312">
        <f ca="1">IF($B$4=0,OFFSET(StateModDepletions_BL!D$5,$AM59,0),IF($B$4=1,OFFSET(StateModDepletions_BLNoRes!D$5,$AM59,0)))</f>
        <v>161148.5643529892</v>
      </c>
      <c r="E59" s="312">
        <f ca="1">IF($B$4=0,OFFSET(StateModDepletions_BL!E$5,$AM59,0),IF($B$4=1,OFFSET(StateModDepletions_BLNoRes!E$5,$AM59,0)))</f>
        <v>2810.7051087617874</v>
      </c>
      <c r="F59" s="312">
        <f ca="1">IF($B$4=0,OFFSET(StateModDepletions_BL!F$5,$AM59,0),IF($B$4=1,OFFSET(StateModDepletions_BLNoRes!F$5,$AM59,0)))</f>
        <v>15367.266431674361</v>
      </c>
      <c r="G59" s="312">
        <f ca="1">IF($B$4=0,OFFSET(StateModDepletions_BL!G$5,$AM59,0),IF($B$4=1,OFFSET(StateModDepletions_BLNoRes!G$5,$AM59,0)))</f>
        <v>2036.5992698669434</v>
      </c>
      <c r="H59" s="312">
        <f ca="1">IF($B$4=0,OFFSET(StateModDepletions_BL!H$5,$AM59,0),IF($B$4=1,OFFSET(StateModDepletions_BLNoRes!H$5,$AM59,0)))</f>
        <v>2838.8627778291702</v>
      </c>
      <c r="I59" s="312">
        <f ca="1">IF($B$4=0,OFFSET(StateModDepletions_BL!I$5,$AM59,0),IF($B$4=1,OFFSET(StateModDepletions_BLNoRes!I$5,$AM59,0)))</f>
        <v>96183.346884220839</v>
      </c>
      <c r="J59" s="312">
        <f ca="1">IF($B$4=0,OFFSET(StateModDepletions_BL!J$5,$AM59,0),IF($B$4=1,OFFSET(StateModDepletions_BLNoRes!J$5,$AM59,0)))</f>
        <v>2579.2664563655853</v>
      </c>
      <c r="K59" s="312">
        <f ca="1">IF($B$4=0,OFFSET(StateModDepletions_BL!K$5,$AM59,0),IF($B$4=1,OFFSET(StateModDepletions_BLNoRes!K$5,$AM59,0)))</f>
        <v>19116.242594718933</v>
      </c>
      <c r="L59" s="312">
        <f ca="1">IF($B$4=0,OFFSET(StateModDepletions_BL!L$5,$AM59,0),IF($B$4=1,OFFSET(StateModDepletions_BLNoRes!L$5,$AM59,0)))</f>
        <v>16344.757176883515</v>
      </c>
      <c r="M59" s="312">
        <f ca="1">IF($B$4=0,OFFSET(StateModDepletions_BL!M$5,$AM59,0),IF($B$4=1,OFFSET(StateModDepletions_BLNoRes!M$5,$AM59,0)))</f>
        <v>1254.8664417266846</v>
      </c>
      <c r="N59" s="312">
        <f ca="1">IF($B$4=0,OFFSET(StateModDepletions_BL!N$5,$AM59,0),IF($B$4=1,OFFSET(StateModDepletions_BLNoRes!N$5,$AM59,0)))</f>
        <v>1326.6977829933167</v>
      </c>
      <c r="O59" s="312">
        <f ca="1">IF($B$4=0,OFFSET(StateModDepletions_BL!O$5,$AM59,0),IF($B$4=1,OFFSET(StateModDepletions_BLNoRes!O$5,$AM59,0)))</f>
        <v>44744.215245990534</v>
      </c>
      <c r="P59" s="312">
        <f ca="1">IF($B$4=0,OFFSET(StateModDepletions_BL!P$5,$AM59,0),IF($B$4=1,OFFSET(StateModDepletions_BLNoRes!P$5,$AM59,0)))</f>
        <v>398.5383129119873</v>
      </c>
      <c r="Q59" s="312">
        <f ca="1">IF($B$4=0,OFFSET(StateModDepletions_BL!Q$5,$AM59,0),IF($B$4=1,OFFSET(StateModDepletions_BLNoRes!Q$5,$AM59,0)))</f>
        <v>19354.069732189178</v>
      </c>
      <c r="R59" s="312">
        <f ca="1">IF($B$4=0,OFFSET(StateModDepletions_BL!R$5,$AM59,0),IF($B$4=1,OFFSET(StateModDepletions_BLNoRes!R$5,$AM59,0)))</f>
        <v>598.83215999603271</v>
      </c>
      <c r="S59" s="312">
        <f ca="1">IF($B$4=0,OFFSET(StateModDepletions_BL!S$5,$AM59,0),IF($B$4=1,OFFSET(StateModDepletions_BLNoRes!S$5,$AM59,0)))</f>
        <v>0</v>
      </c>
      <c r="T59" s="312">
        <f ca="1">IF($B$4=0,OFFSET(StateModDepletions_BL!T$5,$AM59,0),IF($B$4=1,OFFSET(StateModDepletions_BLNoRes!T$5,$AM59,0)))</f>
        <v>20947.979409018531</v>
      </c>
      <c r="U59" s="312">
        <f ca="1">IF($B$4=0,OFFSET(StateModDepletions_BL!U$5,$AM59,0),IF($B$4=1,OFFSET(StateModDepletions_BLNoRes!U$5,$AM59,0)))</f>
        <v>1503.8315715073577</v>
      </c>
      <c r="V59" s="312">
        <f ca="1">IF($B$4=0,OFFSET(StateModDepletions_BL!V$5,$AM59,0),IF($B$4=1,OFFSET(StateModDepletions_BLNoRes!V$5,$AM59,0)))</f>
        <v>15734.206692695618</v>
      </c>
      <c r="W59" s="312">
        <f ca="1">IF($B$4=0,OFFSET(StateModDepletions_BL!W$5,$AM59,0),IF($B$4=1,OFFSET(StateModDepletions_BLNoRes!W$5,$AM59,0)))</f>
        <v>114816.82646108016</v>
      </c>
      <c r="X59" s="312">
        <f ca="1">IF($B$4=0,OFFSET(StateModDepletions_BL!X$5,$AM59,0),IF($B$4=1,OFFSET(StateModDepletions_BLNoRes!X$5,$AM59,0)))</f>
        <v>5826.7592900693417</v>
      </c>
      <c r="Y59" s="312">
        <f ca="1">IF($B$4=0,OFFSET(StateModDepletions_BL!Y$5,$AM59,0),IF($B$4=1,OFFSET(StateModDepletions_BLNoRes!Y$5,$AM59,0)))</f>
        <v>212.11356273293495</v>
      </c>
      <c r="Z59" s="312">
        <f ca="1">IF($B$4=0,OFFSET(StateModDepletions_BL!Z$5,$AM59,0),IF($B$4=1,OFFSET(StateModDepletions_BLNoRes!Z$5,$AM59,0)))</f>
        <v>193716.12626743317</v>
      </c>
      <c r="AA59" s="313">
        <f ca="1">IF($B$4=0,OFFSET(StateModDepletions_BL!AA$5,$AM59,0),IF($B$4=1,OFFSET(StateModDepletions_BLNoRes!AA$5,$AM59,0)))</f>
        <v>72860.426953550734</v>
      </c>
      <c r="AB59" s="314">
        <f ca="1">IF($B$4=0,OFFSET(StateModDepletions_BL!AB$5,$AM59,0),IF($B$4=1,OFFSET(StateModDepletions_BLNoRes!AB$5,$AM59,0)))</f>
        <v>24765.810481309891</v>
      </c>
      <c r="AC59" s="314">
        <f ca="1">IF($B$4=0,OFFSET(StateModDepletions_BL!AC$5,$AM59,0),IF($B$4=1,OFFSET(StateModDepletions_BLNoRes!AC$5,$AM59,0)))</f>
        <v>33468.303692743182</v>
      </c>
      <c r="AD59" s="314">
        <f ca="1">IF($B$4=0,OFFSET(StateModDepletions_BL!AD$5,$AM59,0),IF($B$4=1,OFFSET(StateModDepletions_BLNoRes!AD$5,$AM59,0)))</f>
        <v>17403.865701541305</v>
      </c>
      <c r="AE59" s="314">
        <f ca="1">IF($B$4=0,OFFSET(StateModDepletions_BL!AE$5,$AM59,0),IF($B$4=1,OFFSET(StateModDepletions_BLNoRes!AE$5,$AM59,0)))</f>
        <v>98762.613340586424</v>
      </c>
      <c r="AF59" s="314">
        <f ca="1">IF($B$4=0,OFFSET(StateModDepletions_BL!AF$5,$AM59,0),IF($B$4=1,OFFSET(StateModDepletions_BLNoRes!AF$5,$AM59,0)))</f>
        <v>17599.6236186102</v>
      </c>
      <c r="AG59" s="314">
        <f ca="1">IF($B$4=0,OFFSET(StateModDepletions_BL!AG$5,$AM59,0),IF($B$4=1,OFFSET(StateModDepletions_BLNoRes!AG$5,$AM59,0)))</f>
        <v>45142.753558902521</v>
      </c>
      <c r="AH59" s="314">
        <f ca="1">IF($B$4=0,OFFSET(StateModDepletions_BL!AH$5,$AM59,0),IF($B$4=1,OFFSET(StateModDepletions_BLNoRes!AH$5,$AM59,0)))</f>
        <v>19952.901892185211</v>
      </c>
      <c r="AI59" s="314">
        <f ca="1">IF($B$4=0,OFFSET(StateModDepletions_BL!AI$5,$AM59,0),IF($B$4=1,OFFSET(StateModDepletions_BLNoRes!AI$5,$AM59,0)))</f>
        <v>22451.81098052589</v>
      </c>
      <c r="AJ59" s="315">
        <f ca="1">IF($B$4=0,OFFSET(StateModDepletions_BL!AJ$5,$AM59,0),IF($B$4=1,OFFSET(StateModDepletions_BLNoRes!AJ$5,$AM59,0)))</f>
        <v>120643.5857511495</v>
      </c>
      <c r="AK59" s="519">
        <f t="shared" si="6"/>
        <v>54</v>
      </c>
      <c r="AL59" s="519">
        <f t="shared" si="5"/>
        <v>1982</v>
      </c>
      <c r="AM59" s="519">
        <f>MATCH($AL59,StateModDepletions_BL!$A$6:$A$90,0)</f>
        <v>54</v>
      </c>
    </row>
    <row r="60" spans="1:39" x14ac:dyDescent="0.25">
      <c r="A60" s="519">
        <f t="shared" si="3"/>
        <v>1983</v>
      </c>
      <c r="B60" s="311">
        <f ca="1">IF($B$4=0,OFFSET(StateModDepletions_BL!B$5,$AM60,0),IF($B$4=1,OFFSET(StateModDepletions_BLNoRes!B$5,$AM60,0)))</f>
        <v>33038.019016355276</v>
      </c>
      <c r="C60" s="312">
        <f ca="1">IF($B$4=0,OFFSET(StateModDepletions_BL!C$5,$AM60,0),IF($B$4=1,OFFSET(StateModDepletions_BLNoRes!C$5,$AM60,0)))</f>
        <v>1026.0025346279144</v>
      </c>
      <c r="D60" s="312">
        <f ca="1">IF($B$4=0,OFFSET(StateModDepletions_BL!D$5,$AM60,0),IF($B$4=1,OFFSET(StateModDepletions_BLNoRes!D$5,$AM60,0)))</f>
        <v>136650.19689941406</v>
      </c>
      <c r="E60" s="312">
        <f ca="1">IF($B$4=0,OFFSET(StateModDepletions_BL!E$5,$AM60,0),IF($B$4=1,OFFSET(StateModDepletions_BLNoRes!E$5,$AM60,0)))</f>
        <v>2810.7051087617874</v>
      </c>
      <c r="F60" s="312">
        <f ca="1">IF($B$4=0,OFFSET(StateModDepletions_BL!F$5,$AM60,0),IF($B$4=1,OFFSET(StateModDepletions_BLNoRes!F$5,$AM60,0)))</f>
        <v>15965.106910675764</v>
      </c>
      <c r="G60" s="312">
        <f ca="1">IF($B$4=0,OFFSET(StateModDepletions_BL!G$5,$AM60,0),IF($B$4=1,OFFSET(StateModDepletions_BLNoRes!G$5,$AM60,0)))</f>
        <v>2036.5992698669434</v>
      </c>
      <c r="H60" s="312">
        <f ca="1">IF($B$4=0,OFFSET(StateModDepletions_BL!H$5,$AM60,0),IF($B$4=1,OFFSET(StateModDepletions_BLNoRes!H$5,$AM60,0)))</f>
        <v>2838.8627778291702</v>
      </c>
      <c r="I60" s="312">
        <f ca="1">IF($B$4=0,OFFSET(StateModDepletions_BL!I$5,$AM60,0),IF($B$4=1,OFFSET(StateModDepletions_BLNoRes!I$5,$AM60,0)))</f>
        <v>115008.02590584755</v>
      </c>
      <c r="J60" s="312">
        <f ca="1">IF($B$4=0,OFFSET(StateModDepletions_BL!J$5,$AM60,0),IF($B$4=1,OFFSET(StateModDepletions_BLNoRes!J$5,$AM60,0)))</f>
        <v>2564.4842412471771</v>
      </c>
      <c r="K60" s="312">
        <f ca="1">IF($B$4=0,OFFSET(StateModDepletions_BL!K$5,$AM60,0),IF($B$4=1,OFFSET(StateModDepletions_BLNoRes!K$5,$AM60,0)))</f>
        <v>19116.242594718933</v>
      </c>
      <c r="L60" s="312">
        <f ca="1">IF($B$4=0,OFFSET(StateModDepletions_BL!L$5,$AM60,0),IF($B$4=1,OFFSET(StateModDepletions_BLNoRes!L$5,$AM60,0)))</f>
        <v>18088.624685764302</v>
      </c>
      <c r="M60" s="312">
        <f ca="1">IF($B$4=0,OFFSET(StateModDepletions_BL!M$5,$AM60,0),IF($B$4=1,OFFSET(StateModDepletions_BLNoRes!M$5,$AM60,0)))</f>
        <v>1304.7546677589417</v>
      </c>
      <c r="N60" s="312">
        <f ca="1">IF($B$4=0,OFFSET(StateModDepletions_BL!N$5,$AM60,0),IF($B$4=1,OFFSET(StateModDepletions_BLNoRes!N$5,$AM60,0)))</f>
        <v>1326.6977829933167</v>
      </c>
      <c r="O60" s="312">
        <f ca="1">IF($B$4=0,OFFSET(StateModDepletions_BL!O$5,$AM60,0),IF($B$4=1,OFFSET(StateModDepletions_BLNoRes!O$5,$AM60,0)))</f>
        <v>49548.372269807835</v>
      </c>
      <c r="P60" s="312">
        <f ca="1">IF($B$4=0,OFFSET(StateModDepletions_BL!P$5,$AM60,0),IF($B$4=1,OFFSET(StateModDepletions_BLNoRes!P$5,$AM60,0)))</f>
        <v>407.93087911605835</v>
      </c>
      <c r="Q60" s="312">
        <f ca="1">IF($B$4=0,OFFSET(StateModDepletions_BL!Q$5,$AM60,0),IF($B$4=1,OFFSET(StateModDepletions_BLNoRes!Q$5,$AM60,0)))</f>
        <v>22734.619184385985</v>
      </c>
      <c r="R60" s="312">
        <f ca="1">IF($B$4=0,OFFSET(StateModDepletions_BL!R$5,$AM60,0),IF($B$4=1,OFFSET(StateModDepletions_BLNoRes!R$5,$AM60,0)))</f>
        <v>598.83215999603271</v>
      </c>
      <c r="S60" s="312">
        <f ca="1">IF($B$4=0,OFFSET(StateModDepletions_BL!S$5,$AM60,0),IF($B$4=1,OFFSET(StateModDepletions_BLNoRes!S$5,$AM60,0)))</f>
        <v>0</v>
      </c>
      <c r="T60" s="312">
        <f ca="1">IF($B$4=0,OFFSET(StateModDepletions_BL!T$5,$AM60,0),IF($B$4=1,OFFSET(StateModDepletions_BLNoRes!T$5,$AM60,0)))</f>
        <v>25153.314727609533</v>
      </c>
      <c r="U60" s="312">
        <f ca="1">IF($B$4=0,OFFSET(StateModDepletions_BL!U$5,$AM60,0),IF($B$4=1,OFFSET(StateModDepletions_BLNoRes!U$5,$AM60,0)))</f>
        <v>1552.8076229344761</v>
      </c>
      <c r="V60" s="312">
        <f ca="1">IF($B$4=0,OFFSET(StateModDepletions_BL!V$5,$AM60,0),IF($B$4=1,OFFSET(StateModDepletions_BLNoRes!V$5,$AM60,0)))</f>
        <v>16524.236939430237</v>
      </c>
      <c r="W60" s="312">
        <f ca="1">IF($B$4=0,OFFSET(StateModDepletions_BL!W$5,$AM60,0),IF($B$4=1,OFFSET(StateModDepletions_BLNoRes!W$5,$AM60,0)))</f>
        <v>113989.70832902535</v>
      </c>
      <c r="X60" s="312">
        <f ca="1">IF($B$4=0,OFFSET(StateModDepletions_BL!X$5,$AM60,0),IF($B$4=1,OFFSET(StateModDepletions_BLNoRes!X$5,$AM60,0)))</f>
        <v>6094.1022396683693</v>
      </c>
      <c r="Y60" s="312">
        <f ca="1">IF($B$4=0,OFFSET(StateModDepletions_BL!Y$5,$AM60,0),IF($B$4=1,OFFSET(StateModDepletions_BLNoRes!Y$5,$AM60,0)))</f>
        <v>212.11356273293495</v>
      </c>
      <c r="Z60" s="312">
        <f ca="1">IF($B$4=0,OFFSET(StateModDepletions_BL!Z$5,$AM60,0),IF($B$4=1,OFFSET(StateModDepletions_BLNoRes!Z$5,$AM60,0)))</f>
        <v>189667.6123085022</v>
      </c>
      <c r="AA60" s="313">
        <f ca="1">IF($B$4=0,OFFSET(StateModDepletions_BL!AA$5,$AM60,0),IF($B$4=1,OFFSET(StateModDepletions_BLNoRes!AA$5,$AM60,0)))</f>
        <v>69371.688177075543</v>
      </c>
      <c r="AB60" s="314">
        <f ca="1">IF($B$4=0,OFFSET(StateModDepletions_BL!AB$5,$AM60,0),IF($B$4=1,OFFSET(StateModDepletions_BLNoRes!AB$5,$AM60,0)))</f>
        <v>24765.810481309891</v>
      </c>
      <c r="AC60" s="314">
        <f ca="1">IF($B$4=0,OFFSET(StateModDepletions_BL!AC$5,$AM60,0),IF($B$4=1,OFFSET(StateModDepletions_BLNoRes!AC$5,$AM60,0)))</f>
        <v>34064.021550983191</v>
      </c>
      <c r="AD60" s="314">
        <f ca="1">IF($B$4=0,OFFSET(StateModDepletions_BL!AD$5,$AM60,0),IF($B$4=1,OFFSET(StateModDepletions_BLNoRes!AD$5,$AM60,0)))</f>
        <v>18001.706180542707</v>
      </c>
      <c r="AE60" s="314">
        <f ca="1">IF($B$4=0,OFFSET(StateModDepletions_BL!AE$5,$AM60,0),IF($B$4=1,OFFSET(StateModDepletions_BLNoRes!AE$5,$AM60,0)))</f>
        <v>117572.51014709473</v>
      </c>
      <c r="AF60" s="314">
        <f ca="1">IF($B$4=0,OFFSET(StateModDepletions_BL!AF$5,$AM60,0),IF($B$4=1,OFFSET(StateModDepletions_BLNoRes!AF$5,$AM60,0)))</f>
        <v>19393.379353523243</v>
      </c>
      <c r="AG60" s="314">
        <f ca="1">IF($B$4=0,OFFSET(StateModDepletions_BL!AG$5,$AM60,0),IF($B$4=1,OFFSET(StateModDepletions_BLNoRes!AG$5,$AM60,0)))</f>
        <v>49956.303148923893</v>
      </c>
      <c r="AH60" s="314">
        <f ca="1">IF($B$4=0,OFFSET(StateModDepletions_BL!AH$5,$AM60,0),IF($B$4=1,OFFSET(StateModDepletions_BLNoRes!AH$5,$AM60,0)))</f>
        <v>23333.451344382018</v>
      </c>
      <c r="AI60" s="314">
        <f ca="1">IF($B$4=0,OFFSET(StateModDepletions_BL!AI$5,$AM60,0),IF($B$4=1,OFFSET(StateModDepletions_BLNoRes!AI$5,$AM60,0)))</f>
        <v>26706.12235054401</v>
      </c>
      <c r="AJ60" s="315">
        <f ca="1">IF($B$4=0,OFFSET(StateModDepletions_BL!AJ$5,$AM60,0),IF($B$4=1,OFFSET(StateModDepletions_BLNoRes!AJ$5,$AM60,0)))</f>
        <v>120083.81056869372</v>
      </c>
      <c r="AK60" s="519">
        <f t="shared" si="6"/>
        <v>55</v>
      </c>
      <c r="AL60" s="519">
        <f t="shared" si="5"/>
        <v>1983</v>
      </c>
      <c r="AM60" s="519">
        <f>MATCH($AL60,StateModDepletions_BL!$A$6:$A$90,0)</f>
        <v>55</v>
      </c>
    </row>
    <row r="61" spans="1:39" x14ac:dyDescent="0.25">
      <c r="A61" s="519">
        <f t="shared" si="3"/>
        <v>1984</v>
      </c>
      <c r="B61" s="311">
        <f ca="1">IF($B$4=0,OFFSET(StateModDepletions_BL!B$5,$AM61,0),IF($B$4=1,OFFSET(StateModDepletions_BLNoRes!B$5,$AM61,0)))</f>
        <v>31281.824956670403</v>
      </c>
      <c r="C61" s="312">
        <f ca="1">IF($B$4=0,OFFSET(StateModDepletions_BL!C$5,$AM61,0),IF($B$4=1,OFFSET(StateModDepletions_BLNoRes!C$5,$AM61,0)))</f>
        <v>1026.0025346279144</v>
      </c>
      <c r="D61" s="312">
        <f ca="1">IF($B$4=0,OFFSET(StateModDepletions_BL!D$5,$AM61,0),IF($B$4=1,OFFSET(StateModDepletions_BLNoRes!D$5,$AM61,0)))</f>
        <v>132012.37954711914</v>
      </c>
      <c r="E61" s="312">
        <f ca="1">IF($B$4=0,OFFSET(StateModDepletions_BL!E$5,$AM61,0),IF($B$4=1,OFFSET(StateModDepletions_BLNoRes!E$5,$AM61,0)))</f>
        <v>2810.7051087617874</v>
      </c>
      <c r="F61" s="312">
        <f ca="1">IF($B$4=0,OFFSET(StateModDepletions_BL!F$5,$AM61,0),IF($B$4=1,OFFSET(StateModDepletions_BLNoRes!F$5,$AM61,0)))</f>
        <v>16050.427155897021</v>
      </c>
      <c r="G61" s="312">
        <f ca="1">IF($B$4=0,OFFSET(StateModDepletions_BL!G$5,$AM61,0),IF($B$4=1,OFFSET(StateModDepletions_BLNoRes!G$5,$AM61,0)))</f>
        <v>2036.5992698669434</v>
      </c>
      <c r="H61" s="312">
        <f ca="1">IF($B$4=0,OFFSET(StateModDepletions_BL!H$5,$AM61,0),IF($B$4=1,OFFSET(StateModDepletions_BLNoRes!H$5,$AM61,0)))</f>
        <v>2838.8627778291702</v>
      </c>
      <c r="I61" s="312">
        <f ca="1">IF($B$4=0,OFFSET(StateModDepletions_BL!I$5,$AM61,0),IF($B$4=1,OFFSET(StateModDepletions_BLNoRes!I$5,$AM61,0)))</f>
        <v>111683.23632659018</v>
      </c>
      <c r="J61" s="312">
        <f ca="1">IF($B$4=0,OFFSET(StateModDepletions_BL!J$5,$AM61,0),IF($B$4=1,OFFSET(StateModDepletions_BLNoRes!J$5,$AM61,0)))</f>
        <v>2608.8271310329437</v>
      </c>
      <c r="K61" s="312">
        <f ca="1">IF($B$4=0,OFFSET(StateModDepletions_BL!K$5,$AM61,0),IF($B$4=1,OFFSET(StateModDepletions_BLNoRes!K$5,$AM61,0)))</f>
        <v>19116.242594718933</v>
      </c>
      <c r="L61" s="312">
        <f ca="1">IF($B$4=0,OFFSET(StateModDepletions_BL!L$5,$AM61,0),IF($B$4=1,OFFSET(StateModDepletions_BLNoRes!L$5,$AM61,0)))</f>
        <v>17460.84858407823</v>
      </c>
      <c r="M61" s="312">
        <f ca="1">IF($B$4=0,OFFSET(StateModDepletions_BL!M$5,$AM61,0),IF($B$4=1,OFFSET(StateModDepletions_BLNoRes!M$5,$AM61,0)))</f>
        <v>1310.8137335777283</v>
      </c>
      <c r="N61" s="312">
        <f ca="1">IF($B$4=0,OFFSET(StateModDepletions_BL!N$5,$AM61,0),IF($B$4=1,OFFSET(StateModDepletions_BLNoRes!N$5,$AM61,0)))</f>
        <v>1326.6977829933167</v>
      </c>
      <c r="O61" s="312">
        <f ca="1">IF($B$4=0,OFFSET(StateModDepletions_BL!O$5,$AM61,0),IF($B$4=1,OFFSET(StateModDepletions_BLNoRes!O$5,$AM61,0)))</f>
        <v>47721.968711657901</v>
      </c>
      <c r="P61" s="312">
        <f ca="1">IF($B$4=0,OFFSET(StateModDepletions_BL!P$5,$AM61,0),IF($B$4=1,OFFSET(StateModDepletions_BLNoRes!P$5,$AM61,0)))</f>
        <v>420.77869844436646</v>
      </c>
      <c r="Q61" s="312">
        <f ca="1">IF($B$4=0,OFFSET(StateModDepletions_BL!Q$5,$AM61,0),IF($B$4=1,OFFSET(StateModDepletions_BLNoRes!Q$5,$AM61,0)))</f>
        <v>18537.862465493381</v>
      </c>
      <c r="R61" s="312">
        <f ca="1">IF($B$4=0,OFFSET(StateModDepletions_BL!R$5,$AM61,0),IF($B$4=1,OFFSET(StateModDepletions_BLNoRes!R$5,$AM61,0)))</f>
        <v>598.83215999603271</v>
      </c>
      <c r="S61" s="312">
        <f ca="1">IF($B$4=0,OFFSET(StateModDepletions_BL!S$5,$AM61,0),IF($B$4=1,OFFSET(StateModDepletions_BLNoRes!S$5,$AM61,0)))</f>
        <v>0</v>
      </c>
      <c r="T61" s="312">
        <f ca="1">IF($B$4=0,OFFSET(StateModDepletions_BL!T$5,$AM61,0),IF($B$4=1,OFFSET(StateModDepletions_BLNoRes!T$5,$AM61,0)))</f>
        <v>18444.488209405914</v>
      </c>
      <c r="U61" s="312">
        <f ca="1">IF($B$4=0,OFFSET(StateModDepletions_BL!U$5,$AM61,0),IF($B$4=1,OFFSET(StateModDepletions_BLNoRes!U$5,$AM61,0)))</f>
        <v>1491.0907712816843</v>
      </c>
      <c r="V61" s="312">
        <f ca="1">IF($B$4=0,OFFSET(StateModDepletions_BL!V$5,$AM61,0),IF($B$4=1,OFFSET(StateModDepletions_BLNoRes!V$5,$AM61,0)))</f>
        <v>13387.382218360901</v>
      </c>
      <c r="W61" s="312">
        <f ca="1">IF($B$4=0,OFFSET(StateModDepletions_BL!W$5,$AM61,0),IF($B$4=1,OFFSET(StateModDepletions_BLNoRes!W$5,$AM61,0)))</f>
        <v>114868.51572852179</v>
      </c>
      <c r="X61" s="312">
        <f ca="1">IF($B$4=0,OFFSET(StateModDepletions_BL!X$5,$AM61,0),IF($B$4=1,OFFSET(StateModDepletions_BLNoRes!X$5,$AM61,0)))</f>
        <v>5909.2078681588173</v>
      </c>
      <c r="Y61" s="312">
        <f ca="1">IF($B$4=0,OFFSET(StateModDepletions_BL!Y$5,$AM61,0),IF($B$4=1,OFFSET(StateModDepletions_BLNoRes!Y$5,$AM61,0)))</f>
        <v>212.11356273293495</v>
      </c>
      <c r="Z61" s="312">
        <f ca="1">IF($B$4=0,OFFSET(StateModDepletions_BL!Z$5,$AM61,0),IF($B$4=1,OFFSET(StateModDepletions_BLNoRes!Z$5,$AM61,0)))</f>
        <v>210806.35505843163</v>
      </c>
      <c r="AA61" s="313">
        <f ca="1">IF($B$4=0,OFFSET(StateModDepletions_BL!AA$5,$AM61,0),IF($B$4=1,OFFSET(StateModDepletions_BLNoRes!AA$5,$AM61,0)))</f>
        <v>89816.517899018087</v>
      </c>
      <c r="AB61" s="314">
        <f ca="1">IF($B$4=0,OFFSET(StateModDepletions_BL!AB$5,$AM61,0),IF($B$4=1,OFFSET(StateModDepletions_BLNoRes!AB$5,$AM61,0)))</f>
        <v>24765.810481309891</v>
      </c>
      <c r="AC61" s="314">
        <f ca="1">IF($B$4=0,OFFSET(StateModDepletions_BL!AC$5,$AM61,0),IF($B$4=1,OFFSET(StateModDepletions_BLNoRes!AC$5,$AM61,0)))</f>
        <v>32307.827491298318</v>
      </c>
      <c r="AD61" s="314">
        <f ca="1">IF($B$4=0,OFFSET(StateModDepletions_BL!AD$5,$AM61,0),IF($B$4=1,OFFSET(StateModDepletions_BLNoRes!AD$5,$AM61,0)))</f>
        <v>18087.026425763965</v>
      </c>
      <c r="AE61" s="314">
        <f ca="1">IF($B$4=0,OFFSET(StateModDepletions_BL!AE$5,$AM61,0),IF($B$4=1,OFFSET(StateModDepletions_BLNoRes!AE$5,$AM61,0)))</f>
        <v>114292.06345762312</v>
      </c>
      <c r="AF61" s="314">
        <f ca="1">IF($B$4=0,OFFSET(StateModDepletions_BL!AF$5,$AM61,0),IF($B$4=1,OFFSET(StateModDepletions_BLNoRes!AF$5,$AM61,0)))</f>
        <v>18771.662317655959</v>
      </c>
      <c r="AG61" s="314">
        <f ca="1">IF($B$4=0,OFFSET(StateModDepletions_BL!AG$5,$AM61,0),IF($B$4=1,OFFSET(StateModDepletions_BLNoRes!AG$5,$AM61,0)))</f>
        <v>48142.747410102267</v>
      </c>
      <c r="AH61" s="314">
        <f ca="1">IF($B$4=0,OFFSET(StateModDepletions_BL!AH$5,$AM61,0),IF($B$4=1,OFFSET(StateModDepletions_BLNoRes!AH$5,$AM61,0)))</f>
        <v>19136.694625489414</v>
      </c>
      <c r="AI61" s="314">
        <f ca="1">IF($B$4=0,OFFSET(StateModDepletions_BL!AI$5,$AM61,0),IF($B$4=1,OFFSET(StateModDepletions_BLNoRes!AI$5,$AM61,0)))</f>
        <v>19935.578980687598</v>
      </c>
      <c r="AJ61" s="315">
        <f ca="1">IF($B$4=0,OFFSET(StateModDepletions_BL!AJ$5,$AM61,0),IF($B$4=1,OFFSET(StateModDepletions_BLNoRes!AJ$5,$AM61,0)))</f>
        <v>120777.7235966806</v>
      </c>
      <c r="AK61" s="519">
        <f t="shared" si="6"/>
        <v>56</v>
      </c>
      <c r="AL61" s="519">
        <f t="shared" si="5"/>
        <v>1984</v>
      </c>
      <c r="AM61" s="519">
        <f>MATCH($AL61,StateModDepletions_BL!$A$6:$A$90,0)</f>
        <v>56</v>
      </c>
    </row>
    <row r="62" spans="1:39" x14ac:dyDescent="0.25">
      <c r="A62" s="519">
        <f t="shared" si="3"/>
        <v>1985</v>
      </c>
      <c r="B62" s="311">
        <f ca="1">IF($B$4=0,OFFSET(StateModDepletions_BL!B$5,$AM62,0),IF($B$4=1,OFFSET(StateModDepletions_BLNoRes!B$5,$AM62,0)))</f>
        <v>31450.841072820127</v>
      </c>
      <c r="C62" s="312">
        <f ca="1">IF($B$4=0,OFFSET(StateModDepletions_BL!C$5,$AM62,0),IF($B$4=1,OFFSET(StateModDepletions_BLNoRes!C$5,$AM62,0)))</f>
        <v>1026.0025346279144</v>
      </c>
      <c r="D62" s="312">
        <f ca="1">IF($B$4=0,OFFSET(StateModDepletions_BL!D$5,$AM62,0),IF($B$4=1,OFFSET(StateModDepletions_BLNoRes!D$5,$AM62,0)))</f>
        <v>191640.84257507324</v>
      </c>
      <c r="E62" s="312">
        <f ca="1">IF($B$4=0,OFFSET(StateModDepletions_BL!E$5,$AM62,0),IF($B$4=1,OFFSET(StateModDepletions_BLNoRes!E$5,$AM62,0)))</f>
        <v>2810.7051087617874</v>
      </c>
      <c r="F62" s="312">
        <f ca="1">IF($B$4=0,OFFSET(StateModDepletions_BL!F$5,$AM62,0),IF($B$4=1,OFFSET(StateModDepletions_BLNoRes!F$5,$AM62,0)))</f>
        <v>15109.031175419688</v>
      </c>
      <c r="G62" s="312">
        <f ca="1">IF($B$4=0,OFFSET(StateModDepletions_BL!G$5,$AM62,0),IF($B$4=1,OFFSET(StateModDepletions_BLNoRes!G$5,$AM62,0)))</f>
        <v>2036.5992698669434</v>
      </c>
      <c r="H62" s="312">
        <f ca="1">IF($B$4=0,OFFSET(StateModDepletions_BL!H$5,$AM62,0),IF($B$4=1,OFFSET(StateModDepletions_BLNoRes!H$5,$AM62,0)))</f>
        <v>2838.8627778291702</v>
      </c>
      <c r="I62" s="312">
        <f ca="1">IF($B$4=0,OFFSET(StateModDepletions_BL!I$5,$AM62,0),IF($B$4=1,OFFSET(StateModDepletions_BLNoRes!I$5,$AM62,0)))</f>
        <v>114127.06915311515</v>
      </c>
      <c r="J62" s="312">
        <f ca="1">IF($B$4=0,OFFSET(StateModDepletions_BL!J$5,$AM62,0),IF($B$4=1,OFFSET(StateModDepletions_BLNoRes!J$5,$AM62,0)))</f>
        <v>2400.2002007961273</v>
      </c>
      <c r="K62" s="312">
        <f ca="1">IF($B$4=0,OFFSET(StateModDepletions_BL!K$5,$AM62,0),IF($B$4=1,OFFSET(StateModDepletions_BLNoRes!K$5,$AM62,0)))</f>
        <v>19116.242594718933</v>
      </c>
      <c r="L62" s="312">
        <f ca="1">IF($B$4=0,OFFSET(StateModDepletions_BL!L$5,$AM62,0),IF($B$4=1,OFFSET(StateModDepletions_BLNoRes!L$5,$AM62,0)))</f>
        <v>18204.939930424098</v>
      </c>
      <c r="M62" s="312">
        <f ca="1">IF($B$4=0,OFFSET(StateModDepletions_BL!M$5,$AM62,0),IF($B$4=1,OFFSET(StateModDepletions_BLNoRes!M$5,$AM62,0)))</f>
        <v>1397.5919589996338</v>
      </c>
      <c r="N62" s="312">
        <f ca="1">IF($B$4=0,OFFSET(StateModDepletions_BL!N$5,$AM62,0),IF($B$4=1,OFFSET(StateModDepletions_BLNoRes!N$5,$AM62,0)))</f>
        <v>1326.6977829933167</v>
      </c>
      <c r="O62" s="312">
        <f ca="1">IF($B$4=0,OFFSET(StateModDepletions_BL!O$5,$AM62,0),IF($B$4=1,OFFSET(StateModDepletions_BLNoRes!O$5,$AM62,0)))</f>
        <v>50792.279975323458</v>
      </c>
      <c r="P62" s="312">
        <f ca="1">IF($B$4=0,OFFSET(StateModDepletions_BL!P$5,$AM62,0),IF($B$4=1,OFFSET(StateModDepletions_BLNoRes!P$5,$AM62,0)))</f>
        <v>530.79295539855957</v>
      </c>
      <c r="Q62" s="312">
        <f ca="1">IF($B$4=0,OFFSET(StateModDepletions_BL!Q$5,$AM62,0),IF($B$4=1,OFFSET(StateModDepletions_BLNoRes!Q$5,$AM62,0)))</f>
        <v>21689.595151588321</v>
      </c>
      <c r="R62" s="312">
        <f ca="1">IF($B$4=0,OFFSET(StateModDepletions_BL!R$5,$AM62,0),IF($B$4=1,OFFSET(StateModDepletions_BLNoRes!R$5,$AM62,0)))</f>
        <v>598.83215999603271</v>
      </c>
      <c r="S62" s="312">
        <f ca="1">IF($B$4=0,OFFSET(StateModDepletions_BL!S$5,$AM62,0),IF($B$4=1,OFFSET(StateModDepletions_BLNoRes!S$5,$AM62,0)))</f>
        <v>0</v>
      </c>
      <c r="T62" s="312">
        <f ca="1">IF($B$4=0,OFFSET(StateModDepletions_BL!T$5,$AM62,0),IF($B$4=1,OFFSET(StateModDepletions_BLNoRes!T$5,$AM62,0)))</f>
        <v>21430.12455018796</v>
      </c>
      <c r="U62" s="312">
        <f ca="1">IF($B$4=0,OFFSET(StateModDepletions_BL!U$5,$AM62,0),IF($B$4=1,OFFSET(StateModDepletions_BLNoRes!U$5,$AM62,0)))</f>
        <v>1526.0980031120152</v>
      </c>
      <c r="V62" s="312">
        <f ca="1">IF($B$4=0,OFFSET(StateModDepletions_BL!V$5,$AM62,0),IF($B$4=1,OFFSET(StateModDepletions_BLNoRes!V$5,$AM62,0)))</f>
        <v>14434.693634986877</v>
      </c>
      <c r="W62" s="312">
        <f ca="1">IF($B$4=0,OFFSET(StateModDepletions_BL!W$5,$AM62,0),IF($B$4=1,OFFSET(StateModDepletions_BLNoRes!W$5,$AM62,0)))</f>
        <v>124064.32102989004</v>
      </c>
      <c r="X62" s="312">
        <f ca="1">IF($B$4=0,OFFSET(StateModDepletions_BL!X$5,$AM62,0),IF($B$4=1,OFFSET(StateModDepletions_BLNoRes!X$5,$AM62,0)))</f>
        <v>5839.2801697254181</v>
      </c>
      <c r="Y62" s="312">
        <f ca="1">IF($B$4=0,OFFSET(StateModDepletions_BL!Y$5,$AM62,0),IF($B$4=1,OFFSET(StateModDepletions_BLNoRes!Y$5,$AM62,0)))</f>
        <v>212.11356273293495</v>
      </c>
      <c r="Z62" s="312">
        <f ca="1">IF($B$4=0,OFFSET(StateModDepletions_BL!Z$5,$AM62,0),IF($B$4=1,OFFSET(StateModDepletions_BLNoRes!Z$5,$AM62,0)))</f>
        <v>190549.91597175598</v>
      </c>
      <c r="AA62" s="313">
        <f ca="1">IF($B$4=0,OFFSET(StateModDepletions_BL!AA$5,$AM62,0),IF($B$4=1,OFFSET(StateModDepletions_BLNoRes!AA$5,$AM62,0)))</f>
        <v>60434.201209407591</v>
      </c>
      <c r="AB62" s="314">
        <f ca="1">IF($B$4=0,OFFSET(StateModDepletions_BL!AB$5,$AM62,0),IF($B$4=1,OFFSET(StateModDepletions_BLNoRes!AB$5,$AM62,0)))</f>
        <v>24765.810481309891</v>
      </c>
      <c r="AC62" s="314">
        <f ca="1">IF($B$4=0,OFFSET(StateModDepletions_BL!AC$5,$AM62,0),IF($B$4=1,OFFSET(StateModDepletions_BLNoRes!AC$5,$AM62,0)))</f>
        <v>32476.843607448041</v>
      </c>
      <c r="AD62" s="314">
        <f ca="1">IF($B$4=0,OFFSET(StateModDepletions_BL!AD$5,$AM62,0),IF($B$4=1,OFFSET(StateModDepletions_BLNoRes!AD$5,$AM62,0)))</f>
        <v>17145.630445286632</v>
      </c>
      <c r="AE62" s="314">
        <f ca="1">IF($B$4=0,OFFSET(StateModDepletions_BL!AE$5,$AM62,0),IF($B$4=1,OFFSET(StateModDepletions_BLNoRes!AE$5,$AM62,0)))</f>
        <v>116527.26935391128</v>
      </c>
      <c r="AF62" s="314">
        <f ca="1">IF($B$4=0,OFFSET(StateModDepletions_BL!AF$5,$AM62,0),IF($B$4=1,OFFSET(StateModDepletions_BLNoRes!AF$5,$AM62,0)))</f>
        <v>19602.531889423732</v>
      </c>
      <c r="AG62" s="314">
        <f ca="1">IF($B$4=0,OFFSET(StateModDepletions_BL!AG$5,$AM62,0),IF($B$4=1,OFFSET(StateModDepletions_BLNoRes!AG$5,$AM62,0)))</f>
        <v>51323.072930722017</v>
      </c>
      <c r="AH62" s="314">
        <f ca="1">IF($B$4=0,OFFSET(StateModDepletions_BL!AH$5,$AM62,0),IF($B$4=1,OFFSET(StateModDepletions_BLNoRes!AH$5,$AM62,0)))</f>
        <v>22288.427311584353</v>
      </c>
      <c r="AI62" s="314">
        <f ca="1">IF($B$4=0,OFFSET(StateModDepletions_BL!AI$5,$AM62,0),IF($B$4=1,OFFSET(StateModDepletions_BLNoRes!AI$5,$AM62,0)))</f>
        <v>22956.222553299976</v>
      </c>
      <c r="AJ62" s="315">
        <f ca="1">IF($B$4=0,OFFSET(StateModDepletions_BL!AJ$5,$AM62,0),IF($B$4=1,OFFSET(StateModDepletions_BLNoRes!AJ$5,$AM62,0)))</f>
        <v>129903.60119961546</v>
      </c>
      <c r="AK62" s="519">
        <f t="shared" si="6"/>
        <v>57</v>
      </c>
      <c r="AL62" s="519">
        <f t="shared" si="5"/>
        <v>1985</v>
      </c>
      <c r="AM62" s="519">
        <f>MATCH($AL62,StateModDepletions_BL!$A$6:$A$90,0)</f>
        <v>57</v>
      </c>
    </row>
    <row r="63" spans="1:39" x14ac:dyDescent="0.25">
      <c r="A63" s="519">
        <f t="shared" si="3"/>
        <v>1986</v>
      </c>
      <c r="B63" s="311">
        <f ca="1">IF($B$4=0,OFFSET(StateModDepletions_BL!B$5,$AM63,0),IF($B$4=1,OFFSET(StateModDepletions_BLNoRes!B$5,$AM63,0)))</f>
        <v>28256.851131379604</v>
      </c>
      <c r="C63" s="312">
        <f ca="1">IF($B$4=0,OFFSET(StateModDepletions_BL!C$5,$AM63,0),IF($B$4=1,OFFSET(StateModDepletions_BLNoRes!C$5,$AM63,0)))</f>
        <v>1026.0025346279144</v>
      </c>
      <c r="D63" s="312">
        <f ca="1">IF($B$4=0,OFFSET(StateModDepletions_BL!D$5,$AM63,0),IF($B$4=1,OFFSET(StateModDepletions_BLNoRes!D$5,$AM63,0)))</f>
        <v>135953.30113601685</v>
      </c>
      <c r="E63" s="312">
        <f ca="1">IF($B$4=0,OFFSET(StateModDepletions_BL!E$5,$AM63,0),IF($B$4=1,OFFSET(StateModDepletions_BLNoRes!E$5,$AM63,0)))</f>
        <v>2810.7051087617874</v>
      </c>
      <c r="F63" s="312">
        <f ca="1">IF($B$4=0,OFFSET(StateModDepletions_BL!F$5,$AM63,0),IF($B$4=1,OFFSET(StateModDepletions_BLNoRes!F$5,$AM63,0)))</f>
        <v>14142.019212886691</v>
      </c>
      <c r="G63" s="312">
        <f ca="1">IF($B$4=0,OFFSET(StateModDepletions_BL!G$5,$AM63,0),IF($B$4=1,OFFSET(StateModDepletions_BLNoRes!G$5,$AM63,0)))</f>
        <v>2036.5992698669434</v>
      </c>
      <c r="H63" s="312">
        <f ca="1">IF($B$4=0,OFFSET(StateModDepletions_BL!H$5,$AM63,0),IF($B$4=1,OFFSET(StateModDepletions_BLNoRes!H$5,$AM63,0)))</f>
        <v>2838.8627778291702</v>
      </c>
      <c r="I63" s="312">
        <f ca="1">IF($B$4=0,OFFSET(StateModDepletions_BL!I$5,$AM63,0),IF($B$4=1,OFFSET(StateModDepletions_BLNoRes!I$5,$AM63,0)))</f>
        <v>89740.417478270829</v>
      </c>
      <c r="J63" s="312">
        <f ca="1">IF($B$4=0,OFFSET(StateModDepletions_BL!J$5,$AM63,0),IF($B$4=1,OFFSET(StateModDepletions_BLNoRes!J$5,$AM63,0)))</f>
        <v>2394.4240243434906</v>
      </c>
      <c r="K63" s="312">
        <f ca="1">IF($B$4=0,OFFSET(StateModDepletions_BL!K$5,$AM63,0),IF($B$4=1,OFFSET(StateModDepletions_BLNoRes!K$5,$AM63,0)))</f>
        <v>19116.242594718933</v>
      </c>
      <c r="L63" s="312">
        <f ca="1">IF($B$4=0,OFFSET(StateModDepletions_BL!L$5,$AM63,0),IF($B$4=1,OFFSET(StateModDepletions_BLNoRes!L$5,$AM63,0)))</f>
        <v>15067.868537843218</v>
      </c>
      <c r="M63" s="312">
        <f ca="1">IF($B$4=0,OFFSET(StateModDepletions_BL!M$5,$AM63,0),IF($B$4=1,OFFSET(StateModDepletions_BLNoRes!M$5,$AM63,0)))</f>
        <v>1366.6908497810364</v>
      </c>
      <c r="N63" s="312">
        <f ca="1">IF($B$4=0,OFFSET(StateModDepletions_BL!N$5,$AM63,0),IF($B$4=1,OFFSET(StateModDepletions_BLNoRes!N$5,$AM63,0)))</f>
        <v>1326.6977829933167</v>
      </c>
      <c r="O63" s="312">
        <f ca="1">IF($B$4=0,OFFSET(StateModDepletions_BL!O$5,$AM63,0),IF($B$4=1,OFFSET(StateModDepletions_BLNoRes!O$5,$AM63,0)))</f>
        <v>40980.75665616848</v>
      </c>
      <c r="P63" s="312">
        <f ca="1">IF($B$4=0,OFFSET(StateModDepletions_BL!P$5,$AM63,0),IF($B$4=1,OFFSET(StateModDepletions_BLNoRes!P$5,$AM63,0)))</f>
        <v>515.34848260879517</v>
      </c>
      <c r="Q63" s="312">
        <f ca="1">IF($B$4=0,OFFSET(StateModDepletions_BL!Q$5,$AM63,0),IF($B$4=1,OFFSET(StateModDepletions_BLNoRes!Q$5,$AM63,0)))</f>
        <v>18869.148969702423</v>
      </c>
      <c r="R63" s="312">
        <f ca="1">IF($B$4=0,OFFSET(StateModDepletions_BL!R$5,$AM63,0),IF($B$4=1,OFFSET(StateModDepletions_BLNoRes!R$5,$AM63,0)))</f>
        <v>598.83215999603271</v>
      </c>
      <c r="S63" s="312">
        <f ca="1">IF($B$4=0,OFFSET(StateModDepletions_BL!S$5,$AM63,0),IF($B$4=1,OFFSET(StateModDepletions_BLNoRes!S$5,$AM63,0)))</f>
        <v>0</v>
      </c>
      <c r="T63" s="312">
        <f ca="1">IF($B$4=0,OFFSET(StateModDepletions_BL!T$5,$AM63,0),IF($B$4=1,OFFSET(StateModDepletions_BLNoRes!T$5,$AM63,0)))</f>
        <v>20825.235861645266</v>
      </c>
      <c r="U63" s="312">
        <f ca="1">IF($B$4=0,OFFSET(StateModDepletions_BL!U$5,$AM63,0),IF($B$4=1,OFFSET(StateModDepletions_BLNoRes!U$5,$AM63,0)))</f>
        <v>1519.9461812376976</v>
      </c>
      <c r="V63" s="312">
        <f ca="1">IF($B$4=0,OFFSET(StateModDepletions_BL!V$5,$AM63,0),IF($B$4=1,OFFSET(StateModDepletions_BLNoRes!V$5,$AM63,0)))</f>
        <v>15846.953511238098</v>
      </c>
      <c r="W63" s="312">
        <f ca="1">IF($B$4=0,OFFSET(StateModDepletions_BL!W$5,$AM63,0),IF($B$4=1,OFFSET(StateModDepletions_BLNoRes!W$5,$AM63,0)))</f>
        <v>105992.9262762998</v>
      </c>
      <c r="X63" s="312">
        <f ca="1">IF($B$4=0,OFFSET(StateModDepletions_BL!X$5,$AM63,0),IF($B$4=1,OFFSET(StateModDepletions_BLNoRes!X$5,$AM63,0)))</f>
        <v>5943.595062670649</v>
      </c>
      <c r="Y63" s="312">
        <f ca="1">IF($B$4=0,OFFSET(StateModDepletions_BL!Y$5,$AM63,0),IF($B$4=1,OFFSET(StateModDepletions_BLNoRes!Y$5,$AM63,0)))</f>
        <v>212.11356273293495</v>
      </c>
      <c r="Z63" s="312">
        <f ca="1">IF($B$4=0,OFFSET(StateModDepletions_BL!Z$5,$AM63,0),IF($B$4=1,OFFSET(StateModDepletions_BLNoRes!Z$5,$AM63,0)))</f>
        <v>187832.17130088806</v>
      </c>
      <c r="AA63" s="313">
        <f ca="1">IF($B$4=0,OFFSET(StateModDepletions_BL!AA$5,$AM63,0),IF($B$4=1,OFFSET(StateModDepletions_BLNoRes!AA$5,$AM63,0)))</f>
        <v>75683.536399184683</v>
      </c>
      <c r="AB63" s="314">
        <f ca="1">IF($B$4=0,OFFSET(StateModDepletions_BL!AB$5,$AM63,0),IF($B$4=1,OFFSET(StateModDepletions_BLNoRes!AB$5,$AM63,0)))</f>
        <v>24765.810481309891</v>
      </c>
      <c r="AC63" s="314">
        <f ca="1">IF($B$4=0,OFFSET(StateModDepletions_BL!AC$5,$AM63,0),IF($B$4=1,OFFSET(StateModDepletions_BLNoRes!AC$5,$AM63,0)))</f>
        <v>29282.853666007519</v>
      </c>
      <c r="AD63" s="314">
        <f ca="1">IF($B$4=0,OFFSET(StateModDepletions_BL!AD$5,$AM63,0),IF($B$4=1,OFFSET(StateModDepletions_BLNoRes!AD$5,$AM63,0)))</f>
        <v>16178.618482753634</v>
      </c>
      <c r="AE63" s="314">
        <f ca="1">IF($B$4=0,OFFSET(StateModDepletions_BL!AE$5,$AM63,0),IF($B$4=1,OFFSET(StateModDepletions_BLNoRes!AE$5,$AM63,0)))</f>
        <v>92134.841502614319</v>
      </c>
      <c r="AF63" s="314">
        <f ca="1">IF($B$4=0,OFFSET(StateModDepletions_BL!AF$5,$AM63,0),IF($B$4=1,OFFSET(StateModDepletions_BLNoRes!AF$5,$AM63,0)))</f>
        <v>16434.559387624256</v>
      </c>
      <c r="AG63" s="314">
        <f ca="1">IF($B$4=0,OFFSET(StateModDepletions_BL!AG$5,$AM63,0),IF($B$4=1,OFFSET(StateModDepletions_BLNoRes!AG$5,$AM63,0)))</f>
        <v>41496.105138777275</v>
      </c>
      <c r="AH63" s="314">
        <f ca="1">IF($B$4=0,OFFSET(StateModDepletions_BL!AH$5,$AM63,0),IF($B$4=1,OFFSET(StateModDepletions_BLNoRes!AH$5,$AM63,0)))</f>
        <v>19467.981129698455</v>
      </c>
      <c r="AI63" s="314">
        <f ca="1">IF($B$4=0,OFFSET(StateModDepletions_BL!AI$5,$AM63,0),IF($B$4=1,OFFSET(StateModDepletions_BLNoRes!AI$5,$AM63,0)))</f>
        <v>22345.182042882963</v>
      </c>
      <c r="AJ63" s="315">
        <f ca="1">IF($B$4=0,OFFSET(StateModDepletions_BL!AJ$5,$AM63,0),IF($B$4=1,OFFSET(StateModDepletions_BLNoRes!AJ$5,$AM63,0)))</f>
        <v>111936.52133897044</v>
      </c>
      <c r="AK63" s="519">
        <f t="shared" si="6"/>
        <v>58</v>
      </c>
      <c r="AL63" s="519">
        <f t="shared" si="5"/>
        <v>1986</v>
      </c>
      <c r="AM63" s="519">
        <f>MATCH($AL63,StateModDepletions_BL!$A$6:$A$90,0)</f>
        <v>58</v>
      </c>
    </row>
    <row r="64" spans="1:39" x14ac:dyDescent="0.25">
      <c r="A64" s="519">
        <f t="shared" si="3"/>
        <v>1987</v>
      </c>
      <c r="B64" s="311">
        <f ca="1">IF($B$4=0,OFFSET(StateModDepletions_BL!B$5,$AM64,0),IF($B$4=1,OFFSET(StateModDepletions_BLNoRes!B$5,$AM64,0)))</f>
        <v>32293.075099043548</v>
      </c>
      <c r="C64" s="312">
        <f ca="1">IF($B$4=0,OFFSET(StateModDepletions_BL!C$5,$AM64,0),IF($B$4=1,OFFSET(StateModDepletions_BLNoRes!C$5,$AM64,0)))</f>
        <v>1026.0025346279144</v>
      </c>
      <c r="D64" s="312">
        <f ca="1">IF($B$4=0,OFFSET(StateModDepletions_BL!D$5,$AM64,0),IF($B$4=1,OFFSET(StateModDepletions_BLNoRes!D$5,$AM64,0)))</f>
        <v>74416.019515991211</v>
      </c>
      <c r="E64" s="312">
        <f ca="1">IF($B$4=0,OFFSET(StateModDepletions_BL!E$5,$AM64,0),IF($B$4=1,OFFSET(StateModDepletions_BLNoRes!E$5,$AM64,0)))</f>
        <v>2810.7051087617874</v>
      </c>
      <c r="F64" s="312">
        <f ca="1">IF($B$4=0,OFFSET(StateModDepletions_BL!F$5,$AM64,0),IF($B$4=1,OFFSET(StateModDepletions_BLNoRes!F$5,$AM64,0)))</f>
        <v>16254.585354760289</v>
      </c>
      <c r="G64" s="312">
        <f ca="1">IF($B$4=0,OFFSET(StateModDepletions_BL!G$5,$AM64,0),IF($B$4=1,OFFSET(StateModDepletions_BLNoRes!G$5,$AM64,0)))</f>
        <v>2036.5992698669434</v>
      </c>
      <c r="H64" s="312">
        <f ca="1">IF($B$4=0,OFFSET(StateModDepletions_BL!H$5,$AM64,0),IF($B$4=1,OFFSET(StateModDepletions_BLNoRes!H$5,$AM64,0)))</f>
        <v>2838.8627778291702</v>
      </c>
      <c r="I64" s="312">
        <f ca="1">IF($B$4=0,OFFSET(StateModDepletions_BL!I$5,$AM64,0),IF($B$4=1,OFFSET(StateModDepletions_BLNoRes!I$5,$AM64,0)))</f>
        <v>103097.61627339572</v>
      </c>
      <c r="J64" s="312">
        <f ca="1">IF($B$4=0,OFFSET(StateModDepletions_BL!J$5,$AM64,0),IF($B$4=1,OFFSET(StateModDepletions_BLNoRes!J$5,$AM64,0)))</f>
        <v>2354.067197561264</v>
      </c>
      <c r="K64" s="312">
        <f ca="1">IF($B$4=0,OFFSET(StateModDepletions_BL!K$5,$AM64,0),IF($B$4=1,OFFSET(StateModDepletions_BLNoRes!K$5,$AM64,0)))</f>
        <v>19116.242594718933</v>
      </c>
      <c r="L64" s="312">
        <f ca="1">IF($B$4=0,OFFSET(StateModDepletions_BL!L$5,$AM64,0),IF($B$4=1,OFFSET(StateModDepletions_BLNoRes!L$5,$AM64,0)))</f>
        <v>17476.846191778768</v>
      </c>
      <c r="M64" s="312">
        <f ca="1">IF($B$4=0,OFFSET(StateModDepletions_BL!M$5,$AM64,0),IF($B$4=1,OFFSET(StateModDepletions_BLNoRes!M$5,$AM64,0)))</f>
        <v>1364.4884910583496</v>
      </c>
      <c r="N64" s="312">
        <f ca="1">IF($B$4=0,OFFSET(StateModDepletions_BL!N$5,$AM64,0),IF($B$4=1,OFFSET(StateModDepletions_BLNoRes!N$5,$AM64,0)))</f>
        <v>1326.6977829933167</v>
      </c>
      <c r="O64" s="312">
        <f ca="1">IF($B$4=0,OFFSET(StateModDepletions_BL!O$5,$AM64,0),IF($B$4=1,OFFSET(StateModDepletions_BLNoRes!O$5,$AM64,0)))</f>
        <v>46738.631539969225</v>
      </c>
      <c r="P64" s="312">
        <f ca="1">IF($B$4=0,OFFSET(StateModDepletions_BL!P$5,$AM64,0),IF($B$4=1,OFFSET(StateModDepletions_BLNoRes!P$5,$AM64,0)))</f>
        <v>530.74375677108765</v>
      </c>
      <c r="Q64" s="312">
        <f ca="1">IF($B$4=0,OFFSET(StateModDepletions_BL!Q$5,$AM64,0),IF($B$4=1,OFFSET(StateModDepletions_BLNoRes!Q$5,$AM64,0)))</f>
        <v>21794.299299731851</v>
      </c>
      <c r="R64" s="312">
        <f ca="1">IF($B$4=0,OFFSET(StateModDepletions_BL!R$5,$AM64,0),IF($B$4=1,OFFSET(StateModDepletions_BLNoRes!R$5,$AM64,0)))</f>
        <v>598.83215999603271</v>
      </c>
      <c r="S64" s="312">
        <f ca="1">IF($B$4=0,OFFSET(StateModDepletions_BL!S$5,$AM64,0),IF($B$4=1,OFFSET(StateModDepletions_BLNoRes!S$5,$AM64,0)))</f>
        <v>0</v>
      </c>
      <c r="T64" s="312">
        <f ca="1">IF($B$4=0,OFFSET(StateModDepletions_BL!T$5,$AM64,0),IF($B$4=1,OFFSET(StateModDepletions_BLNoRes!T$5,$AM64,0)))</f>
        <v>23206.237449228691</v>
      </c>
      <c r="U64" s="312">
        <f ca="1">IF($B$4=0,OFFSET(StateModDepletions_BL!U$5,$AM64,0),IF($B$4=1,OFFSET(StateModDepletions_BLNoRes!U$5,$AM64,0)))</f>
        <v>1529.8003821372986</v>
      </c>
      <c r="V64" s="312">
        <f ca="1">IF($B$4=0,OFFSET(StateModDepletions_BL!V$5,$AM64,0),IF($B$4=1,OFFSET(StateModDepletions_BLNoRes!V$5,$AM64,0)))</f>
        <v>14501.540280342102</v>
      </c>
      <c r="W64" s="312">
        <f ca="1">IF($B$4=0,OFFSET(StateModDepletions_BL!W$5,$AM64,0),IF($B$4=1,OFFSET(StateModDepletions_BLNoRes!W$5,$AM64,0)))</f>
        <v>122786.38562608107</v>
      </c>
      <c r="X64" s="312">
        <f ca="1">IF($B$4=0,OFFSET(StateModDepletions_BL!X$5,$AM64,0),IF($B$4=1,OFFSET(StateModDepletions_BLNoRes!X$5,$AM64,0)))</f>
        <v>5954.7716854810715</v>
      </c>
      <c r="Y64" s="312">
        <f ca="1">IF($B$4=0,OFFSET(StateModDepletions_BL!Y$5,$AM64,0),IF($B$4=1,OFFSET(StateModDepletions_BLNoRes!Y$5,$AM64,0)))</f>
        <v>212.11356273293495</v>
      </c>
      <c r="Z64" s="312">
        <f ca="1">IF($B$4=0,OFFSET(StateModDepletions_BL!Z$5,$AM64,0),IF($B$4=1,OFFSET(StateModDepletions_BLNoRes!Z$5,$AM64,0)))</f>
        <v>194907.67035710812</v>
      </c>
      <c r="AA64" s="313">
        <f ca="1">IF($B$4=0,OFFSET(StateModDepletions_BL!AA$5,$AM64,0),IF($B$4=1,OFFSET(StateModDepletions_BLNoRes!AA$5,$AM64,0)))</f>
        <v>65954.399482813038</v>
      </c>
      <c r="AB64" s="314">
        <f ca="1">IF($B$4=0,OFFSET(StateModDepletions_BL!AB$5,$AM64,0),IF($B$4=1,OFFSET(StateModDepletions_BLNoRes!AB$5,$AM64,0)))</f>
        <v>24765.810481309891</v>
      </c>
      <c r="AC64" s="314">
        <f ca="1">IF($B$4=0,OFFSET(StateModDepletions_BL!AC$5,$AM64,0),IF($B$4=1,OFFSET(StateModDepletions_BLNoRes!AC$5,$AM64,0)))</f>
        <v>33319.077633671463</v>
      </c>
      <c r="AD64" s="314">
        <f ca="1">IF($B$4=0,OFFSET(StateModDepletions_BL!AD$5,$AM64,0),IF($B$4=1,OFFSET(StateModDepletions_BLNoRes!AD$5,$AM64,0)))</f>
        <v>18291.184624627233</v>
      </c>
      <c r="AE64" s="314">
        <f ca="1">IF($B$4=0,OFFSET(StateModDepletions_BL!AE$5,$AM64,0),IF($B$4=1,OFFSET(StateModDepletions_BLNoRes!AE$5,$AM64,0)))</f>
        <v>105451.68347095698</v>
      </c>
      <c r="AF64" s="314">
        <f ca="1">IF($B$4=0,OFFSET(StateModDepletions_BL!AF$5,$AM64,0),IF($B$4=1,OFFSET(StateModDepletions_BLNoRes!AF$5,$AM64,0)))</f>
        <v>18841.334682837118</v>
      </c>
      <c r="AG64" s="314">
        <f ca="1">IF($B$4=0,OFFSET(StateModDepletions_BL!AG$5,$AM64,0),IF($B$4=1,OFFSET(StateModDepletions_BLNoRes!AG$5,$AM64,0)))</f>
        <v>47269.375296740312</v>
      </c>
      <c r="AH64" s="314">
        <f ca="1">IF($B$4=0,OFFSET(StateModDepletions_BL!AH$5,$AM64,0),IF($B$4=1,OFFSET(StateModDepletions_BLNoRes!AH$5,$AM64,0)))</f>
        <v>22393.131459727883</v>
      </c>
      <c r="AI64" s="314">
        <f ca="1">IF($B$4=0,OFFSET(StateModDepletions_BL!AI$5,$AM64,0),IF($B$4=1,OFFSET(StateModDepletions_BLNoRes!AI$5,$AM64,0)))</f>
        <v>24736.037831365989</v>
      </c>
      <c r="AJ64" s="315">
        <f ca="1">IF($B$4=0,OFFSET(StateModDepletions_BL!AJ$5,$AM64,0),IF($B$4=1,OFFSET(StateModDepletions_BLNoRes!AJ$5,$AM64,0)))</f>
        <v>128741.15731156214</v>
      </c>
      <c r="AK64" s="519">
        <f t="shared" si="6"/>
        <v>59</v>
      </c>
      <c r="AL64" s="519">
        <f t="shared" si="5"/>
        <v>1987</v>
      </c>
      <c r="AM64" s="519">
        <f>MATCH($AL64,StateModDepletions_BL!$A$6:$A$90,0)</f>
        <v>59</v>
      </c>
    </row>
    <row r="65" spans="1:39" x14ac:dyDescent="0.25">
      <c r="A65" s="519">
        <f t="shared" si="3"/>
        <v>1988</v>
      </c>
      <c r="B65" s="311">
        <f ca="1">IF($B$4=0,OFFSET(StateModDepletions_BL!B$5,$AM65,0),IF($B$4=1,OFFSET(StateModDepletions_BLNoRes!B$5,$AM65,0)))</f>
        <v>32136.164511911571</v>
      </c>
      <c r="C65" s="312">
        <f ca="1">IF($B$4=0,OFFSET(StateModDepletions_BL!C$5,$AM65,0),IF($B$4=1,OFFSET(StateModDepletions_BLNoRes!C$5,$AM65,0)))</f>
        <v>1026.0025346279144</v>
      </c>
      <c r="D65" s="312">
        <f ca="1">IF($B$4=0,OFFSET(StateModDepletions_BL!D$5,$AM65,0),IF($B$4=1,OFFSET(StateModDepletions_BLNoRes!D$5,$AM65,0)))</f>
        <v>60055.489227294922</v>
      </c>
      <c r="E65" s="312">
        <f ca="1">IF($B$4=0,OFFSET(StateModDepletions_BL!E$5,$AM65,0),IF($B$4=1,OFFSET(StateModDepletions_BLNoRes!E$5,$AM65,0)))</f>
        <v>2810.7051087617874</v>
      </c>
      <c r="F65" s="312">
        <f ca="1">IF($B$4=0,OFFSET(StateModDepletions_BL!F$5,$AM65,0),IF($B$4=1,OFFSET(StateModDepletions_BLNoRes!F$5,$AM65,0)))</f>
        <v>15976.881240855902</v>
      </c>
      <c r="G65" s="312">
        <f ca="1">IF($B$4=0,OFFSET(StateModDepletions_BL!G$5,$AM65,0),IF($B$4=1,OFFSET(StateModDepletions_BLNoRes!G$5,$AM65,0)))</f>
        <v>2036.5992698669434</v>
      </c>
      <c r="H65" s="312">
        <f ca="1">IF($B$4=0,OFFSET(StateModDepletions_BL!H$5,$AM65,0),IF($B$4=1,OFFSET(StateModDepletions_BLNoRes!H$5,$AM65,0)))</f>
        <v>2838.8627778291702</v>
      </c>
      <c r="I65" s="312">
        <f ca="1">IF($B$4=0,OFFSET(StateModDepletions_BL!I$5,$AM65,0),IF($B$4=1,OFFSET(StateModDepletions_BLNoRes!I$5,$AM65,0)))</f>
        <v>105956.28976468369</v>
      </c>
      <c r="J65" s="312">
        <f ca="1">IF($B$4=0,OFFSET(StateModDepletions_BL!J$5,$AM65,0),IF($B$4=1,OFFSET(StateModDepletions_BLNoRes!J$5,$AM65,0)))</f>
        <v>2383.7892835140228</v>
      </c>
      <c r="K65" s="312">
        <f ca="1">IF($B$4=0,OFFSET(StateModDepletions_BL!K$5,$AM65,0),IF($B$4=1,OFFSET(StateModDepletions_BLNoRes!K$5,$AM65,0)))</f>
        <v>19116.242594718933</v>
      </c>
      <c r="L65" s="312">
        <f ca="1">IF($B$4=0,OFFSET(StateModDepletions_BL!L$5,$AM65,0),IF($B$4=1,OFFSET(StateModDepletions_BLNoRes!L$5,$AM65,0)))</f>
        <v>18796.640632197261</v>
      </c>
      <c r="M65" s="312">
        <f ca="1">IF($B$4=0,OFFSET(StateModDepletions_BL!M$5,$AM65,0),IF($B$4=1,OFFSET(StateModDepletions_BLNoRes!M$5,$AM65,0)))</f>
        <v>1385.8992519378662</v>
      </c>
      <c r="N65" s="312">
        <f ca="1">IF($B$4=0,OFFSET(StateModDepletions_BL!N$5,$AM65,0),IF($B$4=1,OFFSET(StateModDepletions_BLNoRes!N$5,$AM65,0)))</f>
        <v>1326.6977829933167</v>
      </c>
      <c r="O65" s="312">
        <f ca="1">IF($B$4=0,OFFSET(StateModDepletions_BL!O$5,$AM65,0),IF($B$4=1,OFFSET(StateModDepletions_BLNoRes!O$5,$AM65,0)))</f>
        <v>43716.758535696645</v>
      </c>
      <c r="P65" s="312">
        <f ca="1">IF($B$4=0,OFFSET(StateModDepletions_BL!P$5,$AM65,0),IF($B$4=1,OFFSET(StateModDepletions_BLNoRes!P$5,$AM65,0)))</f>
        <v>340.94512009620667</v>
      </c>
      <c r="Q65" s="312">
        <f ca="1">IF($B$4=0,OFFSET(StateModDepletions_BL!Q$5,$AM65,0),IF($B$4=1,OFFSET(StateModDepletions_BLNoRes!Q$5,$AM65,0)))</f>
        <v>19178.630270108581</v>
      </c>
      <c r="R65" s="312">
        <f ca="1">IF($B$4=0,OFFSET(StateModDepletions_BL!R$5,$AM65,0),IF($B$4=1,OFFSET(StateModDepletions_BLNoRes!R$5,$AM65,0)))</f>
        <v>598.83215999603271</v>
      </c>
      <c r="S65" s="312">
        <f ca="1">IF($B$4=0,OFFSET(StateModDepletions_BL!S$5,$AM65,0),IF($B$4=1,OFFSET(StateModDepletions_BLNoRes!S$5,$AM65,0)))</f>
        <v>0</v>
      </c>
      <c r="T65" s="312">
        <f ca="1">IF($B$4=0,OFFSET(StateModDepletions_BL!T$5,$AM65,0),IF($B$4=1,OFFSET(StateModDepletions_BLNoRes!T$5,$AM65,0)))</f>
        <v>14799.22920816578</v>
      </c>
      <c r="U65" s="312">
        <f ca="1">IF($B$4=0,OFFSET(StateModDepletions_BL!U$5,$AM65,0),IF($B$4=1,OFFSET(StateModDepletions_BLNoRes!U$5,$AM65,0)))</f>
        <v>1433.1278231892525</v>
      </c>
      <c r="V65" s="312">
        <f ca="1">IF($B$4=0,OFFSET(StateModDepletions_BL!V$5,$AM65,0),IF($B$4=1,OFFSET(StateModDepletions_BLNoRes!V$5,$AM65,0)))</f>
        <v>12880.180867195129</v>
      </c>
      <c r="W65" s="312">
        <f ca="1">IF($B$4=0,OFFSET(StateModDepletions_BL!W$5,$AM65,0),IF($B$4=1,OFFSET(StateModDepletions_BLNoRes!W$5,$AM65,0)))</f>
        <v>117163.91494465216</v>
      </c>
      <c r="X65" s="312">
        <f ca="1">IF($B$4=0,OFFSET(StateModDepletions_BL!X$5,$AM65,0),IF($B$4=1,OFFSET(StateModDepletions_BLNoRes!X$5,$AM65,0)))</f>
        <v>5766.3554458767176</v>
      </c>
      <c r="Y65" s="312">
        <f ca="1">IF($B$4=0,OFFSET(StateModDepletions_BL!Y$5,$AM65,0),IF($B$4=1,OFFSET(StateModDepletions_BLNoRes!Y$5,$AM65,0)))</f>
        <v>212.11356273293495</v>
      </c>
      <c r="Z65" s="312">
        <f ca="1">IF($B$4=0,OFFSET(StateModDepletions_BL!Z$5,$AM65,0),IF($B$4=1,OFFSET(StateModDepletions_BLNoRes!Z$5,$AM65,0)))</f>
        <v>189478.57684993744</v>
      </c>
      <c r="AA65" s="313">
        <f ca="1">IF($B$4=0,OFFSET(StateModDepletions_BL!AA$5,$AM65,0),IF($B$4=1,OFFSET(StateModDepletions_BLNoRes!AA$5,$AM65,0)))</f>
        <v>66336.192896675624</v>
      </c>
      <c r="AB65" s="314">
        <f ca="1">IF($B$4=0,OFFSET(StateModDepletions_BL!AB$5,$AM65,0),IF($B$4=1,OFFSET(StateModDepletions_BLNoRes!AB$5,$AM65,0)))</f>
        <v>24765.810481309891</v>
      </c>
      <c r="AC65" s="314">
        <f ca="1">IF($B$4=0,OFFSET(StateModDepletions_BL!AC$5,$AM65,0),IF($B$4=1,OFFSET(StateModDepletions_BLNoRes!AC$5,$AM65,0)))</f>
        <v>33162.167046539485</v>
      </c>
      <c r="AD65" s="314">
        <f ca="1">IF($B$4=0,OFFSET(StateModDepletions_BL!AD$5,$AM65,0),IF($B$4=1,OFFSET(StateModDepletions_BLNoRes!AD$5,$AM65,0)))</f>
        <v>18013.480510722846</v>
      </c>
      <c r="AE65" s="314">
        <f ca="1">IF($B$4=0,OFFSET(StateModDepletions_BL!AE$5,$AM65,0),IF($B$4=1,OFFSET(StateModDepletions_BLNoRes!AE$5,$AM65,0)))</f>
        <v>108340.07904819772</v>
      </c>
      <c r="AF65" s="314">
        <f ca="1">IF($B$4=0,OFFSET(StateModDepletions_BL!AF$5,$AM65,0),IF($B$4=1,OFFSET(StateModDepletions_BLNoRes!AF$5,$AM65,0)))</f>
        <v>20182.539884135127</v>
      </c>
      <c r="AG65" s="314">
        <f ca="1">IF($B$4=0,OFFSET(StateModDepletions_BL!AG$5,$AM65,0),IF($B$4=1,OFFSET(StateModDepletions_BLNoRes!AG$5,$AM65,0)))</f>
        <v>44057.703655792851</v>
      </c>
      <c r="AH65" s="314">
        <f ca="1">IF($B$4=0,OFFSET(StateModDepletions_BL!AH$5,$AM65,0),IF($B$4=1,OFFSET(StateModDepletions_BLNoRes!AH$5,$AM65,0)))</f>
        <v>19777.462430104613</v>
      </c>
      <c r="AI65" s="314">
        <f ca="1">IF($B$4=0,OFFSET(StateModDepletions_BL!AI$5,$AM65,0),IF($B$4=1,OFFSET(StateModDepletions_BLNoRes!AI$5,$AM65,0)))</f>
        <v>16232.357031355032</v>
      </c>
      <c r="AJ65" s="315">
        <f ca="1">IF($B$4=0,OFFSET(StateModDepletions_BL!AJ$5,$AM65,0),IF($B$4=1,OFFSET(StateModDepletions_BLNoRes!AJ$5,$AM65,0)))</f>
        <v>122930.27039052888</v>
      </c>
      <c r="AK65" s="519">
        <f t="shared" si="6"/>
        <v>60</v>
      </c>
      <c r="AL65" s="519">
        <f t="shared" si="5"/>
        <v>1988</v>
      </c>
      <c r="AM65" s="519">
        <f>MATCH($AL65,StateModDepletions_BL!$A$6:$A$90,0)</f>
        <v>60</v>
      </c>
    </row>
    <row r="66" spans="1:39" x14ac:dyDescent="0.25">
      <c r="A66" s="519">
        <f t="shared" si="3"/>
        <v>1989</v>
      </c>
      <c r="B66" s="311">
        <f ca="1">IF($B$4=0,OFFSET(StateModDepletions_BL!B$5,$AM66,0),IF($B$4=1,OFFSET(StateModDepletions_BLNoRes!B$5,$AM66,0)))</f>
        <v>33670.659942824394</v>
      </c>
      <c r="C66" s="312">
        <f ca="1">IF($B$4=0,OFFSET(StateModDepletions_BL!C$5,$AM66,0),IF($B$4=1,OFFSET(StateModDepletions_BLNoRes!C$5,$AM66,0)))</f>
        <v>1026.0025346279144</v>
      </c>
      <c r="D66" s="312">
        <f ca="1">IF($B$4=0,OFFSET(StateModDepletions_BL!D$5,$AM66,0),IF($B$4=1,OFFSET(StateModDepletions_BLNoRes!D$5,$AM66,0)))</f>
        <v>66110.755737304688</v>
      </c>
      <c r="E66" s="312">
        <f ca="1">IF($B$4=0,OFFSET(StateModDepletions_BL!E$5,$AM66,0),IF($B$4=1,OFFSET(StateModDepletions_BLNoRes!E$5,$AM66,0)))</f>
        <v>2810.7051087617874</v>
      </c>
      <c r="F66" s="312">
        <f ca="1">IF($B$4=0,OFFSET(StateModDepletions_BL!F$5,$AM66,0),IF($B$4=1,OFFSET(StateModDepletions_BLNoRes!F$5,$AM66,0)))</f>
        <v>16448.197522863746</v>
      </c>
      <c r="G66" s="312">
        <f ca="1">IF($B$4=0,OFFSET(StateModDepletions_BL!G$5,$AM66,0),IF($B$4=1,OFFSET(StateModDepletions_BLNoRes!G$5,$AM66,0)))</f>
        <v>2036.5992698669434</v>
      </c>
      <c r="H66" s="312">
        <f ca="1">IF($B$4=0,OFFSET(StateModDepletions_BL!H$5,$AM66,0),IF($B$4=1,OFFSET(StateModDepletions_BLNoRes!H$5,$AM66,0)))</f>
        <v>2838.8627778291702</v>
      </c>
      <c r="I66" s="312">
        <f ca="1">IF($B$4=0,OFFSET(StateModDepletions_BL!I$5,$AM66,0),IF($B$4=1,OFFSET(StateModDepletions_BLNoRes!I$5,$AM66,0)))</f>
        <v>106934.7685354054</v>
      </c>
      <c r="J66" s="312">
        <f ca="1">IF($B$4=0,OFFSET(StateModDepletions_BL!J$5,$AM66,0),IF($B$4=1,OFFSET(StateModDepletions_BLNoRes!J$5,$AM66,0)))</f>
        <v>1715.0700204372406</v>
      </c>
      <c r="K66" s="312">
        <f ca="1">IF($B$4=0,OFFSET(StateModDepletions_BL!K$5,$AM66,0),IF($B$4=1,OFFSET(StateModDepletions_BLNoRes!K$5,$AM66,0)))</f>
        <v>19116.242594718933</v>
      </c>
      <c r="L66" s="312">
        <f ca="1">IF($B$4=0,OFFSET(StateModDepletions_BL!L$5,$AM66,0),IF($B$4=1,OFFSET(StateModDepletions_BLNoRes!L$5,$AM66,0)))</f>
        <v>20393.38134068995</v>
      </c>
      <c r="M66" s="312">
        <f ca="1">IF($B$4=0,OFFSET(StateModDepletions_BL!M$5,$AM66,0),IF($B$4=1,OFFSET(StateModDepletions_BLNoRes!M$5,$AM66,0)))</f>
        <v>1394.1528329849243</v>
      </c>
      <c r="N66" s="312">
        <f ca="1">IF($B$4=0,OFFSET(StateModDepletions_BL!N$5,$AM66,0),IF($B$4=1,OFFSET(StateModDepletions_BLNoRes!N$5,$AM66,0)))</f>
        <v>1326.6977829933167</v>
      </c>
      <c r="O66" s="312">
        <f ca="1">IF($B$4=0,OFFSET(StateModDepletions_BL!O$5,$AM66,0),IF($B$4=1,OFFSET(StateModDepletions_BLNoRes!O$5,$AM66,0)))</f>
        <v>33614.439321054597</v>
      </c>
      <c r="P66" s="312">
        <f ca="1">IF($B$4=0,OFFSET(StateModDepletions_BL!P$5,$AM66,0),IF($B$4=1,OFFSET(StateModDepletions_BLNoRes!P$5,$AM66,0)))</f>
        <v>366.49237990379333</v>
      </c>
      <c r="Q66" s="312">
        <f ca="1">IF($B$4=0,OFFSET(StateModDepletions_BL!Q$5,$AM66,0),IF($B$4=1,OFFSET(StateModDepletions_BLNoRes!Q$5,$AM66,0)))</f>
        <v>12671.576250717044</v>
      </c>
      <c r="R66" s="312">
        <f ca="1">IF($B$4=0,OFFSET(StateModDepletions_BL!R$5,$AM66,0),IF($B$4=1,OFFSET(StateModDepletions_BLNoRes!R$5,$AM66,0)))</f>
        <v>598.83215999603271</v>
      </c>
      <c r="S66" s="312">
        <f ca="1">IF($B$4=0,OFFSET(StateModDepletions_BL!S$5,$AM66,0),IF($B$4=1,OFFSET(StateModDepletions_BLNoRes!S$5,$AM66,0)))</f>
        <v>0</v>
      </c>
      <c r="T66" s="312">
        <f ca="1">IF($B$4=0,OFFSET(StateModDepletions_BL!T$5,$AM66,0),IF($B$4=1,OFFSET(StateModDepletions_BLNoRes!T$5,$AM66,0)))</f>
        <v>13050.715059756332</v>
      </c>
      <c r="U66" s="312">
        <f ca="1">IF($B$4=0,OFFSET(StateModDepletions_BL!U$5,$AM66,0),IF($B$4=1,OFFSET(StateModDepletions_BLNoRes!U$5,$AM66,0)))</f>
        <v>1438.102690756321</v>
      </c>
      <c r="V66" s="312">
        <f ca="1">IF($B$4=0,OFFSET(StateModDepletions_BL!V$5,$AM66,0),IF($B$4=1,OFFSET(StateModDepletions_BLNoRes!V$5,$AM66,0)))</f>
        <v>8339.6251201629639</v>
      </c>
      <c r="W66" s="312">
        <f ca="1">IF($B$4=0,OFFSET(StateModDepletions_BL!W$5,$AM66,0),IF($B$4=1,OFFSET(StateModDepletions_BLNoRes!W$5,$AM66,0)))</f>
        <v>143254.77109372959</v>
      </c>
      <c r="X66" s="312">
        <f ca="1">IF($B$4=0,OFFSET(StateModDepletions_BL!X$5,$AM66,0),IF($B$4=1,OFFSET(StateModDepletions_BLNoRes!X$5,$AM66,0)))</f>
        <v>5500.6703393608914</v>
      </c>
      <c r="Y66" s="312">
        <f ca="1">IF($B$4=0,OFFSET(StateModDepletions_BL!Y$5,$AM66,0),IF($B$4=1,OFFSET(StateModDepletions_BLNoRes!Y$5,$AM66,0)))</f>
        <v>212.11356273293495</v>
      </c>
      <c r="Z66" s="312">
        <f ca="1">IF($B$4=0,OFFSET(StateModDepletions_BL!Z$5,$AM66,0),IF($B$4=1,OFFSET(StateModDepletions_BLNoRes!Z$5,$AM66,0)))</f>
        <v>186427.57899856567</v>
      </c>
      <c r="AA66" s="313">
        <f ca="1">IF($B$4=0,OFFSET(StateModDepletions_BL!AA$5,$AM66,0),IF($B$4=1,OFFSET(StateModDepletions_BLNoRes!AA$5,$AM66,0)))</f>
        <v>37460.024002742255</v>
      </c>
      <c r="AB66" s="314">
        <f ca="1">IF($B$4=0,OFFSET(StateModDepletions_BL!AB$5,$AM66,0),IF($B$4=1,OFFSET(StateModDepletions_BLNoRes!AB$5,$AM66,0)))</f>
        <v>24765.810481309891</v>
      </c>
      <c r="AC66" s="314">
        <f ca="1">IF($B$4=0,OFFSET(StateModDepletions_BL!AC$5,$AM66,0),IF($B$4=1,OFFSET(StateModDepletions_BLNoRes!AC$5,$AM66,0)))</f>
        <v>34696.662477452308</v>
      </c>
      <c r="AD66" s="314">
        <f ca="1">IF($B$4=0,OFFSET(StateModDepletions_BL!AD$5,$AM66,0),IF($B$4=1,OFFSET(StateModDepletions_BLNoRes!AD$5,$AM66,0)))</f>
        <v>18484.796792730689</v>
      </c>
      <c r="AE66" s="314">
        <f ca="1">IF($B$4=0,OFFSET(StateModDepletions_BL!AE$5,$AM66,0),IF($B$4=1,OFFSET(StateModDepletions_BLNoRes!AE$5,$AM66,0)))</f>
        <v>108649.83855584264</v>
      </c>
      <c r="AF66" s="314">
        <f ca="1">IF($B$4=0,OFFSET(StateModDepletions_BL!AF$5,$AM66,0),IF($B$4=1,OFFSET(StateModDepletions_BLNoRes!AF$5,$AM66,0)))</f>
        <v>21787.534173674874</v>
      </c>
      <c r="AG66" s="314">
        <f ca="1">IF($B$4=0,OFFSET(StateModDepletions_BL!AG$5,$AM66,0),IF($B$4=1,OFFSET(StateModDepletions_BLNoRes!AG$5,$AM66,0)))</f>
        <v>33980.93170095839</v>
      </c>
      <c r="AH66" s="314">
        <f ca="1">IF($B$4=0,OFFSET(StateModDepletions_BL!AH$5,$AM66,0),IF($B$4=1,OFFSET(StateModDepletions_BLNoRes!AH$5,$AM66,0)))</f>
        <v>13270.408410713077</v>
      </c>
      <c r="AI66" s="314">
        <f ca="1">IF($B$4=0,OFFSET(StateModDepletions_BL!AI$5,$AM66,0),IF($B$4=1,OFFSET(StateModDepletions_BLNoRes!AI$5,$AM66,0)))</f>
        <v>14488.817750512653</v>
      </c>
      <c r="AJ66" s="315">
        <f ca="1">IF($B$4=0,OFFSET(StateModDepletions_BL!AJ$5,$AM66,0),IF($B$4=1,OFFSET(StateModDepletions_BLNoRes!AJ$5,$AM66,0)))</f>
        <v>148755.44143309048</v>
      </c>
      <c r="AK66" s="519">
        <f t="shared" si="6"/>
        <v>61</v>
      </c>
      <c r="AL66" s="519">
        <f t="shared" si="5"/>
        <v>1989</v>
      </c>
      <c r="AM66" s="519">
        <f>MATCH($AL66,StateModDepletions_BL!$A$6:$A$90,0)</f>
        <v>61</v>
      </c>
    </row>
    <row r="67" spans="1:39" x14ac:dyDescent="0.25">
      <c r="A67" s="519">
        <f t="shared" si="3"/>
        <v>1990</v>
      </c>
      <c r="B67" s="311">
        <f ca="1">IF($B$4=0,OFFSET(StateModDepletions_BL!B$5,$AM67,0),IF($B$4=1,OFFSET(StateModDepletions_BLNoRes!B$5,$AM67,0)))</f>
        <v>30562.329971387982</v>
      </c>
      <c r="C67" s="312">
        <f ca="1">IF($B$4=0,OFFSET(StateModDepletions_BL!C$5,$AM67,0),IF($B$4=1,OFFSET(StateModDepletions_BLNoRes!C$5,$AM67,0)))</f>
        <v>1026.0025346279144</v>
      </c>
      <c r="D67" s="312">
        <f ca="1">IF($B$4=0,OFFSET(StateModDepletions_BL!D$5,$AM67,0),IF($B$4=1,OFFSET(StateModDepletions_BLNoRes!D$5,$AM67,0)))</f>
        <v>68981.821533203125</v>
      </c>
      <c r="E67" s="312">
        <f ca="1">IF($B$4=0,OFFSET(StateModDepletions_BL!E$5,$AM67,0),IF($B$4=1,OFFSET(StateModDepletions_BLNoRes!E$5,$AM67,0)))</f>
        <v>2810.7051087617874</v>
      </c>
      <c r="F67" s="312">
        <f ca="1">IF($B$4=0,OFFSET(StateModDepletions_BL!F$5,$AM67,0),IF($B$4=1,OFFSET(StateModDepletions_BLNoRes!F$5,$AM67,0)))</f>
        <v>15215.450620874763</v>
      </c>
      <c r="G67" s="312">
        <f ca="1">IF($B$4=0,OFFSET(StateModDepletions_BL!G$5,$AM67,0),IF($B$4=1,OFFSET(StateModDepletions_BLNoRes!G$5,$AM67,0)))</f>
        <v>2036.5992698669434</v>
      </c>
      <c r="H67" s="312">
        <f ca="1">IF($B$4=0,OFFSET(StateModDepletions_BL!H$5,$AM67,0),IF($B$4=1,OFFSET(StateModDepletions_BLNoRes!H$5,$AM67,0)))</f>
        <v>2838.8627778291702</v>
      </c>
      <c r="I67" s="312">
        <f ca="1">IF($B$4=0,OFFSET(StateModDepletions_BL!I$5,$AM67,0),IF($B$4=1,OFFSET(StateModDepletions_BLNoRes!I$5,$AM67,0)))</f>
        <v>97499.411266297102</v>
      </c>
      <c r="J67" s="312">
        <f ca="1">IF($B$4=0,OFFSET(StateModDepletions_BL!J$5,$AM67,0),IF($B$4=1,OFFSET(StateModDepletions_BLNoRes!J$5,$AM67,0)))</f>
        <v>2124.5331494808197</v>
      </c>
      <c r="K67" s="312">
        <f ca="1">IF($B$4=0,OFFSET(StateModDepletions_BL!K$5,$AM67,0),IF($B$4=1,OFFSET(StateModDepletions_BLNoRes!K$5,$AM67,0)))</f>
        <v>19116.242594718933</v>
      </c>
      <c r="L67" s="312">
        <f ca="1">IF($B$4=0,OFFSET(StateModDepletions_BL!L$5,$AM67,0),IF($B$4=1,OFFSET(StateModDepletions_BLNoRes!L$5,$AM67,0)))</f>
        <v>17084.847532734268</v>
      </c>
      <c r="M67" s="312">
        <f ca="1">IF($B$4=0,OFFSET(StateModDepletions_BL!M$5,$AM67,0),IF($B$4=1,OFFSET(StateModDepletions_BLNoRes!M$5,$AM67,0)))</f>
        <v>1436.1444606781006</v>
      </c>
      <c r="N67" s="312">
        <f ca="1">IF($B$4=0,OFFSET(StateModDepletions_BL!N$5,$AM67,0),IF($B$4=1,OFFSET(StateModDepletions_BLNoRes!N$5,$AM67,0)))</f>
        <v>1326.6977829933167</v>
      </c>
      <c r="O67" s="312">
        <f ca="1">IF($B$4=0,OFFSET(StateModDepletions_BL!O$5,$AM67,0),IF($B$4=1,OFFSET(StateModDepletions_BLNoRes!O$5,$AM67,0)))</f>
        <v>34214.242193310041</v>
      </c>
      <c r="P67" s="312">
        <f ca="1">IF($B$4=0,OFFSET(StateModDepletions_BL!P$5,$AM67,0),IF($B$4=1,OFFSET(StateModDepletions_BLNoRes!P$5,$AM67,0)))</f>
        <v>288.74829077720642</v>
      </c>
      <c r="Q67" s="312">
        <f ca="1">IF($B$4=0,OFFSET(StateModDepletions_BL!Q$5,$AM67,0),IF($B$4=1,OFFSET(StateModDepletions_BLNoRes!Q$5,$AM67,0)))</f>
        <v>11856.981076702476</v>
      </c>
      <c r="R67" s="312">
        <f ca="1">IF($B$4=0,OFFSET(StateModDepletions_BL!R$5,$AM67,0),IF($B$4=1,OFFSET(StateModDepletions_BLNoRes!R$5,$AM67,0)))</f>
        <v>598.83215999603271</v>
      </c>
      <c r="S67" s="312">
        <f ca="1">IF($B$4=0,OFFSET(StateModDepletions_BL!S$5,$AM67,0),IF($B$4=1,OFFSET(StateModDepletions_BLNoRes!S$5,$AM67,0)))</f>
        <v>0</v>
      </c>
      <c r="T67" s="312">
        <f ca="1">IF($B$4=0,OFFSET(StateModDepletions_BL!T$5,$AM67,0),IF($B$4=1,OFFSET(StateModDepletions_BLNoRes!T$5,$AM67,0)))</f>
        <v>8233.4886131909498</v>
      </c>
      <c r="U67" s="312">
        <f ca="1">IF($B$4=0,OFFSET(StateModDepletions_BL!U$5,$AM67,0),IF($B$4=1,OFFSET(StateModDepletions_BLNoRes!U$5,$AM67,0)))</f>
        <v>1379.1811339259148</v>
      </c>
      <c r="V67" s="312">
        <f ca="1">IF($B$4=0,OFFSET(StateModDepletions_BL!V$5,$AM67,0),IF($B$4=1,OFFSET(StateModDepletions_BLNoRes!V$5,$AM67,0)))</f>
        <v>10663.555787086487</v>
      </c>
      <c r="W67" s="312">
        <f ca="1">IF($B$4=0,OFFSET(StateModDepletions_BL!W$5,$AM67,0),IF($B$4=1,OFFSET(StateModDepletions_BLNoRes!W$5,$AM67,0)))</f>
        <v>115616.0458571647</v>
      </c>
      <c r="X67" s="312">
        <f ca="1">IF($B$4=0,OFFSET(StateModDepletions_BL!X$5,$AM67,0),IF($B$4=1,OFFSET(StateModDepletions_BLNoRes!X$5,$AM67,0)))</f>
        <v>5484.871378025854</v>
      </c>
      <c r="Y67" s="312">
        <f ca="1">IF($B$4=0,OFFSET(StateModDepletions_BL!Y$5,$AM67,0),IF($B$4=1,OFFSET(StateModDepletions_BLNoRes!Y$5,$AM67,0)))</f>
        <v>212.11356273293495</v>
      </c>
      <c r="Z67" s="312">
        <f ca="1">IF($B$4=0,OFFSET(StateModDepletions_BL!Z$5,$AM67,0),IF($B$4=1,OFFSET(StateModDepletions_BLNoRes!Z$5,$AM67,0)))</f>
        <v>230290.84494149685</v>
      </c>
      <c r="AA67" s="313">
        <f ca="1">IF($B$4=0,OFFSET(StateModDepletions_BL!AA$5,$AM67,0),IF($B$4=1,OFFSET(StateModDepletions_BLNoRes!AA$5,$AM67,0)))</f>
        <v>108977.81414357336</v>
      </c>
      <c r="AB67" s="314">
        <f ca="1">IF($B$4=0,OFFSET(StateModDepletions_BL!AB$5,$AM67,0),IF($B$4=1,OFFSET(StateModDepletions_BLNoRes!AB$5,$AM67,0)))</f>
        <v>24765.810481309891</v>
      </c>
      <c r="AC67" s="314">
        <f ca="1">IF($B$4=0,OFFSET(StateModDepletions_BL!AC$5,$AM67,0),IF($B$4=1,OFFSET(StateModDepletions_BLNoRes!AC$5,$AM67,0)))</f>
        <v>31588.332506015897</v>
      </c>
      <c r="AD67" s="314">
        <f ca="1">IF($B$4=0,OFFSET(StateModDepletions_BL!AD$5,$AM67,0),IF($B$4=1,OFFSET(StateModDepletions_BLNoRes!AD$5,$AM67,0)))</f>
        <v>17252.049890741706</v>
      </c>
      <c r="AE67" s="314">
        <f ca="1">IF($B$4=0,OFFSET(StateModDepletions_BL!AE$5,$AM67,0),IF($B$4=1,OFFSET(StateModDepletions_BLNoRes!AE$5,$AM67,0)))</f>
        <v>99623.944415777922</v>
      </c>
      <c r="AF67" s="314">
        <f ca="1">IF($B$4=0,OFFSET(StateModDepletions_BL!AF$5,$AM67,0),IF($B$4=1,OFFSET(StateModDepletions_BLNoRes!AF$5,$AM67,0)))</f>
        <v>18520.991993412368</v>
      </c>
      <c r="AG67" s="314">
        <f ca="1">IF($B$4=0,OFFSET(StateModDepletions_BL!AG$5,$AM67,0),IF($B$4=1,OFFSET(StateModDepletions_BLNoRes!AG$5,$AM67,0)))</f>
        <v>34502.990484087248</v>
      </c>
      <c r="AH67" s="314">
        <f ca="1">IF($B$4=0,OFFSET(StateModDepletions_BL!AH$5,$AM67,0),IF($B$4=1,OFFSET(StateModDepletions_BLNoRes!AH$5,$AM67,0)))</f>
        <v>12455.813236698508</v>
      </c>
      <c r="AI67" s="314">
        <f ca="1">IF($B$4=0,OFFSET(StateModDepletions_BL!AI$5,$AM67,0),IF($B$4=1,OFFSET(StateModDepletions_BLNoRes!AI$5,$AM67,0)))</f>
        <v>9612.6697471168645</v>
      </c>
      <c r="AJ67" s="315">
        <f ca="1">IF($B$4=0,OFFSET(StateModDepletions_BL!AJ$5,$AM67,0),IF($B$4=1,OFFSET(StateModDepletions_BLNoRes!AJ$5,$AM67,0)))</f>
        <v>121100.91723519056</v>
      </c>
      <c r="AK67" s="519">
        <f t="shared" si="6"/>
        <v>62</v>
      </c>
      <c r="AL67" s="519">
        <f t="shared" si="5"/>
        <v>1990</v>
      </c>
      <c r="AM67" s="519">
        <f>MATCH($AL67,StateModDepletions_BL!$A$6:$A$90,0)</f>
        <v>62</v>
      </c>
    </row>
    <row r="68" spans="1:39" x14ac:dyDescent="0.25">
      <c r="A68" s="519">
        <f t="shared" si="3"/>
        <v>1991</v>
      </c>
      <c r="B68" s="311">
        <f ca="1">IF($B$4=0,OFFSET(StateModDepletions_BL!B$5,$AM68,0),IF($B$4=1,OFFSET(StateModDepletions_BLNoRes!B$5,$AM68,0)))</f>
        <v>29874.590659990907</v>
      </c>
      <c r="C68" s="312">
        <f ca="1">IF($B$4=0,OFFSET(StateModDepletions_BL!C$5,$AM68,0),IF($B$4=1,OFFSET(StateModDepletions_BLNoRes!C$5,$AM68,0)))</f>
        <v>1026.0025346279144</v>
      </c>
      <c r="D68" s="312">
        <f ca="1">IF($B$4=0,OFFSET(StateModDepletions_BL!D$5,$AM68,0),IF($B$4=1,OFFSET(StateModDepletions_BLNoRes!D$5,$AM68,0)))</f>
        <v>117437.73883056641</v>
      </c>
      <c r="E68" s="312">
        <f ca="1">IF($B$4=0,OFFSET(StateModDepletions_BL!E$5,$AM68,0),IF($B$4=1,OFFSET(StateModDepletions_BLNoRes!E$5,$AM68,0)))</f>
        <v>2810.7051087617874</v>
      </c>
      <c r="F68" s="312">
        <f ca="1">IF($B$4=0,OFFSET(StateModDepletions_BL!F$5,$AM68,0),IF($B$4=1,OFFSET(StateModDepletions_BLNoRes!F$5,$AM68,0)))</f>
        <v>14863.587761357427</v>
      </c>
      <c r="G68" s="312">
        <f ca="1">IF($B$4=0,OFFSET(StateModDepletions_BL!G$5,$AM68,0),IF($B$4=1,OFFSET(StateModDepletions_BLNoRes!G$5,$AM68,0)))</f>
        <v>2036.5992698669434</v>
      </c>
      <c r="H68" s="312">
        <f ca="1">IF($B$4=0,OFFSET(StateModDepletions_BL!H$5,$AM68,0),IF($B$4=1,OFFSET(StateModDepletions_BLNoRes!H$5,$AM68,0)))</f>
        <v>2838.8627778291702</v>
      </c>
      <c r="I68" s="312">
        <f ca="1">IF($B$4=0,OFFSET(StateModDepletions_BL!I$5,$AM68,0),IF($B$4=1,OFFSET(StateModDepletions_BLNoRes!I$5,$AM68,0)))</f>
        <v>106282.67822857201</v>
      </c>
      <c r="J68" s="312">
        <f ca="1">IF($B$4=0,OFFSET(StateModDepletions_BL!J$5,$AM68,0),IF($B$4=1,OFFSET(StateModDepletions_BLNoRes!J$5,$AM68,0)))</f>
        <v>2485.713142156601</v>
      </c>
      <c r="K68" s="312">
        <f ca="1">IF($B$4=0,OFFSET(StateModDepletions_BL!K$5,$AM68,0),IF($B$4=1,OFFSET(StateModDepletions_BLNoRes!K$5,$AM68,0)))</f>
        <v>19116.242594718933</v>
      </c>
      <c r="L68" s="312">
        <f ca="1">IF($B$4=0,OFFSET(StateModDepletions_BL!L$5,$AM68,0),IF($B$4=1,OFFSET(StateModDepletions_BLNoRes!L$5,$AM68,0)))</f>
        <v>19005.348350889963</v>
      </c>
      <c r="M68" s="312">
        <f ca="1">IF($B$4=0,OFFSET(StateModDepletions_BL!M$5,$AM68,0),IF($B$4=1,OFFSET(StateModDepletions_BLNoRes!M$5,$AM68,0)))</f>
        <v>1393.4346914291382</v>
      </c>
      <c r="N68" s="312">
        <f ca="1">IF($B$4=0,OFFSET(StateModDepletions_BL!N$5,$AM68,0),IF($B$4=1,OFFSET(StateModDepletions_BLNoRes!N$5,$AM68,0)))</f>
        <v>1326.6977829933167</v>
      </c>
      <c r="O68" s="312">
        <f ca="1">IF($B$4=0,OFFSET(StateModDepletions_BL!O$5,$AM68,0),IF($B$4=1,OFFSET(StateModDepletions_BLNoRes!O$5,$AM68,0)))</f>
        <v>40674.193793682833</v>
      </c>
      <c r="P68" s="312">
        <f ca="1">IF($B$4=0,OFFSET(StateModDepletions_BL!P$5,$AM68,0),IF($B$4=1,OFFSET(StateModDepletions_BLNoRes!P$5,$AM68,0)))</f>
        <v>363.56249809265137</v>
      </c>
      <c r="Q68" s="312">
        <f ca="1">IF($B$4=0,OFFSET(StateModDepletions_BL!Q$5,$AM68,0),IF($B$4=1,OFFSET(StateModDepletions_BLNoRes!Q$5,$AM68,0)))</f>
        <v>16571.399551846087</v>
      </c>
      <c r="R68" s="312">
        <f ca="1">IF($B$4=0,OFFSET(StateModDepletions_BL!R$5,$AM68,0),IF($B$4=1,OFFSET(StateModDepletions_BLNoRes!R$5,$AM68,0)))</f>
        <v>598.83215999603271</v>
      </c>
      <c r="S68" s="312">
        <f ca="1">IF($B$4=0,OFFSET(StateModDepletions_BL!S$5,$AM68,0),IF($B$4=1,OFFSET(StateModDepletions_BLNoRes!S$5,$AM68,0)))</f>
        <v>0</v>
      </c>
      <c r="T68" s="312">
        <f ca="1">IF($B$4=0,OFFSET(StateModDepletions_BL!T$5,$AM68,0),IF($B$4=1,OFFSET(StateModDepletions_BLNoRes!T$5,$AM68,0)))</f>
        <v>14703.748447202966</v>
      </c>
      <c r="U68" s="312">
        <f ca="1">IF($B$4=0,OFFSET(StateModDepletions_BL!U$5,$AM68,0),IF($B$4=1,OFFSET(StateModDepletions_BLNoRes!U$5,$AM68,0)))</f>
        <v>1408.6430385695712</v>
      </c>
      <c r="V68" s="312">
        <f ca="1">IF($B$4=0,OFFSET(StateModDepletions_BL!V$5,$AM68,0),IF($B$4=1,OFFSET(StateModDepletions_BLNoRes!V$5,$AM68,0)))</f>
        <v>12614.457663536072</v>
      </c>
      <c r="W68" s="312">
        <f ca="1">IF($B$4=0,OFFSET(StateModDepletions_BL!W$5,$AM68,0),IF($B$4=1,OFFSET(StateModDepletions_BLNoRes!W$5,$AM68,0)))</f>
        <v>126457.51164976104</v>
      </c>
      <c r="X68" s="312">
        <f ca="1">IF($B$4=0,OFFSET(StateModDepletions_BL!X$5,$AM68,0),IF($B$4=1,OFFSET(StateModDepletions_BLNoRes!X$5,$AM68,0)))</f>
        <v>5744.862716598218</v>
      </c>
      <c r="Y68" s="312">
        <f ca="1">IF($B$4=0,OFFSET(StateModDepletions_BL!Y$5,$AM68,0),IF($B$4=1,OFFSET(StateModDepletions_BLNoRes!Y$5,$AM68,0)))</f>
        <v>212.11356273293495</v>
      </c>
      <c r="Z68" s="312">
        <f ca="1">IF($B$4=0,OFFSET(StateModDepletions_BL!Z$5,$AM68,0),IF($B$4=1,OFFSET(StateModDepletions_BLNoRes!Z$5,$AM68,0)))</f>
        <v>199350.48925304413</v>
      </c>
      <c r="AA68" s="313">
        <f ca="1">IF($B$4=0,OFFSET(StateModDepletions_BL!AA$5,$AM68,0),IF($B$4=1,OFFSET(StateModDepletions_BLNoRes!AA$5,$AM68,0)))</f>
        <v>66936.001323951932</v>
      </c>
      <c r="AB68" s="314">
        <f ca="1">IF($B$4=0,OFFSET(StateModDepletions_BL!AB$5,$AM68,0),IF($B$4=1,OFFSET(StateModDepletions_BLNoRes!AB$5,$AM68,0)))</f>
        <v>24765.810481309891</v>
      </c>
      <c r="AC68" s="314">
        <f ca="1">IF($B$4=0,OFFSET(StateModDepletions_BL!AC$5,$AM68,0),IF($B$4=1,OFFSET(StateModDepletions_BLNoRes!AC$5,$AM68,0)))</f>
        <v>30900.593194618821</v>
      </c>
      <c r="AD68" s="314">
        <f ca="1">IF($B$4=0,OFFSET(StateModDepletions_BL!AD$5,$AM68,0),IF($B$4=1,OFFSET(StateModDepletions_BLNoRes!AD$5,$AM68,0)))</f>
        <v>16900.18703122437</v>
      </c>
      <c r="AE68" s="314">
        <f ca="1">IF($B$4=0,OFFSET(StateModDepletions_BL!AE$5,$AM68,0),IF($B$4=1,OFFSET(StateModDepletions_BLNoRes!AE$5,$AM68,0)))</f>
        <v>108768.39137072861</v>
      </c>
      <c r="AF68" s="314">
        <f ca="1">IF($B$4=0,OFFSET(StateModDepletions_BL!AF$5,$AM68,0),IF($B$4=1,OFFSET(StateModDepletions_BLNoRes!AF$5,$AM68,0)))</f>
        <v>20398.783042319101</v>
      </c>
      <c r="AG68" s="314">
        <f ca="1">IF($B$4=0,OFFSET(StateModDepletions_BL!AG$5,$AM68,0),IF($B$4=1,OFFSET(StateModDepletions_BLNoRes!AG$5,$AM68,0)))</f>
        <v>41037.756291775484</v>
      </c>
      <c r="AH68" s="314">
        <f ca="1">IF($B$4=0,OFFSET(StateModDepletions_BL!AH$5,$AM68,0),IF($B$4=1,OFFSET(StateModDepletions_BLNoRes!AH$5,$AM68,0)))</f>
        <v>17170.23171184212</v>
      </c>
      <c r="AI68" s="314">
        <f ca="1">IF($B$4=0,OFFSET(StateModDepletions_BL!AI$5,$AM68,0),IF($B$4=1,OFFSET(StateModDepletions_BLNoRes!AI$5,$AM68,0)))</f>
        <v>16112.391485772538</v>
      </c>
      <c r="AJ68" s="315">
        <f ca="1">IF($B$4=0,OFFSET(StateModDepletions_BL!AJ$5,$AM68,0),IF($B$4=1,OFFSET(StateModDepletions_BLNoRes!AJ$5,$AM68,0)))</f>
        <v>132202.37436635926</v>
      </c>
      <c r="AK68" s="519">
        <f t="shared" si="6"/>
        <v>63</v>
      </c>
      <c r="AL68" s="519">
        <f t="shared" si="5"/>
        <v>1991</v>
      </c>
      <c r="AM68" s="519">
        <f>MATCH($AL68,StateModDepletions_BL!$A$6:$A$90,0)</f>
        <v>63</v>
      </c>
    </row>
    <row r="69" spans="1:39" x14ac:dyDescent="0.25">
      <c r="A69" s="519">
        <f t="shared" si="3"/>
        <v>1992</v>
      </c>
      <c r="B69" s="311">
        <f ca="1">IF($B$4=0,OFFSET(StateModDepletions_BL!B$5,$AM69,0),IF($B$4=1,OFFSET(StateModDepletions_BLNoRes!B$5,$AM69,0)))</f>
        <v>28091.588534541428</v>
      </c>
      <c r="C69" s="312">
        <f ca="1">IF($B$4=0,OFFSET(StateModDepletions_BL!C$5,$AM69,0),IF($B$4=1,OFFSET(StateModDepletions_BLNoRes!C$5,$AM69,0)))</f>
        <v>1026.0025346279144</v>
      </c>
      <c r="D69" s="312">
        <f ca="1">IF($B$4=0,OFFSET(StateModDepletions_BL!D$5,$AM69,0),IF($B$4=1,OFFSET(StateModDepletions_BLNoRes!D$5,$AM69,0)))</f>
        <v>117054.44799804688</v>
      </c>
      <c r="E69" s="312">
        <f ca="1">IF($B$4=0,OFFSET(StateModDepletions_BL!E$5,$AM69,0),IF($B$4=1,OFFSET(StateModDepletions_BLNoRes!E$5,$AM69,0)))</f>
        <v>2810.7051087617874</v>
      </c>
      <c r="F69" s="312">
        <f ca="1">IF($B$4=0,OFFSET(StateModDepletions_BL!F$5,$AM69,0),IF($B$4=1,OFFSET(StateModDepletions_BLNoRes!F$5,$AM69,0)))</f>
        <v>14082.045574307442</v>
      </c>
      <c r="G69" s="312">
        <f ca="1">IF($B$4=0,OFFSET(StateModDepletions_BL!G$5,$AM69,0),IF($B$4=1,OFFSET(StateModDepletions_BLNoRes!G$5,$AM69,0)))</f>
        <v>2036.5992698669434</v>
      </c>
      <c r="H69" s="312">
        <f ca="1">IF($B$4=0,OFFSET(StateModDepletions_BL!H$5,$AM69,0),IF($B$4=1,OFFSET(StateModDepletions_BLNoRes!H$5,$AM69,0)))</f>
        <v>2838.8627778291702</v>
      </c>
      <c r="I69" s="312">
        <f ca="1">IF($B$4=0,OFFSET(StateModDepletions_BL!I$5,$AM69,0),IF($B$4=1,OFFSET(StateModDepletions_BLNoRes!I$5,$AM69,0)))</f>
        <v>101456.72171677649</v>
      </c>
      <c r="J69" s="312">
        <f ca="1">IF($B$4=0,OFFSET(StateModDepletions_BL!J$5,$AM69,0),IF($B$4=1,OFFSET(StateModDepletions_BLNoRes!J$5,$AM69,0)))</f>
        <v>2245.6503865718842</v>
      </c>
      <c r="K69" s="312">
        <f ca="1">IF($B$4=0,OFFSET(StateModDepletions_BL!K$5,$AM69,0),IF($B$4=1,OFFSET(StateModDepletions_BLNoRes!K$5,$AM69,0)))</f>
        <v>19116.242594718933</v>
      </c>
      <c r="L69" s="312">
        <f ca="1">IF($B$4=0,OFFSET(StateModDepletions_BL!L$5,$AM69,0),IF($B$4=1,OFFSET(StateModDepletions_BLNoRes!L$5,$AM69,0)))</f>
        <v>17212.850763142094</v>
      </c>
      <c r="M69" s="312">
        <f ca="1">IF($B$4=0,OFFSET(StateModDepletions_BL!M$5,$AM69,0),IF($B$4=1,OFFSET(StateModDepletions_BLNoRes!M$5,$AM69,0)))</f>
        <v>1415.0184035301208</v>
      </c>
      <c r="N69" s="312">
        <f ca="1">IF($B$4=0,OFFSET(StateModDepletions_BL!N$5,$AM69,0),IF($B$4=1,OFFSET(StateModDepletions_BLNoRes!N$5,$AM69,0)))</f>
        <v>1326.6977829933167</v>
      </c>
      <c r="O69" s="312">
        <f ca="1">IF($B$4=0,OFFSET(StateModDepletions_BL!O$5,$AM69,0),IF($B$4=1,OFFSET(StateModDepletions_BLNoRes!O$5,$AM69,0)))</f>
        <v>40387.572098223944</v>
      </c>
      <c r="P69" s="312">
        <f ca="1">IF($B$4=0,OFFSET(StateModDepletions_BL!P$5,$AM69,0),IF($B$4=1,OFFSET(StateModDepletions_BLNoRes!P$5,$AM69,0)))</f>
        <v>417.97858285903931</v>
      </c>
      <c r="Q69" s="312">
        <f ca="1">IF($B$4=0,OFFSET(StateModDepletions_BL!Q$5,$AM69,0),IF($B$4=1,OFFSET(StateModDepletions_BLNoRes!Q$5,$AM69,0)))</f>
        <v>17006.667536079884</v>
      </c>
      <c r="R69" s="312">
        <f ca="1">IF($B$4=0,OFFSET(StateModDepletions_BL!R$5,$AM69,0),IF($B$4=1,OFFSET(StateModDepletions_BLNoRes!R$5,$AM69,0)))</f>
        <v>598.83215999603271</v>
      </c>
      <c r="S69" s="312">
        <f ca="1">IF($B$4=0,OFFSET(StateModDepletions_BL!S$5,$AM69,0),IF($B$4=1,OFFSET(StateModDepletions_BLNoRes!S$5,$AM69,0)))</f>
        <v>0</v>
      </c>
      <c r="T69" s="312">
        <f ca="1">IF($B$4=0,OFFSET(StateModDepletions_BL!T$5,$AM69,0),IF($B$4=1,OFFSET(StateModDepletions_BLNoRes!T$5,$AM69,0)))</f>
        <v>17084.74069208838</v>
      </c>
      <c r="U69" s="312">
        <f ca="1">IF($B$4=0,OFFSET(StateModDepletions_BL!U$5,$AM69,0),IF($B$4=1,OFFSET(StateModDepletions_BLNoRes!U$5,$AM69,0)))</f>
        <v>1506.8662263154984</v>
      </c>
      <c r="V69" s="312">
        <f ca="1">IF($B$4=0,OFFSET(StateModDepletions_BL!V$5,$AM69,0),IF($B$4=1,OFFSET(StateModDepletions_BLNoRes!V$5,$AM69,0)))</f>
        <v>12963.791850090027</v>
      </c>
      <c r="W69" s="312">
        <f ca="1">IF($B$4=0,OFFSET(StateModDepletions_BL!W$5,$AM69,0),IF($B$4=1,OFFSET(StateModDepletions_BLNoRes!W$5,$AM69,0)))</f>
        <v>112591.44940887734</v>
      </c>
      <c r="X69" s="312">
        <f ca="1">IF($B$4=0,OFFSET(StateModDepletions_BL!X$5,$AM69,0),IF($B$4=1,OFFSET(StateModDepletions_BLNoRes!X$5,$AM69,0)))</f>
        <v>5904.539648078382</v>
      </c>
      <c r="Y69" s="312">
        <f ca="1">IF($B$4=0,OFFSET(StateModDepletions_BL!Y$5,$AM69,0),IF($B$4=1,OFFSET(StateModDepletions_BLNoRes!Y$5,$AM69,0)))</f>
        <v>212.11356273293495</v>
      </c>
      <c r="Z69" s="312">
        <f ca="1">IF($B$4=0,OFFSET(StateModDepletions_BL!Z$5,$AM69,0),IF($B$4=1,OFFSET(StateModDepletions_BLNoRes!Z$5,$AM69,0)))</f>
        <v>206443.73423230648</v>
      </c>
      <c r="AA69" s="313">
        <f ca="1">IF($B$4=0,OFFSET(StateModDepletions_BL!AA$5,$AM69,0),IF($B$4=1,OFFSET(StateModDepletions_BLNoRes!AA$5,$AM69,0)))</f>
        <v>87735.631612617828</v>
      </c>
      <c r="AB69" s="314">
        <f ca="1">IF($B$4=0,OFFSET(StateModDepletions_BL!AB$5,$AM69,0),IF($B$4=1,OFFSET(StateModDepletions_BLNoRes!AB$5,$AM69,0)))</f>
        <v>24765.810481309891</v>
      </c>
      <c r="AC69" s="314">
        <f ca="1">IF($B$4=0,OFFSET(StateModDepletions_BL!AC$5,$AM69,0),IF($B$4=1,OFFSET(StateModDepletions_BLNoRes!AC$5,$AM69,0)))</f>
        <v>29117.591069169343</v>
      </c>
      <c r="AD69" s="314">
        <f ca="1">IF($B$4=0,OFFSET(StateModDepletions_BL!AD$5,$AM69,0),IF($B$4=1,OFFSET(StateModDepletions_BLNoRes!AD$5,$AM69,0)))</f>
        <v>16118.644844174385</v>
      </c>
      <c r="AE69" s="314">
        <f ca="1">IF($B$4=0,OFFSET(StateModDepletions_BL!AE$5,$AM69,0),IF($B$4=1,OFFSET(StateModDepletions_BLNoRes!AE$5,$AM69,0)))</f>
        <v>103702.37210334837</v>
      </c>
      <c r="AF69" s="314">
        <f ca="1">IF($B$4=0,OFFSET(StateModDepletions_BL!AF$5,$AM69,0),IF($B$4=1,OFFSET(StateModDepletions_BLNoRes!AF$5,$AM69,0)))</f>
        <v>18627.869166672215</v>
      </c>
      <c r="AG69" s="314">
        <f ca="1">IF($B$4=0,OFFSET(StateModDepletions_BL!AG$5,$AM69,0),IF($B$4=1,OFFSET(StateModDepletions_BLNoRes!AG$5,$AM69,0)))</f>
        <v>40805.550681082983</v>
      </c>
      <c r="AH69" s="314">
        <f ca="1">IF($B$4=0,OFFSET(StateModDepletions_BL!AH$5,$AM69,0),IF($B$4=1,OFFSET(StateModDepletions_BLNoRes!AH$5,$AM69,0)))</f>
        <v>17605.499696075916</v>
      </c>
      <c r="AI69" s="314">
        <f ca="1">IF($B$4=0,OFFSET(StateModDepletions_BL!AI$5,$AM69,0),IF($B$4=1,OFFSET(StateModDepletions_BLNoRes!AI$5,$AM69,0)))</f>
        <v>18591.606918403879</v>
      </c>
      <c r="AJ69" s="315">
        <f ca="1">IF($B$4=0,OFFSET(StateModDepletions_BL!AJ$5,$AM69,0),IF($B$4=1,OFFSET(StateModDepletions_BLNoRes!AJ$5,$AM69,0)))</f>
        <v>118495.98905695572</v>
      </c>
      <c r="AK69" s="519">
        <f t="shared" si="6"/>
        <v>64</v>
      </c>
      <c r="AL69" s="519">
        <f t="shared" si="5"/>
        <v>1992</v>
      </c>
      <c r="AM69" s="519">
        <f>MATCH($AL69,StateModDepletions_BL!$A$6:$A$90,0)</f>
        <v>64</v>
      </c>
    </row>
    <row r="70" spans="1:39" x14ac:dyDescent="0.25">
      <c r="A70" s="519">
        <f t="shared" si="3"/>
        <v>1993</v>
      </c>
      <c r="B70" s="311">
        <f ca="1">IF($B$4=0,OFFSET(StateModDepletions_BL!B$5,$AM70,0),IF($B$4=1,OFFSET(StateModDepletions_BLNoRes!B$5,$AM70,0)))</f>
        <v>32103.136144503951</v>
      </c>
      <c r="C70" s="312">
        <f ca="1">IF($B$4=0,OFFSET(StateModDepletions_BL!C$5,$AM70,0),IF($B$4=1,OFFSET(StateModDepletions_BLNoRes!C$5,$AM70,0)))</f>
        <v>1026.0025346279144</v>
      </c>
      <c r="D70" s="312">
        <f ca="1">IF($B$4=0,OFFSET(StateModDepletions_BL!D$5,$AM70,0),IF($B$4=1,OFFSET(StateModDepletions_BLNoRes!D$5,$AM70,0)))</f>
        <v>152973.38549804688</v>
      </c>
      <c r="E70" s="312">
        <f ca="1">IF($B$4=0,OFFSET(StateModDepletions_BL!E$5,$AM70,0),IF($B$4=1,OFFSET(StateModDepletions_BLNoRes!E$5,$AM70,0)))</f>
        <v>2810.7051087617874</v>
      </c>
      <c r="F70" s="312">
        <f ca="1">IF($B$4=0,OFFSET(StateModDepletions_BL!F$5,$AM70,0),IF($B$4=1,OFFSET(StateModDepletions_BLNoRes!F$5,$AM70,0)))</f>
        <v>15988.784241110086</v>
      </c>
      <c r="G70" s="312">
        <f ca="1">IF($B$4=0,OFFSET(StateModDepletions_BL!G$5,$AM70,0),IF($B$4=1,OFFSET(StateModDepletions_BLNoRes!G$5,$AM70,0)))</f>
        <v>2036.5992698669434</v>
      </c>
      <c r="H70" s="312">
        <f ca="1">IF($B$4=0,OFFSET(StateModDepletions_BL!H$5,$AM70,0),IF($B$4=1,OFFSET(StateModDepletions_BLNoRes!H$5,$AM70,0)))</f>
        <v>2838.8627778291702</v>
      </c>
      <c r="I70" s="312">
        <f ca="1">IF($B$4=0,OFFSET(StateModDepletions_BL!I$5,$AM70,0),IF($B$4=1,OFFSET(StateModDepletions_BLNoRes!I$5,$AM70,0)))</f>
        <v>105709.74933767319</v>
      </c>
      <c r="J70" s="312">
        <f ca="1">IF($B$4=0,OFFSET(StateModDepletions_BL!J$5,$AM70,0),IF($B$4=1,OFFSET(StateModDepletions_BLNoRes!J$5,$AM70,0)))</f>
        <v>2421.1311242580414</v>
      </c>
      <c r="K70" s="312">
        <f ca="1">IF($B$4=0,OFFSET(StateModDepletions_BL!K$5,$AM70,0),IF($B$4=1,OFFSET(StateModDepletions_BLNoRes!K$5,$AM70,0)))</f>
        <v>19116.242594718933</v>
      </c>
      <c r="L70" s="312">
        <f ca="1">IF($B$4=0,OFFSET(StateModDepletions_BL!L$5,$AM70,0),IF($B$4=1,OFFSET(StateModDepletions_BLNoRes!L$5,$AM70,0)))</f>
        <v>17761.653258830291</v>
      </c>
      <c r="M70" s="312">
        <f ca="1">IF($B$4=0,OFFSET(StateModDepletions_BL!M$5,$AM70,0),IF($B$4=1,OFFSET(StateModDepletions_BLNoRes!M$5,$AM70,0)))</f>
        <v>1409.339928150177</v>
      </c>
      <c r="N70" s="312">
        <f ca="1">IF($B$4=0,OFFSET(StateModDepletions_BL!N$5,$AM70,0),IF($B$4=1,OFFSET(StateModDepletions_BLNoRes!N$5,$AM70,0)))</f>
        <v>1326.6977829933167</v>
      </c>
      <c r="O70" s="312">
        <f ca="1">IF($B$4=0,OFFSET(StateModDepletions_BL!O$5,$AM70,0),IF($B$4=1,OFFSET(StateModDepletions_BLNoRes!O$5,$AM70,0)))</f>
        <v>46448.059832675834</v>
      </c>
      <c r="P70" s="312">
        <f ca="1">IF($B$4=0,OFFSET(StateModDepletions_BL!P$5,$AM70,0),IF($B$4=1,OFFSET(StateModDepletions_BLNoRes!P$5,$AM70,0)))</f>
        <v>510.01865291595459</v>
      </c>
      <c r="Q70" s="312">
        <f ca="1">IF($B$4=0,OFFSET(StateModDepletions_BL!Q$5,$AM70,0),IF($B$4=1,OFFSET(StateModDepletions_BLNoRes!Q$5,$AM70,0)))</f>
        <v>23194.015044294298</v>
      </c>
      <c r="R70" s="312">
        <f ca="1">IF($B$4=0,OFFSET(StateModDepletions_BL!R$5,$AM70,0),IF($B$4=1,OFFSET(StateModDepletions_BLNoRes!R$5,$AM70,0)))</f>
        <v>598.83215999603271</v>
      </c>
      <c r="S70" s="312">
        <f ca="1">IF($B$4=0,OFFSET(StateModDepletions_BL!S$5,$AM70,0),IF($B$4=1,OFFSET(StateModDepletions_BLNoRes!S$5,$AM70,0)))</f>
        <v>0</v>
      </c>
      <c r="T70" s="312">
        <f ca="1">IF($B$4=0,OFFSET(StateModDepletions_BL!T$5,$AM70,0),IF($B$4=1,OFFSET(StateModDepletions_BLNoRes!T$5,$AM70,0)))</f>
        <v>21886.42927126959</v>
      </c>
      <c r="U70" s="312">
        <f ca="1">IF($B$4=0,OFFSET(StateModDepletions_BL!U$5,$AM70,0),IF($B$4=1,OFFSET(StateModDepletions_BLNoRes!U$5,$AM70,0)))</f>
        <v>1527.7050304333034</v>
      </c>
      <c r="V70" s="312">
        <f ca="1">IF($B$4=0,OFFSET(StateModDepletions_BL!V$5,$AM70,0),IF($B$4=1,OFFSET(StateModDepletions_BLNoRes!V$5,$AM70,0)))</f>
        <v>15636.440155982971</v>
      </c>
      <c r="W70" s="312">
        <f ca="1">IF($B$4=0,OFFSET(StateModDepletions_BL!W$5,$AM70,0),IF($B$4=1,OFFSET(StateModDepletions_BLNoRes!W$5,$AM70,0)))</f>
        <v>127148.83836561783</v>
      </c>
      <c r="X70" s="312">
        <f ca="1">IF($B$4=0,OFFSET(StateModDepletions_BL!X$5,$AM70,0),IF($B$4=1,OFFSET(StateModDepletions_BLNoRes!X$5,$AM70,0)))</f>
        <v>5949.4723663202703</v>
      </c>
      <c r="Y70" s="312">
        <f ca="1">IF($B$4=0,OFFSET(StateModDepletions_BL!Y$5,$AM70,0),IF($B$4=1,OFFSET(StateModDepletions_BLNoRes!Y$5,$AM70,0)))</f>
        <v>212.11356273293495</v>
      </c>
      <c r="Z70" s="312">
        <f ca="1">IF($B$4=0,OFFSET(StateModDepletions_BL!Z$5,$AM70,0),IF($B$4=1,OFFSET(StateModDepletions_BLNoRes!Z$5,$AM70,0)))</f>
        <v>184771.15517747402</v>
      </c>
      <c r="AA70" s="313">
        <f ca="1">IF($B$4=0,OFFSET(StateModDepletions_BL!AA$5,$AM70,0),IF($B$4=1,OFFSET(StateModDepletions_BLNoRes!AA$5,$AM70,0)))</f>
        <v>51460.730882802985</v>
      </c>
      <c r="AB70" s="314">
        <f ca="1">IF($B$4=0,OFFSET(StateModDepletions_BL!AB$5,$AM70,0),IF($B$4=1,OFFSET(StateModDepletions_BLNoRes!AB$5,$AM70,0)))</f>
        <v>24765.810481309891</v>
      </c>
      <c r="AC70" s="314">
        <f ca="1">IF($B$4=0,OFFSET(StateModDepletions_BL!AC$5,$AM70,0),IF($B$4=1,OFFSET(StateModDepletions_BLNoRes!AC$5,$AM70,0)))</f>
        <v>33129.138679131866</v>
      </c>
      <c r="AD70" s="314">
        <f ca="1">IF($B$4=0,OFFSET(StateModDepletions_BL!AD$5,$AM70,0),IF($B$4=1,OFFSET(StateModDepletions_BLNoRes!AD$5,$AM70,0)))</f>
        <v>18025.38351097703</v>
      </c>
      <c r="AE70" s="314">
        <f ca="1">IF($B$4=0,OFFSET(StateModDepletions_BL!AE$5,$AM70,0),IF($B$4=1,OFFSET(StateModDepletions_BLNoRes!AE$5,$AM70,0)))</f>
        <v>108130.88046193123</v>
      </c>
      <c r="AF70" s="314">
        <f ca="1">IF($B$4=0,OFFSET(StateModDepletions_BL!AF$5,$AM70,0),IF($B$4=1,OFFSET(StateModDepletions_BLNoRes!AF$5,$AM70,0)))</f>
        <v>19170.993186980468</v>
      </c>
      <c r="AG70" s="314">
        <f ca="1">IF($B$4=0,OFFSET(StateModDepletions_BL!AG$5,$AM70,0),IF($B$4=1,OFFSET(StateModDepletions_BLNoRes!AG$5,$AM70,0)))</f>
        <v>46958.078485591788</v>
      </c>
      <c r="AH70" s="314">
        <f ca="1">IF($B$4=0,OFFSET(StateModDepletions_BL!AH$5,$AM70,0),IF($B$4=1,OFFSET(StateModDepletions_BLNoRes!AH$5,$AM70,0)))</f>
        <v>23792.84720429033</v>
      </c>
      <c r="AI70" s="314">
        <f ca="1">IF($B$4=0,OFFSET(StateModDepletions_BL!AI$5,$AM70,0),IF($B$4=1,OFFSET(StateModDepletions_BLNoRes!AI$5,$AM70,0)))</f>
        <v>23414.134301702892</v>
      </c>
      <c r="AJ70" s="315">
        <f ca="1">IF($B$4=0,OFFSET(StateModDepletions_BL!AJ$5,$AM70,0),IF($B$4=1,OFFSET(StateModDepletions_BLNoRes!AJ$5,$AM70,0)))</f>
        <v>133098.31073193811</v>
      </c>
      <c r="AK70" s="519">
        <f t="shared" si="6"/>
        <v>65</v>
      </c>
      <c r="AL70" s="519">
        <f t="shared" si="5"/>
        <v>1993</v>
      </c>
      <c r="AM70" s="519">
        <f>MATCH($AL70,StateModDepletions_BL!$A$6:$A$90,0)</f>
        <v>65</v>
      </c>
    </row>
    <row r="71" spans="1:39" x14ac:dyDescent="0.25">
      <c r="A71" s="519">
        <f t="shared" ref="A71:A89" si="7">$AL71</f>
        <v>1994</v>
      </c>
      <c r="B71" s="311">
        <f ca="1">IF($B$4=0,OFFSET(StateModDepletions_BL!B$5,$AM71,0),IF($B$4=1,OFFSET(StateModDepletions_BLNoRes!B$5,$AM71,0)))</f>
        <v>31375.235254570842</v>
      </c>
      <c r="C71" s="312">
        <f ca="1">IF($B$4=0,OFFSET(StateModDepletions_BL!C$5,$AM71,0),IF($B$4=1,OFFSET(StateModDepletions_BLNoRes!C$5,$AM71,0)))</f>
        <v>1026.0025346279144</v>
      </c>
      <c r="D71" s="312">
        <f ca="1">IF($B$4=0,OFFSET(StateModDepletions_BL!D$5,$AM71,0),IF($B$4=1,OFFSET(StateModDepletions_BLNoRes!D$5,$AM71,0)))</f>
        <v>118496.70453643799</v>
      </c>
      <c r="E71" s="312">
        <f ca="1">IF($B$4=0,OFFSET(StateModDepletions_BL!E$5,$AM71,0),IF($B$4=1,OFFSET(StateModDepletions_BLNoRes!E$5,$AM71,0)))</f>
        <v>2810.7051087617874</v>
      </c>
      <c r="F71" s="312">
        <f ca="1">IF($B$4=0,OFFSET(StateModDepletions_BL!F$5,$AM71,0),IF($B$4=1,OFFSET(StateModDepletions_BLNoRes!F$5,$AM71,0)))</f>
        <v>15648.641727104783</v>
      </c>
      <c r="G71" s="312">
        <f ca="1">IF($B$4=0,OFFSET(StateModDepletions_BL!G$5,$AM71,0),IF($B$4=1,OFFSET(StateModDepletions_BLNoRes!G$5,$AM71,0)))</f>
        <v>2036.5992698669434</v>
      </c>
      <c r="H71" s="312">
        <f ca="1">IF($B$4=0,OFFSET(StateModDepletions_BL!H$5,$AM71,0),IF($B$4=1,OFFSET(StateModDepletions_BLNoRes!H$5,$AM71,0)))</f>
        <v>2838.8627778291702</v>
      </c>
      <c r="I71" s="312">
        <f ca="1">IF($B$4=0,OFFSET(StateModDepletions_BL!I$5,$AM71,0),IF($B$4=1,OFFSET(StateModDepletions_BLNoRes!I$5,$AM71,0)))</f>
        <v>106378.93849997595</v>
      </c>
      <c r="J71" s="312">
        <f ca="1">IF($B$4=0,OFFSET(StateModDepletions_BL!J$5,$AM71,0),IF($B$4=1,OFFSET(StateModDepletions_BLNoRes!J$5,$AM71,0)))</f>
        <v>2574.2189137935638</v>
      </c>
      <c r="K71" s="312">
        <f ca="1">IF($B$4=0,OFFSET(StateModDepletions_BL!K$5,$AM71,0),IF($B$4=1,OFFSET(StateModDepletions_BLNoRes!K$5,$AM71,0)))</f>
        <v>19116.242594718933</v>
      </c>
      <c r="L71" s="312">
        <f ca="1">IF($B$4=0,OFFSET(StateModDepletions_BL!L$5,$AM71,0),IF($B$4=1,OFFSET(StateModDepletions_BLNoRes!L$5,$AM71,0)))</f>
        <v>18496.048557460301</v>
      </c>
      <c r="M71" s="312">
        <f ca="1">IF($B$4=0,OFFSET(StateModDepletions_BL!M$5,$AM71,0),IF($B$4=1,OFFSET(StateModDepletions_BLNoRes!M$5,$AM71,0)))</f>
        <v>1402.7864398956299</v>
      </c>
      <c r="N71" s="312">
        <f ca="1">IF($B$4=0,OFFSET(StateModDepletions_BL!N$5,$AM71,0),IF($B$4=1,OFFSET(StateModDepletions_BLNoRes!N$5,$AM71,0)))</f>
        <v>1326.6977829933167</v>
      </c>
      <c r="O71" s="312">
        <f ca="1">IF($B$4=0,OFFSET(StateModDepletions_BL!O$5,$AM71,0),IF($B$4=1,OFFSET(StateModDepletions_BLNoRes!O$5,$AM71,0)))</f>
        <v>37563.936680889208</v>
      </c>
      <c r="P71" s="312">
        <f ca="1">IF($B$4=0,OFFSET(StateModDepletions_BL!P$5,$AM71,0),IF($B$4=1,OFFSET(StateModDepletions_BLNoRes!P$5,$AM71,0)))</f>
        <v>342.99559569358826</v>
      </c>
      <c r="Q71" s="312">
        <f ca="1">IF($B$4=0,OFFSET(StateModDepletions_BL!Q$5,$AM71,0),IF($B$4=1,OFFSET(StateModDepletions_BLNoRes!Q$5,$AM71,0)))</f>
        <v>15423.816070884466</v>
      </c>
      <c r="R71" s="312">
        <f ca="1">IF($B$4=0,OFFSET(StateModDepletions_BL!R$5,$AM71,0),IF($B$4=1,OFFSET(StateModDepletions_BLNoRes!R$5,$AM71,0)))</f>
        <v>598.83215999603271</v>
      </c>
      <c r="S71" s="312">
        <f ca="1">IF($B$4=0,OFFSET(StateModDepletions_BL!S$5,$AM71,0),IF($B$4=1,OFFSET(StateModDepletions_BLNoRes!S$5,$AM71,0)))</f>
        <v>0</v>
      </c>
      <c r="T71" s="312">
        <f ca="1">IF($B$4=0,OFFSET(StateModDepletions_BL!T$5,$AM71,0),IF($B$4=1,OFFSET(StateModDepletions_BLNoRes!T$5,$AM71,0)))</f>
        <v>16902.15482695587</v>
      </c>
      <c r="U71" s="312">
        <f ca="1">IF($B$4=0,OFFSET(StateModDepletions_BL!U$5,$AM71,0),IF($B$4=1,OFFSET(StateModDepletions_BLNoRes!U$5,$AM71,0)))</f>
        <v>1431.1785380423075</v>
      </c>
      <c r="V71" s="312">
        <f ca="1">IF($B$4=0,OFFSET(StateModDepletions_BL!V$5,$AM71,0),IF($B$4=1,OFFSET(StateModDepletions_BLNoRes!V$5,$AM71,0)))</f>
        <v>11770.206915855408</v>
      </c>
      <c r="W71" s="312">
        <f ca="1">IF($B$4=0,OFFSET(StateModDepletions_BL!W$5,$AM71,0),IF($B$4=1,OFFSET(StateModDepletions_BLNoRes!W$5,$AM71,0)))</f>
        <v>153351.90552741633</v>
      </c>
      <c r="X71" s="312">
        <f ca="1">IF($B$4=0,OFFSET(StateModDepletions_BL!X$5,$AM71,0),IF($B$4=1,OFFSET(StateModDepletions_BLNoRes!X$5,$AM71,0)))</f>
        <v>5712.1269104927778</v>
      </c>
      <c r="Y71" s="312">
        <f ca="1">IF($B$4=0,OFFSET(StateModDepletions_BL!Y$5,$AM71,0),IF($B$4=1,OFFSET(StateModDepletions_BLNoRes!Y$5,$AM71,0)))</f>
        <v>212.11356273293495</v>
      </c>
      <c r="Z71" s="312">
        <f ca="1">IF($B$4=0,OFFSET(StateModDepletions_BL!Z$5,$AM71,0),IF($B$4=1,OFFSET(StateModDepletions_BLNoRes!Z$5,$AM71,0)))</f>
        <v>217992.42529058456</v>
      </c>
      <c r="AA71" s="313">
        <f ca="1">IF($B$4=0,OFFSET(StateModDepletions_BL!AA$5,$AM71,0),IF($B$4=1,OFFSET(StateModDepletions_BLNoRes!AA$5,$AM71,0)))</f>
        <v>58716.279289942526</v>
      </c>
      <c r="AB71" s="314">
        <f ca="1">IF($B$4=0,OFFSET(StateModDepletions_BL!AB$5,$AM71,0),IF($B$4=1,OFFSET(StateModDepletions_BLNoRes!AB$5,$AM71,0)))</f>
        <v>24765.810481309891</v>
      </c>
      <c r="AC71" s="314">
        <f ca="1">IF($B$4=0,OFFSET(StateModDepletions_BL!AC$5,$AM71,0),IF($B$4=1,OFFSET(StateModDepletions_BLNoRes!AC$5,$AM71,0)))</f>
        <v>32401.237789198756</v>
      </c>
      <c r="AD71" s="314">
        <f ca="1">IF($B$4=0,OFFSET(StateModDepletions_BL!AD$5,$AM71,0),IF($B$4=1,OFFSET(StateModDepletions_BLNoRes!AD$5,$AM71,0)))</f>
        <v>17685.240996971726</v>
      </c>
      <c r="AE71" s="314">
        <f ca="1">IF($B$4=0,OFFSET(StateModDepletions_BL!AE$5,$AM71,0),IF($B$4=1,OFFSET(StateModDepletions_BLNoRes!AE$5,$AM71,0)))</f>
        <v>108953.15741376951</v>
      </c>
      <c r="AF71" s="314">
        <f ca="1">IF($B$4=0,OFFSET(StateModDepletions_BL!AF$5,$AM71,0),IF($B$4=1,OFFSET(StateModDepletions_BLNoRes!AF$5,$AM71,0)))</f>
        <v>19898.834997355931</v>
      </c>
      <c r="AG71" s="314">
        <f ca="1">IF($B$4=0,OFFSET(StateModDepletions_BL!AG$5,$AM71,0),IF($B$4=1,OFFSET(StateModDepletions_BLNoRes!AG$5,$AM71,0)))</f>
        <v>37906.932276582796</v>
      </c>
      <c r="AH71" s="314">
        <f ca="1">IF($B$4=0,OFFSET(StateModDepletions_BL!AH$5,$AM71,0),IF($B$4=1,OFFSET(StateModDepletions_BLNoRes!AH$5,$AM71,0)))</f>
        <v>16022.648230880499</v>
      </c>
      <c r="AI71" s="314">
        <f ca="1">IF($B$4=0,OFFSET(StateModDepletions_BL!AI$5,$AM71,0),IF($B$4=1,OFFSET(StateModDepletions_BLNoRes!AI$5,$AM71,0)))</f>
        <v>18333.333364998176</v>
      </c>
      <c r="AJ71" s="315">
        <f ca="1">IF($B$4=0,OFFSET(StateModDepletions_BL!AJ$5,$AM71,0),IF($B$4=1,OFFSET(StateModDepletions_BLNoRes!AJ$5,$AM71,0)))</f>
        <v>159064.0324379091</v>
      </c>
      <c r="AK71" s="519">
        <f t="shared" ref="AK71:AK89" si="8">IF(ISERROR(AK70),NA(),IF(AK70&gt;=NumRunYears,NA(),AK70+1))</f>
        <v>66</v>
      </c>
      <c r="AL71" s="519">
        <f t="shared" si="5"/>
        <v>1994</v>
      </c>
      <c r="AM71" s="519">
        <f>MATCH($AL71,StateModDepletions_BL!$A$6:$A$90,0)</f>
        <v>66</v>
      </c>
    </row>
    <row r="72" spans="1:39" x14ac:dyDescent="0.25">
      <c r="A72" s="519">
        <f t="shared" si="7"/>
        <v>1995</v>
      </c>
      <c r="B72" s="311">
        <f ca="1">IF($B$4=0,OFFSET(StateModDepletions_BL!B$5,$AM72,0),IF($B$4=1,OFFSET(StateModDepletions_BLNoRes!B$5,$AM72,0)))</f>
        <v>28506.971692956984</v>
      </c>
      <c r="C72" s="312">
        <f ca="1">IF($B$4=0,OFFSET(StateModDepletions_BL!C$5,$AM72,0),IF($B$4=1,OFFSET(StateModDepletions_BLNoRes!C$5,$AM72,0)))</f>
        <v>1026.0025346279144</v>
      </c>
      <c r="D72" s="312">
        <f ca="1">IF($B$4=0,OFFSET(StateModDepletions_BL!D$5,$AM72,0),IF($B$4=1,OFFSET(StateModDepletions_BLNoRes!D$5,$AM72,0)))</f>
        <v>105102.31011962891</v>
      </c>
      <c r="E72" s="312">
        <f ca="1">IF($B$4=0,OFFSET(StateModDepletions_BL!E$5,$AM72,0),IF($B$4=1,OFFSET(StateModDepletions_BLNoRes!E$5,$AM72,0)))</f>
        <v>2810.7051087617874</v>
      </c>
      <c r="F72" s="312">
        <f ca="1">IF($B$4=0,OFFSET(StateModDepletions_BL!F$5,$AM72,0),IF($B$4=1,OFFSET(StateModDepletions_BLNoRes!F$5,$AM72,0)))</f>
        <v>14542.535258993506</v>
      </c>
      <c r="G72" s="312">
        <f ca="1">IF($B$4=0,OFFSET(StateModDepletions_BL!G$5,$AM72,0),IF($B$4=1,OFFSET(StateModDepletions_BLNoRes!G$5,$AM72,0)))</f>
        <v>2036.5992698669434</v>
      </c>
      <c r="H72" s="312">
        <f ca="1">IF($B$4=0,OFFSET(StateModDepletions_BL!H$5,$AM72,0),IF($B$4=1,OFFSET(StateModDepletions_BLNoRes!H$5,$AM72,0)))</f>
        <v>2838.8627778291702</v>
      </c>
      <c r="I72" s="312">
        <f ca="1">IF($B$4=0,OFFSET(StateModDepletions_BL!I$5,$AM72,0),IF($B$4=1,OFFSET(StateModDepletions_BLNoRes!I$5,$AM72,0)))</f>
        <v>101047.14626684785</v>
      </c>
      <c r="J72" s="312">
        <f ca="1">IF($B$4=0,OFFSET(StateModDepletions_BL!J$5,$AM72,0),IF($B$4=1,OFFSET(StateModDepletions_BLNoRes!J$5,$AM72,0)))</f>
        <v>2550.4907605648041</v>
      </c>
      <c r="K72" s="312">
        <f ca="1">IF($B$4=0,OFFSET(StateModDepletions_BL!K$5,$AM72,0),IF($B$4=1,OFFSET(StateModDepletions_BLNoRes!K$5,$AM72,0)))</f>
        <v>19116.242594718933</v>
      </c>
      <c r="L72" s="312">
        <f ca="1">IF($B$4=0,OFFSET(StateModDepletions_BL!L$5,$AM72,0),IF($B$4=1,OFFSET(StateModDepletions_BLNoRes!L$5,$AM72,0)))</f>
        <v>17458.349292680596</v>
      </c>
      <c r="M72" s="312">
        <f ca="1">IF($B$4=0,OFFSET(StateModDepletions_BL!M$5,$AM72,0),IF($B$4=1,OFFSET(StateModDepletions_BLNoRes!M$5,$AM72,0)))</f>
        <v>1359.8109498023987</v>
      </c>
      <c r="N72" s="312">
        <f ca="1">IF($B$4=0,OFFSET(StateModDepletions_BL!N$5,$AM72,0),IF($B$4=1,OFFSET(StateModDepletions_BLNoRes!N$5,$AM72,0)))</f>
        <v>1326.6977829933167</v>
      </c>
      <c r="O72" s="312">
        <f ca="1">IF($B$4=0,OFFSET(StateModDepletions_BL!O$5,$AM72,0),IF($B$4=1,OFFSET(StateModDepletions_BLNoRes!O$5,$AM72,0)))</f>
        <v>45967.858518718262</v>
      </c>
      <c r="P72" s="312">
        <f ca="1">IF($B$4=0,OFFSET(StateModDepletions_BL!P$5,$AM72,0),IF($B$4=1,OFFSET(StateModDepletions_BLNoRes!P$5,$AM72,0)))</f>
        <v>483.46467566490173</v>
      </c>
      <c r="Q72" s="312">
        <f ca="1">IF($B$4=0,OFFSET(StateModDepletions_BL!Q$5,$AM72,0),IF($B$4=1,OFFSET(StateModDepletions_BLNoRes!Q$5,$AM72,0)))</f>
        <v>22057.724539775401</v>
      </c>
      <c r="R72" s="312">
        <f ca="1">IF($B$4=0,OFFSET(StateModDepletions_BL!R$5,$AM72,0),IF($B$4=1,OFFSET(StateModDepletions_BLNoRes!R$5,$AM72,0)))</f>
        <v>598.83215999603271</v>
      </c>
      <c r="S72" s="312">
        <f ca="1">IF($B$4=0,OFFSET(StateModDepletions_BL!S$5,$AM72,0),IF($B$4=1,OFFSET(StateModDepletions_BLNoRes!S$5,$AM72,0)))</f>
        <v>0</v>
      </c>
      <c r="T72" s="312">
        <f ca="1">IF($B$4=0,OFFSET(StateModDepletions_BL!T$5,$AM72,0),IF($B$4=1,OFFSET(StateModDepletions_BLNoRes!T$5,$AM72,0)))</f>
        <v>24878.070052479881</v>
      </c>
      <c r="U72" s="312">
        <f ca="1">IF($B$4=0,OFFSET(StateModDepletions_BL!U$5,$AM72,0),IF($B$4=1,OFFSET(StateModDepletions_BLNoRes!U$5,$AM72,0)))</f>
        <v>1581.7079276483128</v>
      </c>
      <c r="V72" s="312">
        <f ca="1">IF($B$4=0,OFFSET(StateModDepletions_BL!V$5,$AM72,0),IF($B$4=1,OFFSET(StateModDepletions_BLNoRes!V$5,$AM72,0)))</f>
        <v>16272.813761711121</v>
      </c>
      <c r="W72" s="312">
        <f ca="1">IF($B$4=0,OFFSET(StateModDepletions_BL!W$5,$AM72,0),IF($B$4=1,OFFSET(StateModDepletions_BLNoRes!W$5,$AM72,0)))</f>
        <v>115514.61933257028</v>
      </c>
      <c r="X72" s="312">
        <f ca="1">IF($B$4=0,OFFSET(StateModDepletions_BL!X$5,$AM72,0),IF($B$4=1,OFFSET(StateModDepletions_BLNoRes!X$5,$AM72,0)))</f>
        <v>6071.0040401907072</v>
      </c>
      <c r="Y72" s="312">
        <f ca="1">IF($B$4=0,OFFSET(StateModDepletions_BL!Y$5,$AM72,0),IF($B$4=1,OFFSET(StateModDepletions_BLNoRes!Y$5,$AM72,0)))</f>
        <v>212.11356273293495</v>
      </c>
      <c r="Z72" s="312">
        <f ca="1">IF($B$4=0,OFFSET(StateModDepletions_BL!Z$5,$AM72,0),IF($B$4=1,OFFSET(StateModDepletions_BLNoRes!Z$5,$AM72,0)))</f>
        <v>204038.33221387863</v>
      </c>
      <c r="AA72" s="313">
        <f ca="1">IF($B$4=0,OFFSET(StateModDepletions_BL!AA$5,$AM72,0),IF($B$4=1,OFFSET(StateModDepletions_BLNoRes!AA$5,$AM72,0)))</f>
        <v>82240.595278384717</v>
      </c>
      <c r="AB72" s="314">
        <f ca="1">IF($B$4=0,OFFSET(StateModDepletions_BL!AB$5,$AM72,0),IF($B$4=1,OFFSET(StateModDepletions_BLNoRes!AB$5,$AM72,0)))</f>
        <v>24765.810481309891</v>
      </c>
      <c r="AC72" s="314">
        <f ca="1">IF($B$4=0,OFFSET(StateModDepletions_BL!AC$5,$AM72,0),IF($B$4=1,OFFSET(StateModDepletions_BLNoRes!AC$5,$AM72,0)))</f>
        <v>29532.974227584898</v>
      </c>
      <c r="AD72" s="314">
        <f ca="1">IF($B$4=0,OFFSET(StateModDepletions_BL!AD$5,$AM72,0),IF($B$4=1,OFFSET(StateModDepletions_BLNoRes!AD$5,$AM72,0)))</f>
        <v>16579.13452886045</v>
      </c>
      <c r="AE72" s="314">
        <f ca="1">IF($B$4=0,OFFSET(StateModDepletions_BL!AE$5,$AM72,0),IF($B$4=1,OFFSET(StateModDepletions_BLNoRes!AE$5,$AM72,0)))</f>
        <v>103597.63702741265</v>
      </c>
      <c r="AF72" s="314">
        <f ca="1">IF($B$4=0,OFFSET(StateModDepletions_BL!AF$5,$AM72,0),IF($B$4=1,OFFSET(StateModDepletions_BLNoRes!AF$5,$AM72,0)))</f>
        <v>18818.160242482994</v>
      </c>
      <c r="AG72" s="314">
        <f ca="1">IF($B$4=0,OFFSET(StateModDepletions_BL!AG$5,$AM72,0),IF($B$4=1,OFFSET(StateModDepletions_BLNoRes!AG$5,$AM72,0)))</f>
        <v>46451.323194383163</v>
      </c>
      <c r="AH72" s="314">
        <f ca="1">IF($B$4=0,OFFSET(StateModDepletions_BL!AH$5,$AM72,0),IF($B$4=1,OFFSET(StateModDepletions_BLNoRes!AH$5,$AM72,0)))</f>
        <v>22656.556699771434</v>
      </c>
      <c r="AI72" s="314">
        <f ca="1">IF($B$4=0,OFFSET(StateModDepletions_BL!AI$5,$AM72,0),IF($B$4=1,OFFSET(StateModDepletions_BLNoRes!AI$5,$AM72,0)))</f>
        <v>26459.777980128194</v>
      </c>
      <c r="AJ72" s="315">
        <f ca="1">IF($B$4=0,OFFSET(StateModDepletions_BL!AJ$5,$AM72,0),IF($B$4=1,OFFSET(StateModDepletions_BLNoRes!AJ$5,$AM72,0)))</f>
        <v>121585.62337276098</v>
      </c>
      <c r="AK72" s="519">
        <f t="shared" si="8"/>
        <v>67</v>
      </c>
      <c r="AL72" s="519">
        <f t="shared" ref="AL72:AL89" si="9">IF(ISERROR($AK72),NA(),AL71+1)</f>
        <v>1995</v>
      </c>
      <c r="AM72" s="519">
        <f>MATCH($AL72,StateModDepletions_BL!$A$6:$A$90,0)</f>
        <v>67</v>
      </c>
    </row>
    <row r="73" spans="1:39" x14ac:dyDescent="0.25">
      <c r="A73" s="519">
        <f t="shared" si="7"/>
        <v>1996</v>
      </c>
      <c r="B73" s="311">
        <f ca="1">IF($B$4=0,OFFSET(StateModDepletions_BL!B$5,$AM73,0),IF($B$4=1,OFFSET(StateModDepletions_BLNoRes!B$5,$AM73,0)))</f>
        <v>29779.537081614137</v>
      </c>
      <c r="C73" s="312">
        <f ca="1">IF($B$4=0,OFFSET(StateModDepletions_BL!C$5,$AM73,0),IF($B$4=1,OFFSET(StateModDepletions_BLNoRes!C$5,$AM73,0)))</f>
        <v>1026.0025346279144</v>
      </c>
      <c r="D73" s="312">
        <f ca="1">IF($B$4=0,OFFSET(StateModDepletions_BL!D$5,$AM73,0),IF($B$4=1,OFFSET(StateModDepletions_BLNoRes!D$5,$AM73,0)))</f>
        <v>48240.947612762451</v>
      </c>
      <c r="E73" s="312">
        <f ca="1">IF($B$4=0,OFFSET(StateModDepletions_BL!E$5,$AM73,0),IF($B$4=1,OFFSET(StateModDepletions_BLNoRes!E$5,$AM73,0)))</f>
        <v>2810.7051087617874</v>
      </c>
      <c r="F73" s="312">
        <f ca="1">IF($B$4=0,OFFSET(StateModDepletions_BL!F$5,$AM73,0),IF($B$4=1,OFFSET(StateModDepletions_BLNoRes!F$5,$AM73,0)))</f>
        <v>15250.292549237609</v>
      </c>
      <c r="G73" s="312">
        <f ca="1">IF($B$4=0,OFFSET(StateModDepletions_BL!G$5,$AM73,0),IF($B$4=1,OFFSET(StateModDepletions_BLNoRes!G$5,$AM73,0)))</f>
        <v>2036.5992698669434</v>
      </c>
      <c r="H73" s="312">
        <f ca="1">IF($B$4=0,OFFSET(StateModDepletions_BL!H$5,$AM73,0),IF($B$4=1,OFFSET(StateModDepletions_BLNoRes!H$5,$AM73,0)))</f>
        <v>2838.8627778291702</v>
      </c>
      <c r="I73" s="312">
        <f ca="1">IF($B$4=0,OFFSET(StateModDepletions_BL!I$5,$AM73,0),IF($B$4=1,OFFSET(StateModDepletions_BLNoRes!I$5,$AM73,0)))</f>
        <v>100162.74940613657</v>
      </c>
      <c r="J73" s="312">
        <f ca="1">IF($B$4=0,OFFSET(StateModDepletions_BL!J$5,$AM73,0),IF($B$4=1,OFFSET(StateModDepletions_BLNoRes!J$5,$AM73,0)))</f>
        <v>2327.6493165493011</v>
      </c>
      <c r="K73" s="312">
        <f ca="1">IF($B$4=0,OFFSET(StateModDepletions_BL!K$5,$AM73,0),IF($B$4=1,OFFSET(StateModDepletions_BLNoRes!K$5,$AM73,0)))</f>
        <v>19116.242594718933</v>
      </c>
      <c r="L73" s="312">
        <f ca="1">IF($B$4=0,OFFSET(StateModDepletions_BL!L$5,$AM73,0),IF($B$4=1,OFFSET(StateModDepletions_BLNoRes!L$5,$AM73,0)))</f>
        <v>19141.341357752659</v>
      </c>
      <c r="M73" s="312">
        <f ca="1">IF($B$4=0,OFFSET(StateModDepletions_BL!M$5,$AM73,0),IF($B$4=1,OFFSET(StateModDepletions_BLNoRes!M$5,$AM73,0)))</f>
        <v>1372.9785013198853</v>
      </c>
      <c r="N73" s="312">
        <f ca="1">IF($B$4=0,OFFSET(StateModDepletions_BL!N$5,$AM73,0),IF($B$4=1,OFFSET(StateModDepletions_BLNoRes!N$5,$AM73,0)))</f>
        <v>1326.6977829933167</v>
      </c>
      <c r="O73" s="312">
        <f ca="1">IF($B$4=0,OFFSET(StateModDepletions_BL!O$5,$AM73,0),IF($B$4=1,OFFSET(StateModDepletions_BLNoRes!O$5,$AM73,0)))</f>
        <v>26328.391575990692</v>
      </c>
      <c r="P73" s="312">
        <f ca="1">IF($B$4=0,OFFSET(StateModDepletions_BL!P$5,$AM73,0),IF($B$4=1,OFFSET(StateModDepletions_BLNoRes!P$5,$AM73,0)))</f>
        <v>291.16730356216431</v>
      </c>
      <c r="Q73" s="312">
        <f ca="1">IF($B$4=0,OFFSET(StateModDepletions_BL!Q$5,$AM73,0),IF($B$4=1,OFFSET(StateModDepletions_BLNoRes!Q$5,$AM73,0)))</f>
        <v>11528.445808507502</v>
      </c>
      <c r="R73" s="312">
        <f ca="1">IF($B$4=0,OFFSET(StateModDepletions_BL!R$5,$AM73,0),IF($B$4=1,OFFSET(StateModDepletions_BLNoRes!R$5,$AM73,0)))</f>
        <v>598.83215999603271</v>
      </c>
      <c r="S73" s="312">
        <f ca="1">IF($B$4=0,OFFSET(StateModDepletions_BL!S$5,$AM73,0),IF($B$4=1,OFFSET(StateModDepletions_BLNoRes!S$5,$AM73,0)))</f>
        <v>0</v>
      </c>
      <c r="T73" s="312">
        <f ca="1">IF($B$4=0,OFFSET(StateModDepletions_BL!T$5,$AM73,0),IF($B$4=1,OFFSET(StateModDepletions_BLNoRes!T$5,$AM73,0)))</f>
        <v>10799.320131667033</v>
      </c>
      <c r="U73" s="312">
        <f ca="1">IF($B$4=0,OFFSET(StateModDepletions_BL!U$5,$AM73,0),IF($B$4=1,OFFSET(StateModDepletions_BLNoRes!U$5,$AM73,0)))</f>
        <v>1380.9019365602483</v>
      </c>
      <c r="V73" s="312">
        <f ca="1">IF($B$4=0,OFFSET(StateModDepletions_BL!V$5,$AM73,0),IF($B$4=1,OFFSET(StateModDepletions_BLNoRes!V$5,$AM73,0)))</f>
        <v>8083.8472414016724</v>
      </c>
      <c r="W73" s="312">
        <f ca="1">IF($B$4=0,OFFSET(StateModDepletions_BL!W$5,$AM73,0),IF($B$4=1,OFFSET(StateModDepletions_BLNoRes!W$5,$AM73,0)))</f>
        <v>147990.34096988261</v>
      </c>
      <c r="X73" s="312">
        <f ca="1">IF($B$4=0,OFFSET(StateModDepletions_BL!X$5,$AM73,0),IF($B$4=1,OFFSET(StateModDepletions_BLNoRes!X$5,$AM73,0)))</f>
        <v>5370.1847173767164</v>
      </c>
      <c r="Y73" s="312">
        <f ca="1">IF($B$4=0,OFFSET(StateModDepletions_BL!Y$5,$AM73,0),IF($B$4=1,OFFSET(StateModDepletions_BLNoRes!Y$5,$AM73,0)))</f>
        <v>212.11356273293495</v>
      </c>
      <c r="Z73" s="312">
        <f ca="1">IF($B$4=0,OFFSET(StateModDepletions_BL!Z$5,$AM73,0),IF($B$4=1,OFFSET(StateModDepletions_BLNoRes!Z$5,$AM73,0)))</f>
        <v>249572.9455909729</v>
      </c>
      <c r="AA73" s="313">
        <f ca="1">IF($B$4=0,OFFSET(StateModDepletions_BL!AA$5,$AM73,0),IF($B$4=1,OFFSET(StateModDepletions_BLNoRes!AA$5,$AM73,0)))</f>
        <v>96000.306340980635</v>
      </c>
      <c r="AB73" s="314">
        <f ca="1">IF($B$4=0,OFFSET(StateModDepletions_BL!AB$5,$AM73,0),IF($B$4=1,OFFSET(StateModDepletions_BLNoRes!AB$5,$AM73,0)))</f>
        <v>24765.810481309891</v>
      </c>
      <c r="AC73" s="314">
        <f ca="1">IF($B$4=0,OFFSET(StateModDepletions_BL!AC$5,$AM73,0),IF($B$4=1,OFFSET(StateModDepletions_BLNoRes!AC$5,$AM73,0)))</f>
        <v>30805.539616242051</v>
      </c>
      <c r="AD73" s="314">
        <f ca="1">IF($B$4=0,OFFSET(StateModDepletions_BL!AD$5,$AM73,0),IF($B$4=1,OFFSET(StateModDepletions_BLNoRes!AD$5,$AM73,0)))</f>
        <v>17286.891819104552</v>
      </c>
      <c r="AE73" s="314">
        <f ca="1">IF($B$4=0,OFFSET(StateModDepletions_BL!AE$5,$AM73,0),IF($B$4=1,OFFSET(StateModDepletions_BLNoRes!AE$5,$AM73,0)))</f>
        <v>102490.39872268587</v>
      </c>
      <c r="AF73" s="314">
        <f ca="1">IF($B$4=0,OFFSET(StateModDepletions_BL!AF$5,$AM73,0),IF($B$4=1,OFFSET(StateModDepletions_BLNoRes!AF$5,$AM73,0)))</f>
        <v>20514.319859072544</v>
      </c>
      <c r="AG73" s="314">
        <f ca="1">IF($B$4=0,OFFSET(StateModDepletions_BL!AG$5,$AM73,0),IF($B$4=1,OFFSET(StateModDepletions_BLNoRes!AG$5,$AM73,0)))</f>
        <v>26619.558879552857</v>
      </c>
      <c r="AH73" s="314">
        <f ca="1">IF($B$4=0,OFFSET(StateModDepletions_BL!AH$5,$AM73,0),IF($B$4=1,OFFSET(StateModDepletions_BLNoRes!AH$5,$AM73,0)))</f>
        <v>12127.277968503535</v>
      </c>
      <c r="AI73" s="314">
        <f ca="1">IF($B$4=0,OFFSET(StateModDepletions_BL!AI$5,$AM73,0),IF($B$4=1,OFFSET(StateModDepletions_BLNoRes!AI$5,$AM73,0)))</f>
        <v>12180.222068227282</v>
      </c>
      <c r="AJ73" s="315">
        <f ca="1">IF($B$4=0,OFFSET(StateModDepletions_BL!AJ$5,$AM73,0),IF($B$4=1,OFFSET(StateModDepletions_BLNoRes!AJ$5,$AM73,0)))</f>
        <v>153360.52568725933</v>
      </c>
      <c r="AK73" s="519">
        <f t="shared" si="8"/>
        <v>68</v>
      </c>
      <c r="AL73" s="519">
        <f t="shared" si="9"/>
        <v>1996</v>
      </c>
      <c r="AM73" s="519">
        <f>MATCH($AL73,StateModDepletions_BL!$A$6:$A$90,0)</f>
        <v>68</v>
      </c>
    </row>
    <row r="74" spans="1:39" x14ac:dyDescent="0.25">
      <c r="A74" s="519">
        <f t="shared" si="7"/>
        <v>1997</v>
      </c>
      <c r="B74" s="311">
        <f ca="1">IF($B$4=0,OFFSET(StateModDepletions_BL!B$5,$AM74,0),IF($B$4=1,OFFSET(StateModDepletions_BLNoRes!B$5,$AM74,0)))</f>
        <v>25159.440965354443</v>
      </c>
      <c r="C74" s="312">
        <f ca="1">IF($B$4=0,OFFSET(StateModDepletions_BL!C$5,$AM74,0),IF($B$4=1,OFFSET(StateModDepletions_BLNoRes!C$5,$AM74,0)))</f>
        <v>1026.0025346279144</v>
      </c>
      <c r="D74" s="312">
        <f ca="1">IF($B$4=0,OFFSET(StateModDepletions_BL!D$5,$AM74,0),IF($B$4=1,OFFSET(StateModDepletions_BLNoRes!D$5,$AM74,0)))</f>
        <v>141869.90014648438</v>
      </c>
      <c r="E74" s="312">
        <f ca="1">IF($B$4=0,OFFSET(StateModDepletions_BL!E$5,$AM74,0),IF($B$4=1,OFFSET(StateModDepletions_BLNoRes!E$5,$AM74,0)))</f>
        <v>2810.7051087617874</v>
      </c>
      <c r="F74" s="312">
        <f ca="1">IF($B$4=0,OFFSET(StateModDepletions_BL!F$5,$AM74,0),IF($B$4=1,OFFSET(StateModDepletions_BLNoRes!F$5,$AM74,0)))</f>
        <v>12714.264801204205</v>
      </c>
      <c r="G74" s="312">
        <f ca="1">IF($B$4=0,OFFSET(StateModDepletions_BL!G$5,$AM74,0),IF($B$4=1,OFFSET(StateModDepletions_BLNoRes!G$5,$AM74,0)))</f>
        <v>2036.5992698669434</v>
      </c>
      <c r="H74" s="312">
        <f ca="1">IF($B$4=0,OFFSET(StateModDepletions_BL!H$5,$AM74,0),IF($B$4=1,OFFSET(StateModDepletions_BLNoRes!H$5,$AM74,0)))</f>
        <v>2838.8627778291702</v>
      </c>
      <c r="I74" s="312">
        <f ca="1">IF($B$4=0,OFFSET(StateModDepletions_BL!I$5,$AM74,0),IF($B$4=1,OFFSET(StateModDepletions_BLNoRes!I$5,$AM74,0)))</f>
        <v>103258.39309136569</v>
      </c>
      <c r="J74" s="312">
        <f ca="1">IF($B$4=0,OFFSET(StateModDepletions_BL!J$5,$AM74,0),IF($B$4=1,OFFSET(StateModDepletions_BLNoRes!J$5,$AM74,0)))</f>
        <v>2691.6278207302094</v>
      </c>
      <c r="K74" s="312">
        <f ca="1">IF($B$4=0,OFFSET(StateModDepletions_BL!K$5,$AM74,0),IF($B$4=1,OFFSET(StateModDepletions_BLNoRes!K$5,$AM74,0)))</f>
        <v>19116.242594718933</v>
      </c>
      <c r="L74" s="312">
        <f ca="1">IF($B$4=0,OFFSET(StateModDepletions_BL!L$5,$AM74,0),IF($B$4=1,OFFSET(StateModDepletions_BLNoRes!L$5,$AM74,0)))</f>
        <v>16778.413258336466</v>
      </c>
      <c r="M74" s="312">
        <f ca="1">IF($B$4=0,OFFSET(StateModDepletions_BL!M$5,$AM74,0),IF($B$4=1,OFFSET(StateModDepletions_BLNoRes!M$5,$AM74,0)))</f>
        <v>1388.1358737945557</v>
      </c>
      <c r="N74" s="312">
        <f ca="1">IF($B$4=0,OFFSET(StateModDepletions_BL!N$5,$AM74,0),IF($B$4=1,OFFSET(StateModDepletions_BLNoRes!N$5,$AM74,0)))</f>
        <v>1326.6977829933167</v>
      </c>
      <c r="O74" s="312">
        <f ca="1">IF($B$4=0,OFFSET(StateModDepletions_BL!O$5,$AM74,0),IF($B$4=1,OFFSET(StateModDepletions_BLNoRes!O$5,$AM74,0)))</f>
        <v>44856.933479888816</v>
      </c>
      <c r="P74" s="312">
        <f ca="1">IF($B$4=0,OFFSET(StateModDepletions_BL!P$5,$AM74,0),IF($B$4=1,OFFSET(StateModDepletions_BLNoRes!P$5,$AM74,0)))</f>
        <v>488.73036551475525</v>
      </c>
      <c r="Q74" s="312">
        <f ca="1">IF($B$4=0,OFFSET(StateModDepletions_BL!Q$5,$AM74,0),IF($B$4=1,OFFSET(StateModDepletions_BLNoRes!Q$5,$AM74,0)))</f>
        <v>22530.197339996696</v>
      </c>
      <c r="R74" s="312">
        <f ca="1">IF($B$4=0,OFFSET(StateModDepletions_BL!R$5,$AM74,0),IF($B$4=1,OFFSET(StateModDepletions_BLNoRes!R$5,$AM74,0)))</f>
        <v>598.83215999603271</v>
      </c>
      <c r="S74" s="312">
        <f ca="1">IF($B$4=0,OFFSET(StateModDepletions_BL!S$5,$AM74,0),IF($B$4=1,OFFSET(StateModDepletions_BLNoRes!S$5,$AM74,0)))</f>
        <v>0</v>
      </c>
      <c r="T74" s="312">
        <f ca="1">IF($B$4=0,OFFSET(StateModDepletions_BL!T$5,$AM74,0),IF($B$4=1,OFFSET(StateModDepletions_BLNoRes!T$5,$AM74,0)))</f>
        <v>23059.31420964457</v>
      </c>
      <c r="U74" s="312">
        <f ca="1">IF($B$4=0,OFFSET(StateModDepletions_BL!U$5,$AM74,0),IF($B$4=1,OFFSET(StateModDepletions_BLNoRes!U$5,$AM74,0)))</f>
        <v>1527.3596330424455</v>
      </c>
      <c r="V74" s="312">
        <f ca="1">IF($B$4=0,OFFSET(StateModDepletions_BL!V$5,$AM74,0),IF($B$4=1,OFFSET(StateModDepletions_BLNoRes!V$5,$AM74,0)))</f>
        <v>16793.071511268616</v>
      </c>
      <c r="W74" s="312">
        <f ca="1">IF($B$4=0,OFFSET(StateModDepletions_BL!W$5,$AM74,0),IF($B$4=1,OFFSET(StateModDepletions_BLNoRes!W$5,$AM74,0)))</f>
        <v>134823.82695226715</v>
      </c>
      <c r="X74" s="312">
        <f ca="1">IF($B$4=0,OFFSET(StateModDepletions_BL!X$5,$AM74,0),IF($B$4=1,OFFSET(StateModDepletions_BLNoRes!X$5,$AM74,0)))</f>
        <v>5891.855215626575</v>
      </c>
      <c r="Y74" s="312">
        <f ca="1">IF($B$4=0,OFFSET(StateModDepletions_BL!Y$5,$AM74,0),IF($B$4=1,OFFSET(StateModDepletions_BLNoRes!Y$5,$AM74,0)))</f>
        <v>212.11356273293495</v>
      </c>
      <c r="Z74" s="312">
        <f ca="1">IF($B$4=0,OFFSET(StateModDepletions_BL!Z$5,$AM74,0),IF($B$4=1,OFFSET(StateModDepletions_BLNoRes!Z$5,$AM74,0)))</f>
        <v>199579.09180855751</v>
      </c>
      <c r="AA74" s="313">
        <f ca="1">IF($B$4=0,OFFSET(StateModDepletions_BL!AA$5,$AM74,0),IF($B$4=1,OFFSET(StateModDepletions_BLNoRes!AA$5,$AM74,0)))</f>
        <v>58651.296077930856</v>
      </c>
      <c r="AB74" s="314">
        <f ca="1">IF($B$4=0,OFFSET(StateModDepletions_BL!AB$5,$AM74,0),IF($B$4=1,OFFSET(StateModDepletions_BLNoRes!AB$5,$AM74,0)))</f>
        <v>24765.810481309891</v>
      </c>
      <c r="AC74" s="314">
        <f ca="1">IF($B$4=0,OFFSET(StateModDepletions_BL!AC$5,$AM74,0),IF($B$4=1,OFFSET(StateModDepletions_BLNoRes!AC$5,$AM74,0)))</f>
        <v>26185.443499982357</v>
      </c>
      <c r="AD74" s="314">
        <f ca="1">IF($B$4=0,OFFSET(StateModDepletions_BL!AD$5,$AM74,0),IF($B$4=1,OFFSET(StateModDepletions_BLNoRes!AD$5,$AM74,0)))</f>
        <v>14750.864071071148</v>
      </c>
      <c r="AE74" s="314">
        <f ca="1">IF($B$4=0,OFFSET(StateModDepletions_BL!AE$5,$AM74,0),IF($B$4=1,OFFSET(StateModDepletions_BLNoRes!AE$5,$AM74,0)))</f>
        <v>105950.0209120959</v>
      </c>
      <c r="AF74" s="314">
        <f ca="1">IF($B$4=0,OFFSET(StateModDepletions_BL!AF$5,$AM74,0),IF($B$4=1,OFFSET(StateModDepletions_BLNoRes!AF$5,$AM74,0)))</f>
        <v>18166.549132131022</v>
      </c>
      <c r="AG74" s="314">
        <f ca="1">IF($B$4=0,OFFSET(StateModDepletions_BL!AG$5,$AM74,0),IF($B$4=1,OFFSET(StateModDepletions_BLNoRes!AG$5,$AM74,0)))</f>
        <v>45345.663845403571</v>
      </c>
      <c r="AH74" s="314">
        <f ca="1">IF($B$4=0,OFFSET(StateModDepletions_BL!AH$5,$AM74,0),IF($B$4=1,OFFSET(StateModDepletions_BLNoRes!AH$5,$AM74,0)))</f>
        <v>23129.029499992728</v>
      </c>
      <c r="AI74" s="314">
        <f ca="1">IF($B$4=0,OFFSET(StateModDepletions_BL!AI$5,$AM74,0),IF($B$4=1,OFFSET(StateModDepletions_BLNoRes!AI$5,$AM74,0)))</f>
        <v>24586.673842687014</v>
      </c>
      <c r="AJ74" s="315">
        <f ca="1">IF($B$4=0,OFFSET(StateModDepletions_BL!AJ$5,$AM74,0),IF($B$4=1,OFFSET(StateModDepletions_BLNoRes!AJ$5,$AM74,0)))</f>
        <v>140715.68216789371</v>
      </c>
      <c r="AK74" s="519">
        <f t="shared" si="8"/>
        <v>69</v>
      </c>
      <c r="AL74" s="519">
        <f t="shared" si="9"/>
        <v>1997</v>
      </c>
      <c r="AM74" s="519">
        <f>MATCH($AL74,StateModDepletions_BL!$A$6:$A$90,0)</f>
        <v>69</v>
      </c>
    </row>
    <row r="75" spans="1:39" x14ac:dyDescent="0.25">
      <c r="A75" s="519">
        <f t="shared" si="7"/>
        <v>1998</v>
      </c>
      <c r="B75" s="311">
        <f ca="1">IF($B$4=0,OFFSET(StateModDepletions_BL!B$5,$AM75,0),IF($B$4=1,OFFSET(StateModDepletions_BLNoRes!B$5,$AM75,0)))</f>
        <v>33177.189328059554</v>
      </c>
      <c r="C75" s="312">
        <f ca="1">IF($B$4=0,OFFSET(StateModDepletions_BL!C$5,$AM75,0),IF($B$4=1,OFFSET(StateModDepletions_BLNoRes!C$5,$AM75,0)))</f>
        <v>1026.0025346279144</v>
      </c>
      <c r="D75" s="312">
        <f ca="1">IF($B$4=0,OFFSET(StateModDepletions_BL!D$5,$AM75,0),IF($B$4=1,OFFSET(StateModDepletions_BLNoRes!D$5,$AM75,0)))</f>
        <v>97067.112983703613</v>
      </c>
      <c r="E75" s="312">
        <f ca="1">IF($B$4=0,OFFSET(StateModDepletions_BL!E$5,$AM75,0),IF($B$4=1,OFFSET(StateModDepletions_BLNoRes!E$5,$AM75,0)))</f>
        <v>2810.7051087617874</v>
      </c>
      <c r="F75" s="312">
        <f ca="1">IF($B$4=0,OFFSET(StateModDepletions_BL!F$5,$AM75,0),IF($B$4=1,OFFSET(StateModDepletions_BLNoRes!F$5,$AM75,0)))</f>
        <v>16562.881358131766</v>
      </c>
      <c r="G75" s="312">
        <f ca="1">IF($B$4=0,OFFSET(StateModDepletions_BL!G$5,$AM75,0),IF($B$4=1,OFFSET(StateModDepletions_BLNoRes!G$5,$AM75,0)))</f>
        <v>2036.5992698669434</v>
      </c>
      <c r="H75" s="312">
        <f ca="1">IF($B$4=0,OFFSET(StateModDepletions_BL!H$5,$AM75,0),IF($B$4=1,OFFSET(StateModDepletions_BLNoRes!H$5,$AM75,0)))</f>
        <v>2838.8627778291702</v>
      </c>
      <c r="I75" s="312">
        <f ca="1">IF($B$4=0,OFFSET(StateModDepletions_BL!I$5,$AM75,0),IF($B$4=1,OFFSET(StateModDepletions_BLNoRes!I$5,$AM75,0)))</f>
        <v>103749.49309156835</v>
      </c>
      <c r="J75" s="312">
        <f ca="1">IF($B$4=0,OFFSET(StateModDepletions_BL!J$5,$AM75,0),IF($B$4=1,OFFSET(StateModDepletions_BLNoRes!J$5,$AM75,0)))</f>
        <v>2458.2529428005219</v>
      </c>
      <c r="K75" s="312">
        <f ca="1">IF($B$4=0,OFFSET(StateModDepletions_BL!K$5,$AM75,0),IF($B$4=1,OFFSET(StateModDepletions_BLNoRes!K$5,$AM75,0)))</f>
        <v>19116.242594718933</v>
      </c>
      <c r="L75" s="312">
        <f ca="1">IF($B$4=0,OFFSET(StateModDepletions_BL!L$5,$AM75,0),IF($B$4=1,OFFSET(StateModDepletions_BLNoRes!L$5,$AM75,0)))</f>
        <v>18279.750435873866</v>
      </c>
      <c r="M75" s="312">
        <f ca="1">IF($B$4=0,OFFSET(StateModDepletions_BL!M$5,$AM75,0),IF($B$4=1,OFFSET(StateModDepletions_BLNoRes!M$5,$AM75,0)))</f>
        <v>1393.2385935783386</v>
      </c>
      <c r="N75" s="312">
        <f ca="1">IF($B$4=0,OFFSET(StateModDepletions_BL!N$5,$AM75,0),IF($B$4=1,OFFSET(StateModDepletions_BLNoRes!N$5,$AM75,0)))</f>
        <v>1326.6977829933167</v>
      </c>
      <c r="O75" s="312">
        <f ca="1">IF($B$4=0,OFFSET(StateModDepletions_BL!O$5,$AM75,0),IF($B$4=1,OFFSET(StateModDepletions_BLNoRes!O$5,$AM75,0)))</f>
        <v>42203.480178008307</v>
      </c>
      <c r="P75" s="312">
        <f ca="1">IF($B$4=0,OFFSET(StateModDepletions_BL!P$5,$AM75,0),IF($B$4=1,OFFSET(StateModDepletions_BLNoRes!P$5,$AM75,0)))</f>
        <v>351.52508592605591</v>
      </c>
      <c r="Q75" s="312">
        <f ca="1">IF($B$4=0,OFFSET(StateModDepletions_BL!Q$5,$AM75,0),IF($B$4=1,OFFSET(StateModDepletions_BLNoRes!Q$5,$AM75,0)))</f>
        <v>17572.224156752229</v>
      </c>
      <c r="R75" s="312">
        <f ca="1">IF($B$4=0,OFFSET(StateModDepletions_BL!R$5,$AM75,0),IF($B$4=1,OFFSET(StateModDepletions_BLNoRes!R$5,$AM75,0)))</f>
        <v>598.83215999603271</v>
      </c>
      <c r="S75" s="312">
        <f ca="1">IF($B$4=0,OFFSET(StateModDepletions_BL!S$5,$AM75,0),IF($B$4=1,OFFSET(StateModDepletions_BLNoRes!S$5,$AM75,0)))</f>
        <v>0</v>
      </c>
      <c r="T75" s="312">
        <f ca="1">IF($B$4=0,OFFSET(StateModDepletions_BL!T$5,$AM75,0),IF($B$4=1,OFFSET(StateModDepletions_BLNoRes!T$5,$AM75,0)))</f>
        <v>16809.420229131356</v>
      </c>
      <c r="U75" s="312">
        <f ca="1">IF($B$4=0,OFFSET(StateModDepletions_BL!U$5,$AM75,0),IF($B$4=1,OFFSET(StateModDepletions_BLNoRes!U$5,$AM75,0)))</f>
        <v>1432.2823120910975</v>
      </c>
      <c r="V75" s="312">
        <f ca="1">IF($B$4=0,OFFSET(StateModDepletions_BL!V$5,$AM75,0),IF($B$4=1,OFFSET(StateModDepletions_BLNoRes!V$5,$AM75,0)))</f>
        <v>12114.775233268738</v>
      </c>
      <c r="W75" s="312">
        <f ca="1">IF($B$4=0,OFFSET(StateModDepletions_BL!W$5,$AM75,0),IF($B$4=1,OFFSET(StateModDepletions_BLNoRes!W$5,$AM75,0)))</f>
        <v>148079.24838319764</v>
      </c>
      <c r="X75" s="312">
        <f ca="1">IF($B$4=0,OFFSET(StateModDepletions_BL!X$5,$AM75,0),IF($B$4=1,OFFSET(StateModDepletions_BLNoRes!X$5,$AM75,0)))</f>
        <v>5794.8287901207805</v>
      </c>
      <c r="Y75" s="312">
        <f ca="1">IF($B$4=0,OFFSET(StateModDepletions_BL!Y$5,$AM75,0),IF($B$4=1,OFFSET(StateModDepletions_BLNoRes!Y$5,$AM75,0)))</f>
        <v>212.11356273293495</v>
      </c>
      <c r="Z75" s="312">
        <f ca="1">IF($B$4=0,OFFSET(StateModDepletions_BL!Z$5,$AM75,0),IF($B$4=1,OFFSET(StateModDepletions_BLNoRes!Z$5,$AM75,0)))</f>
        <v>208180.59205627441</v>
      </c>
      <c r="AA75" s="313">
        <f ca="1">IF($B$4=0,OFFSET(StateModDepletions_BL!AA$5,$AM75,0),IF($B$4=1,OFFSET(StateModDepletions_BLNoRes!AA$5,$AM75,0)))</f>
        <v>54094.401320223056</v>
      </c>
      <c r="AB75" s="314">
        <f ca="1">IF($B$4=0,OFFSET(StateModDepletions_BL!AB$5,$AM75,0),IF($B$4=1,OFFSET(StateModDepletions_BLNoRes!AB$5,$AM75,0)))</f>
        <v>24765.810481309891</v>
      </c>
      <c r="AC75" s="314">
        <f ca="1">IF($B$4=0,OFFSET(StateModDepletions_BL!AC$5,$AM75,0),IF($B$4=1,OFFSET(StateModDepletions_BLNoRes!AC$5,$AM75,0)))</f>
        <v>34203.191862687469</v>
      </c>
      <c r="AD75" s="314">
        <f ca="1">IF($B$4=0,OFFSET(StateModDepletions_BL!AD$5,$AM75,0),IF($B$4=1,OFFSET(StateModDepletions_BLNoRes!AD$5,$AM75,0)))</f>
        <v>18599.48062799871</v>
      </c>
      <c r="AE75" s="314">
        <f ca="1">IF($B$4=0,OFFSET(StateModDepletions_BL!AE$5,$AM75,0),IF($B$4=1,OFFSET(StateModDepletions_BLNoRes!AE$5,$AM75,0)))</f>
        <v>106207.74603436887</v>
      </c>
      <c r="AF75" s="314">
        <f ca="1">IF($B$4=0,OFFSET(StateModDepletions_BL!AF$5,$AM75,0),IF($B$4=1,OFFSET(StateModDepletions_BLNoRes!AF$5,$AM75,0)))</f>
        <v>19672.989029452205</v>
      </c>
      <c r="AG75" s="314">
        <f ca="1">IF($B$4=0,OFFSET(StateModDepletions_BL!AG$5,$AM75,0),IF($B$4=1,OFFSET(StateModDepletions_BLNoRes!AG$5,$AM75,0)))</f>
        <v>42555.005263934363</v>
      </c>
      <c r="AH75" s="314">
        <f ca="1">IF($B$4=0,OFFSET(StateModDepletions_BL!AH$5,$AM75,0),IF($B$4=1,OFFSET(StateModDepletions_BLNoRes!AH$5,$AM75,0)))</f>
        <v>18171.056316748261</v>
      </c>
      <c r="AI75" s="314">
        <f ca="1">IF($B$4=0,OFFSET(StateModDepletions_BL!AI$5,$AM75,0),IF($B$4=1,OFFSET(StateModDepletions_BLNoRes!AI$5,$AM75,0)))</f>
        <v>18241.702541222454</v>
      </c>
      <c r="AJ75" s="315">
        <f ca="1">IF($B$4=0,OFFSET(StateModDepletions_BL!AJ$5,$AM75,0),IF($B$4=1,OFFSET(StateModDepletions_BLNoRes!AJ$5,$AM75,0)))</f>
        <v>153874.07717331842</v>
      </c>
      <c r="AK75" s="519">
        <f t="shared" si="8"/>
        <v>70</v>
      </c>
      <c r="AL75" s="519">
        <f t="shared" si="9"/>
        <v>1998</v>
      </c>
      <c r="AM75" s="519">
        <f>MATCH($AL75,StateModDepletions_BL!$A$6:$A$90,0)</f>
        <v>70</v>
      </c>
    </row>
    <row r="76" spans="1:39" x14ac:dyDescent="0.25">
      <c r="A76" s="519">
        <f t="shared" si="7"/>
        <v>1999</v>
      </c>
      <c r="B76" s="311">
        <f ca="1">IF($B$4=0,OFFSET(StateModDepletions_BL!B$5,$AM76,0),IF($B$4=1,OFFSET(StateModDepletions_BLNoRes!B$5,$AM76,0)))</f>
        <v>32964.874221034348</v>
      </c>
      <c r="C76" s="312">
        <f ca="1">IF($B$4=0,OFFSET(StateModDepletions_BL!C$5,$AM76,0),IF($B$4=1,OFFSET(StateModDepletions_BLNoRes!C$5,$AM76,0)))</f>
        <v>1026.0025346279144</v>
      </c>
      <c r="D76" s="312">
        <f ca="1">IF($B$4=0,OFFSET(StateModDepletions_BL!D$5,$AM76,0),IF($B$4=1,OFFSET(StateModDepletions_BLNoRes!D$5,$AM76,0)))</f>
        <v>102844.95849609375</v>
      </c>
      <c r="E76" s="312">
        <f ca="1">IF($B$4=0,OFFSET(StateModDepletions_BL!E$5,$AM76,0),IF($B$4=1,OFFSET(StateModDepletions_BLNoRes!E$5,$AM76,0)))</f>
        <v>2810.7051087617874</v>
      </c>
      <c r="F76" s="312">
        <f ca="1">IF($B$4=0,OFFSET(StateModDepletions_BL!F$5,$AM76,0),IF($B$4=1,OFFSET(StateModDepletions_BLNoRes!F$5,$AM76,0)))</f>
        <v>16529.314782619476</v>
      </c>
      <c r="G76" s="312">
        <f ca="1">IF($B$4=0,OFFSET(StateModDepletions_BL!G$5,$AM76,0),IF($B$4=1,OFFSET(StateModDepletions_BLNoRes!G$5,$AM76,0)))</f>
        <v>2036.5992698669434</v>
      </c>
      <c r="H76" s="312">
        <f ca="1">IF($B$4=0,OFFSET(StateModDepletions_BL!H$5,$AM76,0),IF($B$4=1,OFFSET(StateModDepletions_BLNoRes!H$5,$AM76,0)))</f>
        <v>2838.8627778291702</v>
      </c>
      <c r="I76" s="312">
        <f ca="1">IF($B$4=0,OFFSET(StateModDepletions_BL!I$5,$AM76,0),IF($B$4=1,OFFSET(StateModDepletions_BLNoRes!I$5,$AM76,0)))</f>
        <v>98996.988639742136</v>
      </c>
      <c r="J76" s="312">
        <f ca="1">IF($B$4=0,OFFSET(StateModDepletions_BL!J$5,$AM76,0),IF($B$4=1,OFFSET(StateModDepletions_BLNoRes!J$5,$AM76,0)))</f>
        <v>2602.8871610164642</v>
      </c>
      <c r="K76" s="312">
        <f ca="1">IF($B$4=0,OFFSET(StateModDepletions_BL!K$5,$AM76,0),IF($B$4=1,OFFSET(StateModDepletions_BLNoRes!K$5,$AM76,0)))</f>
        <v>19116.242594718933</v>
      </c>
      <c r="L76" s="312">
        <f ca="1">IF($B$4=0,OFFSET(StateModDepletions_BL!L$5,$AM76,0),IF($B$4=1,OFFSET(StateModDepletions_BLNoRes!L$5,$AM76,0)))</f>
        <v>15896.855471760024</v>
      </c>
      <c r="M76" s="312">
        <f ca="1">IF($B$4=0,OFFSET(StateModDepletions_BL!M$5,$AM76,0),IF($B$4=1,OFFSET(StateModDepletions_BLNoRes!M$5,$AM76,0)))</f>
        <v>1421.9062471389771</v>
      </c>
      <c r="N76" s="312">
        <f ca="1">IF($B$4=0,OFFSET(StateModDepletions_BL!N$5,$AM76,0),IF($B$4=1,OFFSET(StateModDepletions_BLNoRes!N$5,$AM76,0)))</f>
        <v>1326.6977829933167</v>
      </c>
      <c r="O76" s="312">
        <f ca="1">IF($B$4=0,OFFSET(StateModDepletions_BL!O$5,$AM76,0),IF($B$4=1,OFFSET(StateModDepletions_BLNoRes!O$5,$AM76,0)))</f>
        <v>42588.623615293283</v>
      </c>
      <c r="P76" s="312">
        <f ca="1">IF($B$4=0,OFFSET(StateModDepletions_BL!P$5,$AM76,0),IF($B$4=1,OFFSET(StateModDepletions_BLNoRes!P$5,$AM76,0)))</f>
        <v>388.57774639129639</v>
      </c>
      <c r="Q76" s="312">
        <f ca="1">IF($B$4=0,OFFSET(StateModDepletions_BL!Q$5,$AM76,0),IF($B$4=1,OFFSET(StateModDepletions_BLNoRes!Q$5,$AM76,0)))</f>
        <v>19445.735156543553</v>
      </c>
      <c r="R76" s="312">
        <f ca="1">IF($B$4=0,OFFSET(StateModDepletions_BL!R$5,$AM76,0),IF($B$4=1,OFFSET(StateModDepletions_BLNoRes!R$5,$AM76,0)))</f>
        <v>598.83215999603271</v>
      </c>
      <c r="S76" s="312">
        <f ca="1">IF($B$4=0,OFFSET(StateModDepletions_BL!S$5,$AM76,0),IF($B$4=1,OFFSET(StateModDepletions_BLNoRes!S$5,$AM76,0)))</f>
        <v>0</v>
      </c>
      <c r="T76" s="312">
        <f ca="1">IF($B$4=0,OFFSET(StateModDepletions_BL!T$5,$AM76,0),IF($B$4=1,OFFSET(StateModDepletions_BLNoRes!T$5,$AM76,0)))</f>
        <v>17879.28560508378</v>
      </c>
      <c r="U76" s="312">
        <f ca="1">IF($B$4=0,OFFSET(StateModDepletions_BL!U$5,$AM76,0),IF($B$4=1,OFFSET(StateModDepletions_BLNoRes!U$5,$AM76,0)))</f>
        <v>1462.6694886213734</v>
      </c>
      <c r="V76" s="312">
        <f ca="1">IF($B$4=0,OFFSET(StateModDepletions_BL!V$5,$AM76,0),IF($B$4=1,OFFSET(StateModDepletions_BLNoRes!V$5,$AM76,0)))</f>
        <v>15258.390456199646</v>
      </c>
      <c r="W76" s="312">
        <f ca="1">IF($B$4=0,OFFSET(StateModDepletions_BL!W$5,$AM76,0),IF($B$4=1,OFFSET(StateModDepletions_BLNoRes!W$5,$AM76,0)))</f>
        <v>133632.7145545219</v>
      </c>
      <c r="X76" s="312">
        <f ca="1">IF($B$4=0,OFFSET(StateModDepletions_BL!X$5,$AM76,0),IF($B$4=1,OFFSET(StateModDepletions_BLNoRes!X$5,$AM76,0)))</f>
        <v>5803.2621471136808</v>
      </c>
      <c r="Y76" s="312">
        <f ca="1">IF($B$4=0,OFFSET(StateModDepletions_BL!Y$5,$AM76,0),IF($B$4=1,OFFSET(StateModDepletions_BLNoRes!Y$5,$AM76,0)))</f>
        <v>212.11356273293495</v>
      </c>
      <c r="Z76" s="312">
        <f ca="1">IF($B$4=0,OFFSET(StateModDepletions_BL!Z$5,$AM76,0),IF($B$4=1,OFFSET(StateModDepletions_BLNoRes!Z$5,$AM76,0)))</f>
        <v>218006.16120147705</v>
      </c>
      <c r="AA76" s="313">
        <f ca="1">IF($B$4=0,OFFSET(StateModDepletions_BL!AA$5,$AM76,0),IF($B$4=1,OFFSET(StateModDepletions_BLNoRes!AA$5,$AM76,0)))</f>
        <v>78358.07093710854</v>
      </c>
      <c r="AB76" s="314">
        <f ca="1">IF($B$4=0,OFFSET(StateModDepletions_BL!AB$5,$AM76,0),IF($B$4=1,OFFSET(StateModDepletions_BLNoRes!AB$5,$AM76,0)))</f>
        <v>24765.810481309891</v>
      </c>
      <c r="AC76" s="314">
        <f ca="1">IF($B$4=0,OFFSET(StateModDepletions_BL!AC$5,$AM76,0),IF($B$4=1,OFFSET(StateModDepletions_BLNoRes!AC$5,$AM76,0)))</f>
        <v>33990.876755662262</v>
      </c>
      <c r="AD76" s="314">
        <f ca="1">IF($B$4=0,OFFSET(StateModDepletions_BL!AD$5,$AM76,0),IF($B$4=1,OFFSET(StateModDepletions_BLNoRes!AD$5,$AM76,0)))</f>
        <v>18565.91405248642</v>
      </c>
      <c r="AE76" s="314">
        <f ca="1">IF($B$4=0,OFFSET(StateModDepletions_BL!AE$5,$AM76,0),IF($B$4=1,OFFSET(StateModDepletions_BLNoRes!AE$5,$AM76,0)))</f>
        <v>101599.8758007586</v>
      </c>
      <c r="AF76" s="314">
        <f ca="1">IF($B$4=0,OFFSET(StateModDepletions_BL!AF$5,$AM76,0),IF($B$4=1,OFFSET(StateModDepletions_BLNoRes!AF$5,$AM76,0)))</f>
        <v>17318.761718899001</v>
      </c>
      <c r="AG76" s="314">
        <f ca="1">IF($B$4=0,OFFSET(StateModDepletions_BL!AG$5,$AM76,0),IF($B$4=1,OFFSET(StateModDepletions_BLNoRes!AG$5,$AM76,0)))</f>
        <v>42977.20136168458</v>
      </c>
      <c r="AH76" s="314">
        <f ca="1">IF($B$4=0,OFFSET(StateModDepletions_BL!AH$5,$AM76,0),IF($B$4=1,OFFSET(StateModDepletions_BLNoRes!AH$5,$AM76,0)))</f>
        <v>20044.567316539586</v>
      </c>
      <c r="AI76" s="314">
        <f ca="1">IF($B$4=0,OFFSET(StateModDepletions_BL!AI$5,$AM76,0),IF($B$4=1,OFFSET(StateModDepletions_BLNoRes!AI$5,$AM76,0)))</f>
        <v>19341.955093705154</v>
      </c>
      <c r="AJ76" s="315">
        <f ca="1">IF($B$4=0,OFFSET(StateModDepletions_BL!AJ$5,$AM76,0),IF($B$4=1,OFFSET(StateModDepletions_BLNoRes!AJ$5,$AM76,0)))</f>
        <v>139435.97670163558</v>
      </c>
      <c r="AK76" s="519">
        <f t="shared" si="8"/>
        <v>71</v>
      </c>
      <c r="AL76" s="519">
        <f t="shared" si="9"/>
        <v>1999</v>
      </c>
      <c r="AM76" s="519">
        <f>MATCH($AL76,StateModDepletions_BL!$A$6:$A$90,0)</f>
        <v>71</v>
      </c>
    </row>
    <row r="77" spans="1:39" x14ac:dyDescent="0.25">
      <c r="A77" s="519">
        <f t="shared" si="7"/>
        <v>2000</v>
      </c>
      <c r="B77" s="311">
        <f ca="1">IF($B$4=0,OFFSET(StateModDepletions_BL!B$5,$AM77,0),IF($B$4=1,OFFSET(StateModDepletions_BLNoRes!B$5,$AM77,0)))</f>
        <v>29344.583369780332</v>
      </c>
      <c r="C77" s="312">
        <f ca="1">IF($B$4=0,OFFSET(StateModDepletions_BL!C$5,$AM77,0),IF($B$4=1,OFFSET(StateModDepletions_BLNoRes!C$5,$AM77,0)))</f>
        <v>1026.0025346279144</v>
      </c>
      <c r="D77" s="312">
        <f ca="1">IF($B$4=0,OFFSET(StateModDepletions_BL!D$5,$AM77,0),IF($B$4=1,OFFSET(StateModDepletions_BLNoRes!D$5,$AM77,0)))</f>
        <v>36166.211456298828</v>
      </c>
      <c r="E77" s="312">
        <f ca="1">IF($B$4=0,OFFSET(StateModDepletions_BL!E$5,$AM77,0),IF($B$4=1,OFFSET(StateModDepletions_BLNoRes!E$5,$AM77,0)))</f>
        <v>2810.7051087617874</v>
      </c>
      <c r="F77" s="312">
        <f ca="1">IF($B$4=0,OFFSET(StateModDepletions_BL!F$5,$AM77,0),IF($B$4=1,OFFSET(StateModDepletions_BLNoRes!F$5,$AM77,0)))</f>
        <v>15188.556368738413</v>
      </c>
      <c r="G77" s="312">
        <f ca="1">IF($B$4=0,OFFSET(StateModDepletions_BL!G$5,$AM77,0),IF($B$4=1,OFFSET(StateModDepletions_BLNoRes!G$5,$AM77,0)))</f>
        <v>2036.5992698669434</v>
      </c>
      <c r="H77" s="312">
        <f ca="1">IF($B$4=0,OFFSET(StateModDepletions_BL!H$5,$AM77,0),IF($B$4=1,OFFSET(StateModDepletions_BLNoRes!H$5,$AM77,0)))</f>
        <v>2838.8627778291702</v>
      </c>
      <c r="I77" s="312">
        <f ca="1">IF($B$4=0,OFFSET(StateModDepletions_BL!I$5,$AM77,0),IF($B$4=1,OFFSET(StateModDepletions_BLNoRes!I$5,$AM77,0)))</f>
        <v>101541.77090242505</v>
      </c>
      <c r="J77" s="312">
        <f ca="1">IF($B$4=0,OFFSET(StateModDepletions_BL!J$5,$AM77,0),IF($B$4=1,OFFSET(StateModDepletions_BLNoRes!J$5,$AM77,0)))</f>
        <v>2352.8794076442719</v>
      </c>
      <c r="K77" s="312">
        <f ca="1">IF($B$4=0,OFFSET(StateModDepletions_BL!K$5,$AM77,0),IF($B$4=1,OFFSET(StateModDepletions_BLNoRes!K$5,$AM77,0)))</f>
        <v>19116.242594718933</v>
      </c>
      <c r="L77" s="312">
        <f ca="1">IF($B$4=0,OFFSET(StateModDepletions_BL!L$5,$AM77,0),IF($B$4=1,OFFSET(StateModDepletions_BLNoRes!L$5,$AM77,0)))</f>
        <v>18819.408040262751</v>
      </c>
      <c r="M77" s="312">
        <f ca="1">IF($B$4=0,OFFSET(StateModDepletions_BL!M$5,$AM77,0),IF($B$4=1,OFFSET(StateModDepletions_BLNoRes!M$5,$AM77,0)))</f>
        <v>1411.2530813217163</v>
      </c>
      <c r="N77" s="312">
        <f ca="1">IF($B$4=0,OFFSET(StateModDepletions_BL!N$5,$AM77,0),IF($B$4=1,OFFSET(StateModDepletions_BLNoRes!N$5,$AM77,0)))</f>
        <v>1326.6977829933167</v>
      </c>
      <c r="O77" s="312">
        <f ca="1">IF($B$4=0,OFFSET(StateModDepletions_BL!O$5,$AM77,0),IF($B$4=1,OFFSET(StateModDepletions_BLNoRes!O$5,$AM77,0)))</f>
        <v>31979.584313808456</v>
      </c>
      <c r="P77" s="312">
        <f ca="1">IF($B$4=0,OFFSET(StateModDepletions_BL!P$5,$AM77,0),IF($B$4=1,OFFSET(StateModDepletions_BLNoRes!P$5,$AM77,0)))</f>
        <v>323.67598628997803</v>
      </c>
      <c r="Q77" s="312">
        <f ca="1">IF($B$4=0,OFFSET(StateModDepletions_BL!Q$5,$AM77,0),IF($B$4=1,OFFSET(StateModDepletions_BLNoRes!Q$5,$AM77,0)))</f>
        <v>13817.336681306362</v>
      </c>
      <c r="R77" s="312">
        <f ca="1">IF($B$4=0,OFFSET(StateModDepletions_BL!R$5,$AM77,0),IF($B$4=1,OFFSET(StateModDepletions_BLNoRes!R$5,$AM77,0)))</f>
        <v>598.83215999603271</v>
      </c>
      <c r="S77" s="312">
        <f ca="1">IF($B$4=0,OFFSET(StateModDepletions_BL!S$5,$AM77,0),IF($B$4=1,OFFSET(StateModDepletions_BLNoRes!S$5,$AM77,0)))</f>
        <v>0</v>
      </c>
      <c r="T77" s="312">
        <f ca="1">IF($B$4=0,OFFSET(StateModDepletions_BL!T$5,$AM77,0),IF($B$4=1,OFFSET(StateModDepletions_BLNoRes!T$5,$AM77,0)))</f>
        <v>13808.490894689114</v>
      </c>
      <c r="U77" s="312">
        <f ca="1">IF($B$4=0,OFFSET(StateModDepletions_BL!U$5,$AM77,0),IF($B$4=1,OFFSET(StateModDepletions_BLNoRes!U$5,$AM77,0)))</f>
        <v>1429.5072996441741</v>
      </c>
      <c r="V77" s="312">
        <f ca="1">IF($B$4=0,OFFSET(StateModDepletions_BL!V$5,$AM77,0),IF($B$4=1,OFFSET(StateModDepletions_BLNoRes!V$5,$AM77,0)))</f>
        <v>8371.530348777771</v>
      </c>
      <c r="W77" s="312">
        <f ca="1">IF($B$4=0,OFFSET(StateModDepletions_BL!W$5,$AM77,0),IF($B$4=1,OFFSET(StateModDepletions_BLNoRes!W$5,$AM77,0)))</f>
        <v>163350.64299086825</v>
      </c>
      <c r="X77" s="312">
        <f ca="1">IF($B$4=0,OFFSET(StateModDepletions_BL!X$5,$AM77,0),IF($B$4=1,OFFSET(StateModDepletions_BLNoRes!X$5,$AM77,0)))</f>
        <v>5191.6899812221527</v>
      </c>
      <c r="Y77" s="312">
        <f ca="1">IF($B$4=0,OFFSET(StateModDepletions_BL!Y$5,$AM77,0),IF($B$4=1,OFFSET(StateModDepletions_BLNoRes!Y$5,$AM77,0)))</f>
        <v>212.11356273293495</v>
      </c>
      <c r="Z77" s="312">
        <f ca="1">IF($B$4=0,OFFSET(StateModDepletions_BL!Z$5,$AM77,0),IF($B$4=1,OFFSET(StateModDepletions_BLNoRes!Z$5,$AM77,0)))</f>
        <v>217884.83100879192</v>
      </c>
      <c r="AA77" s="313">
        <f ca="1">IF($B$4=0,OFFSET(StateModDepletions_BL!AA$5,$AM77,0),IF($B$4=1,OFFSET(StateModDepletions_BLNoRes!AA$5,$AM77,0)))</f>
        <v>49130.384473968588</v>
      </c>
      <c r="AB77" s="314">
        <f ca="1">IF($B$4=0,OFFSET(StateModDepletions_BL!AB$5,$AM77,0),IF($B$4=1,OFFSET(StateModDepletions_BLNoRes!AB$5,$AM77,0)))</f>
        <v>24765.810481309891</v>
      </c>
      <c r="AC77" s="314">
        <f ca="1">IF($B$4=0,OFFSET(StateModDepletions_BL!AC$5,$AM77,0),IF($B$4=1,OFFSET(StateModDepletions_BLNoRes!AC$5,$AM77,0)))</f>
        <v>30370.585904408246</v>
      </c>
      <c r="AD77" s="314">
        <f ca="1">IF($B$4=0,OFFSET(StateModDepletions_BL!AD$5,$AM77,0),IF($B$4=1,OFFSET(StateModDepletions_BLNoRes!AD$5,$AM77,0)))</f>
        <v>17225.155638605356</v>
      </c>
      <c r="AE77" s="314">
        <f ca="1">IF($B$4=0,OFFSET(StateModDepletions_BL!AE$5,$AM77,0),IF($B$4=1,OFFSET(StateModDepletions_BLNoRes!AE$5,$AM77,0)))</f>
        <v>103894.65031006932</v>
      </c>
      <c r="AF77" s="314">
        <f ca="1">IF($B$4=0,OFFSET(StateModDepletions_BL!AF$5,$AM77,0),IF($B$4=1,OFFSET(StateModDepletions_BLNoRes!AF$5,$AM77,0)))</f>
        <v>20230.661121584468</v>
      </c>
      <c r="AG77" s="314">
        <f ca="1">IF($B$4=0,OFFSET(StateModDepletions_BL!AG$5,$AM77,0),IF($B$4=1,OFFSET(StateModDepletions_BLNoRes!AG$5,$AM77,0)))</f>
        <v>32303.260300098435</v>
      </c>
      <c r="AH77" s="314">
        <f ca="1">IF($B$4=0,OFFSET(StateModDepletions_BL!AH$5,$AM77,0),IF($B$4=1,OFFSET(StateModDepletions_BLNoRes!AH$5,$AM77,0)))</f>
        <v>14416.168841302395</v>
      </c>
      <c r="AI77" s="314">
        <f ca="1">IF($B$4=0,OFFSET(StateModDepletions_BL!AI$5,$AM77,0),IF($B$4=1,OFFSET(StateModDepletions_BLNoRes!AI$5,$AM77,0)))</f>
        <v>15237.998194333288</v>
      </c>
      <c r="AJ77" s="315">
        <f ca="1">IF($B$4=0,OFFSET(StateModDepletions_BL!AJ$5,$AM77,0),IF($B$4=1,OFFSET(StateModDepletions_BLNoRes!AJ$5,$AM77,0)))</f>
        <v>168542.3329720904</v>
      </c>
      <c r="AK77" s="519">
        <f t="shared" si="8"/>
        <v>72</v>
      </c>
      <c r="AL77" s="519">
        <f t="shared" si="9"/>
        <v>2000</v>
      </c>
      <c r="AM77" s="519">
        <f>MATCH($AL77,StateModDepletions_BL!$A$6:$A$90,0)</f>
        <v>72</v>
      </c>
    </row>
    <row r="78" spans="1:39" x14ac:dyDescent="0.25">
      <c r="A78" s="519">
        <f t="shared" si="7"/>
        <v>2001</v>
      </c>
      <c r="B78" s="311">
        <f ca="1">IF($B$4=0,OFFSET(StateModDepletions_BL!B$5,$AM78,0),IF($B$4=1,OFFSET(StateModDepletions_BLNoRes!B$5,$AM78,0)))</f>
        <v>33777.548021025956</v>
      </c>
      <c r="C78" s="312">
        <f ca="1">IF($B$4=0,OFFSET(StateModDepletions_BL!C$5,$AM78,0),IF($B$4=1,OFFSET(StateModDepletions_BLNoRes!C$5,$AM78,0)))</f>
        <v>1026.0025346279144</v>
      </c>
      <c r="D78" s="312">
        <f ca="1">IF($B$4=0,OFFSET(StateModDepletions_BL!D$5,$AM78,0),IF($B$4=1,OFFSET(StateModDepletions_BLNoRes!D$5,$AM78,0)))</f>
        <v>100318.58647155762</v>
      </c>
      <c r="E78" s="312">
        <f ca="1">IF($B$4=0,OFFSET(StateModDepletions_BL!E$5,$AM78,0),IF($B$4=1,OFFSET(StateModDepletions_BLNoRes!E$5,$AM78,0)))</f>
        <v>2810.7051087617874</v>
      </c>
      <c r="F78" s="312">
        <f ca="1">IF($B$4=0,OFFSET(StateModDepletions_BL!F$5,$AM78,0),IF($B$4=1,OFFSET(StateModDepletions_BLNoRes!F$5,$AM78,0)))</f>
        <v>17078.43208155036</v>
      </c>
      <c r="G78" s="312">
        <f ca="1">IF($B$4=0,OFFSET(StateModDepletions_BL!G$5,$AM78,0),IF($B$4=1,OFFSET(StateModDepletions_BLNoRes!G$5,$AM78,0)))</f>
        <v>2036.5992698669434</v>
      </c>
      <c r="H78" s="312">
        <f ca="1">IF($B$4=0,OFFSET(StateModDepletions_BL!H$5,$AM78,0),IF($B$4=1,OFFSET(StateModDepletions_BLNoRes!H$5,$AM78,0)))</f>
        <v>2838.8627778291702</v>
      </c>
      <c r="I78" s="312">
        <f ca="1">IF($B$4=0,OFFSET(StateModDepletions_BL!I$5,$AM78,0),IF($B$4=1,OFFSET(StateModDepletions_BLNoRes!I$5,$AM78,0)))</f>
        <v>109569.03057979792</v>
      </c>
      <c r="J78" s="312">
        <f ca="1">IF($B$4=0,OFFSET(StateModDepletions_BL!J$5,$AM78,0),IF($B$4=1,OFFSET(StateModDepletions_BLNoRes!J$5,$AM78,0)))</f>
        <v>2674.9391229152679</v>
      </c>
      <c r="K78" s="312">
        <f ca="1">IF($B$4=0,OFFSET(StateModDepletions_BL!K$5,$AM78,0),IF($B$4=1,OFFSET(StateModDepletions_BLNoRes!K$5,$AM78,0)))</f>
        <v>19116.242594718933</v>
      </c>
      <c r="L78" s="312">
        <f ca="1">IF($B$4=0,OFFSET(StateModDepletions_BL!L$5,$AM78,0),IF($B$4=1,OFFSET(StateModDepletions_BLNoRes!L$5,$AM78,0)))</f>
        <v>20482.824206374571</v>
      </c>
      <c r="M78" s="312">
        <f ca="1">IF($B$4=0,OFFSET(StateModDepletions_BL!M$5,$AM78,0),IF($B$4=1,OFFSET(StateModDepletions_BLNoRes!M$5,$AM78,0)))</f>
        <v>1389.206042766571</v>
      </c>
      <c r="N78" s="312">
        <f ca="1">IF($B$4=0,OFFSET(StateModDepletions_BL!N$5,$AM78,0),IF($B$4=1,OFFSET(StateModDepletions_BLNoRes!N$5,$AM78,0)))</f>
        <v>1326.6977829933167</v>
      </c>
      <c r="O78" s="312">
        <f ca="1">IF($B$4=0,OFFSET(StateModDepletions_BL!O$5,$AM78,0),IF($B$4=1,OFFSET(StateModDepletions_BLNoRes!O$5,$AM78,0)))</f>
        <v>43369.202577559729</v>
      </c>
      <c r="P78" s="312">
        <f ca="1">IF($B$4=0,OFFSET(StateModDepletions_BL!P$5,$AM78,0),IF($B$4=1,OFFSET(StateModDepletions_BLNoRes!P$5,$AM78,0)))</f>
        <v>441.15729832649231</v>
      </c>
      <c r="Q78" s="312">
        <f ca="1">IF($B$4=0,OFFSET(StateModDepletions_BL!Q$5,$AM78,0),IF($B$4=1,OFFSET(StateModDepletions_BLNoRes!Q$5,$AM78,0)))</f>
        <v>16257.600159466267</v>
      </c>
      <c r="R78" s="312">
        <f ca="1">IF($B$4=0,OFFSET(StateModDepletions_BL!R$5,$AM78,0),IF($B$4=1,OFFSET(StateModDepletions_BLNoRes!R$5,$AM78,0)))</f>
        <v>598.83215999603271</v>
      </c>
      <c r="S78" s="312">
        <f ca="1">IF($B$4=0,OFFSET(StateModDepletions_BL!S$5,$AM78,0),IF($B$4=1,OFFSET(StateModDepletions_BLNoRes!S$5,$AM78,0)))</f>
        <v>0</v>
      </c>
      <c r="T78" s="312">
        <f ca="1">IF($B$4=0,OFFSET(StateModDepletions_BL!T$5,$AM78,0),IF($B$4=1,OFFSET(StateModDepletions_BLNoRes!T$5,$AM78,0)))</f>
        <v>16588.145288820342</v>
      </c>
      <c r="U78" s="312">
        <f ca="1">IF($B$4=0,OFFSET(StateModDepletions_BL!U$5,$AM78,0),IF($B$4=1,OFFSET(StateModDepletions_BLNoRes!U$5,$AM78,0)))</f>
        <v>1445.1781397499144</v>
      </c>
      <c r="V78" s="312">
        <f ca="1">IF($B$4=0,OFFSET(StateModDepletions_BL!V$5,$AM78,0),IF($B$4=1,OFFSET(StateModDepletions_BLNoRes!V$5,$AM78,0)))</f>
        <v>11804.499000549316</v>
      </c>
      <c r="W78" s="312">
        <f ca="1">IF($B$4=0,OFFSET(StateModDepletions_BL!W$5,$AM78,0),IF($B$4=1,OFFSET(StateModDepletions_BLNoRes!W$5,$AM78,0)))</f>
        <v>156871.85808800504</v>
      </c>
      <c r="X78" s="312">
        <f ca="1">IF($B$4=0,OFFSET(StateModDepletions_BL!X$5,$AM78,0),IF($B$4=1,OFFSET(StateModDepletions_BLNoRes!X$5,$AM78,0)))</f>
        <v>5422.8628231664115</v>
      </c>
      <c r="Y78" s="312">
        <f ca="1">IF($B$4=0,OFFSET(StateModDepletions_BL!Y$5,$AM78,0),IF($B$4=1,OFFSET(StateModDepletions_BLNoRes!Y$5,$AM78,0)))</f>
        <v>212.11356273293495</v>
      </c>
      <c r="Z78" s="312">
        <f ca="1">IF($B$4=0,OFFSET(StateModDepletions_BL!Z$5,$AM78,0),IF($B$4=1,OFFSET(StateModDepletions_BLNoRes!Z$5,$AM78,0)))</f>
        <v>229907.88041687012</v>
      </c>
      <c r="AA78" s="313">
        <f ca="1">IF($B$4=0,OFFSET(StateModDepletions_BL!AA$5,$AM78,0),IF($B$4=1,OFFSET(StateModDepletions_BLNoRes!AA$5,$AM78,0)))</f>
        <v>67401.04594296572</v>
      </c>
      <c r="AB78" s="314">
        <f ca="1">IF($B$4=0,OFFSET(StateModDepletions_BL!AB$5,$AM78,0),IF($B$4=1,OFFSET(StateModDepletions_BLNoRes!AB$5,$AM78,0)))</f>
        <v>24765.810481309891</v>
      </c>
      <c r="AC78" s="314">
        <f ca="1">IF($B$4=0,OFFSET(StateModDepletions_BL!AC$5,$AM78,0),IF($B$4=1,OFFSET(StateModDepletions_BLNoRes!AC$5,$AM78,0)))</f>
        <v>34803.55055565387</v>
      </c>
      <c r="AD78" s="314">
        <f ca="1">IF($B$4=0,OFFSET(StateModDepletions_BL!AD$5,$AM78,0),IF($B$4=1,OFFSET(StateModDepletions_BLNoRes!AD$5,$AM78,0)))</f>
        <v>19115.031351417303</v>
      </c>
      <c r="AE78" s="314">
        <f ca="1">IF($B$4=0,OFFSET(StateModDepletions_BL!AE$5,$AM78,0),IF($B$4=1,OFFSET(StateModDepletions_BLNoRes!AE$5,$AM78,0)))</f>
        <v>112243.96970271319</v>
      </c>
      <c r="AF78" s="314">
        <f ca="1">IF($B$4=0,OFFSET(StateModDepletions_BL!AF$5,$AM78,0),IF($B$4=1,OFFSET(StateModDepletions_BLNoRes!AF$5,$AM78,0)))</f>
        <v>21872.030249141142</v>
      </c>
      <c r="AG78" s="314">
        <f ca="1">IF($B$4=0,OFFSET(StateModDepletions_BL!AG$5,$AM78,0),IF($B$4=1,OFFSET(StateModDepletions_BLNoRes!AG$5,$AM78,0)))</f>
        <v>43810.359875886221</v>
      </c>
      <c r="AH78" s="314">
        <f ca="1">IF($B$4=0,OFFSET(StateModDepletions_BL!AH$5,$AM78,0),IF($B$4=1,OFFSET(StateModDepletions_BLNoRes!AH$5,$AM78,0)))</f>
        <v>16856.432319462299</v>
      </c>
      <c r="AI78" s="314">
        <f ca="1">IF($B$4=0,OFFSET(StateModDepletions_BL!AI$5,$AM78,0),IF($B$4=1,OFFSET(StateModDepletions_BLNoRes!AI$5,$AM78,0)))</f>
        <v>18033.323428570257</v>
      </c>
      <c r="AJ78" s="315">
        <f ca="1">IF($B$4=0,OFFSET(StateModDepletions_BL!AJ$5,$AM78,0),IF($B$4=1,OFFSET(StateModDepletions_BLNoRes!AJ$5,$AM78,0)))</f>
        <v>162294.72091117146</v>
      </c>
      <c r="AK78" s="519">
        <f t="shared" si="8"/>
        <v>73</v>
      </c>
      <c r="AL78" s="519">
        <f t="shared" si="9"/>
        <v>2001</v>
      </c>
      <c r="AM78" s="519">
        <f>MATCH($AL78,StateModDepletions_BL!$A$6:$A$90,0)</f>
        <v>73</v>
      </c>
    </row>
    <row r="79" spans="1:39" x14ac:dyDescent="0.25">
      <c r="A79" s="519">
        <f t="shared" si="7"/>
        <v>2002</v>
      </c>
      <c r="B79" s="311">
        <f ca="1">IF($B$4=0,OFFSET(StateModDepletions_BL!B$5,$AM79,0),IF($B$4=1,OFFSET(StateModDepletions_BLNoRes!B$5,$AM79,0)))</f>
        <v>26764.857599247247</v>
      </c>
      <c r="C79" s="312">
        <f ca="1">IF($B$4=0,OFFSET(StateModDepletions_BL!C$5,$AM79,0),IF($B$4=1,OFFSET(StateModDepletions_BLNoRes!C$5,$AM79,0)))</f>
        <v>1026.0025346279144</v>
      </c>
      <c r="D79" s="312">
        <f ca="1">IF($B$4=0,OFFSET(StateModDepletions_BL!D$5,$AM79,0),IF($B$4=1,OFFSET(StateModDepletions_BLNoRes!D$5,$AM79,0)))</f>
        <v>3234.6556396484375</v>
      </c>
      <c r="E79" s="312">
        <f ca="1">IF($B$4=0,OFFSET(StateModDepletions_BL!E$5,$AM79,0),IF($B$4=1,OFFSET(StateModDepletions_BLNoRes!E$5,$AM79,0)))</f>
        <v>2810.7051087617874</v>
      </c>
      <c r="F79" s="312">
        <f ca="1">IF($B$4=0,OFFSET(StateModDepletions_BL!F$5,$AM79,0),IF($B$4=1,OFFSET(StateModDepletions_BLNoRes!F$5,$AM79,0)))</f>
        <v>9919.1260161325336</v>
      </c>
      <c r="G79" s="312">
        <f ca="1">IF($B$4=0,OFFSET(StateModDepletions_BL!G$5,$AM79,0),IF($B$4=1,OFFSET(StateModDepletions_BLNoRes!G$5,$AM79,0)))</f>
        <v>2036.5992698669434</v>
      </c>
      <c r="H79" s="312">
        <f ca="1">IF($B$4=0,OFFSET(StateModDepletions_BL!H$5,$AM79,0),IF($B$4=1,OFFSET(StateModDepletions_BLNoRes!H$5,$AM79,0)))</f>
        <v>2838.8627778291702</v>
      </c>
      <c r="I79" s="312">
        <f ca="1">IF($B$4=0,OFFSET(StateModDepletions_BL!I$5,$AM79,0),IF($B$4=1,OFFSET(StateModDepletions_BLNoRes!I$5,$AM79,0)))</f>
        <v>71471.089888095856</v>
      </c>
      <c r="J79" s="312">
        <f ca="1">IF($B$4=0,OFFSET(StateModDepletions_BL!J$5,$AM79,0),IF($B$4=1,OFFSET(StateModDepletions_BLNoRes!J$5,$AM79,0)))</f>
        <v>1484.8248956203461</v>
      </c>
      <c r="K79" s="312">
        <f ca="1">IF($B$4=0,OFFSET(StateModDepletions_BL!K$5,$AM79,0),IF($B$4=1,OFFSET(StateModDepletions_BLNoRes!K$5,$AM79,0)))</f>
        <v>17935.719019889832</v>
      </c>
      <c r="L79" s="312">
        <f ca="1">IF($B$4=0,OFFSET(StateModDepletions_BL!L$5,$AM79,0),IF($B$4=1,OFFSET(StateModDepletions_BLNoRes!L$5,$AM79,0)))</f>
        <v>20280.662608705465</v>
      </c>
      <c r="M79" s="312">
        <f ca="1">IF($B$4=0,OFFSET(StateModDepletions_BL!M$5,$AM79,0),IF($B$4=1,OFFSET(StateModDepletions_BLNoRes!M$5,$AM79,0)))</f>
        <v>1351.6636481285095</v>
      </c>
      <c r="N79" s="312">
        <f ca="1">IF($B$4=0,OFFSET(StateModDepletions_BL!N$5,$AM79,0),IF($B$4=1,OFFSET(StateModDepletions_BLNoRes!N$5,$AM79,0)))</f>
        <v>1326.6977829933167</v>
      </c>
      <c r="O79" s="312">
        <f ca="1">IF($B$4=0,OFFSET(StateModDepletions_BL!O$5,$AM79,0),IF($B$4=1,OFFSET(StateModDepletions_BLNoRes!O$5,$AM79,0)))</f>
        <v>11704.532083502263</v>
      </c>
      <c r="P79" s="312">
        <f ca="1">IF($B$4=0,OFFSET(StateModDepletions_BL!P$5,$AM79,0),IF($B$4=1,OFFSET(StateModDepletions_BLNoRes!P$5,$AM79,0)))</f>
        <v>283.38596367835999</v>
      </c>
      <c r="Q79" s="312">
        <f ca="1">IF($B$4=0,OFFSET(StateModDepletions_BL!Q$5,$AM79,0),IF($B$4=1,OFFSET(StateModDepletions_BLNoRes!Q$5,$AM79,0)))</f>
        <v>5104.6303098872304</v>
      </c>
      <c r="R79" s="312">
        <f ca="1">IF($B$4=0,OFFSET(StateModDepletions_BL!R$5,$AM79,0),IF($B$4=1,OFFSET(StateModDepletions_BLNoRes!R$5,$AM79,0)))</f>
        <v>598.83215999603271</v>
      </c>
      <c r="S79" s="312">
        <f ca="1">IF($B$4=0,OFFSET(StateModDepletions_BL!S$5,$AM79,0),IF($B$4=1,OFFSET(StateModDepletions_BLNoRes!S$5,$AM79,0)))</f>
        <v>0</v>
      </c>
      <c r="T79" s="312">
        <f ca="1">IF($B$4=0,OFFSET(StateModDepletions_BL!T$5,$AM79,0),IF($B$4=1,OFFSET(StateModDepletions_BLNoRes!T$5,$AM79,0)))</f>
        <v>4420.8252652295678</v>
      </c>
      <c r="U79" s="312">
        <f ca="1">IF($B$4=0,OFFSET(StateModDepletions_BL!U$5,$AM79,0),IF($B$4=1,OFFSET(StateModDepletions_BLNoRes!U$5,$AM79,0)))</f>
        <v>1384.14158476796</v>
      </c>
      <c r="V79" s="312">
        <f ca="1">IF($B$4=0,OFFSET(StateModDepletions_BL!V$5,$AM79,0),IF($B$4=1,OFFSET(StateModDepletions_BLNoRes!V$5,$AM79,0)))</f>
        <v>3064.0313931107521</v>
      </c>
      <c r="W79" s="312">
        <f ca="1">IF($B$4=0,OFFSET(StateModDepletions_BL!W$5,$AM79,0),IF($B$4=1,OFFSET(StateModDepletions_BLNoRes!W$5,$AM79,0)))</f>
        <v>79697.911122927573</v>
      </c>
      <c r="X79" s="312">
        <f ca="1">IF($B$4=0,OFFSET(StateModDepletions_BL!X$5,$AM79,0),IF($B$4=1,OFFSET(StateModDepletions_BLNoRes!X$5,$AM79,0)))</f>
        <v>4547.4637647284562</v>
      </c>
      <c r="Y79" s="312">
        <f ca="1">IF($B$4=0,OFFSET(StateModDepletions_BL!Y$5,$AM79,0),IF($B$4=1,OFFSET(StateModDepletions_BLNoRes!Y$5,$AM79,0)))</f>
        <v>212.11356273293495</v>
      </c>
      <c r="Z79" s="312">
        <f ca="1">IF($B$4=0,OFFSET(StateModDepletions_BL!Z$5,$AM79,0),IF($B$4=1,OFFSET(StateModDepletions_BLNoRes!Z$5,$AM79,0)))</f>
        <v>130283.96319517493</v>
      </c>
      <c r="AA79" s="313">
        <f ca="1">IF($B$4=0,OFFSET(StateModDepletions_BL!AA$5,$AM79,0),IF($B$4=1,OFFSET(StateModDepletions_BLNoRes!AA$5,$AM79,0)))</f>
        <v>45826.47474478597</v>
      </c>
      <c r="AB79" s="314">
        <f ca="1">IF($B$4=0,OFFSET(StateModDepletions_BL!AB$5,$AM79,0),IF($B$4=1,OFFSET(StateModDepletions_BLNoRes!AB$5,$AM79,0)))</f>
        <v>23585.286906480789</v>
      </c>
      <c r="AC79" s="314">
        <f ca="1">IF($B$4=0,OFFSET(StateModDepletions_BL!AC$5,$AM79,0),IF($B$4=1,OFFSET(StateModDepletions_BLNoRes!AC$5,$AM79,0)))</f>
        <v>27790.860133875161</v>
      </c>
      <c r="AD79" s="314">
        <f ca="1">IF($B$4=0,OFFSET(StateModDepletions_BL!AD$5,$AM79,0),IF($B$4=1,OFFSET(StateModDepletions_BLNoRes!AD$5,$AM79,0)))</f>
        <v>11955.725285999477</v>
      </c>
      <c r="AE79" s="314">
        <f ca="1">IF($B$4=0,OFFSET(StateModDepletions_BL!AE$5,$AM79,0),IF($B$4=1,OFFSET(StateModDepletions_BLNoRes!AE$5,$AM79,0)))</f>
        <v>72955.914783716202</v>
      </c>
      <c r="AF79" s="314">
        <f ca="1">IF($B$4=0,OFFSET(StateModDepletions_BL!AF$5,$AM79,0),IF($B$4=1,OFFSET(StateModDepletions_BLNoRes!AF$5,$AM79,0)))</f>
        <v>21632.326256833974</v>
      </c>
      <c r="AG79" s="314">
        <f ca="1">IF($B$4=0,OFFSET(StateModDepletions_BL!AG$5,$AM79,0),IF($B$4=1,OFFSET(StateModDepletions_BLNoRes!AG$5,$AM79,0)))</f>
        <v>11987.918047180623</v>
      </c>
      <c r="AH79" s="314">
        <f ca="1">IF($B$4=0,OFFSET(StateModDepletions_BL!AH$5,$AM79,0),IF($B$4=1,OFFSET(StateModDepletions_BLNoRes!AH$5,$AM79,0)))</f>
        <v>5703.4624698832631</v>
      </c>
      <c r="AI79" s="314">
        <f ca="1">IF($B$4=0,OFFSET(StateModDepletions_BL!AI$5,$AM79,0),IF($B$4=1,OFFSET(StateModDepletions_BLNoRes!AI$5,$AM79,0)))</f>
        <v>5804.9668499975278</v>
      </c>
      <c r="AJ79" s="315">
        <f ca="1">IF($B$4=0,OFFSET(StateModDepletions_BL!AJ$5,$AM79,0),IF($B$4=1,OFFSET(StateModDepletions_BLNoRes!AJ$5,$AM79,0)))</f>
        <v>84245.374887656028</v>
      </c>
      <c r="AK79" s="519">
        <f t="shared" si="8"/>
        <v>74</v>
      </c>
      <c r="AL79" s="519">
        <f t="shared" si="9"/>
        <v>2002</v>
      </c>
      <c r="AM79" s="519">
        <f>MATCH($AL79,StateModDepletions_BL!$A$6:$A$90,0)</f>
        <v>74</v>
      </c>
    </row>
    <row r="80" spans="1:39" x14ac:dyDescent="0.25">
      <c r="A80" s="519">
        <f t="shared" si="7"/>
        <v>2003</v>
      </c>
      <c r="B80" s="311">
        <f ca="1">IF($B$4=0,OFFSET(StateModDepletions_BL!B$5,$AM80,0),IF($B$4=1,OFFSET(StateModDepletions_BLNoRes!B$5,$AM80,0)))</f>
        <v>31581.698455646634</v>
      </c>
      <c r="C80" s="312">
        <f ca="1">IF($B$4=0,OFFSET(StateModDepletions_BL!C$5,$AM80,0),IF($B$4=1,OFFSET(StateModDepletions_BLNoRes!C$5,$AM80,0)))</f>
        <v>1026.0025346279144</v>
      </c>
      <c r="D80" s="312">
        <f ca="1">IF($B$4=0,OFFSET(StateModDepletions_BL!D$5,$AM80,0),IF($B$4=1,OFFSET(StateModDepletions_BLNoRes!D$5,$AM80,0)))</f>
        <v>52519.952919006348</v>
      </c>
      <c r="E80" s="312">
        <f ca="1">IF($B$4=0,OFFSET(StateModDepletions_BL!E$5,$AM80,0),IF($B$4=1,OFFSET(StateModDepletions_BLNoRes!E$5,$AM80,0)))</f>
        <v>2810.7051087617874</v>
      </c>
      <c r="F80" s="312">
        <f ca="1">IF($B$4=0,OFFSET(StateModDepletions_BL!F$5,$AM80,0),IF($B$4=1,OFFSET(StateModDepletions_BLNoRes!F$5,$AM80,0)))</f>
        <v>14780.423109680414</v>
      </c>
      <c r="G80" s="312">
        <f ca="1">IF($B$4=0,OFFSET(StateModDepletions_BL!G$5,$AM80,0),IF($B$4=1,OFFSET(StateModDepletions_BLNoRes!G$5,$AM80,0)))</f>
        <v>2036.5992698669434</v>
      </c>
      <c r="H80" s="312">
        <f ca="1">IF($B$4=0,OFFSET(StateModDepletions_BL!H$5,$AM80,0),IF($B$4=1,OFFSET(StateModDepletions_BLNoRes!H$5,$AM80,0)))</f>
        <v>2838.8627778291702</v>
      </c>
      <c r="I80" s="312">
        <f ca="1">IF($B$4=0,OFFSET(StateModDepletions_BL!I$5,$AM80,0),IF($B$4=1,OFFSET(StateModDepletions_BLNoRes!I$5,$AM80,0)))</f>
        <v>84958.297561615705</v>
      </c>
      <c r="J80" s="312">
        <f ca="1">IF($B$4=0,OFFSET(StateModDepletions_BL!J$5,$AM80,0),IF($B$4=1,OFFSET(StateModDepletions_BLNoRes!J$5,$AM80,0)))</f>
        <v>1525.2299468517303</v>
      </c>
      <c r="K80" s="312">
        <f ca="1">IF($B$4=0,OFFSET(StateModDepletions_BL!K$5,$AM80,0),IF($B$4=1,OFFSET(StateModDepletions_BLNoRes!K$5,$AM80,0)))</f>
        <v>19116.242594718933</v>
      </c>
      <c r="L80" s="312">
        <f ca="1">IF($B$4=0,OFFSET(StateModDepletions_BL!L$5,$AM80,0),IF($B$4=1,OFFSET(StateModDepletions_BLNoRes!L$5,$AM80,0)))</f>
        <v>19393.348131328807</v>
      </c>
      <c r="M80" s="312">
        <f ca="1">IF($B$4=0,OFFSET(StateModDepletions_BL!M$5,$AM80,0),IF($B$4=1,OFFSET(StateModDepletions_BLNoRes!M$5,$AM80,0)))</f>
        <v>1362.6126961708069</v>
      </c>
      <c r="N80" s="312">
        <f ca="1">IF($B$4=0,OFFSET(StateModDepletions_BL!N$5,$AM80,0),IF($B$4=1,OFFSET(StateModDepletions_BLNoRes!N$5,$AM80,0)))</f>
        <v>1326.6977829933167</v>
      </c>
      <c r="O80" s="312">
        <f ca="1">IF($B$4=0,OFFSET(StateModDepletions_BL!O$5,$AM80,0),IF($B$4=1,OFFSET(StateModDepletions_BLNoRes!O$5,$AM80,0)))</f>
        <v>25875.324496712983</v>
      </c>
      <c r="P80" s="312">
        <f ca="1">IF($B$4=0,OFFSET(StateModDepletions_BL!P$5,$AM80,0),IF($B$4=1,OFFSET(StateModDepletions_BLNoRes!P$5,$AM80,0)))</f>
        <v>288.09121346473694</v>
      </c>
      <c r="Q80" s="312">
        <f ca="1">IF($B$4=0,OFFSET(StateModDepletions_BL!Q$5,$AM80,0),IF($B$4=1,OFFSET(StateModDepletions_BLNoRes!Q$5,$AM80,0)))</f>
        <v>12372.079201120883</v>
      </c>
      <c r="R80" s="312">
        <f ca="1">IF($B$4=0,OFFSET(StateModDepletions_BL!R$5,$AM80,0),IF($B$4=1,OFFSET(StateModDepletions_BLNoRes!R$5,$AM80,0)))</f>
        <v>598.83215999603271</v>
      </c>
      <c r="S80" s="312">
        <f ca="1">IF($B$4=0,OFFSET(StateModDepletions_BL!S$5,$AM80,0),IF($B$4=1,OFFSET(StateModDepletions_BLNoRes!S$5,$AM80,0)))</f>
        <v>0</v>
      </c>
      <c r="T80" s="312">
        <f ca="1">IF($B$4=0,OFFSET(StateModDepletions_BL!T$5,$AM80,0),IF($B$4=1,OFFSET(StateModDepletions_BLNoRes!T$5,$AM80,0)))</f>
        <v>11053.859652318881</v>
      </c>
      <c r="U80" s="312">
        <f ca="1">IF($B$4=0,OFFSET(StateModDepletions_BL!U$5,$AM80,0),IF($B$4=1,OFFSET(StateModDepletions_BLNoRes!U$5,$AM80,0)))</f>
        <v>1411.8523596003652</v>
      </c>
      <c r="V80" s="312">
        <f ca="1">IF($B$4=0,OFFSET(StateModDepletions_BL!V$5,$AM80,0),IF($B$4=1,OFFSET(StateModDepletions_BLNoRes!V$5,$AM80,0)))</f>
        <v>8501.7762340307236</v>
      </c>
      <c r="W80" s="312">
        <f ca="1">IF($B$4=0,OFFSET(StateModDepletions_BL!W$5,$AM80,0),IF($B$4=1,OFFSET(StateModDepletions_BLNoRes!W$5,$AM80,0)))</f>
        <v>109095.16018007755</v>
      </c>
      <c r="X80" s="312">
        <f ca="1">IF($B$4=0,OFFSET(StateModDepletions_BL!X$5,$AM80,0),IF($B$4=1,OFFSET(StateModDepletions_BLNoRes!X$5,$AM80,0)))</f>
        <v>4971.0676205158234</v>
      </c>
      <c r="Y80" s="312">
        <f ca="1">IF($B$4=0,OFFSET(StateModDepletions_BL!Y$5,$AM80,0),IF($B$4=1,OFFSET(StateModDepletions_BLNoRes!Y$5,$AM80,0)))</f>
        <v>212.11356273293495</v>
      </c>
      <c r="Z80" s="312">
        <f ca="1">IF($B$4=0,OFFSET(StateModDepletions_BL!Z$5,$AM80,0),IF($B$4=1,OFFSET(StateModDepletions_BLNoRes!Z$5,$AM80,0)))</f>
        <v>199370.26995080709</v>
      </c>
      <c r="AA80" s="313">
        <f ca="1">IF($B$4=0,OFFSET(StateModDepletions_BL!AA$5,$AM80,0),IF($B$4=1,OFFSET(StateModDepletions_BLNoRes!AA$5,$AM80,0)))</f>
        <v>85091.928587480783</v>
      </c>
      <c r="AB80" s="314">
        <f ca="1">IF($B$4=0,OFFSET(StateModDepletions_BL!AB$5,$AM80,0),IF($B$4=1,OFFSET(StateModDepletions_BLNoRes!AB$5,$AM80,0)))</f>
        <v>24765.810481309891</v>
      </c>
      <c r="AC80" s="314">
        <f ca="1">IF($B$4=0,OFFSET(StateModDepletions_BL!AC$5,$AM80,0),IF($B$4=1,OFFSET(StateModDepletions_BLNoRes!AC$5,$AM80,0)))</f>
        <v>32607.700990274549</v>
      </c>
      <c r="AD80" s="314">
        <f ca="1">IF($B$4=0,OFFSET(StateModDepletions_BL!AD$5,$AM80,0),IF($B$4=1,OFFSET(StateModDepletions_BLNoRes!AD$5,$AM80,0)))</f>
        <v>16817.022379547358</v>
      </c>
      <c r="AE80" s="314">
        <f ca="1">IF($B$4=0,OFFSET(StateModDepletions_BL!AE$5,$AM80,0),IF($B$4=1,OFFSET(StateModDepletions_BLNoRes!AE$5,$AM80,0)))</f>
        <v>86483.527508467436</v>
      </c>
      <c r="AF80" s="314">
        <f ca="1">IF($B$4=0,OFFSET(StateModDepletions_BL!AF$5,$AM80,0),IF($B$4=1,OFFSET(StateModDepletions_BLNoRes!AF$5,$AM80,0)))</f>
        <v>20755.960827499614</v>
      </c>
      <c r="AG80" s="314">
        <f ca="1">IF($B$4=0,OFFSET(StateModDepletions_BL!AG$5,$AM80,0),IF($B$4=1,OFFSET(StateModDepletions_BLNoRes!AG$5,$AM80,0)))</f>
        <v>26163.41571017772</v>
      </c>
      <c r="AH80" s="314">
        <f ca="1">IF($B$4=0,OFFSET(StateModDepletions_BL!AH$5,$AM80,0),IF($B$4=1,OFFSET(StateModDepletions_BLNoRes!AH$5,$AM80,0)))</f>
        <v>12970.911361116916</v>
      </c>
      <c r="AI80" s="314">
        <f ca="1">IF($B$4=0,OFFSET(StateModDepletions_BL!AI$5,$AM80,0),IF($B$4=1,OFFSET(StateModDepletions_BLNoRes!AI$5,$AM80,0)))</f>
        <v>12465.712011919246</v>
      </c>
      <c r="AJ80" s="315">
        <f ca="1">IF($B$4=0,OFFSET(StateModDepletions_BL!AJ$5,$AM80,0),IF($B$4=1,OFFSET(StateModDepletions_BLNoRes!AJ$5,$AM80,0)))</f>
        <v>114066.22780059338</v>
      </c>
      <c r="AK80" s="519">
        <f t="shared" si="8"/>
        <v>75</v>
      </c>
      <c r="AL80" s="519">
        <f t="shared" si="9"/>
        <v>2003</v>
      </c>
      <c r="AM80" s="519">
        <f>MATCH($AL80,StateModDepletions_BL!$A$6:$A$90,0)</f>
        <v>75</v>
      </c>
    </row>
    <row r="81" spans="1:39" x14ac:dyDescent="0.25">
      <c r="A81" s="519">
        <f t="shared" si="7"/>
        <v>2004</v>
      </c>
      <c r="B81" s="311">
        <f ca="1">IF($B$4=0,OFFSET(StateModDepletions_BL!B$5,$AM81,0),IF($B$4=1,OFFSET(StateModDepletions_BLNoRes!B$5,$AM81,0)))</f>
        <v>31455.867254421115</v>
      </c>
      <c r="C81" s="312">
        <f ca="1">IF($B$4=0,OFFSET(StateModDepletions_BL!C$5,$AM81,0),IF($B$4=1,OFFSET(StateModDepletions_BLNoRes!C$5,$AM81,0)))</f>
        <v>1026.0025346279144</v>
      </c>
      <c r="D81" s="312">
        <f ca="1">IF($B$4=0,OFFSET(StateModDepletions_BL!D$5,$AM81,0),IF($B$4=1,OFFSET(StateModDepletions_BLNoRes!D$5,$AM81,0)))</f>
        <v>76055.111083984375</v>
      </c>
      <c r="E81" s="312">
        <f ca="1">IF($B$4=0,OFFSET(StateModDepletions_BL!E$5,$AM81,0),IF($B$4=1,OFFSET(StateModDepletions_BLNoRes!E$5,$AM81,0)))</f>
        <v>2810.7051087617874</v>
      </c>
      <c r="F81" s="312">
        <f ca="1">IF($B$4=0,OFFSET(StateModDepletions_BL!F$5,$AM81,0),IF($B$4=1,OFFSET(StateModDepletions_BLNoRes!F$5,$AM81,0)))</f>
        <v>15241.384085401893</v>
      </c>
      <c r="G81" s="312">
        <f ca="1">IF($B$4=0,OFFSET(StateModDepletions_BL!G$5,$AM81,0),IF($B$4=1,OFFSET(StateModDepletions_BLNoRes!G$5,$AM81,0)))</f>
        <v>2036.5992698669434</v>
      </c>
      <c r="H81" s="312">
        <f ca="1">IF($B$4=0,OFFSET(StateModDepletions_BL!H$5,$AM81,0),IF($B$4=1,OFFSET(StateModDepletions_BLNoRes!H$5,$AM81,0)))</f>
        <v>2838.8627778291702</v>
      </c>
      <c r="I81" s="312">
        <f ca="1">IF($B$4=0,OFFSET(StateModDepletions_BL!I$5,$AM81,0),IF($B$4=1,OFFSET(StateModDepletions_BLNoRes!I$5,$AM81,0)))</f>
        <v>105721.29304637015</v>
      </c>
      <c r="J81" s="312">
        <f ca="1">IF($B$4=0,OFFSET(StateModDepletions_BL!J$5,$AM81,0),IF($B$4=1,OFFSET(StateModDepletions_BLNoRes!J$5,$AM81,0)))</f>
        <v>2426.8390653133392</v>
      </c>
      <c r="K81" s="312">
        <f ca="1">IF($B$4=0,OFFSET(StateModDepletions_BL!K$5,$AM81,0),IF($B$4=1,OFFSET(StateModDepletions_BLNoRes!K$5,$AM81,0)))</f>
        <v>19116.242594718933</v>
      </c>
      <c r="L81" s="312">
        <f ca="1">IF($B$4=0,OFFSET(StateModDepletions_BL!L$5,$AM81,0),IF($B$4=1,OFFSET(StateModDepletions_BLNoRes!L$5,$AM81,0)))</f>
        <v>18309.343495324247</v>
      </c>
      <c r="M81" s="312">
        <f ca="1">IF($B$4=0,OFFSET(StateModDepletions_BL!M$5,$AM81,0),IF($B$4=1,OFFSET(StateModDepletions_BLNoRes!M$5,$AM81,0)))</f>
        <v>1412.5928068161011</v>
      </c>
      <c r="N81" s="312">
        <f ca="1">IF($B$4=0,OFFSET(StateModDepletions_BL!N$5,$AM81,0),IF($B$4=1,OFFSET(StateModDepletions_BLNoRes!N$5,$AM81,0)))</f>
        <v>1326.6977829933167</v>
      </c>
      <c r="O81" s="312">
        <f ca="1">IF($B$4=0,OFFSET(StateModDepletions_BL!O$5,$AM81,0),IF($B$4=1,OFFSET(StateModDepletions_BLNoRes!O$5,$AM81,0)))</f>
        <v>36574.474019209374</v>
      </c>
      <c r="P81" s="312">
        <f ca="1">IF($B$4=0,OFFSET(StateModDepletions_BL!P$5,$AM81,0),IF($B$4=1,OFFSET(StateModDepletions_BLNoRes!P$5,$AM81,0)))</f>
        <v>350.8755931854248</v>
      </c>
      <c r="Q81" s="312">
        <f ca="1">IF($B$4=0,OFFSET(StateModDepletions_BL!Q$5,$AM81,0),IF($B$4=1,OFFSET(StateModDepletions_BLNoRes!Q$5,$AM81,0)))</f>
        <v>12691.453418567777</v>
      </c>
      <c r="R81" s="312">
        <f ca="1">IF($B$4=0,OFFSET(StateModDepletions_BL!R$5,$AM81,0),IF($B$4=1,OFFSET(StateModDepletions_BLNoRes!R$5,$AM81,0)))</f>
        <v>598.83215999603271</v>
      </c>
      <c r="S81" s="312">
        <f ca="1">IF($B$4=0,OFFSET(StateModDepletions_BL!S$5,$AM81,0),IF($B$4=1,OFFSET(StateModDepletions_BLNoRes!S$5,$AM81,0)))</f>
        <v>0</v>
      </c>
      <c r="T81" s="312">
        <f ca="1">IF($B$4=0,OFFSET(StateModDepletions_BL!T$5,$AM81,0),IF($B$4=1,OFFSET(StateModDepletions_BLNoRes!T$5,$AM81,0)))</f>
        <v>14411.446160935686</v>
      </c>
      <c r="U81" s="312">
        <f ca="1">IF($B$4=0,OFFSET(StateModDepletions_BL!U$5,$AM81,0),IF($B$4=1,OFFSET(StateModDepletions_BLNoRes!U$5,$AM81,0)))</f>
        <v>1435.321028668654</v>
      </c>
      <c r="V81" s="312">
        <f ca="1">IF($B$4=0,OFFSET(StateModDepletions_BL!V$5,$AM81,0),IF($B$4=1,OFFSET(StateModDepletions_BLNoRes!V$5,$AM81,0)))</f>
        <v>11147.685513496399</v>
      </c>
      <c r="W81" s="312">
        <f ca="1">IF($B$4=0,OFFSET(StateModDepletions_BL!W$5,$AM81,0),IF($B$4=1,OFFSET(StateModDepletions_BLNoRes!W$5,$AM81,0)))</f>
        <v>120953.98686488315</v>
      </c>
      <c r="X81" s="312">
        <f ca="1">IF($B$4=0,OFFSET(StateModDepletions_BL!X$5,$AM81,0),IF($B$4=1,OFFSET(StateModDepletions_BLNoRes!X$5,$AM81,0)))</f>
        <v>5414.614354464793</v>
      </c>
      <c r="Y81" s="312">
        <f ca="1">IF($B$4=0,OFFSET(StateModDepletions_BL!Y$5,$AM81,0),IF($B$4=1,OFFSET(StateModDepletions_BLNoRes!Y$5,$AM81,0)))</f>
        <v>212.11356273293495</v>
      </c>
      <c r="Z81" s="312">
        <f ca="1">IF($B$4=0,OFFSET(StateModDepletions_BL!Z$5,$AM81,0),IF($B$4=1,OFFSET(StateModDepletions_BLNoRes!Z$5,$AM81,0)))</f>
        <v>245619.79559373856</v>
      </c>
      <c r="AA81" s="313">
        <f ca="1">IF($B$4=0,OFFSET(StateModDepletions_BL!AA$5,$AM81,0),IF($B$4=1,OFFSET(StateModDepletions_BLNoRes!AA$5,$AM81,0)))</f>
        <v>119039.08081165768</v>
      </c>
      <c r="AB81" s="314">
        <f ca="1">IF($B$4=0,OFFSET(StateModDepletions_BL!AB$5,$AM81,0),IF($B$4=1,OFFSET(StateModDepletions_BLNoRes!AB$5,$AM81,0)))</f>
        <v>24765.810481309891</v>
      </c>
      <c r="AC81" s="314">
        <f ca="1">IF($B$4=0,OFFSET(StateModDepletions_BL!AC$5,$AM81,0),IF($B$4=1,OFFSET(StateModDepletions_BLNoRes!AC$5,$AM81,0)))</f>
        <v>32481.869789049029</v>
      </c>
      <c r="AD81" s="314">
        <f ca="1">IF($B$4=0,OFFSET(StateModDepletions_BL!AD$5,$AM81,0),IF($B$4=1,OFFSET(StateModDepletions_BLNoRes!AD$5,$AM81,0)))</f>
        <v>17277.983355268836</v>
      </c>
      <c r="AE81" s="314">
        <f ca="1">IF($B$4=0,OFFSET(StateModDepletions_BL!AE$5,$AM81,0),IF($B$4=1,OFFSET(StateModDepletions_BLNoRes!AE$5,$AM81,0)))</f>
        <v>108148.13211168349</v>
      </c>
      <c r="AF81" s="314">
        <f ca="1">IF($B$4=0,OFFSET(StateModDepletions_BL!AF$5,$AM81,0),IF($B$4=1,OFFSET(StateModDepletions_BLNoRes!AF$5,$AM81,0)))</f>
        <v>19721.936302140348</v>
      </c>
      <c r="AG81" s="314">
        <f ca="1">IF($B$4=0,OFFSET(StateModDepletions_BL!AG$5,$AM81,0),IF($B$4=1,OFFSET(StateModDepletions_BLNoRes!AG$5,$AM81,0)))</f>
        <v>36925.349612394799</v>
      </c>
      <c r="AH81" s="314">
        <f ca="1">IF($B$4=0,OFFSET(StateModDepletions_BL!AH$5,$AM81,0),IF($B$4=1,OFFSET(StateModDepletions_BLNoRes!AH$5,$AM81,0)))</f>
        <v>13290.285578563809</v>
      </c>
      <c r="AI81" s="314">
        <f ca="1">IF($B$4=0,OFFSET(StateModDepletions_BL!AI$5,$AM81,0),IF($B$4=1,OFFSET(StateModDepletions_BLNoRes!AI$5,$AM81,0)))</f>
        <v>15846.767189604339</v>
      </c>
      <c r="AJ81" s="315">
        <f ca="1">IF($B$4=0,OFFSET(StateModDepletions_BL!AJ$5,$AM81,0),IF($B$4=1,OFFSET(StateModDepletions_BLNoRes!AJ$5,$AM81,0)))</f>
        <v>126368.60121934794</v>
      </c>
      <c r="AK81" s="519">
        <f t="shared" si="8"/>
        <v>76</v>
      </c>
      <c r="AL81" s="519">
        <f t="shared" si="9"/>
        <v>2004</v>
      </c>
      <c r="AM81" s="519">
        <f>MATCH($AL81,StateModDepletions_BL!$A$6:$A$90,0)</f>
        <v>76</v>
      </c>
    </row>
    <row r="82" spans="1:39" x14ac:dyDescent="0.25">
      <c r="A82" s="519">
        <f t="shared" si="7"/>
        <v>2005</v>
      </c>
      <c r="B82" s="311">
        <f ca="1">IF($B$4=0,OFFSET(StateModDepletions_BL!B$5,$AM82,0),IF($B$4=1,OFFSET(StateModDepletions_BLNoRes!B$5,$AM82,0)))</f>
        <v>34699.979027479887</v>
      </c>
      <c r="C82" s="312">
        <f ca="1">IF($B$4=0,OFFSET(StateModDepletions_BL!C$5,$AM82,0),IF($B$4=1,OFFSET(StateModDepletions_BLNoRes!C$5,$AM82,0)))</f>
        <v>1026.0025346279144</v>
      </c>
      <c r="D82" s="312">
        <f ca="1">IF($B$4=0,OFFSET(StateModDepletions_BL!D$5,$AM82,0),IF($B$4=1,OFFSET(StateModDepletions_BLNoRes!D$5,$AM82,0)))</f>
        <v>106948.22332763672</v>
      </c>
      <c r="E82" s="312">
        <f ca="1">IF($B$4=0,OFFSET(StateModDepletions_BL!E$5,$AM82,0),IF($B$4=1,OFFSET(StateModDepletions_BLNoRes!E$5,$AM82,0)))</f>
        <v>2810.7051087617874</v>
      </c>
      <c r="F82" s="312">
        <f ca="1">IF($B$4=0,OFFSET(StateModDepletions_BL!F$5,$AM82,0),IF($B$4=1,OFFSET(StateModDepletions_BLNoRes!F$5,$AM82,0)))</f>
        <v>17310.619971886277</v>
      </c>
      <c r="G82" s="312">
        <f ca="1">IF($B$4=0,OFFSET(StateModDepletions_BL!G$5,$AM82,0),IF($B$4=1,OFFSET(StateModDepletions_BLNoRes!G$5,$AM82,0)))</f>
        <v>2036.5992698669434</v>
      </c>
      <c r="H82" s="312">
        <f ca="1">IF($B$4=0,OFFSET(StateModDepletions_BL!H$5,$AM82,0),IF($B$4=1,OFFSET(StateModDepletions_BLNoRes!H$5,$AM82,0)))</f>
        <v>2838.8627778291702</v>
      </c>
      <c r="I82" s="312">
        <f ca="1">IF($B$4=0,OFFSET(StateModDepletions_BL!I$5,$AM82,0),IF($B$4=1,OFFSET(StateModDepletions_BLNoRes!I$5,$AM82,0)))</f>
        <v>106462.95276351273</v>
      </c>
      <c r="J82" s="312">
        <f ca="1">IF($B$4=0,OFFSET(StateModDepletions_BL!J$5,$AM82,0),IF($B$4=1,OFFSET(StateModDepletions_BLNoRes!J$5,$AM82,0)))</f>
        <v>2427.2232568264008</v>
      </c>
      <c r="K82" s="312">
        <f ca="1">IF($B$4=0,OFFSET(StateModDepletions_BL!K$5,$AM82,0),IF($B$4=1,OFFSET(StateModDepletions_BLNoRes!K$5,$AM82,0)))</f>
        <v>19116.242594718933</v>
      </c>
      <c r="L82" s="312">
        <f ca="1">IF($B$4=0,OFFSET(StateModDepletions_BL!L$5,$AM82,0),IF($B$4=1,OFFSET(StateModDepletions_BLNoRes!L$5,$AM82,0)))</f>
        <v>18769.083691611886</v>
      </c>
      <c r="M82" s="312">
        <f ca="1">IF($B$4=0,OFFSET(StateModDepletions_BL!M$5,$AM82,0),IF($B$4=1,OFFSET(StateModDepletions_BLNoRes!M$5,$AM82,0)))</f>
        <v>1422.3165097236633</v>
      </c>
      <c r="N82" s="312">
        <f ca="1">IF($B$4=0,OFFSET(StateModDepletions_BL!N$5,$AM82,0),IF($B$4=1,OFFSET(StateModDepletions_BLNoRes!N$5,$AM82,0)))</f>
        <v>1326.6977829933167</v>
      </c>
      <c r="O82" s="312">
        <f ca="1">IF($B$4=0,OFFSET(StateModDepletions_BL!O$5,$AM82,0),IF($B$4=1,OFFSET(StateModDepletions_BLNoRes!O$5,$AM82,0)))</f>
        <v>49216.352149574537</v>
      </c>
      <c r="P82" s="312">
        <f ca="1">IF($B$4=0,OFFSET(StateModDepletions_BL!P$5,$AM82,0),IF($B$4=1,OFFSET(StateModDepletions_BLNoRes!P$5,$AM82,0)))</f>
        <v>544.84344577789307</v>
      </c>
      <c r="Q82" s="312">
        <f ca="1">IF($B$4=0,OFFSET(StateModDepletions_BL!Q$5,$AM82,0),IF($B$4=1,OFFSET(StateModDepletions_BLNoRes!Q$5,$AM82,0)))</f>
        <v>19702.658020853996</v>
      </c>
      <c r="R82" s="312">
        <f ca="1">IF($B$4=0,OFFSET(StateModDepletions_BL!R$5,$AM82,0),IF($B$4=1,OFFSET(StateModDepletions_BLNoRes!R$5,$AM82,0)))</f>
        <v>598.83215999603271</v>
      </c>
      <c r="S82" s="312">
        <f ca="1">IF($B$4=0,OFFSET(StateModDepletions_BL!S$5,$AM82,0),IF($B$4=1,OFFSET(StateModDepletions_BLNoRes!S$5,$AM82,0)))</f>
        <v>0</v>
      </c>
      <c r="T82" s="312">
        <f ca="1">IF($B$4=0,OFFSET(StateModDepletions_BL!T$5,$AM82,0),IF($B$4=1,OFFSET(StateModDepletions_BLNoRes!T$5,$AM82,0)))</f>
        <v>21666.189086135848</v>
      </c>
      <c r="U82" s="312">
        <f ca="1">IF($B$4=0,OFFSET(StateModDepletions_BL!U$5,$AM82,0),IF($B$4=1,OFFSET(StateModDepletions_BLNoRes!U$5,$AM82,0)))</f>
        <v>1537.8012830764055</v>
      </c>
      <c r="V82" s="312">
        <f ca="1">IF($B$4=0,OFFSET(StateModDepletions_BL!V$5,$AM82,0),IF($B$4=1,OFFSET(StateModDepletions_BLNoRes!V$5,$AM82,0)))</f>
        <v>14510.001776695251</v>
      </c>
      <c r="W82" s="312">
        <f ca="1">IF($B$4=0,OFFSET(StateModDepletions_BL!W$5,$AM82,0),IF($B$4=1,OFFSET(StateModDepletions_BLNoRes!W$5,$AM82,0)))</f>
        <v>137898.7564274703</v>
      </c>
      <c r="X82" s="312">
        <f ca="1">IF($B$4=0,OFFSET(StateModDepletions_BL!X$5,$AM82,0),IF($B$4=1,OFFSET(StateModDepletions_BLNoRes!X$5,$AM82,0)))</f>
        <v>5846.7669621066789</v>
      </c>
      <c r="Y82" s="312">
        <f ca="1">IF($B$4=0,OFFSET(StateModDepletions_BL!Y$5,$AM82,0),IF($B$4=1,OFFSET(StateModDepletions_BLNoRes!Y$5,$AM82,0)))</f>
        <v>212.11356273293495</v>
      </c>
      <c r="Z82" s="312">
        <f ca="1">IF($B$4=0,OFFSET(StateModDepletions_BL!Z$5,$AM82,0),IF($B$4=1,OFFSET(StateModDepletions_BLNoRes!Z$5,$AM82,0)))</f>
        <v>201277.04602241516</v>
      </c>
      <c r="AA82" s="313">
        <f ca="1">IF($B$4=0,OFFSET(StateModDepletions_BL!AA$5,$AM82,0),IF($B$4=1,OFFSET(StateModDepletions_BLNoRes!AA$5,$AM82,0)))</f>
        <v>57319.409070105241</v>
      </c>
      <c r="AB82" s="314">
        <f ca="1">IF($B$4=0,OFFSET(StateModDepletions_BL!AB$5,$AM82,0),IF($B$4=1,OFFSET(StateModDepletions_BLNoRes!AB$5,$AM82,0)))</f>
        <v>24765.810481309891</v>
      </c>
      <c r="AC82" s="314">
        <f ca="1">IF($B$4=0,OFFSET(StateModDepletions_BL!AC$5,$AM82,0),IF($B$4=1,OFFSET(StateModDepletions_BLNoRes!AC$5,$AM82,0)))</f>
        <v>35725.981562107801</v>
      </c>
      <c r="AD82" s="314">
        <f ca="1">IF($B$4=0,OFFSET(StateModDepletions_BL!AD$5,$AM82,0),IF($B$4=1,OFFSET(StateModDepletions_BLNoRes!AD$5,$AM82,0)))</f>
        <v>19347.219241753221</v>
      </c>
      <c r="AE82" s="314">
        <f ca="1">IF($B$4=0,OFFSET(StateModDepletions_BL!AE$5,$AM82,0),IF($B$4=1,OFFSET(StateModDepletions_BLNoRes!AE$5,$AM82,0)))</f>
        <v>108890.17602033913</v>
      </c>
      <c r="AF82" s="314">
        <f ca="1">IF($B$4=0,OFFSET(StateModDepletions_BL!AF$5,$AM82,0),IF($B$4=1,OFFSET(StateModDepletions_BLNoRes!AF$5,$AM82,0)))</f>
        <v>20191.400201335549</v>
      </c>
      <c r="AG82" s="314">
        <f ca="1">IF($B$4=0,OFFSET(StateModDepletions_BL!AG$5,$AM82,0),IF($B$4=1,OFFSET(StateModDepletions_BLNoRes!AG$5,$AM82,0)))</f>
        <v>49761.19559535243</v>
      </c>
      <c r="AH82" s="314">
        <f ca="1">IF($B$4=0,OFFSET(StateModDepletions_BL!AH$5,$AM82,0),IF($B$4=1,OFFSET(StateModDepletions_BLNoRes!AH$5,$AM82,0)))</f>
        <v>20301.490180850029</v>
      </c>
      <c r="AI82" s="314">
        <f ca="1">IF($B$4=0,OFFSET(StateModDepletions_BL!AI$5,$AM82,0),IF($B$4=1,OFFSET(StateModDepletions_BLNoRes!AI$5,$AM82,0)))</f>
        <v>23203.990369212253</v>
      </c>
      <c r="AJ82" s="315">
        <f ca="1">IF($B$4=0,OFFSET(StateModDepletions_BL!AJ$5,$AM82,0),IF($B$4=1,OFFSET(StateModDepletions_BLNoRes!AJ$5,$AM82,0)))</f>
        <v>143745.52338957699</v>
      </c>
      <c r="AK82" s="519">
        <f t="shared" si="8"/>
        <v>77</v>
      </c>
      <c r="AL82" s="519">
        <f t="shared" si="9"/>
        <v>2005</v>
      </c>
      <c r="AM82" s="519">
        <f>MATCH($AL82,StateModDepletions_BL!$A$6:$A$90,0)</f>
        <v>77</v>
      </c>
    </row>
    <row r="83" spans="1:39" x14ac:dyDescent="0.25">
      <c r="A83" s="519">
        <f t="shared" si="7"/>
        <v>2006</v>
      </c>
      <c r="B83" s="311">
        <f ca="1">IF($B$4=0,OFFSET(StateModDepletions_BL!B$5,$AM83,0),IF($B$4=1,OFFSET(StateModDepletions_BLNoRes!B$5,$AM83,0)))</f>
        <v>26892.104374498129</v>
      </c>
      <c r="C83" s="312">
        <f ca="1">IF($B$4=0,OFFSET(StateModDepletions_BL!C$5,$AM83,0),IF($B$4=1,OFFSET(StateModDepletions_BLNoRes!C$5,$AM83,0)))</f>
        <v>1026.0025346279144</v>
      </c>
      <c r="D83" s="312">
        <f ca="1">IF($B$4=0,OFFSET(StateModDepletions_BL!D$5,$AM83,0),IF($B$4=1,OFFSET(StateModDepletions_BLNoRes!D$5,$AM83,0)))</f>
        <v>59986.444580078125</v>
      </c>
      <c r="E83" s="312">
        <f ca="1">IF($B$4=0,OFFSET(StateModDepletions_BL!E$5,$AM83,0),IF($B$4=1,OFFSET(StateModDepletions_BLNoRes!E$5,$AM83,0)))</f>
        <v>2810.7051087617874</v>
      </c>
      <c r="F83" s="312">
        <f ca="1">IF($B$4=0,OFFSET(StateModDepletions_BL!F$5,$AM83,0),IF($B$4=1,OFFSET(StateModDepletions_BLNoRes!F$5,$AM83,0)))</f>
        <v>13226.696225106716</v>
      </c>
      <c r="G83" s="312">
        <f ca="1">IF($B$4=0,OFFSET(StateModDepletions_BL!G$5,$AM83,0),IF($B$4=1,OFFSET(StateModDepletions_BLNoRes!G$5,$AM83,0)))</f>
        <v>2036.5992698669434</v>
      </c>
      <c r="H83" s="312">
        <f ca="1">IF($B$4=0,OFFSET(StateModDepletions_BL!H$5,$AM83,0),IF($B$4=1,OFFSET(StateModDepletions_BLNoRes!H$5,$AM83,0)))</f>
        <v>2838.8627778291702</v>
      </c>
      <c r="I83" s="312">
        <f ca="1">IF($B$4=0,OFFSET(StateModDepletions_BL!I$5,$AM83,0),IF($B$4=1,OFFSET(StateModDepletions_BLNoRes!I$5,$AM83,0)))</f>
        <v>96696.523375287652</v>
      </c>
      <c r="J83" s="312">
        <f ca="1">IF($B$4=0,OFFSET(StateModDepletions_BL!J$5,$AM83,0),IF($B$4=1,OFFSET(StateModDepletions_BLNoRes!J$5,$AM83,0)))</f>
        <v>2154.951308965683</v>
      </c>
      <c r="K83" s="312">
        <f ca="1">IF($B$4=0,OFFSET(StateModDepletions_BL!K$5,$AM83,0),IF($B$4=1,OFFSET(StateModDepletions_BLNoRes!K$5,$AM83,0)))</f>
        <v>19116.242594718933</v>
      </c>
      <c r="L83" s="312">
        <f ca="1">IF($B$4=0,OFFSET(StateModDepletions_BL!L$5,$AM83,0),IF($B$4=1,OFFSET(StateModDepletions_BLNoRes!L$5,$AM83,0)))</f>
        <v>17667.845848649737</v>
      </c>
      <c r="M83" s="312">
        <f ca="1">IF($B$4=0,OFFSET(StateModDepletions_BL!M$5,$AM83,0),IF($B$4=1,OFFSET(StateModDepletions_BLNoRes!M$5,$AM83,0)))</f>
        <v>1426.5519766807556</v>
      </c>
      <c r="N83" s="312">
        <f ca="1">IF($B$4=0,OFFSET(StateModDepletions_BL!N$5,$AM83,0),IF($B$4=1,OFFSET(StateModDepletions_BLNoRes!N$5,$AM83,0)))</f>
        <v>1326.6977829933167</v>
      </c>
      <c r="O83" s="312">
        <f ca="1">IF($B$4=0,OFFSET(StateModDepletions_BL!O$5,$AM83,0),IF($B$4=1,OFFSET(StateModDepletions_BLNoRes!O$5,$AM83,0)))</f>
        <v>36140.171056015868</v>
      </c>
      <c r="P83" s="312">
        <f ca="1">IF($B$4=0,OFFSET(StateModDepletions_BL!P$5,$AM83,0),IF($B$4=1,OFFSET(StateModDepletions_BLNoRes!P$5,$AM83,0)))</f>
        <v>333.02450108528137</v>
      </c>
      <c r="Q83" s="312">
        <f ca="1">IF($B$4=0,OFFSET(StateModDepletions_BL!Q$5,$AM83,0),IF($B$4=1,OFFSET(StateModDepletions_BLNoRes!Q$5,$AM83,0)))</f>
        <v>11371.097733090632</v>
      </c>
      <c r="R83" s="312">
        <f ca="1">IF($B$4=0,OFFSET(StateModDepletions_BL!R$5,$AM83,0),IF($B$4=1,OFFSET(StateModDepletions_BLNoRes!R$5,$AM83,0)))</f>
        <v>598.83215999603271</v>
      </c>
      <c r="S83" s="312">
        <f ca="1">IF($B$4=0,OFFSET(StateModDepletions_BL!S$5,$AM83,0),IF($B$4=1,OFFSET(StateModDepletions_BLNoRes!S$5,$AM83,0)))</f>
        <v>0</v>
      </c>
      <c r="T83" s="312">
        <f ca="1">IF($B$4=0,OFFSET(StateModDepletions_BL!T$5,$AM83,0),IF($B$4=1,OFFSET(StateModDepletions_BLNoRes!T$5,$AM83,0)))</f>
        <v>11124.659458942786</v>
      </c>
      <c r="U83" s="312">
        <f ca="1">IF($B$4=0,OFFSET(StateModDepletions_BL!U$5,$AM83,0),IF($B$4=1,OFFSET(StateModDepletions_BLNoRes!U$5,$AM83,0)))</f>
        <v>1364.5486536590615</v>
      </c>
      <c r="V83" s="312">
        <f ca="1">IF($B$4=0,OFFSET(StateModDepletions_BL!V$5,$AM83,0),IF($B$4=1,OFFSET(StateModDepletions_BLNoRes!V$5,$AM83,0)))</f>
        <v>9071.5415697097778</v>
      </c>
      <c r="W83" s="312">
        <f ca="1">IF($B$4=0,OFFSET(StateModDepletions_BL!W$5,$AM83,0),IF($B$4=1,OFFSET(StateModDepletions_BLNoRes!W$5,$AM83,0)))</f>
        <v>139720.50071552739</v>
      </c>
      <c r="X83" s="312">
        <f ca="1">IF($B$4=0,OFFSET(StateModDepletions_BL!X$5,$AM83,0),IF($B$4=1,OFFSET(StateModDepletions_BLNoRes!X$5,$AM83,0)))</f>
        <v>5485.2871244246926</v>
      </c>
      <c r="Y83" s="312">
        <f ca="1">IF($B$4=0,OFFSET(StateModDepletions_BL!Y$5,$AM83,0),IF($B$4=1,OFFSET(StateModDepletions_BLNoRes!Y$5,$AM83,0)))</f>
        <v>212.11356273293495</v>
      </c>
      <c r="Z83" s="312">
        <f ca="1">IF($B$4=0,OFFSET(StateModDepletions_BL!Z$5,$AM83,0),IF($B$4=1,OFFSET(StateModDepletions_BLNoRes!Z$5,$AM83,0)))</f>
        <v>264037.38139343262</v>
      </c>
      <c r="AA83" s="313">
        <f ca="1">IF($B$4=0,OFFSET(StateModDepletions_BL!AA$5,$AM83,0),IF($B$4=1,OFFSET(StateModDepletions_BLNoRes!AA$5,$AM83,0)))</f>
        <v>118619.4799907476</v>
      </c>
      <c r="AB83" s="314">
        <f ca="1">IF($B$4=0,OFFSET(StateModDepletions_BL!AB$5,$AM83,0),IF($B$4=1,OFFSET(StateModDepletions_BLNoRes!AB$5,$AM83,0)))</f>
        <v>24765.810481309891</v>
      </c>
      <c r="AC83" s="314">
        <f ca="1">IF($B$4=0,OFFSET(StateModDepletions_BL!AC$5,$AM83,0),IF($B$4=1,OFFSET(StateModDepletions_BLNoRes!AC$5,$AM83,0)))</f>
        <v>27918.106909126043</v>
      </c>
      <c r="AD83" s="314">
        <f ca="1">IF($B$4=0,OFFSET(StateModDepletions_BL!AD$5,$AM83,0),IF($B$4=1,OFFSET(StateModDepletions_BLNoRes!AD$5,$AM83,0)))</f>
        <v>15263.29549497366</v>
      </c>
      <c r="AE83" s="314">
        <f ca="1">IF($B$4=0,OFFSET(StateModDepletions_BL!AE$5,$AM83,0),IF($B$4=1,OFFSET(StateModDepletions_BLNoRes!AE$5,$AM83,0)))</f>
        <v>98851.474684253335</v>
      </c>
      <c r="AF83" s="314">
        <f ca="1">IF($B$4=0,OFFSET(StateModDepletions_BL!AF$5,$AM83,0),IF($B$4=1,OFFSET(StateModDepletions_BLNoRes!AF$5,$AM83,0)))</f>
        <v>19094.397825330492</v>
      </c>
      <c r="AG83" s="314">
        <f ca="1">IF($B$4=0,OFFSET(StateModDepletions_BL!AG$5,$AM83,0),IF($B$4=1,OFFSET(StateModDepletions_BLNoRes!AG$5,$AM83,0)))</f>
        <v>36473.195557101149</v>
      </c>
      <c r="AH83" s="314">
        <f ca="1">IF($B$4=0,OFFSET(StateModDepletions_BL!AH$5,$AM83,0),IF($B$4=1,OFFSET(StateModDepletions_BLNoRes!AH$5,$AM83,0)))</f>
        <v>11969.929893086664</v>
      </c>
      <c r="AI83" s="314">
        <f ca="1">IF($B$4=0,OFFSET(StateModDepletions_BL!AI$5,$AM83,0),IF($B$4=1,OFFSET(StateModDepletions_BLNoRes!AI$5,$AM83,0)))</f>
        <v>12489.208112601847</v>
      </c>
      <c r="AJ83" s="315">
        <f ca="1">IF($B$4=0,OFFSET(StateModDepletions_BL!AJ$5,$AM83,0),IF($B$4=1,OFFSET(StateModDepletions_BLNoRes!AJ$5,$AM83,0)))</f>
        <v>145205.7878399521</v>
      </c>
      <c r="AK83" s="519">
        <f t="shared" si="8"/>
        <v>78</v>
      </c>
      <c r="AL83" s="519">
        <f t="shared" si="9"/>
        <v>2006</v>
      </c>
      <c r="AM83" s="519">
        <f>MATCH($AL83,StateModDepletions_BL!$A$6:$A$90,0)</f>
        <v>78</v>
      </c>
    </row>
    <row r="84" spans="1:39" x14ac:dyDescent="0.25">
      <c r="A84" s="519">
        <f t="shared" si="7"/>
        <v>2007</v>
      </c>
      <c r="B84" s="311">
        <f ca="1">IF($B$4=0,OFFSET(StateModDepletions_BL!B$5,$AM84,0),IF($B$4=1,OFFSET(StateModDepletions_BLNoRes!B$5,$AM84,0)))</f>
        <v>32083.032539010048</v>
      </c>
      <c r="C84" s="312">
        <f ca="1">IF($B$4=0,OFFSET(StateModDepletions_BL!C$5,$AM84,0),IF($B$4=1,OFFSET(StateModDepletions_BLNoRes!C$5,$AM84,0)))</f>
        <v>1026.0025346279144</v>
      </c>
      <c r="D84" s="312">
        <f ca="1">IF($B$4=0,OFFSET(StateModDepletions_BL!D$5,$AM84,0),IF($B$4=1,OFFSET(StateModDepletions_BLNoRes!D$5,$AM84,0)))</f>
        <v>96758.552978515625</v>
      </c>
      <c r="E84" s="312">
        <f ca="1">IF($B$4=0,OFFSET(StateModDepletions_BL!E$5,$AM84,0),IF($B$4=1,OFFSET(StateModDepletions_BLNoRes!E$5,$AM84,0)))</f>
        <v>2810.7051087617874</v>
      </c>
      <c r="F84" s="312">
        <f ca="1">IF($B$4=0,OFFSET(StateModDepletions_BL!F$5,$AM84,0),IF($B$4=1,OFFSET(StateModDepletions_BLNoRes!F$5,$AM84,0)))</f>
        <v>15836.226370587945</v>
      </c>
      <c r="G84" s="312">
        <f ca="1">IF($B$4=0,OFFSET(StateModDepletions_BL!G$5,$AM84,0),IF($B$4=1,OFFSET(StateModDepletions_BLNoRes!G$5,$AM84,0)))</f>
        <v>2036.5992698669434</v>
      </c>
      <c r="H84" s="312">
        <f ca="1">IF($B$4=0,OFFSET(StateModDepletions_BL!H$5,$AM84,0),IF($B$4=1,OFFSET(StateModDepletions_BLNoRes!H$5,$AM84,0)))</f>
        <v>2838.8627778291702</v>
      </c>
      <c r="I84" s="312">
        <f ca="1">IF($B$4=0,OFFSET(StateModDepletions_BL!I$5,$AM84,0),IF($B$4=1,OFFSET(StateModDepletions_BLNoRes!I$5,$AM84,0)))</f>
        <v>103945.61299514025</v>
      </c>
      <c r="J84" s="312">
        <f ca="1">IF($B$4=0,OFFSET(StateModDepletions_BL!J$5,$AM84,0),IF($B$4=1,OFFSET(StateModDepletions_BLNoRes!J$5,$AM84,0)))</f>
        <v>2555.5918099880219</v>
      </c>
      <c r="K84" s="312">
        <f ca="1">IF($B$4=0,OFFSET(StateModDepletions_BL!K$5,$AM84,0),IF($B$4=1,OFFSET(StateModDepletions_BLNoRes!K$5,$AM84,0)))</f>
        <v>19116.242594718933</v>
      </c>
      <c r="L84" s="312">
        <f ca="1">IF($B$4=0,OFFSET(StateModDepletions_BL!L$5,$AM84,0),IF($B$4=1,OFFSET(StateModDepletions_BLNoRes!L$5,$AM84,0)))</f>
        <v>19206.821893073611</v>
      </c>
      <c r="M84" s="312">
        <f ca="1">IF($B$4=0,OFFSET(StateModDepletions_BL!M$5,$AM84,0),IF($B$4=1,OFFSET(StateModDepletions_BLNoRes!M$5,$AM84,0)))</f>
        <v>1416.033796787262</v>
      </c>
      <c r="N84" s="312">
        <f ca="1">IF($B$4=0,OFFSET(StateModDepletions_BL!N$5,$AM84,0),IF($B$4=1,OFFSET(StateModDepletions_BLNoRes!N$5,$AM84,0)))</f>
        <v>1326.6977829933167</v>
      </c>
      <c r="O84" s="312">
        <f ca="1">IF($B$4=0,OFFSET(StateModDepletions_BL!O$5,$AM84,0),IF($B$4=1,OFFSET(StateModDepletions_BLNoRes!O$5,$AM84,0)))</f>
        <v>43189.303810565252</v>
      </c>
      <c r="P84" s="312">
        <f ca="1">IF($B$4=0,OFFSET(StateModDepletions_BL!P$5,$AM84,0),IF($B$4=1,OFFSET(StateModDepletions_BLNoRes!P$5,$AM84,0)))</f>
        <v>425.02103614807129</v>
      </c>
      <c r="Q84" s="312">
        <f ca="1">IF($B$4=0,OFFSET(StateModDepletions_BL!Q$5,$AM84,0),IF($B$4=1,OFFSET(StateModDepletions_BLNoRes!Q$5,$AM84,0)))</f>
        <v>13857.634303599596</v>
      </c>
      <c r="R84" s="312">
        <f ca="1">IF($B$4=0,OFFSET(StateModDepletions_BL!R$5,$AM84,0),IF($B$4=1,OFFSET(StateModDepletions_BLNoRes!R$5,$AM84,0)))</f>
        <v>598.83215999603271</v>
      </c>
      <c r="S84" s="312">
        <f ca="1">IF($B$4=0,OFFSET(StateModDepletions_BL!S$5,$AM84,0),IF($B$4=1,OFFSET(StateModDepletions_BLNoRes!S$5,$AM84,0)))</f>
        <v>0</v>
      </c>
      <c r="T84" s="312">
        <f ca="1">IF($B$4=0,OFFSET(StateModDepletions_BL!T$5,$AM84,0),IF($B$4=1,OFFSET(StateModDepletions_BLNoRes!T$5,$AM84,0)))</f>
        <v>14517.304543967248</v>
      </c>
      <c r="U84" s="312">
        <f ca="1">IF($B$4=0,OFFSET(StateModDepletions_BL!U$5,$AM84,0),IF($B$4=1,OFFSET(StateModDepletions_BLNoRes!U$5,$AM84,0)))</f>
        <v>1437.1810734719038</v>
      </c>
      <c r="V84" s="312">
        <f ca="1">IF($B$4=0,OFFSET(StateModDepletions_BL!V$5,$AM84,0),IF($B$4=1,OFFSET(StateModDepletions_BLNoRes!V$5,$AM84,0)))</f>
        <v>11992.852585792542</v>
      </c>
      <c r="W84" s="312">
        <f ca="1">IF($B$4=0,OFFSET(StateModDepletions_BL!W$5,$AM84,0),IF($B$4=1,OFFSET(StateModDepletions_BLNoRes!W$5,$AM84,0)))</f>
        <v>141257.03249118075</v>
      </c>
      <c r="X84" s="312">
        <f ca="1">IF($B$4=0,OFFSET(StateModDepletions_BL!X$5,$AM84,0),IF($B$4=1,OFFSET(StateModDepletions_BLNoRes!X$5,$AM84,0)))</f>
        <v>5690.5539253322095</v>
      </c>
      <c r="Y84" s="312">
        <f ca="1">IF($B$4=0,OFFSET(StateModDepletions_BL!Y$5,$AM84,0),IF($B$4=1,OFFSET(StateModDepletions_BLNoRes!Y$5,$AM84,0)))</f>
        <v>212.11356273293495</v>
      </c>
      <c r="Z84" s="312">
        <f ca="1">IF($B$4=0,OFFSET(StateModDepletions_BL!Z$5,$AM84,0),IF($B$4=1,OFFSET(StateModDepletions_BLNoRes!Z$5,$AM84,0)))</f>
        <v>201517.66971969604</v>
      </c>
      <c r="AA84" s="313">
        <f ca="1">IF($B$4=0,OFFSET(StateModDepletions_BL!AA$5,$AM84,0),IF($B$4=1,OFFSET(StateModDepletions_BLNoRes!AA$5,$AM84,0)))</f>
        <v>54357.969740450149</v>
      </c>
      <c r="AB84" s="314">
        <f ca="1">IF($B$4=0,OFFSET(StateModDepletions_BL!AB$5,$AM84,0),IF($B$4=1,OFFSET(StateModDepletions_BLNoRes!AB$5,$AM84,0)))</f>
        <v>24765.810481309891</v>
      </c>
      <c r="AC84" s="314">
        <f ca="1">IF($B$4=0,OFFSET(StateModDepletions_BL!AC$5,$AM84,0),IF($B$4=1,OFFSET(StateModDepletions_BLNoRes!AC$5,$AM84,0)))</f>
        <v>33109.035073637962</v>
      </c>
      <c r="AD84" s="314">
        <f ca="1">IF($B$4=0,OFFSET(StateModDepletions_BL!AD$5,$AM84,0),IF($B$4=1,OFFSET(StateModDepletions_BLNoRes!AD$5,$AM84,0)))</f>
        <v>17872.825640454888</v>
      </c>
      <c r="AE84" s="314">
        <f ca="1">IF($B$4=0,OFFSET(StateModDepletions_BL!AE$5,$AM84,0),IF($B$4=1,OFFSET(StateModDepletions_BLNoRes!AE$5,$AM84,0)))</f>
        <v>106501.20480512828</v>
      </c>
      <c r="AF84" s="314">
        <f ca="1">IF($B$4=0,OFFSET(StateModDepletions_BL!AF$5,$AM84,0),IF($B$4=1,OFFSET(StateModDepletions_BLNoRes!AF$5,$AM84,0)))</f>
        <v>20622.855689860873</v>
      </c>
      <c r="AG84" s="314">
        <f ca="1">IF($B$4=0,OFFSET(StateModDepletions_BL!AG$5,$AM84,0),IF($B$4=1,OFFSET(StateModDepletions_BLNoRes!AG$5,$AM84,0)))</f>
        <v>43614.324846713323</v>
      </c>
      <c r="AH84" s="314">
        <f ca="1">IF($B$4=0,OFFSET(StateModDepletions_BL!AH$5,$AM84,0),IF($B$4=1,OFFSET(StateModDepletions_BLNoRes!AH$5,$AM84,0)))</f>
        <v>14456.466463595629</v>
      </c>
      <c r="AI84" s="314">
        <f ca="1">IF($B$4=0,OFFSET(StateModDepletions_BL!AI$5,$AM84,0),IF($B$4=1,OFFSET(StateModDepletions_BLNoRes!AI$5,$AM84,0)))</f>
        <v>15954.485617439152</v>
      </c>
      <c r="AJ84" s="315">
        <f ca="1">IF($B$4=0,OFFSET(StateModDepletions_BL!AJ$5,$AM84,0),IF($B$4=1,OFFSET(StateModDepletions_BLNoRes!AJ$5,$AM84,0)))</f>
        <v>146947.58641651296</v>
      </c>
      <c r="AK84" s="519">
        <f t="shared" si="8"/>
        <v>79</v>
      </c>
      <c r="AL84" s="519">
        <f t="shared" si="9"/>
        <v>2007</v>
      </c>
      <c r="AM84" s="519">
        <f>MATCH($AL84,StateModDepletions_BL!$A$6:$A$90,0)</f>
        <v>79</v>
      </c>
    </row>
    <row r="85" spans="1:39" x14ac:dyDescent="0.25">
      <c r="A85" s="519">
        <f t="shared" si="7"/>
        <v>2008</v>
      </c>
      <c r="B85" s="311">
        <f ca="1">IF($B$4=0,OFFSET(StateModDepletions_BL!B$5,$AM85,0),IF($B$4=1,OFFSET(StateModDepletions_BLNoRes!B$5,$AM85,0)))</f>
        <v>33378.825506225228</v>
      </c>
      <c r="C85" s="312">
        <f ca="1">IF($B$4=0,OFFSET(StateModDepletions_BL!C$5,$AM85,0),IF($B$4=1,OFFSET(StateModDepletions_BLNoRes!C$5,$AM85,0)))</f>
        <v>1026.0025346279144</v>
      </c>
      <c r="D85" s="312">
        <f ca="1">IF($B$4=0,OFFSET(StateModDepletions_BL!D$5,$AM85,0),IF($B$4=1,OFFSET(StateModDepletions_BLNoRes!D$5,$AM85,0)))</f>
        <v>129360.86596679688</v>
      </c>
      <c r="E85" s="312">
        <f ca="1">IF($B$4=0,OFFSET(StateModDepletions_BL!E$5,$AM85,0),IF($B$4=1,OFFSET(StateModDepletions_BLNoRes!E$5,$AM85,0)))</f>
        <v>2810.7051087617874</v>
      </c>
      <c r="F85" s="312">
        <f ca="1">IF($B$4=0,OFFSET(StateModDepletions_BL!F$5,$AM85,0),IF($B$4=1,OFFSET(StateModDepletions_BLNoRes!F$5,$AM85,0)))</f>
        <v>16555.219167292118</v>
      </c>
      <c r="G85" s="312">
        <f ca="1">IF($B$4=0,OFFSET(StateModDepletions_BL!G$5,$AM85,0),IF($B$4=1,OFFSET(StateModDepletions_BLNoRes!G$5,$AM85,0)))</f>
        <v>2036.5992698669434</v>
      </c>
      <c r="H85" s="312">
        <f ca="1">IF($B$4=0,OFFSET(StateModDepletions_BL!H$5,$AM85,0),IF($B$4=1,OFFSET(StateModDepletions_BLNoRes!H$5,$AM85,0)))</f>
        <v>2838.8627778291702</v>
      </c>
      <c r="I85" s="312">
        <f ca="1">IF($B$4=0,OFFSET(StateModDepletions_BL!I$5,$AM85,0),IF($B$4=1,OFFSET(StateModDepletions_BLNoRes!I$5,$AM85,0)))</f>
        <v>110973.17781279609</v>
      </c>
      <c r="J85" s="312">
        <f ca="1">IF($B$4=0,OFFSET(StateModDepletions_BL!J$5,$AM85,0),IF($B$4=1,OFFSET(StateModDepletions_BLNoRes!J$5,$AM85,0)))</f>
        <v>2312.369313955307</v>
      </c>
      <c r="K85" s="312">
        <f ca="1">IF($B$4=0,OFFSET(StateModDepletions_BL!K$5,$AM85,0),IF($B$4=1,OFFSET(StateModDepletions_BLNoRes!K$5,$AM85,0)))</f>
        <v>19116.242594718933</v>
      </c>
      <c r="L85" s="312">
        <f ca="1">IF($B$4=0,OFFSET(StateModDepletions_BL!L$5,$AM85,0),IF($B$4=1,OFFSET(StateModDepletions_BLNoRes!L$5,$AM85,0)))</f>
        <v>18740.371564798068</v>
      </c>
      <c r="M85" s="312">
        <f ca="1">IF($B$4=0,OFFSET(StateModDepletions_BL!M$5,$AM85,0),IF($B$4=1,OFFSET(StateModDepletions_BLNoRes!M$5,$AM85,0)))</f>
        <v>1412.0403499603271</v>
      </c>
      <c r="N85" s="312">
        <f ca="1">IF($B$4=0,OFFSET(StateModDepletions_BL!N$5,$AM85,0),IF($B$4=1,OFFSET(StateModDepletions_BLNoRes!N$5,$AM85,0)))</f>
        <v>1326.6977829933167</v>
      </c>
      <c r="O85" s="312">
        <f ca="1">IF($B$4=0,OFFSET(StateModDepletions_BL!O$5,$AM85,0),IF($B$4=1,OFFSET(StateModDepletions_BLNoRes!O$5,$AM85,0)))</f>
        <v>44964.894185288329</v>
      </c>
      <c r="P85" s="312">
        <f ca="1">IF($B$4=0,OFFSET(StateModDepletions_BL!P$5,$AM85,0),IF($B$4=1,OFFSET(StateModDepletions_BLNoRes!P$5,$AM85,0)))</f>
        <v>445.30504512786865</v>
      </c>
      <c r="Q85" s="312">
        <f ca="1">IF($B$4=0,OFFSET(StateModDepletions_BL!Q$5,$AM85,0),IF($B$4=1,OFFSET(StateModDepletions_BLNoRes!Q$5,$AM85,0)))</f>
        <v>17076.383311137557</v>
      </c>
      <c r="R85" s="312">
        <f ca="1">IF($B$4=0,OFFSET(StateModDepletions_BL!R$5,$AM85,0),IF($B$4=1,OFFSET(StateModDepletions_BLNoRes!R$5,$AM85,0)))</f>
        <v>598.83215999603271</v>
      </c>
      <c r="S85" s="312">
        <f ca="1">IF($B$4=0,OFFSET(StateModDepletions_BL!S$5,$AM85,0),IF($B$4=1,OFFSET(StateModDepletions_BLNoRes!S$5,$AM85,0)))</f>
        <v>0</v>
      </c>
      <c r="T85" s="312">
        <f ca="1">IF($B$4=0,OFFSET(StateModDepletions_BL!T$5,$AM85,0),IF($B$4=1,OFFSET(StateModDepletions_BLNoRes!T$5,$AM85,0)))</f>
        <v>20366.208074146882</v>
      </c>
      <c r="U85" s="312">
        <f ca="1">IF($B$4=0,OFFSET(StateModDepletions_BL!U$5,$AM85,0),IF($B$4=1,OFFSET(StateModDepletions_BLNoRes!U$5,$AM85,0)))</f>
        <v>1519.2667823433876</v>
      </c>
      <c r="V85" s="312">
        <f ca="1">IF($B$4=0,OFFSET(StateModDepletions_BL!V$5,$AM85,0),IF($B$4=1,OFFSET(StateModDepletions_BLNoRes!V$5,$AM85,0)))</f>
        <v>13559.119305610657</v>
      </c>
      <c r="W85" s="312">
        <f ca="1">IF($B$4=0,OFFSET(StateModDepletions_BL!W$5,$AM85,0),IF($B$4=1,OFFSET(StateModDepletions_BLNoRes!W$5,$AM85,0)))</f>
        <v>135675.48817108915</v>
      </c>
      <c r="X85" s="312">
        <f ca="1">IF($B$4=0,OFFSET(StateModDepletions_BL!X$5,$AM85,0),IF($B$4=1,OFFSET(StateModDepletions_BLNoRes!X$5,$AM85,0)))</f>
        <v>5859.8621201835376</v>
      </c>
      <c r="Y85" s="312">
        <f ca="1">IF($B$4=0,OFFSET(StateModDepletions_BL!Y$5,$AM85,0),IF($B$4=1,OFFSET(StateModDepletions_BLNoRes!Y$5,$AM85,0)))</f>
        <v>212.11356273293495</v>
      </c>
      <c r="Z85" s="312">
        <f ca="1">IF($B$4=0,OFFSET(StateModDepletions_BL!Z$5,$AM85,0),IF($B$4=1,OFFSET(StateModDepletions_BLNoRes!Z$5,$AM85,0)))</f>
        <v>198992.18550491333</v>
      </c>
      <c r="AA85" s="313">
        <f ca="1">IF($B$4=0,OFFSET(StateModDepletions_BL!AA$5,$AM85,0),IF($B$4=1,OFFSET(StateModDepletions_BLNoRes!AA$5,$AM85,0)))</f>
        <v>57244.721650907712</v>
      </c>
      <c r="AB85" s="314">
        <f ca="1">IF($B$4=0,OFFSET(StateModDepletions_BL!AB$5,$AM85,0),IF($B$4=1,OFFSET(StateModDepletions_BLNoRes!AB$5,$AM85,0)))</f>
        <v>24765.810481309891</v>
      </c>
      <c r="AC85" s="314">
        <f ca="1">IF($B$4=0,OFFSET(StateModDepletions_BL!AC$5,$AM85,0),IF($B$4=1,OFFSET(StateModDepletions_BLNoRes!AC$5,$AM85,0)))</f>
        <v>34404.828040853143</v>
      </c>
      <c r="AD85" s="314">
        <f ca="1">IF($B$4=0,OFFSET(StateModDepletions_BL!AD$5,$AM85,0),IF($B$4=1,OFFSET(StateModDepletions_BLNoRes!AD$5,$AM85,0)))</f>
        <v>18591.818437159061</v>
      </c>
      <c r="AE85" s="314">
        <f ca="1">IF($B$4=0,OFFSET(StateModDepletions_BL!AE$5,$AM85,0),IF($B$4=1,OFFSET(StateModDepletions_BLNoRes!AE$5,$AM85,0)))</f>
        <v>113285.54712675139</v>
      </c>
      <c r="AF85" s="314">
        <f ca="1">IF($B$4=0,OFFSET(StateModDepletions_BL!AF$5,$AM85,0),IF($B$4=1,OFFSET(StateModDepletions_BLNoRes!AF$5,$AM85,0)))</f>
        <v>20152.411914758395</v>
      </c>
      <c r="AG85" s="314">
        <f ca="1">IF($B$4=0,OFFSET(StateModDepletions_BL!AG$5,$AM85,0),IF($B$4=1,OFFSET(StateModDepletions_BLNoRes!AG$5,$AM85,0)))</f>
        <v>45410.199230416198</v>
      </c>
      <c r="AH85" s="314">
        <f ca="1">IF($B$4=0,OFFSET(StateModDepletions_BL!AH$5,$AM85,0),IF($B$4=1,OFFSET(StateModDepletions_BLNoRes!AH$5,$AM85,0)))</f>
        <v>17675.21547113359</v>
      </c>
      <c r="AI85" s="314">
        <f ca="1">IF($B$4=0,OFFSET(StateModDepletions_BL!AI$5,$AM85,0),IF($B$4=1,OFFSET(StateModDepletions_BLNoRes!AI$5,$AM85,0)))</f>
        <v>21885.474856490269</v>
      </c>
      <c r="AJ85" s="315">
        <f ca="1">IF($B$4=0,OFFSET(StateModDepletions_BL!AJ$5,$AM85,0),IF($B$4=1,OFFSET(StateModDepletions_BLNoRes!AJ$5,$AM85,0)))</f>
        <v>141535.35029127268</v>
      </c>
      <c r="AK85" s="519">
        <f t="shared" si="8"/>
        <v>80</v>
      </c>
      <c r="AL85" s="519">
        <f t="shared" si="9"/>
        <v>2008</v>
      </c>
      <c r="AM85" s="519">
        <f>MATCH($AL85,StateModDepletions_BL!$A$6:$A$90,0)</f>
        <v>80</v>
      </c>
    </row>
    <row r="86" spans="1:39" x14ac:dyDescent="0.25">
      <c r="A86" s="519">
        <f t="shared" si="7"/>
        <v>2009</v>
      </c>
      <c r="B86" s="311">
        <f ca="1">IF($B$4=0,OFFSET(StateModDepletions_BL!B$5,$AM86,0),IF($B$4=1,OFFSET(StateModDepletions_BLNoRes!B$5,$AM86,0)))</f>
        <v>30725.939101696014</v>
      </c>
      <c r="C86" s="312">
        <f ca="1">IF($B$4=0,OFFSET(StateModDepletions_BL!C$5,$AM86,0),IF($B$4=1,OFFSET(StateModDepletions_BLNoRes!C$5,$AM86,0)))</f>
        <v>1026.0025346279144</v>
      </c>
      <c r="D86" s="312">
        <f ca="1">IF($B$4=0,OFFSET(StateModDepletions_BL!D$5,$AM86,0),IF($B$4=1,OFFSET(StateModDepletions_BLNoRes!D$5,$AM86,0)))</f>
        <v>82542.131469726563</v>
      </c>
      <c r="E86" s="312">
        <f ca="1">IF($B$4=0,OFFSET(StateModDepletions_BL!E$5,$AM86,0),IF($B$4=1,OFFSET(StateModDepletions_BLNoRes!E$5,$AM86,0)))</f>
        <v>2810.7051087617874</v>
      </c>
      <c r="F86" s="312">
        <f ca="1">IF($B$4=0,OFFSET(StateModDepletions_BL!F$5,$AM86,0),IF($B$4=1,OFFSET(StateModDepletions_BLNoRes!F$5,$AM86,0)))</f>
        <v>14606.617819294333</v>
      </c>
      <c r="G86" s="312">
        <f ca="1">IF($B$4=0,OFFSET(StateModDepletions_BL!G$5,$AM86,0),IF($B$4=1,OFFSET(StateModDepletions_BLNoRes!G$5,$AM86,0)))</f>
        <v>2036.5992698669434</v>
      </c>
      <c r="H86" s="312">
        <f ca="1">IF($B$4=0,OFFSET(StateModDepletions_BL!H$5,$AM86,0),IF($B$4=1,OFFSET(StateModDepletions_BLNoRes!H$5,$AM86,0)))</f>
        <v>2838.8627778291702</v>
      </c>
      <c r="I86" s="312">
        <f ca="1">IF($B$4=0,OFFSET(StateModDepletions_BL!I$5,$AM86,0),IF($B$4=1,OFFSET(StateModDepletions_BLNoRes!I$5,$AM86,0)))</f>
        <v>104151.95025357604</v>
      </c>
      <c r="J86" s="312">
        <f ca="1">IF($B$4=0,OFFSET(StateModDepletions_BL!J$5,$AM86,0),IF($B$4=1,OFFSET(StateModDepletions_BLNoRes!J$5,$AM86,0)))</f>
        <v>2676.7949578762054</v>
      </c>
      <c r="K86" s="312">
        <f ca="1">IF($B$4=0,OFFSET(StateModDepletions_BL!K$5,$AM86,0),IF($B$4=1,OFFSET(StateModDepletions_BLNoRes!K$5,$AM86,0)))</f>
        <v>19116.242594718933</v>
      </c>
      <c r="L86" s="312">
        <f ca="1">IF($B$4=0,OFFSET(StateModDepletions_BL!L$5,$AM86,0),IF($B$4=1,OFFSET(StateModDepletions_BLNoRes!L$5,$AM86,0)))</f>
        <v>17856.210318066172</v>
      </c>
      <c r="M86" s="312">
        <f ca="1">IF($B$4=0,OFFSET(StateModDepletions_BL!M$5,$AM86,0),IF($B$4=1,OFFSET(StateModDepletions_BLNoRes!M$5,$AM86,0)))</f>
        <v>1430.852249622345</v>
      </c>
      <c r="N86" s="312">
        <f ca="1">IF($B$4=0,OFFSET(StateModDepletions_BL!N$5,$AM86,0),IF($B$4=1,OFFSET(StateModDepletions_BLNoRes!N$5,$AM86,0)))</f>
        <v>1326.6977829933167</v>
      </c>
      <c r="O86" s="312">
        <f ca="1">IF($B$4=0,OFFSET(StateModDepletions_BL!O$5,$AM86,0),IF($B$4=1,OFFSET(StateModDepletions_BLNoRes!O$5,$AM86,0)))</f>
        <v>33340.714480748851</v>
      </c>
      <c r="P86" s="312">
        <f ca="1">IF($B$4=0,OFFSET(StateModDepletions_BL!P$5,$AM86,0),IF($B$4=1,OFFSET(StateModDepletions_BLNoRes!P$5,$AM86,0)))</f>
        <v>414.27928733825684</v>
      </c>
      <c r="Q86" s="312">
        <f ca="1">IF($B$4=0,OFFSET(StateModDepletions_BL!Q$5,$AM86,0),IF($B$4=1,OFFSET(StateModDepletions_BLNoRes!Q$5,$AM86,0)))</f>
        <v>14244.025078341365</v>
      </c>
      <c r="R86" s="312">
        <f ca="1">IF($B$4=0,OFFSET(StateModDepletions_BL!R$5,$AM86,0),IF($B$4=1,OFFSET(StateModDepletions_BLNoRes!R$5,$AM86,0)))</f>
        <v>598.83215999603271</v>
      </c>
      <c r="S86" s="312">
        <f ca="1">IF($B$4=0,OFFSET(StateModDepletions_BL!S$5,$AM86,0),IF($B$4=1,OFFSET(StateModDepletions_BLNoRes!S$5,$AM86,0)))</f>
        <v>0</v>
      </c>
      <c r="T86" s="312">
        <f ca="1">IF($B$4=0,OFFSET(StateModDepletions_BL!T$5,$AM86,0),IF($B$4=1,OFFSET(StateModDepletions_BLNoRes!T$5,$AM86,0)))</f>
        <v>15342.627130092011</v>
      </c>
      <c r="U86" s="312">
        <f ca="1">IF($B$4=0,OFFSET(StateModDepletions_BL!U$5,$AM86,0),IF($B$4=1,OFFSET(StateModDepletions_BLNoRes!U$5,$AM86,0)))</f>
        <v>1437.5162173243941</v>
      </c>
      <c r="V86" s="312">
        <f ca="1">IF($B$4=0,OFFSET(StateModDepletions_BL!V$5,$AM86,0),IF($B$4=1,OFFSET(StateModDepletions_BLNoRes!V$5,$AM86,0)))</f>
        <v>9852.8582468032837</v>
      </c>
      <c r="W86" s="312">
        <f ca="1">IF($B$4=0,OFFSET(StateModDepletions_BL!W$5,$AM86,0),IF($B$4=1,OFFSET(StateModDepletions_BLNoRes!W$5,$AM86,0)))</f>
        <v>141146.91952011333</v>
      </c>
      <c r="X86" s="312">
        <f ca="1">IF($B$4=0,OFFSET(StateModDepletions_BL!X$5,$AM86,0),IF($B$4=1,OFFSET(StateModDepletions_BLNoRes!X$5,$AM86,0)))</f>
        <v>5792.4695515632629</v>
      </c>
      <c r="Y86" s="312">
        <f ca="1">IF($B$4=0,OFFSET(StateModDepletions_BL!Y$5,$AM86,0),IF($B$4=1,OFFSET(StateModDepletions_BLNoRes!Y$5,$AM86,0)))</f>
        <v>212.11356273293495</v>
      </c>
      <c r="Z86" s="312">
        <f ca="1">IF($B$4=0,OFFSET(StateModDepletions_BL!Z$5,$AM86,0),IF($B$4=1,OFFSET(StateModDepletions_BLNoRes!Z$5,$AM86,0)))</f>
        <v>232946.2184753418</v>
      </c>
      <c r="AA86" s="313">
        <f ca="1">IF($B$4=0,OFFSET(StateModDepletions_BL!AA$5,$AM86,0),IF($B$4=1,OFFSET(StateModDepletions_BLNoRes!AA$5,$AM86,0)))</f>
        <v>85794.715840932273</v>
      </c>
      <c r="AB86" s="314">
        <f ca="1">IF($B$4=0,OFFSET(StateModDepletions_BL!AB$5,$AM86,0),IF($B$4=1,OFFSET(StateModDepletions_BLNoRes!AB$5,$AM86,0)))</f>
        <v>24765.810481309891</v>
      </c>
      <c r="AC86" s="314">
        <f ca="1">IF($B$4=0,OFFSET(StateModDepletions_BL!AC$5,$AM86,0),IF($B$4=1,OFFSET(StateModDepletions_BLNoRes!AC$5,$AM86,0)))</f>
        <v>31751.941636323929</v>
      </c>
      <c r="AD86" s="314">
        <f ca="1">IF($B$4=0,OFFSET(StateModDepletions_BL!AD$5,$AM86,0),IF($B$4=1,OFFSET(StateModDepletions_BLNoRes!AD$5,$AM86,0)))</f>
        <v>16643.217089161277</v>
      </c>
      <c r="AE86" s="314">
        <f ca="1">IF($B$4=0,OFFSET(StateModDepletions_BL!AE$5,$AM86,0),IF($B$4=1,OFFSET(StateModDepletions_BLNoRes!AE$5,$AM86,0)))</f>
        <v>106828.74521145225</v>
      </c>
      <c r="AF86" s="314">
        <f ca="1">IF($B$4=0,OFFSET(StateModDepletions_BL!AF$5,$AM86,0),IF($B$4=1,OFFSET(StateModDepletions_BLNoRes!AF$5,$AM86,0)))</f>
        <v>19287.062567688517</v>
      </c>
      <c r="AG86" s="314">
        <f ca="1">IF($B$4=0,OFFSET(StateModDepletions_BL!AG$5,$AM86,0),IF($B$4=1,OFFSET(StateModDepletions_BLNoRes!AG$5,$AM86,0)))</f>
        <v>33754.993768087108</v>
      </c>
      <c r="AH86" s="314">
        <f ca="1">IF($B$4=0,OFFSET(StateModDepletions_BL!AH$5,$AM86,0),IF($B$4=1,OFFSET(StateModDepletions_BLNoRes!AH$5,$AM86,0)))</f>
        <v>14842.857238337398</v>
      </c>
      <c r="AI86" s="314">
        <f ca="1">IF($B$4=0,OFFSET(StateModDepletions_BL!AI$5,$AM86,0),IF($B$4=1,OFFSET(StateModDepletions_BLNoRes!AI$5,$AM86,0)))</f>
        <v>16780.143347416404</v>
      </c>
      <c r="AJ86" s="315">
        <f ca="1">IF($B$4=0,OFFSET(StateModDepletions_BL!AJ$5,$AM86,0),IF($B$4=1,OFFSET(StateModDepletions_BLNoRes!AJ$5,$AM86,0)))</f>
        <v>146939.38907167659</v>
      </c>
      <c r="AK86" s="519">
        <f t="shared" si="8"/>
        <v>81</v>
      </c>
      <c r="AL86" s="519">
        <f t="shared" si="9"/>
        <v>2009</v>
      </c>
      <c r="AM86" s="519">
        <f>MATCH($AL86,StateModDepletions_BL!$A$6:$A$90,0)</f>
        <v>81</v>
      </c>
    </row>
    <row r="87" spans="1:39" x14ac:dyDescent="0.25">
      <c r="A87" s="519">
        <f t="shared" si="7"/>
        <v>2010</v>
      </c>
      <c r="B87" s="311">
        <f ca="1">IF($B$4=0,OFFSET(StateModDepletions_BL!B$5,$AM87,0),IF($B$4=1,OFFSET(StateModDepletions_BLNoRes!B$5,$AM87,0)))</f>
        <v>32922.027227371931</v>
      </c>
      <c r="C87" s="312">
        <f ca="1">IF($B$4=0,OFFSET(StateModDepletions_BL!C$5,$AM87,0),IF($B$4=1,OFFSET(StateModDepletions_BLNoRes!C$5,$AM87,0)))</f>
        <v>1026.0025346279144</v>
      </c>
      <c r="D87" s="312">
        <f ca="1">IF($B$4=0,OFFSET(StateModDepletions_BL!D$5,$AM87,0),IF($B$4=1,OFFSET(StateModDepletions_BLNoRes!D$5,$AM87,0)))</f>
        <v>83031.094848632813</v>
      </c>
      <c r="E87" s="312">
        <f ca="1">IF($B$4=0,OFFSET(StateModDepletions_BL!E$5,$AM87,0),IF($B$4=1,OFFSET(StateModDepletions_BLNoRes!E$5,$AM87,0)))</f>
        <v>2810.7051087617874</v>
      </c>
      <c r="F87" s="312">
        <f ca="1">IF($B$4=0,OFFSET(StateModDepletions_BL!F$5,$AM87,0),IF($B$4=1,OFFSET(StateModDepletions_BLNoRes!F$5,$AM87,0)))</f>
        <v>15864.970588542521</v>
      </c>
      <c r="G87" s="312">
        <f ca="1">IF($B$4=0,OFFSET(StateModDepletions_BL!G$5,$AM87,0),IF($B$4=1,OFFSET(StateModDepletions_BLNoRes!G$5,$AM87,0)))</f>
        <v>2036.5992698669434</v>
      </c>
      <c r="H87" s="312">
        <f ca="1">IF($B$4=0,OFFSET(StateModDepletions_BL!H$5,$AM87,0),IF($B$4=1,OFFSET(StateModDepletions_BLNoRes!H$5,$AM87,0)))</f>
        <v>2838.8627778291702</v>
      </c>
      <c r="I87" s="312">
        <f ca="1">IF($B$4=0,OFFSET(StateModDepletions_BL!I$5,$AM87,0),IF($B$4=1,OFFSET(StateModDepletions_BLNoRes!I$5,$AM87,0)))</f>
        <v>105237.50898635387</v>
      </c>
      <c r="J87" s="312">
        <f ca="1">IF($B$4=0,OFFSET(StateModDepletions_BL!J$5,$AM87,0),IF($B$4=1,OFFSET(StateModDepletions_BLNoRes!J$5,$AM87,0)))</f>
        <v>2549.103954076767</v>
      </c>
      <c r="K87" s="312">
        <f ca="1">IF($B$4=0,OFFSET(StateModDepletions_BL!K$5,$AM87,0),IF($B$4=1,OFFSET(StateModDepletions_BLNoRes!K$5,$AM87,0)))</f>
        <v>19116.242594718933</v>
      </c>
      <c r="L87" s="312">
        <f ca="1">IF($B$4=0,OFFSET(StateModDepletions_BL!L$5,$AM87,0),IF($B$4=1,OFFSET(StateModDepletions_BLNoRes!L$5,$AM87,0)))</f>
        <v>17677.722465068098</v>
      </c>
      <c r="M87" s="312">
        <f ca="1">IF($B$4=0,OFFSET(StateModDepletions_BL!M$5,$AM87,0),IF($B$4=1,OFFSET(StateModDepletions_BLNoRes!M$5,$AM87,0)))</f>
        <v>1407.6486639976501</v>
      </c>
      <c r="N87" s="312">
        <f ca="1">IF($B$4=0,OFFSET(StateModDepletions_BL!N$5,$AM87,0),IF($B$4=1,OFFSET(StateModDepletions_BLNoRes!N$5,$AM87,0)))</f>
        <v>1326.6977829933167</v>
      </c>
      <c r="O87" s="312">
        <f ca="1">IF($B$4=0,OFFSET(StateModDepletions_BL!O$5,$AM87,0),IF($B$4=1,OFFSET(StateModDepletions_BLNoRes!O$5,$AM87,0)))</f>
        <v>32988.825517414589</v>
      </c>
      <c r="P87" s="312">
        <f ca="1">IF($B$4=0,OFFSET(StateModDepletions_BL!P$5,$AM87,0),IF($B$4=1,OFFSET(StateModDepletions_BLNoRes!P$5,$AM87,0)))</f>
        <v>334.8253014087677</v>
      </c>
      <c r="Q87" s="312">
        <f ca="1">IF($B$4=0,OFFSET(StateModDepletions_BL!Q$5,$AM87,0),IF($B$4=1,OFFSET(StateModDepletions_BLNoRes!Q$5,$AM87,0)))</f>
        <v>14464.764993004501</v>
      </c>
      <c r="R87" s="312">
        <f ca="1">IF($B$4=0,OFFSET(StateModDepletions_BL!R$5,$AM87,0),IF($B$4=1,OFFSET(StateModDepletions_BLNoRes!R$5,$AM87,0)))</f>
        <v>598.83215999603271</v>
      </c>
      <c r="S87" s="312">
        <f ca="1">IF($B$4=0,OFFSET(StateModDepletions_BL!S$5,$AM87,0),IF($B$4=1,OFFSET(StateModDepletions_BLNoRes!S$5,$AM87,0)))</f>
        <v>0</v>
      </c>
      <c r="T87" s="312">
        <f ca="1">IF($B$4=0,OFFSET(StateModDepletions_BL!T$5,$AM87,0),IF($B$4=1,OFFSET(StateModDepletions_BLNoRes!T$5,$AM87,0)))</f>
        <v>13431.890377626643</v>
      </c>
      <c r="U87" s="312">
        <f ca="1">IF($B$4=0,OFFSET(StateModDepletions_BL!U$5,$AM87,0),IF($B$4=1,OFFSET(StateModDepletions_BLNoRes!U$5,$AM87,0)))</f>
        <v>1427.2409411970925</v>
      </c>
      <c r="V87" s="312">
        <f ca="1">IF($B$4=0,OFFSET(StateModDepletions_BL!V$5,$AM87,0),IF($B$4=1,OFFSET(StateModDepletions_BLNoRes!V$5,$AM87,0)))</f>
        <v>11599.043879508972</v>
      </c>
      <c r="W87" s="312">
        <f ca="1">IF($B$4=0,OFFSET(StateModDepletions_BL!W$5,$AM87,0),IF($B$4=1,OFFSET(StateModDepletions_BLNoRes!W$5,$AM87,0)))</f>
        <v>135488.68313140766</v>
      </c>
      <c r="X87" s="312">
        <f ca="1">IF($B$4=0,OFFSET(StateModDepletions_BL!X$5,$AM87,0),IF($B$4=1,OFFSET(StateModDepletions_BLNoRes!X$5,$AM87,0)))</f>
        <v>5836.8219375610352</v>
      </c>
      <c r="Y87" s="312">
        <f ca="1">IF($B$4=0,OFFSET(StateModDepletions_BL!Y$5,$AM87,0),IF($B$4=1,OFFSET(StateModDepletions_BLNoRes!Y$5,$AM87,0)))</f>
        <v>212.11356273293495</v>
      </c>
      <c r="Z87" s="312">
        <f ca="1">IF($B$4=0,OFFSET(StateModDepletions_BL!Z$5,$AM87,0),IF($B$4=1,OFFSET(StateModDepletions_BLNoRes!Z$5,$AM87,0)))</f>
        <v>240864.36229419708</v>
      </c>
      <c r="AA87" s="313">
        <f ca="1">IF($B$4=0,OFFSET(StateModDepletions_BL!AA$5,$AM87,0),IF($B$4=1,OFFSET(StateModDepletions_BLNoRes!AA$5,$AM87,0)))</f>
        <v>99326.743662495457</v>
      </c>
      <c r="AB87" s="314">
        <f ca="1">IF($B$4=0,OFFSET(StateModDepletions_BL!AB$5,$AM87,0),IF($B$4=1,OFFSET(StateModDepletions_BLNoRes!AB$5,$AM87,0)))</f>
        <v>24765.810481309891</v>
      </c>
      <c r="AC87" s="314">
        <f ca="1">IF($B$4=0,OFFSET(StateModDepletions_BL!AC$5,$AM87,0),IF($B$4=1,OFFSET(StateModDepletions_BLNoRes!AC$5,$AM87,0)))</f>
        <v>33948.029761999846</v>
      </c>
      <c r="AD87" s="314">
        <f ca="1">IF($B$4=0,OFFSET(StateModDepletions_BL!AD$5,$AM87,0),IF($B$4=1,OFFSET(StateModDepletions_BLNoRes!AD$5,$AM87,0)))</f>
        <v>17901.569858409464</v>
      </c>
      <c r="AE87" s="314">
        <f ca="1">IF($B$4=0,OFFSET(StateModDepletions_BL!AE$5,$AM87,0),IF($B$4=1,OFFSET(StateModDepletions_BLNoRes!AE$5,$AM87,0)))</f>
        <v>107786.61294043064</v>
      </c>
      <c r="AF87" s="314">
        <f ca="1">IF($B$4=0,OFFSET(StateModDepletions_BL!AF$5,$AM87,0),IF($B$4=1,OFFSET(StateModDepletions_BLNoRes!AF$5,$AM87,0)))</f>
        <v>19085.371129065748</v>
      </c>
      <c r="AG87" s="314">
        <f ca="1">IF($B$4=0,OFFSET(StateModDepletions_BL!AG$5,$AM87,0),IF($B$4=1,OFFSET(StateModDepletions_BLNoRes!AG$5,$AM87,0)))</f>
        <v>33323.650818823357</v>
      </c>
      <c r="AH87" s="314">
        <f ca="1">IF($B$4=0,OFFSET(StateModDepletions_BL!AH$5,$AM87,0),IF($B$4=1,OFFSET(StateModDepletions_BLNoRes!AH$5,$AM87,0)))</f>
        <v>15063.597153000534</v>
      </c>
      <c r="AI87" s="314">
        <f ca="1">IF($B$4=0,OFFSET(StateModDepletions_BL!AI$5,$AM87,0),IF($B$4=1,OFFSET(StateModDepletions_BLNoRes!AI$5,$AM87,0)))</f>
        <v>14859.131318823736</v>
      </c>
      <c r="AJ87" s="315">
        <f ca="1">IF($B$4=0,OFFSET(StateModDepletions_BL!AJ$5,$AM87,0),IF($B$4=1,OFFSET(StateModDepletions_BLNoRes!AJ$5,$AM87,0)))</f>
        <v>141325.50506896869</v>
      </c>
      <c r="AK87" s="519">
        <f t="shared" si="8"/>
        <v>82</v>
      </c>
      <c r="AL87" s="519">
        <f t="shared" si="9"/>
        <v>2010</v>
      </c>
      <c r="AM87" s="519">
        <f>MATCH($AL87,StateModDepletions_BL!$A$6:$A$90,0)</f>
        <v>82</v>
      </c>
    </row>
    <row r="88" spans="1:39" x14ac:dyDescent="0.25">
      <c r="A88" s="519">
        <f t="shared" si="7"/>
        <v>2011</v>
      </c>
      <c r="B88" s="311">
        <f ca="1">IF($B$4=0,OFFSET(StateModDepletions_BL!B$5,$AM88,0),IF($B$4=1,OFFSET(StateModDepletions_BLNoRes!B$5,$AM88,0)))</f>
        <v>31788.936209842563</v>
      </c>
      <c r="C88" s="312">
        <f ca="1">IF($B$4=0,OFFSET(StateModDepletions_BL!C$5,$AM88,0),IF($B$4=1,OFFSET(StateModDepletions_BLNoRes!C$5,$AM88,0)))</f>
        <v>1026.0025346279144</v>
      </c>
      <c r="D88" s="312">
        <f ca="1">IF($B$4=0,OFFSET(StateModDepletions_BL!D$5,$AM88,0),IF($B$4=1,OFFSET(StateModDepletions_BLNoRes!D$5,$AM88,0)))</f>
        <v>76828.638427734375</v>
      </c>
      <c r="E88" s="312">
        <f ca="1">IF($B$4=0,OFFSET(StateModDepletions_BL!E$5,$AM88,0),IF($B$4=1,OFFSET(StateModDepletions_BLNoRes!E$5,$AM88,0)))</f>
        <v>2810.7051087617874</v>
      </c>
      <c r="F88" s="312">
        <f ca="1">IF($B$4=0,OFFSET(StateModDepletions_BL!F$5,$AM88,0),IF($B$4=1,OFFSET(StateModDepletions_BLNoRes!F$5,$AM88,0)))</f>
        <v>15198.787290260196</v>
      </c>
      <c r="G88" s="312">
        <f ca="1">IF($B$4=0,OFFSET(StateModDepletions_BL!G$5,$AM88,0),IF($B$4=1,OFFSET(StateModDepletions_BLNoRes!G$5,$AM88,0)))</f>
        <v>2036.5992698669434</v>
      </c>
      <c r="H88" s="312">
        <f ca="1">IF($B$4=0,OFFSET(StateModDepletions_BL!H$5,$AM88,0),IF($B$4=1,OFFSET(StateModDepletions_BLNoRes!H$5,$AM88,0)))</f>
        <v>2838.8627778291702</v>
      </c>
      <c r="I88" s="312">
        <f ca="1">IF($B$4=0,OFFSET(StateModDepletions_BL!I$5,$AM88,0),IF($B$4=1,OFFSET(StateModDepletions_BLNoRes!I$5,$AM88,0)))</f>
        <v>102476.07337450981</v>
      </c>
      <c r="J88" s="312">
        <f ca="1">IF($B$4=0,OFFSET(StateModDepletions_BL!J$5,$AM88,0),IF($B$4=1,OFFSET(StateModDepletions_BLNoRes!J$5,$AM88,0)))</f>
        <v>2489.4617002010345</v>
      </c>
      <c r="K88" s="312">
        <f ca="1">IF($B$4=0,OFFSET(StateModDepletions_BL!K$5,$AM88,0),IF($B$4=1,OFFSET(StateModDepletions_BLNoRes!K$5,$AM88,0)))</f>
        <v>19116.242594718933</v>
      </c>
      <c r="L88" s="312">
        <f ca="1">IF($B$4=0,OFFSET(StateModDepletions_BL!L$5,$AM88,0),IF($B$4=1,OFFSET(StateModDepletions_BLNoRes!L$5,$AM88,0)))</f>
        <v>18195.077438250177</v>
      </c>
      <c r="M88" s="312">
        <f ca="1">IF($B$4=0,OFFSET(StateModDepletions_BL!M$5,$AM88,0),IF($B$4=1,OFFSET(StateModDepletions_BLNoRes!M$5,$AM88,0)))</f>
        <v>1374.6366958618164</v>
      </c>
      <c r="N88" s="312">
        <f ca="1">IF($B$4=0,OFFSET(StateModDepletions_BL!N$5,$AM88,0),IF($B$4=1,OFFSET(StateModDepletions_BLNoRes!N$5,$AM88,0)))</f>
        <v>1326.6977829933167</v>
      </c>
      <c r="O88" s="312">
        <f ca="1">IF($B$4=0,OFFSET(StateModDepletions_BL!O$5,$AM88,0),IF($B$4=1,OFFSET(StateModDepletions_BLNoRes!O$5,$AM88,0)))</f>
        <v>35772.40253317215</v>
      </c>
      <c r="P88" s="312">
        <f ca="1">IF($B$4=0,OFFSET(StateModDepletions_BL!P$5,$AM88,0),IF($B$4=1,OFFSET(StateModDepletions_BLNoRes!P$5,$AM88,0)))</f>
        <v>357.85462975502014</v>
      </c>
      <c r="Q88" s="312">
        <f ca="1">IF($B$4=0,OFFSET(StateModDepletions_BL!Q$5,$AM88,0),IF($B$4=1,OFFSET(StateModDepletions_BLNoRes!Q$5,$AM88,0)))</f>
        <v>14833.825332716107</v>
      </c>
      <c r="R88" s="312">
        <f ca="1">IF($B$4=0,OFFSET(StateModDepletions_BL!R$5,$AM88,0),IF($B$4=1,OFFSET(StateModDepletions_BLNoRes!R$5,$AM88,0)))</f>
        <v>598.83215999603271</v>
      </c>
      <c r="S88" s="312">
        <f ca="1">IF($B$4=0,OFFSET(StateModDepletions_BL!S$5,$AM88,0),IF($B$4=1,OFFSET(StateModDepletions_BLNoRes!S$5,$AM88,0)))</f>
        <v>0</v>
      </c>
      <c r="T88" s="312">
        <f ca="1">IF($B$4=0,OFFSET(StateModDepletions_BL!T$5,$AM88,0),IF($B$4=1,OFFSET(StateModDepletions_BLNoRes!T$5,$AM88,0)))</f>
        <v>16870.378133347258</v>
      </c>
      <c r="U88" s="312">
        <f ca="1">IF($B$4=0,OFFSET(StateModDepletions_BL!U$5,$AM88,0),IF($B$4=1,OFFSET(StateModDepletions_BLNoRes!U$5,$AM88,0)))</f>
        <v>1441.3265880942345</v>
      </c>
      <c r="V88" s="312">
        <f ca="1">IF($B$4=0,OFFSET(StateModDepletions_BL!V$5,$AM88,0),IF($B$4=1,OFFSET(StateModDepletions_BLNoRes!V$5,$AM88,0)))</f>
        <v>11748.038029670715</v>
      </c>
      <c r="W88" s="312">
        <f ca="1">IF($B$4=0,OFFSET(StateModDepletions_BL!W$5,$AM88,0),IF($B$4=1,OFFSET(StateModDepletions_BLNoRes!W$5,$AM88,0)))</f>
        <v>139863.51174702094</v>
      </c>
      <c r="X88" s="312">
        <f ca="1">IF($B$4=0,OFFSET(StateModDepletions_BL!X$5,$AM88,0),IF($B$4=1,OFFSET(StateModDepletions_BLNoRes!X$5,$AM88,0)))</f>
        <v>5515.8249931335449</v>
      </c>
      <c r="Y88" s="312">
        <f ca="1">IF($B$4=0,OFFSET(StateModDepletions_BL!Y$5,$AM88,0),IF($B$4=1,OFFSET(StateModDepletions_BLNoRes!Y$5,$AM88,0)))</f>
        <v>212.11356273293495</v>
      </c>
      <c r="Z88" s="312">
        <f ca="1">IF($B$4=0,OFFSET(StateModDepletions_BL!Z$5,$AM88,0),IF($B$4=1,OFFSET(StateModDepletions_BLNoRes!Z$5,$AM88,0)))</f>
        <v>237612.81143569946</v>
      </c>
      <c r="AA88" s="313">
        <f ca="1">IF($B$4=0,OFFSET(StateModDepletions_BL!AA$5,$AM88,0),IF($B$4=1,OFFSET(StateModDepletions_BLNoRes!AA$5,$AM88,0)))</f>
        <v>92021.361132812046</v>
      </c>
      <c r="AB88" s="314">
        <f ca="1">IF($B$4=0,OFFSET(StateModDepletions_BL!AB$5,$AM88,0),IF($B$4=1,OFFSET(StateModDepletions_BLNoRes!AB$5,$AM88,0)))</f>
        <v>24765.810481309891</v>
      </c>
      <c r="AC88" s="314">
        <f ca="1">IF($B$4=0,OFFSET(StateModDepletions_BL!AC$5,$AM88,0),IF($B$4=1,OFFSET(StateModDepletions_BLNoRes!AC$5,$AM88,0)))</f>
        <v>32814.938744470477</v>
      </c>
      <c r="AD88" s="314">
        <f ca="1">IF($B$4=0,OFFSET(StateModDepletions_BL!AD$5,$AM88,0),IF($B$4=1,OFFSET(StateModDepletions_BLNoRes!AD$5,$AM88,0)))</f>
        <v>17235.386560127139</v>
      </c>
      <c r="AE88" s="314">
        <f ca="1">IF($B$4=0,OFFSET(StateModDepletions_BL!AE$5,$AM88,0),IF($B$4=1,OFFSET(StateModDepletions_BLNoRes!AE$5,$AM88,0)))</f>
        <v>104965.53507471085</v>
      </c>
      <c r="AF88" s="314">
        <f ca="1">IF($B$4=0,OFFSET(StateModDepletions_BL!AF$5,$AM88,0),IF($B$4=1,OFFSET(StateModDepletions_BLNoRes!AF$5,$AM88,0)))</f>
        <v>19569.714134111993</v>
      </c>
      <c r="AG88" s="314">
        <f ca="1">IF($B$4=0,OFFSET(StateModDepletions_BL!AG$5,$AM88,0),IF($B$4=1,OFFSET(StateModDepletions_BLNoRes!AG$5,$AM88,0)))</f>
        <v>36130.25716292717</v>
      </c>
      <c r="AH88" s="314">
        <f ca="1">IF($B$4=0,OFFSET(StateModDepletions_BL!AH$5,$AM88,0),IF($B$4=1,OFFSET(StateModDepletions_BLNoRes!AH$5,$AM88,0)))</f>
        <v>15432.65749271214</v>
      </c>
      <c r="AI88" s="314">
        <f ca="1">IF($B$4=0,OFFSET(StateModDepletions_BL!AI$5,$AM88,0),IF($B$4=1,OFFSET(StateModDepletions_BLNoRes!AI$5,$AM88,0)))</f>
        <v>18311.704721441492</v>
      </c>
      <c r="AJ88" s="315">
        <f ca="1">IF($B$4=0,OFFSET(StateModDepletions_BL!AJ$5,$AM88,0),IF($B$4=1,OFFSET(StateModDepletions_BLNoRes!AJ$5,$AM88,0)))</f>
        <v>145379.33674015448</v>
      </c>
      <c r="AK88" s="519">
        <f t="shared" si="8"/>
        <v>83</v>
      </c>
      <c r="AL88" s="519">
        <f t="shared" si="9"/>
        <v>2011</v>
      </c>
      <c r="AM88" s="519">
        <f>MATCH($AL88,StateModDepletions_BL!$A$6:$A$90,0)</f>
        <v>83</v>
      </c>
    </row>
    <row r="89" spans="1:39" x14ac:dyDescent="0.25">
      <c r="A89" s="519">
        <f t="shared" si="7"/>
        <v>2012</v>
      </c>
      <c r="B89" s="311">
        <f ca="1">IF($B$4=0,OFFSET(StateModDepletions_BL!B$5,$AM89,0),IF($B$4=1,OFFSET(StateModDepletions_BLNoRes!B$5,$AM89,0)))</f>
        <v>29802.803409129381</v>
      </c>
      <c r="C89" s="312">
        <f ca="1">IF($B$4=0,OFFSET(StateModDepletions_BL!C$5,$AM89,0),IF($B$4=1,OFFSET(StateModDepletions_BLNoRes!C$5,$AM89,0)))</f>
        <v>1026.0025346279144</v>
      </c>
      <c r="D89" s="312">
        <f ca="1">IF($B$4=0,OFFSET(StateModDepletions_BL!D$5,$AM89,0),IF($B$4=1,OFFSET(StateModDepletions_BLNoRes!D$5,$AM89,0)))</f>
        <v>39591.030895233154</v>
      </c>
      <c r="E89" s="312">
        <f ca="1">IF($B$4=0,OFFSET(StateModDepletions_BL!E$5,$AM89,0),IF($B$4=1,OFFSET(StateModDepletions_BLNoRes!E$5,$AM89,0)))</f>
        <v>2810.7051087617874</v>
      </c>
      <c r="F89" s="312">
        <f ca="1">IF($B$4=0,OFFSET(StateModDepletions_BL!F$5,$AM89,0),IF($B$4=1,OFFSET(StateModDepletions_BLNoRes!F$5,$AM89,0)))</f>
        <v>14775.95776630193</v>
      </c>
      <c r="G89" s="312">
        <f ca="1">IF($B$4=0,OFFSET(StateModDepletions_BL!G$5,$AM89,0),IF($B$4=1,OFFSET(StateModDepletions_BLNoRes!G$5,$AM89,0)))</f>
        <v>2036.5992698669434</v>
      </c>
      <c r="H89" s="312">
        <f ca="1">IF($B$4=0,OFFSET(StateModDepletions_BL!H$5,$AM89,0),IF($B$4=1,OFFSET(StateModDepletions_BLNoRes!H$5,$AM89,0)))</f>
        <v>2838.8627778291702</v>
      </c>
      <c r="I89" s="312">
        <f ca="1">IF($B$4=0,OFFSET(StateModDepletions_BL!I$5,$AM89,0),IF($B$4=1,OFFSET(StateModDepletions_BLNoRes!I$5,$AM89,0)))</f>
        <v>74807.262236252427</v>
      </c>
      <c r="J89" s="312">
        <f ca="1">IF($B$4=0,OFFSET(StateModDepletions_BL!J$5,$AM89,0),IF($B$4=1,OFFSET(StateModDepletions_BLNoRes!J$5,$AM89,0)))</f>
        <v>1317.3781144618988</v>
      </c>
      <c r="K89" s="312">
        <f ca="1">IF($B$4=0,OFFSET(StateModDepletions_BL!K$5,$AM89,0),IF($B$4=1,OFFSET(StateModDepletions_BLNoRes!K$5,$AM89,0)))</f>
        <v>19116.242594718933</v>
      </c>
      <c r="L89" s="312">
        <f ca="1">IF($B$4=0,OFFSET(StateModDepletions_BL!L$5,$AM89,0),IF($B$4=1,OFFSET(StateModDepletions_BLNoRes!L$5,$AM89,0)))</f>
        <v>20057.488544762131</v>
      </c>
      <c r="M89" s="312">
        <f ca="1">IF($B$4=0,OFFSET(StateModDepletions_BL!M$5,$AM89,0),IF($B$4=1,OFFSET(StateModDepletions_BLNoRes!M$5,$AM89,0)))</f>
        <v>1425.6986212730408</v>
      </c>
      <c r="N89" s="312">
        <f ca="1">IF($B$4=0,OFFSET(StateModDepletions_BL!N$5,$AM89,0),IF($B$4=1,OFFSET(StateModDepletions_BLNoRes!N$5,$AM89,0)))</f>
        <v>1326.6977829933167</v>
      </c>
      <c r="O89" s="312">
        <f ca="1">IF($B$4=0,OFFSET(StateModDepletions_BL!O$5,$AM89,0),IF($B$4=1,OFFSET(StateModDepletions_BLNoRes!O$5,$AM89,0)))</f>
        <v>26551.651283881143</v>
      </c>
      <c r="P89" s="312">
        <f ca="1">IF($B$4=0,OFFSET(StateModDepletions_BL!P$5,$AM89,0),IF($B$4=1,OFFSET(StateModDepletions_BLNoRes!P$5,$AM89,0)))</f>
        <v>368.27211546897888</v>
      </c>
      <c r="Q89" s="312">
        <f ca="1">IF($B$4=0,OFFSET(StateModDepletions_BL!Q$5,$AM89,0),IF($B$4=1,OFFSET(StateModDepletions_BLNoRes!Q$5,$AM89,0)))</f>
        <v>9270.8409530669451</v>
      </c>
      <c r="R89" s="312">
        <f ca="1">IF($B$4=0,OFFSET(StateModDepletions_BL!R$5,$AM89,0),IF($B$4=1,OFFSET(StateModDepletions_BLNoRes!R$5,$AM89,0)))</f>
        <v>598.83215999603271</v>
      </c>
      <c r="S89" s="312">
        <f ca="1">IF($B$4=0,OFFSET(StateModDepletions_BL!S$5,$AM89,0),IF($B$4=1,OFFSET(StateModDepletions_BLNoRes!S$5,$AM89,0)))</f>
        <v>0</v>
      </c>
      <c r="T89" s="312">
        <f ca="1">IF($B$4=0,OFFSET(StateModDepletions_BL!T$5,$AM89,0),IF($B$4=1,OFFSET(StateModDepletions_BLNoRes!T$5,$AM89,0)))</f>
        <v>9886.5920780443412</v>
      </c>
      <c r="U89" s="312">
        <f ca="1">IF($B$4=0,OFFSET(StateModDepletions_BL!U$5,$AM89,0),IF($B$4=1,OFFSET(StateModDepletions_BLNoRes!U$5,$AM89,0)))</f>
        <v>1424.933252583809</v>
      </c>
      <c r="V89" s="312">
        <f ca="1">IF($B$4=0,OFFSET(StateModDepletions_BL!V$5,$AM89,0),IF($B$4=1,OFFSET(StateModDepletions_BLNoRes!V$5,$AM89,0)))</f>
        <v>5659.1552724838257</v>
      </c>
      <c r="W89" s="312">
        <f ca="1">IF($B$4=0,OFFSET(StateModDepletions_BL!W$5,$AM89,0),IF($B$4=1,OFFSET(StateModDepletions_BLNoRes!W$5,$AM89,0)))</f>
        <v>144545.17189729557</v>
      </c>
      <c r="X89" s="312">
        <f ca="1">IF($B$4=0,OFFSET(StateModDepletions_BL!X$5,$AM89,0),IF($B$4=1,OFFSET(StateModDepletions_BLNoRes!X$5,$AM89,0)))</f>
        <v>5023.9206251949072</v>
      </c>
      <c r="Y89" s="312">
        <f ca="1">IF($B$4=0,OFFSET(StateModDepletions_BL!Y$5,$AM89,0),IF($B$4=1,OFFSET(StateModDepletions_BLNoRes!Y$5,$AM89,0)))</f>
        <v>212.11356273293495</v>
      </c>
      <c r="Z89" s="312">
        <f ca="1">IF($B$4=0,OFFSET(StateModDepletions_BL!Z$5,$AM89,0),IF($B$4=1,OFFSET(StateModDepletions_BLNoRes!Z$5,$AM89,0)))</f>
        <v>205520.30726623535</v>
      </c>
      <c r="AA89" s="313">
        <f ca="1">IF($B$4=0,OFFSET(StateModDepletions_BL!AA$5,$AM89,0),IF($B$4=1,OFFSET(StateModDepletions_BLNoRes!AA$5,$AM89,0)))</f>
        <v>55739.101181011938</v>
      </c>
      <c r="AB89" s="314">
        <f ca="1">IF($B$4=0,OFFSET(StateModDepletions_BL!AB$5,$AM89,0),IF($B$4=1,OFFSET(StateModDepletions_BLNoRes!AB$5,$AM89,0)))</f>
        <v>24765.810481309891</v>
      </c>
      <c r="AC89" s="314">
        <f ca="1">IF($B$4=0,OFFSET(StateModDepletions_BL!AC$5,$AM89,0),IF($B$4=1,OFFSET(StateModDepletions_BLNoRes!AC$5,$AM89,0)))</f>
        <v>30828.805943757296</v>
      </c>
      <c r="AD89" s="314">
        <f ca="1">IF($B$4=0,OFFSET(StateModDepletions_BL!AD$5,$AM89,0),IF($B$4=1,OFFSET(StateModDepletions_BLNoRes!AD$5,$AM89,0)))</f>
        <v>16812.557036168873</v>
      </c>
      <c r="AE89" s="314">
        <f ca="1">IF($B$4=0,OFFSET(StateModDepletions_BL!AE$5,$AM89,0),IF($B$4=1,OFFSET(StateModDepletions_BLNoRes!AE$5,$AM89,0)))</f>
        <v>76124.640350714326</v>
      </c>
      <c r="AF89" s="314">
        <f ca="1">IF($B$4=0,OFFSET(StateModDepletions_BL!AF$5,$AM89,0),IF($B$4=1,OFFSET(StateModDepletions_BLNoRes!AF$5,$AM89,0)))</f>
        <v>21483.187166035172</v>
      </c>
      <c r="AG89" s="314">
        <f ca="1">IF($B$4=0,OFFSET(StateModDepletions_BL!AG$5,$AM89,0),IF($B$4=1,OFFSET(StateModDepletions_BLNoRes!AG$5,$AM89,0)))</f>
        <v>26919.923399350122</v>
      </c>
      <c r="AH89" s="314">
        <f ca="1">IF($B$4=0,OFFSET(StateModDepletions_BL!AH$5,$AM89,0),IF($B$4=1,OFFSET(StateModDepletions_BLNoRes!AH$5,$AM89,0)))</f>
        <v>9869.6731130629778</v>
      </c>
      <c r="AI89" s="314">
        <f ca="1">IF($B$4=0,OFFSET(StateModDepletions_BL!AI$5,$AM89,0),IF($B$4=1,OFFSET(StateModDepletions_BLNoRes!AI$5,$AM89,0)))</f>
        <v>11311.52533062815</v>
      </c>
      <c r="AJ89" s="315">
        <f ca="1">IF($B$4=0,OFFSET(StateModDepletions_BL!AJ$5,$AM89,0),IF($B$4=1,OFFSET(StateModDepletions_BLNoRes!AJ$5,$AM89,0)))</f>
        <v>149569.09252249048</v>
      </c>
      <c r="AK89" s="519">
        <f t="shared" si="8"/>
        <v>84</v>
      </c>
      <c r="AL89" s="519">
        <f t="shared" si="9"/>
        <v>2012</v>
      </c>
      <c r="AM89" s="519">
        <f>MATCH($AL89,StateModDepletions_BL!$A$6:$A$90,0)</f>
        <v>84</v>
      </c>
    </row>
    <row r="90" spans="1:39" x14ac:dyDescent="0.25">
      <c r="A90" s="519">
        <f t="shared" ref="A90:A97" si="10">$AL90</f>
        <v>2013</v>
      </c>
      <c r="B90" s="311">
        <f ca="1">IF($B$4=0,OFFSET(StateModDepletions_BL!B$5,$AM90,0),IF($B$4=1,OFFSET(StateModDepletions_BLNoRes!B$5,$AM90,0)))</f>
        <v>0</v>
      </c>
      <c r="C90" s="312">
        <f ca="1">IF($B$4=0,OFFSET(StateModDepletions_BL!C$5,$AM90,0),IF($B$4=1,OFFSET(StateModDepletions_BLNoRes!C$5,$AM90,0)))</f>
        <v>0</v>
      </c>
      <c r="D90" s="312">
        <f ca="1">IF($B$4=0,OFFSET(StateModDepletions_BL!D$5,$AM90,0),IF($B$4=1,OFFSET(StateModDepletions_BLNoRes!D$5,$AM90,0)))</f>
        <v>0</v>
      </c>
      <c r="E90" s="312">
        <f ca="1">IF($B$4=0,OFFSET(StateModDepletions_BL!E$5,$AM90,0),IF($B$4=1,OFFSET(StateModDepletions_BLNoRes!E$5,$AM90,0)))</f>
        <v>0</v>
      </c>
      <c r="F90" s="312">
        <f ca="1">IF($B$4=0,OFFSET(StateModDepletions_BL!F$5,$AM90,0),IF($B$4=1,OFFSET(StateModDepletions_BLNoRes!F$5,$AM90,0)))</f>
        <v>0</v>
      </c>
      <c r="G90" s="312">
        <f ca="1">IF($B$4=0,OFFSET(StateModDepletions_BL!G$5,$AM90,0),IF($B$4=1,OFFSET(StateModDepletions_BLNoRes!G$5,$AM90,0)))</f>
        <v>0</v>
      </c>
      <c r="H90" s="312">
        <f ca="1">IF($B$4=0,OFFSET(StateModDepletions_BL!H$5,$AM90,0),IF($B$4=1,OFFSET(StateModDepletions_BLNoRes!H$5,$AM90,0)))</f>
        <v>0</v>
      </c>
      <c r="I90" s="312">
        <f ca="1">IF($B$4=0,OFFSET(StateModDepletions_BL!I$5,$AM90,0),IF($B$4=1,OFFSET(StateModDepletions_BLNoRes!I$5,$AM90,0)))</f>
        <v>0</v>
      </c>
      <c r="J90" s="312">
        <f ca="1">IF($B$4=0,OFFSET(StateModDepletions_BL!J$5,$AM90,0),IF($B$4=1,OFFSET(StateModDepletions_BLNoRes!J$5,$AM90,0)))</f>
        <v>0</v>
      </c>
      <c r="K90" s="312">
        <f ca="1">IF($B$4=0,OFFSET(StateModDepletions_BL!K$5,$AM90,0),IF($B$4=1,OFFSET(StateModDepletions_BLNoRes!K$5,$AM90,0)))</f>
        <v>0</v>
      </c>
      <c r="L90" s="312">
        <f ca="1">IF($B$4=0,OFFSET(StateModDepletions_BL!L$5,$AM90,0),IF($B$4=1,OFFSET(StateModDepletions_BLNoRes!L$5,$AM90,0)))</f>
        <v>0</v>
      </c>
      <c r="M90" s="312">
        <f ca="1">IF($B$4=0,OFFSET(StateModDepletions_BL!M$5,$AM90,0),IF($B$4=1,OFFSET(StateModDepletions_BLNoRes!M$5,$AM90,0)))</f>
        <v>0</v>
      </c>
      <c r="N90" s="312">
        <f ca="1">IF($B$4=0,OFFSET(StateModDepletions_BL!N$5,$AM90,0),IF($B$4=1,OFFSET(StateModDepletions_BLNoRes!N$5,$AM90,0)))</f>
        <v>0</v>
      </c>
      <c r="O90" s="312">
        <f ca="1">IF($B$4=0,OFFSET(StateModDepletions_BL!O$5,$AM90,0),IF($B$4=1,OFFSET(StateModDepletions_BLNoRes!O$5,$AM90,0)))</f>
        <v>0</v>
      </c>
      <c r="P90" s="312">
        <f ca="1">IF($B$4=0,OFFSET(StateModDepletions_BL!P$5,$AM90,0),IF($B$4=1,OFFSET(StateModDepletions_BLNoRes!P$5,$AM90,0)))</f>
        <v>0</v>
      </c>
      <c r="Q90" s="312">
        <f ca="1">IF($B$4=0,OFFSET(StateModDepletions_BL!Q$5,$AM90,0),IF($B$4=1,OFFSET(StateModDepletions_BLNoRes!Q$5,$AM90,0)))</f>
        <v>0</v>
      </c>
      <c r="R90" s="312">
        <f ca="1">IF($B$4=0,OFFSET(StateModDepletions_BL!R$5,$AM90,0),IF($B$4=1,OFFSET(StateModDepletions_BLNoRes!R$5,$AM90,0)))</f>
        <v>0</v>
      </c>
      <c r="S90" s="312">
        <f ca="1">IF($B$4=0,OFFSET(StateModDepletions_BL!S$5,$AM90,0),IF($B$4=1,OFFSET(StateModDepletions_BLNoRes!S$5,$AM90,0)))</f>
        <v>0</v>
      </c>
      <c r="T90" s="312">
        <f ca="1">IF($B$4=0,OFFSET(StateModDepletions_BL!T$5,$AM90,0),IF($B$4=1,OFFSET(StateModDepletions_BLNoRes!T$5,$AM90,0)))</f>
        <v>0</v>
      </c>
      <c r="U90" s="312">
        <f ca="1">IF($B$4=0,OFFSET(StateModDepletions_BL!U$5,$AM90,0),IF($B$4=1,OFFSET(StateModDepletions_BLNoRes!U$5,$AM90,0)))</f>
        <v>0</v>
      </c>
      <c r="V90" s="312">
        <f ca="1">IF($B$4=0,OFFSET(StateModDepletions_BL!V$5,$AM90,0),IF($B$4=1,OFFSET(StateModDepletions_BLNoRes!V$5,$AM90,0)))</f>
        <v>0</v>
      </c>
      <c r="W90" s="312">
        <f ca="1">IF($B$4=0,OFFSET(StateModDepletions_BL!W$5,$AM90,0),IF($B$4=1,OFFSET(StateModDepletions_BLNoRes!W$5,$AM90,0)))</f>
        <v>0</v>
      </c>
      <c r="X90" s="312">
        <f ca="1">IF($B$4=0,OFFSET(StateModDepletions_BL!X$5,$AM90,0),IF($B$4=1,OFFSET(StateModDepletions_BLNoRes!X$5,$AM90,0)))</f>
        <v>0</v>
      </c>
      <c r="Y90" s="312">
        <f ca="1">IF($B$4=0,OFFSET(StateModDepletions_BL!Y$5,$AM90,0),IF($B$4=1,OFFSET(StateModDepletions_BLNoRes!Y$5,$AM90,0)))</f>
        <v>0</v>
      </c>
      <c r="Z90" s="312">
        <f ca="1">IF($B$4=0,OFFSET(StateModDepletions_BL!Z$5,$AM90,0),IF($B$4=1,OFFSET(StateModDepletions_BLNoRes!Z$5,$AM90,0)))</f>
        <v>0</v>
      </c>
      <c r="AA90" s="313">
        <f ca="1">IF($B$4=0,OFFSET(StateModDepletions_BL!AA$5,$AM90,0),IF($B$4=1,OFFSET(StateModDepletions_BLNoRes!AA$5,$AM90,0)))</f>
        <v>0</v>
      </c>
      <c r="AB90" s="314">
        <f ca="1">IF($B$4=0,OFFSET(StateModDepletions_BL!AB$5,$AM90,0),IF($B$4=1,OFFSET(StateModDepletions_BLNoRes!AB$5,$AM90,0)))</f>
        <v>0</v>
      </c>
      <c r="AC90" s="314">
        <f ca="1">IF($B$4=0,OFFSET(StateModDepletions_BL!AC$5,$AM90,0),IF($B$4=1,OFFSET(StateModDepletions_BLNoRes!AC$5,$AM90,0)))</f>
        <v>0</v>
      </c>
      <c r="AD90" s="314">
        <f ca="1">IF($B$4=0,OFFSET(StateModDepletions_BL!AD$5,$AM90,0),IF($B$4=1,OFFSET(StateModDepletions_BLNoRes!AD$5,$AM90,0)))</f>
        <v>0</v>
      </c>
      <c r="AE90" s="314">
        <f ca="1">IF($B$4=0,OFFSET(StateModDepletions_BL!AE$5,$AM90,0),IF($B$4=1,OFFSET(StateModDepletions_BLNoRes!AE$5,$AM90,0)))</f>
        <v>0</v>
      </c>
      <c r="AF90" s="314">
        <f ca="1">IF($B$4=0,OFFSET(StateModDepletions_BL!AF$5,$AM90,0),IF($B$4=1,OFFSET(StateModDepletions_BLNoRes!AF$5,$AM90,0)))</f>
        <v>0</v>
      </c>
      <c r="AG90" s="314">
        <f ca="1">IF($B$4=0,OFFSET(StateModDepletions_BL!AG$5,$AM90,0),IF($B$4=1,OFFSET(StateModDepletions_BLNoRes!AG$5,$AM90,0)))</f>
        <v>0</v>
      </c>
      <c r="AH90" s="314">
        <f ca="1">IF($B$4=0,OFFSET(StateModDepletions_BL!AH$5,$AM90,0),IF($B$4=1,OFFSET(StateModDepletions_BLNoRes!AH$5,$AM90,0)))</f>
        <v>0</v>
      </c>
      <c r="AI90" s="314">
        <f ca="1">IF($B$4=0,OFFSET(StateModDepletions_BL!AI$5,$AM90,0),IF($B$4=1,OFFSET(StateModDepletions_BLNoRes!AI$5,$AM90,0)))</f>
        <v>0</v>
      </c>
      <c r="AJ90" s="315">
        <f ca="1">IF($B$4=0,OFFSET(StateModDepletions_BL!AJ$5,$AM90,0),IF($B$4=1,OFFSET(StateModDepletions_BLNoRes!AJ$5,$AM90,0)))</f>
        <v>0</v>
      </c>
      <c r="AK90" s="519">
        <f t="shared" ref="AK90:AK97" si="11">IF(ISERROR(AK89),NA(),IF(AK89&gt;=NumRunYears,NA(),AK89+1))</f>
        <v>85</v>
      </c>
      <c r="AL90" s="519">
        <f t="shared" ref="AL90:AL97" si="12">IF(ISERROR($AK90),NA(),AL89+1)</f>
        <v>2013</v>
      </c>
      <c r="AM90" s="519">
        <f>MATCH($AL90,StateModDepletions_BL!$A$6:$A$90,0)</f>
        <v>85</v>
      </c>
    </row>
    <row r="91" spans="1:39" x14ac:dyDescent="0.25">
      <c r="A91" s="519" t="e">
        <f t="shared" si="10"/>
        <v>#N/A</v>
      </c>
      <c r="B91" s="311" t="e">
        <f ca="1">IF($B$4=0,OFFSET(StateModDepletions_BL!B$5,$AM91,0),IF($B$4=1,OFFSET(StateModDepletions_BLNoRes!B$5,$AM91,0)))</f>
        <v>#N/A</v>
      </c>
      <c r="C91" s="312" t="e">
        <f ca="1">IF($B$4=0,OFFSET(StateModDepletions_BL!C$5,$AM91,0),IF($B$4=1,OFFSET(StateModDepletions_BLNoRes!C$5,$AM91,0)))</f>
        <v>#N/A</v>
      </c>
      <c r="D91" s="312" t="e">
        <f ca="1">IF($B$4=0,OFFSET(StateModDepletions_BL!D$5,$AM91,0),IF($B$4=1,OFFSET(StateModDepletions_BLNoRes!D$5,$AM91,0)))</f>
        <v>#N/A</v>
      </c>
      <c r="E91" s="312" t="e">
        <f ca="1">IF($B$4=0,OFFSET(StateModDepletions_BL!E$5,$AM91,0),IF($B$4=1,OFFSET(StateModDepletions_BLNoRes!E$5,$AM91,0)))</f>
        <v>#N/A</v>
      </c>
      <c r="F91" s="312" t="e">
        <f ca="1">IF($B$4=0,OFFSET(StateModDepletions_BL!F$5,$AM91,0),IF($B$4=1,OFFSET(StateModDepletions_BLNoRes!F$5,$AM91,0)))</f>
        <v>#N/A</v>
      </c>
      <c r="G91" s="312" t="e">
        <f ca="1">IF($B$4=0,OFFSET(StateModDepletions_BL!G$5,$AM91,0),IF($B$4=1,OFFSET(StateModDepletions_BLNoRes!G$5,$AM91,0)))</f>
        <v>#N/A</v>
      </c>
      <c r="H91" s="312" t="e">
        <f ca="1">IF($B$4=0,OFFSET(StateModDepletions_BL!H$5,$AM91,0),IF($B$4=1,OFFSET(StateModDepletions_BLNoRes!H$5,$AM91,0)))</f>
        <v>#N/A</v>
      </c>
      <c r="I91" s="312" t="e">
        <f ca="1">IF($B$4=0,OFFSET(StateModDepletions_BL!I$5,$AM91,0),IF($B$4=1,OFFSET(StateModDepletions_BLNoRes!I$5,$AM91,0)))</f>
        <v>#N/A</v>
      </c>
      <c r="J91" s="312" t="e">
        <f ca="1">IF($B$4=0,OFFSET(StateModDepletions_BL!J$5,$AM91,0),IF($B$4=1,OFFSET(StateModDepletions_BLNoRes!J$5,$AM91,0)))</f>
        <v>#N/A</v>
      </c>
      <c r="K91" s="312" t="e">
        <f ca="1">IF($B$4=0,OFFSET(StateModDepletions_BL!K$5,$AM91,0),IF($B$4=1,OFFSET(StateModDepletions_BLNoRes!K$5,$AM91,0)))</f>
        <v>#N/A</v>
      </c>
      <c r="L91" s="312" t="e">
        <f ca="1">IF($B$4=0,OFFSET(StateModDepletions_BL!L$5,$AM91,0),IF($B$4=1,OFFSET(StateModDepletions_BLNoRes!L$5,$AM91,0)))</f>
        <v>#N/A</v>
      </c>
      <c r="M91" s="312" t="e">
        <f ca="1">IF($B$4=0,OFFSET(StateModDepletions_BL!M$5,$AM91,0),IF($B$4=1,OFFSET(StateModDepletions_BLNoRes!M$5,$AM91,0)))</f>
        <v>#N/A</v>
      </c>
      <c r="N91" s="312" t="e">
        <f ca="1">IF($B$4=0,OFFSET(StateModDepletions_BL!N$5,$AM91,0),IF($B$4=1,OFFSET(StateModDepletions_BLNoRes!N$5,$AM91,0)))</f>
        <v>#N/A</v>
      </c>
      <c r="O91" s="312" t="e">
        <f ca="1">IF($B$4=0,OFFSET(StateModDepletions_BL!O$5,$AM91,0),IF($B$4=1,OFFSET(StateModDepletions_BLNoRes!O$5,$AM91,0)))</f>
        <v>#N/A</v>
      </c>
      <c r="P91" s="312" t="e">
        <f ca="1">IF($B$4=0,OFFSET(StateModDepletions_BL!P$5,$AM91,0),IF($B$4=1,OFFSET(StateModDepletions_BLNoRes!P$5,$AM91,0)))</f>
        <v>#N/A</v>
      </c>
      <c r="Q91" s="312" t="e">
        <f ca="1">IF($B$4=0,OFFSET(StateModDepletions_BL!Q$5,$AM91,0),IF($B$4=1,OFFSET(StateModDepletions_BLNoRes!Q$5,$AM91,0)))</f>
        <v>#N/A</v>
      </c>
      <c r="R91" s="312" t="e">
        <f ca="1">IF($B$4=0,OFFSET(StateModDepletions_BL!R$5,$AM91,0),IF($B$4=1,OFFSET(StateModDepletions_BLNoRes!R$5,$AM91,0)))</f>
        <v>#N/A</v>
      </c>
      <c r="S91" s="312" t="e">
        <f ca="1">IF($B$4=0,OFFSET(StateModDepletions_BL!S$5,$AM91,0),IF($B$4=1,OFFSET(StateModDepletions_BLNoRes!S$5,$AM91,0)))</f>
        <v>#N/A</v>
      </c>
      <c r="T91" s="312" t="e">
        <f ca="1">IF($B$4=0,OFFSET(StateModDepletions_BL!T$5,$AM91,0),IF($B$4=1,OFFSET(StateModDepletions_BLNoRes!T$5,$AM91,0)))</f>
        <v>#N/A</v>
      </c>
      <c r="U91" s="312" t="e">
        <f ca="1">IF($B$4=0,OFFSET(StateModDepletions_BL!U$5,$AM91,0),IF($B$4=1,OFFSET(StateModDepletions_BLNoRes!U$5,$AM91,0)))</f>
        <v>#N/A</v>
      </c>
      <c r="V91" s="312" t="e">
        <f ca="1">IF($B$4=0,OFFSET(StateModDepletions_BL!V$5,$AM91,0),IF($B$4=1,OFFSET(StateModDepletions_BLNoRes!V$5,$AM91,0)))</f>
        <v>#N/A</v>
      </c>
      <c r="W91" s="312" t="e">
        <f ca="1">IF($B$4=0,OFFSET(StateModDepletions_BL!W$5,$AM91,0),IF($B$4=1,OFFSET(StateModDepletions_BLNoRes!W$5,$AM91,0)))</f>
        <v>#N/A</v>
      </c>
      <c r="X91" s="312" t="e">
        <f ca="1">IF($B$4=0,OFFSET(StateModDepletions_BL!X$5,$AM91,0),IF($B$4=1,OFFSET(StateModDepletions_BLNoRes!X$5,$AM91,0)))</f>
        <v>#N/A</v>
      </c>
      <c r="Y91" s="312" t="e">
        <f ca="1">IF($B$4=0,OFFSET(StateModDepletions_BL!Y$5,$AM91,0),IF($B$4=1,OFFSET(StateModDepletions_BLNoRes!Y$5,$AM91,0)))</f>
        <v>#N/A</v>
      </c>
      <c r="Z91" s="312" t="e">
        <f ca="1">IF($B$4=0,OFFSET(StateModDepletions_BL!Z$5,$AM91,0),IF($B$4=1,OFFSET(StateModDepletions_BLNoRes!Z$5,$AM91,0)))</f>
        <v>#N/A</v>
      </c>
      <c r="AA91" s="313" t="e">
        <f ca="1">IF($B$4=0,OFFSET(StateModDepletions_BL!AA$5,$AM91,0),IF($B$4=1,OFFSET(StateModDepletions_BLNoRes!AA$5,$AM91,0)))</f>
        <v>#N/A</v>
      </c>
      <c r="AB91" s="314" t="e">
        <f ca="1">IF($B$4=0,OFFSET(StateModDepletions_BL!AB$5,$AM91,0),IF($B$4=1,OFFSET(StateModDepletions_BLNoRes!AB$5,$AM91,0)))</f>
        <v>#N/A</v>
      </c>
      <c r="AC91" s="314" t="e">
        <f ca="1">IF($B$4=0,OFFSET(StateModDepletions_BL!AC$5,$AM91,0),IF($B$4=1,OFFSET(StateModDepletions_BLNoRes!AC$5,$AM91,0)))</f>
        <v>#N/A</v>
      </c>
      <c r="AD91" s="314" t="e">
        <f ca="1">IF($B$4=0,OFFSET(StateModDepletions_BL!AD$5,$AM91,0),IF($B$4=1,OFFSET(StateModDepletions_BLNoRes!AD$5,$AM91,0)))</f>
        <v>#N/A</v>
      </c>
      <c r="AE91" s="314" t="e">
        <f ca="1">IF($B$4=0,OFFSET(StateModDepletions_BL!AE$5,$AM91,0),IF($B$4=1,OFFSET(StateModDepletions_BLNoRes!AE$5,$AM91,0)))</f>
        <v>#N/A</v>
      </c>
      <c r="AF91" s="314" t="e">
        <f ca="1">IF($B$4=0,OFFSET(StateModDepletions_BL!AF$5,$AM91,0),IF($B$4=1,OFFSET(StateModDepletions_BLNoRes!AF$5,$AM91,0)))</f>
        <v>#N/A</v>
      </c>
      <c r="AG91" s="314" t="e">
        <f ca="1">IF($B$4=0,OFFSET(StateModDepletions_BL!AG$5,$AM91,0),IF($B$4=1,OFFSET(StateModDepletions_BLNoRes!AG$5,$AM91,0)))</f>
        <v>#N/A</v>
      </c>
      <c r="AH91" s="314" t="e">
        <f ca="1">IF($B$4=0,OFFSET(StateModDepletions_BL!AH$5,$AM91,0),IF($B$4=1,OFFSET(StateModDepletions_BLNoRes!AH$5,$AM91,0)))</f>
        <v>#N/A</v>
      </c>
      <c r="AI91" s="314" t="e">
        <f ca="1">IF($B$4=0,OFFSET(StateModDepletions_BL!AI$5,$AM91,0),IF($B$4=1,OFFSET(StateModDepletions_BLNoRes!AI$5,$AM91,0)))</f>
        <v>#N/A</v>
      </c>
      <c r="AJ91" s="315" t="e">
        <f ca="1">IF($B$4=0,OFFSET(StateModDepletions_BL!AJ$5,$AM91,0),IF($B$4=1,OFFSET(StateModDepletions_BLNoRes!AJ$5,$AM91,0)))</f>
        <v>#N/A</v>
      </c>
      <c r="AK91" s="519" t="e">
        <f t="shared" si="11"/>
        <v>#N/A</v>
      </c>
      <c r="AL91" s="519" t="e">
        <f t="shared" si="12"/>
        <v>#N/A</v>
      </c>
      <c r="AM91" s="519" t="e">
        <f>MATCH($AL91,StateModDepletions_BL!$A$6:$A$90,0)</f>
        <v>#N/A</v>
      </c>
    </row>
    <row r="92" spans="1:39" x14ac:dyDescent="0.25">
      <c r="A92" s="519" t="e">
        <f t="shared" si="10"/>
        <v>#N/A</v>
      </c>
      <c r="B92" s="311" t="e">
        <f ca="1">IF($B$4=0,OFFSET(StateModDepletions_BL!B$5,$AM92,0),IF($B$4=1,OFFSET(StateModDepletions_BLNoRes!B$5,$AM92,0)))</f>
        <v>#N/A</v>
      </c>
      <c r="C92" s="312" t="e">
        <f ca="1">IF($B$4=0,OFFSET(StateModDepletions_BL!C$5,$AM92,0),IF($B$4=1,OFFSET(StateModDepletions_BLNoRes!C$5,$AM92,0)))</f>
        <v>#N/A</v>
      </c>
      <c r="D92" s="312" t="e">
        <f ca="1">IF($B$4=0,OFFSET(StateModDepletions_BL!D$5,$AM92,0),IF($B$4=1,OFFSET(StateModDepletions_BLNoRes!D$5,$AM92,0)))</f>
        <v>#N/A</v>
      </c>
      <c r="E92" s="312" t="e">
        <f ca="1">IF($B$4=0,OFFSET(StateModDepletions_BL!E$5,$AM92,0),IF($B$4=1,OFFSET(StateModDepletions_BLNoRes!E$5,$AM92,0)))</f>
        <v>#N/A</v>
      </c>
      <c r="F92" s="312" t="e">
        <f ca="1">IF($B$4=0,OFFSET(StateModDepletions_BL!F$5,$AM92,0),IF($B$4=1,OFFSET(StateModDepletions_BLNoRes!F$5,$AM92,0)))</f>
        <v>#N/A</v>
      </c>
      <c r="G92" s="312" t="e">
        <f ca="1">IF($B$4=0,OFFSET(StateModDepletions_BL!G$5,$AM92,0),IF($B$4=1,OFFSET(StateModDepletions_BLNoRes!G$5,$AM92,0)))</f>
        <v>#N/A</v>
      </c>
      <c r="H92" s="312" t="e">
        <f ca="1">IF($B$4=0,OFFSET(StateModDepletions_BL!H$5,$AM92,0),IF($B$4=1,OFFSET(StateModDepletions_BLNoRes!H$5,$AM92,0)))</f>
        <v>#N/A</v>
      </c>
      <c r="I92" s="312" t="e">
        <f ca="1">IF($B$4=0,OFFSET(StateModDepletions_BL!I$5,$AM92,0),IF($B$4=1,OFFSET(StateModDepletions_BLNoRes!I$5,$AM92,0)))</f>
        <v>#N/A</v>
      </c>
      <c r="J92" s="312" t="e">
        <f ca="1">IF($B$4=0,OFFSET(StateModDepletions_BL!J$5,$AM92,0),IF($B$4=1,OFFSET(StateModDepletions_BLNoRes!J$5,$AM92,0)))</f>
        <v>#N/A</v>
      </c>
      <c r="K92" s="312" t="e">
        <f ca="1">IF($B$4=0,OFFSET(StateModDepletions_BL!K$5,$AM92,0),IF($B$4=1,OFFSET(StateModDepletions_BLNoRes!K$5,$AM92,0)))</f>
        <v>#N/A</v>
      </c>
      <c r="L92" s="312" t="e">
        <f ca="1">IF($B$4=0,OFFSET(StateModDepletions_BL!L$5,$AM92,0),IF($B$4=1,OFFSET(StateModDepletions_BLNoRes!L$5,$AM92,0)))</f>
        <v>#N/A</v>
      </c>
      <c r="M92" s="312" t="e">
        <f ca="1">IF($B$4=0,OFFSET(StateModDepletions_BL!M$5,$AM92,0),IF($B$4=1,OFFSET(StateModDepletions_BLNoRes!M$5,$AM92,0)))</f>
        <v>#N/A</v>
      </c>
      <c r="N92" s="312" t="e">
        <f ca="1">IF($B$4=0,OFFSET(StateModDepletions_BL!N$5,$AM92,0),IF($B$4=1,OFFSET(StateModDepletions_BLNoRes!N$5,$AM92,0)))</f>
        <v>#N/A</v>
      </c>
      <c r="O92" s="312" t="e">
        <f ca="1">IF($B$4=0,OFFSET(StateModDepletions_BL!O$5,$AM92,0),IF($B$4=1,OFFSET(StateModDepletions_BLNoRes!O$5,$AM92,0)))</f>
        <v>#N/A</v>
      </c>
      <c r="P92" s="312" t="e">
        <f ca="1">IF($B$4=0,OFFSET(StateModDepletions_BL!P$5,$AM92,0),IF($B$4=1,OFFSET(StateModDepletions_BLNoRes!P$5,$AM92,0)))</f>
        <v>#N/A</v>
      </c>
      <c r="Q92" s="312" t="e">
        <f ca="1">IF($B$4=0,OFFSET(StateModDepletions_BL!Q$5,$AM92,0),IF($B$4=1,OFFSET(StateModDepletions_BLNoRes!Q$5,$AM92,0)))</f>
        <v>#N/A</v>
      </c>
      <c r="R92" s="312" t="e">
        <f ca="1">IF($B$4=0,OFFSET(StateModDepletions_BL!R$5,$AM92,0),IF($B$4=1,OFFSET(StateModDepletions_BLNoRes!R$5,$AM92,0)))</f>
        <v>#N/A</v>
      </c>
      <c r="S92" s="312" t="e">
        <f ca="1">IF($B$4=0,OFFSET(StateModDepletions_BL!S$5,$AM92,0),IF($B$4=1,OFFSET(StateModDepletions_BLNoRes!S$5,$AM92,0)))</f>
        <v>#N/A</v>
      </c>
      <c r="T92" s="312" t="e">
        <f ca="1">IF($B$4=0,OFFSET(StateModDepletions_BL!T$5,$AM92,0),IF($B$4=1,OFFSET(StateModDepletions_BLNoRes!T$5,$AM92,0)))</f>
        <v>#N/A</v>
      </c>
      <c r="U92" s="312" t="e">
        <f ca="1">IF($B$4=0,OFFSET(StateModDepletions_BL!U$5,$AM92,0),IF($B$4=1,OFFSET(StateModDepletions_BLNoRes!U$5,$AM92,0)))</f>
        <v>#N/A</v>
      </c>
      <c r="V92" s="312" t="e">
        <f ca="1">IF($B$4=0,OFFSET(StateModDepletions_BL!V$5,$AM92,0),IF($B$4=1,OFFSET(StateModDepletions_BLNoRes!V$5,$AM92,0)))</f>
        <v>#N/A</v>
      </c>
      <c r="W92" s="312" t="e">
        <f ca="1">IF($B$4=0,OFFSET(StateModDepletions_BL!W$5,$AM92,0),IF($B$4=1,OFFSET(StateModDepletions_BLNoRes!W$5,$AM92,0)))</f>
        <v>#N/A</v>
      </c>
      <c r="X92" s="312" t="e">
        <f ca="1">IF($B$4=0,OFFSET(StateModDepletions_BL!X$5,$AM92,0),IF($B$4=1,OFFSET(StateModDepletions_BLNoRes!X$5,$AM92,0)))</f>
        <v>#N/A</v>
      </c>
      <c r="Y92" s="312" t="e">
        <f ca="1">IF($B$4=0,OFFSET(StateModDepletions_BL!Y$5,$AM92,0),IF($B$4=1,OFFSET(StateModDepletions_BLNoRes!Y$5,$AM92,0)))</f>
        <v>#N/A</v>
      </c>
      <c r="Z92" s="312" t="e">
        <f ca="1">IF($B$4=0,OFFSET(StateModDepletions_BL!Z$5,$AM92,0),IF($B$4=1,OFFSET(StateModDepletions_BLNoRes!Z$5,$AM92,0)))</f>
        <v>#N/A</v>
      </c>
      <c r="AA92" s="313" t="e">
        <f ca="1">IF($B$4=0,OFFSET(StateModDepletions_BL!AA$5,$AM92,0),IF($B$4=1,OFFSET(StateModDepletions_BLNoRes!AA$5,$AM92,0)))</f>
        <v>#N/A</v>
      </c>
      <c r="AB92" s="314" t="e">
        <f ca="1">IF($B$4=0,OFFSET(StateModDepletions_BL!AB$5,$AM92,0),IF($B$4=1,OFFSET(StateModDepletions_BLNoRes!AB$5,$AM92,0)))</f>
        <v>#N/A</v>
      </c>
      <c r="AC92" s="314" t="e">
        <f ca="1">IF($B$4=0,OFFSET(StateModDepletions_BL!AC$5,$AM92,0),IF($B$4=1,OFFSET(StateModDepletions_BLNoRes!AC$5,$AM92,0)))</f>
        <v>#N/A</v>
      </c>
      <c r="AD92" s="314" t="e">
        <f ca="1">IF($B$4=0,OFFSET(StateModDepletions_BL!AD$5,$AM92,0),IF($B$4=1,OFFSET(StateModDepletions_BLNoRes!AD$5,$AM92,0)))</f>
        <v>#N/A</v>
      </c>
      <c r="AE92" s="314" t="e">
        <f ca="1">IF($B$4=0,OFFSET(StateModDepletions_BL!AE$5,$AM92,0),IF($B$4=1,OFFSET(StateModDepletions_BLNoRes!AE$5,$AM92,0)))</f>
        <v>#N/A</v>
      </c>
      <c r="AF92" s="314" t="e">
        <f ca="1">IF($B$4=0,OFFSET(StateModDepletions_BL!AF$5,$AM92,0),IF($B$4=1,OFFSET(StateModDepletions_BLNoRes!AF$5,$AM92,0)))</f>
        <v>#N/A</v>
      </c>
      <c r="AG92" s="314" t="e">
        <f ca="1">IF($B$4=0,OFFSET(StateModDepletions_BL!AG$5,$AM92,0),IF($B$4=1,OFFSET(StateModDepletions_BLNoRes!AG$5,$AM92,0)))</f>
        <v>#N/A</v>
      </c>
      <c r="AH92" s="314" t="e">
        <f ca="1">IF($B$4=0,OFFSET(StateModDepletions_BL!AH$5,$AM92,0),IF($B$4=1,OFFSET(StateModDepletions_BLNoRes!AH$5,$AM92,0)))</f>
        <v>#N/A</v>
      </c>
      <c r="AI92" s="314" t="e">
        <f ca="1">IF($B$4=0,OFFSET(StateModDepletions_BL!AI$5,$AM92,0),IF($B$4=1,OFFSET(StateModDepletions_BLNoRes!AI$5,$AM92,0)))</f>
        <v>#N/A</v>
      </c>
      <c r="AJ92" s="315" t="e">
        <f ca="1">IF($B$4=0,OFFSET(StateModDepletions_BL!AJ$5,$AM92,0),IF($B$4=1,OFFSET(StateModDepletions_BLNoRes!AJ$5,$AM92,0)))</f>
        <v>#N/A</v>
      </c>
      <c r="AK92" s="519" t="e">
        <f t="shared" si="11"/>
        <v>#N/A</v>
      </c>
      <c r="AL92" s="519" t="e">
        <f t="shared" si="12"/>
        <v>#N/A</v>
      </c>
      <c r="AM92" s="519" t="e">
        <f>MATCH($AL92,StateModDepletions_BL!$A$6:$A$90,0)</f>
        <v>#N/A</v>
      </c>
    </row>
    <row r="93" spans="1:39" x14ac:dyDescent="0.25">
      <c r="A93" s="519" t="e">
        <f t="shared" si="10"/>
        <v>#N/A</v>
      </c>
      <c r="B93" s="311" t="e">
        <f ca="1">IF($B$4=0,OFFSET(StateModDepletions_BL!B$5,$AM93,0),IF($B$4=1,OFFSET(StateModDepletions_BLNoRes!B$5,$AM93,0)))</f>
        <v>#N/A</v>
      </c>
      <c r="C93" s="312" t="e">
        <f ca="1">IF($B$4=0,OFFSET(StateModDepletions_BL!C$5,$AM93,0),IF($B$4=1,OFFSET(StateModDepletions_BLNoRes!C$5,$AM93,0)))</f>
        <v>#N/A</v>
      </c>
      <c r="D93" s="312" t="e">
        <f ca="1">IF($B$4=0,OFFSET(StateModDepletions_BL!D$5,$AM93,0),IF($B$4=1,OFFSET(StateModDepletions_BLNoRes!D$5,$AM93,0)))</f>
        <v>#N/A</v>
      </c>
      <c r="E93" s="312" t="e">
        <f ca="1">IF($B$4=0,OFFSET(StateModDepletions_BL!E$5,$AM93,0),IF($B$4=1,OFFSET(StateModDepletions_BLNoRes!E$5,$AM93,0)))</f>
        <v>#N/A</v>
      </c>
      <c r="F93" s="312" t="e">
        <f ca="1">IF($B$4=0,OFFSET(StateModDepletions_BL!F$5,$AM93,0),IF($B$4=1,OFFSET(StateModDepletions_BLNoRes!F$5,$AM93,0)))</f>
        <v>#N/A</v>
      </c>
      <c r="G93" s="312" t="e">
        <f ca="1">IF($B$4=0,OFFSET(StateModDepletions_BL!G$5,$AM93,0),IF($B$4=1,OFFSET(StateModDepletions_BLNoRes!G$5,$AM93,0)))</f>
        <v>#N/A</v>
      </c>
      <c r="H93" s="312" t="e">
        <f ca="1">IF($B$4=0,OFFSET(StateModDepletions_BL!H$5,$AM93,0),IF($B$4=1,OFFSET(StateModDepletions_BLNoRes!H$5,$AM93,0)))</f>
        <v>#N/A</v>
      </c>
      <c r="I93" s="312" t="e">
        <f ca="1">IF($B$4=0,OFFSET(StateModDepletions_BL!I$5,$AM93,0),IF($B$4=1,OFFSET(StateModDepletions_BLNoRes!I$5,$AM93,0)))</f>
        <v>#N/A</v>
      </c>
      <c r="J93" s="312" t="e">
        <f ca="1">IF($B$4=0,OFFSET(StateModDepletions_BL!J$5,$AM93,0),IF($B$4=1,OFFSET(StateModDepletions_BLNoRes!J$5,$AM93,0)))</f>
        <v>#N/A</v>
      </c>
      <c r="K93" s="312" t="e">
        <f ca="1">IF($B$4=0,OFFSET(StateModDepletions_BL!K$5,$AM93,0),IF($B$4=1,OFFSET(StateModDepletions_BLNoRes!K$5,$AM93,0)))</f>
        <v>#N/A</v>
      </c>
      <c r="L93" s="312" t="e">
        <f ca="1">IF($B$4=0,OFFSET(StateModDepletions_BL!L$5,$AM93,0),IF($B$4=1,OFFSET(StateModDepletions_BLNoRes!L$5,$AM93,0)))</f>
        <v>#N/A</v>
      </c>
      <c r="M93" s="312" t="e">
        <f ca="1">IF($B$4=0,OFFSET(StateModDepletions_BL!M$5,$AM93,0),IF($B$4=1,OFFSET(StateModDepletions_BLNoRes!M$5,$AM93,0)))</f>
        <v>#N/A</v>
      </c>
      <c r="N93" s="312" t="e">
        <f ca="1">IF($B$4=0,OFFSET(StateModDepletions_BL!N$5,$AM93,0),IF($B$4=1,OFFSET(StateModDepletions_BLNoRes!N$5,$AM93,0)))</f>
        <v>#N/A</v>
      </c>
      <c r="O93" s="312" t="e">
        <f ca="1">IF($B$4=0,OFFSET(StateModDepletions_BL!O$5,$AM93,0),IF($B$4=1,OFFSET(StateModDepletions_BLNoRes!O$5,$AM93,0)))</f>
        <v>#N/A</v>
      </c>
      <c r="P93" s="312" t="e">
        <f ca="1">IF($B$4=0,OFFSET(StateModDepletions_BL!P$5,$AM93,0),IF($B$4=1,OFFSET(StateModDepletions_BLNoRes!P$5,$AM93,0)))</f>
        <v>#N/A</v>
      </c>
      <c r="Q93" s="312" t="e">
        <f ca="1">IF($B$4=0,OFFSET(StateModDepletions_BL!Q$5,$AM93,0),IF($B$4=1,OFFSET(StateModDepletions_BLNoRes!Q$5,$AM93,0)))</f>
        <v>#N/A</v>
      </c>
      <c r="R93" s="312" t="e">
        <f ca="1">IF($B$4=0,OFFSET(StateModDepletions_BL!R$5,$AM93,0),IF($B$4=1,OFFSET(StateModDepletions_BLNoRes!R$5,$AM93,0)))</f>
        <v>#N/A</v>
      </c>
      <c r="S93" s="312" t="e">
        <f ca="1">IF($B$4=0,OFFSET(StateModDepletions_BL!S$5,$AM93,0),IF($B$4=1,OFFSET(StateModDepletions_BLNoRes!S$5,$AM93,0)))</f>
        <v>#N/A</v>
      </c>
      <c r="T93" s="312" t="e">
        <f ca="1">IF($B$4=0,OFFSET(StateModDepletions_BL!T$5,$AM93,0),IF($B$4=1,OFFSET(StateModDepletions_BLNoRes!T$5,$AM93,0)))</f>
        <v>#N/A</v>
      </c>
      <c r="U93" s="312" t="e">
        <f ca="1">IF($B$4=0,OFFSET(StateModDepletions_BL!U$5,$AM93,0),IF($B$4=1,OFFSET(StateModDepletions_BLNoRes!U$5,$AM93,0)))</f>
        <v>#N/A</v>
      </c>
      <c r="V93" s="312" t="e">
        <f ca="1">IF($B$4=0,OFFSET(StateModDepletions_BL!V$5,$AM93,0),IF($B$4=1,OFFSET(StateModDepletions_BLNoRes!V$5,$AM93,0)))</f>
        <v>#N/A</v>
      </c>
      <c r="W93" s="312" t="e">
        <f ca="1">IF($B$4=0,OFFSET(StateModDepletions_BL!W$5,$AM93,0),IF($B$4=1,OFFSET(StateModDepletions_BLNoRes!W$5,$AM93,0)))</f>
        <v>#N/A</v>
      </c>
      <c r="X93" s="312" t="e">
        <f ca="1">IF($B$4=0,OFFSET(StateModDepletions_BL!X$5,$AM93,0),IF($B$4=1,OFFSET(StateModDepletions_BLNoRes!X$5,$AM93,0)))</f>
        <v>#N/A</v>
      </c>
      <c r="Y93" s="312" t="e">
        <f ca="1">IF($B$4=0,OFFSET(StateModDepletions_BL!Y$5,$AM93,0),IF($B$4=1,OFFSET(StateModDepletions_BLNoRes!Y$5,$AM93,0)))</f>
        <v>#N/A</v>
      </c>
      <c r="Z93" s="312" t="e">
        <f ca="1">IF($B$4=0,OFFSET(StateModDepletions_BL!Z$5,$AM93,0),IF($B$4=1,OFFSET(StateModDepletions_BLNoRes!Z$5,$AM93,0)))</f>
        <v>#N/A</v>
      </c>
      <c r="AA93" s="313" t="e">
        <f ca="1">IF($B$4=0,OFFSET(StateModDepletions_BL!AA$5,$AM93,0),IF($B$4=1,OFFSET(StateModDepletions_BLNoRes!AA$5,$AM93,0)))</f>
        <v>#N/A</v>
      </c>
      <c r="AB93" s="314" t="e">
        <f ca="1">IF($B$4=0,OFFSET(StateModDepletions_BL!AB$5,$AM93,0),IF($B$4=1,OFFSET(StateModDepletions_BLNoRes!AB$5,$AM93,0)))</f>
        <v>#N/A</v>
      </c>
      <c r="AC93" s="314" t="e">
        <f ca="1">IF($B$4=0,OFFSET(StateModDepletions_BL!AC$5,$AM93,0),IF($B$4=1,OFFSET(StateModDepletions_BLNoRes!AC$5,$AM93,0)))</f>
        <v>#N/A</v>
      </c>
      <c r="AD93" s="314" t="e">
        <f ca="1">IF($B$4=0,OFFSET(StateModDepletions_BL!AD$5,$AM93,0),IF($B$4=1,OFFSET(StateModDepletions_BLNoRes!AD$5,$AM93,0)))</f>
        <v>#N/A</v>
      </c>
      <c r="AE93" s="314" t="e">
        <f ca="1">IF($B$4=0,OFFSET(StateModDepletions_BL!AE$5,$AM93,0),IF($B$4=1,OFFSET(StateModDepletions_BLNoRes!AE$5,$AM93,0)))</f>
        <v>#N/A</v>
      </c>
      <c r="AF93" s="314" t="e">
        <f ca="1">IF($B$4=0,OFFSET(StateModDepletions_BL!AF$5,$AM93,0),IF($B$4=1,OFFSET(StateModDepletions_BLNoRes!AF$5,$AM93,0)))</f>
        <v>#N/A</v>
      </c>
      <c r="AG93" s="314" t="e">
        <f ca="1">IF($B$4=0,OFFSET(StateModDepletions_BL!AG$5,$AM93,0),IF($B$4=1,OFFSET(StateModDepletions_BLNoRes!AG$5,$AM93,0)))</f>
        <v>#N/A</v>
      </c>
      <c r="AH93" s="314" t="e">
        <f ca="1">IF($B$4=0,OFFSET(StateModDepletions_BL!AH$5,$AM93,0),IF($B$4=1,OFFSET(StateModDepletions_BLNoRes!AH$5,$AM93,0)))</f>
        <v>#N/A</v>
      </c>
      <c r="AI93" s="314" t="e">
        <f ca="1">IF($B$4=0,OFFSET(StateModDepletions_BL!AI$5,$AM93,0),IF($B$4=1,OFFSET(StateModDepletions_BLNoRes!AI$5,$AM93,0)))</f>
        <v>#N/A</v>
      </c>
      <c r="AJ93" s="315" t="e">
        <f ca="1">IF($B$4=0,OFFSET(StateModDepletions_BL!AJ$5,$AM93,0),IF($B$4=1,OFFSET(StateModDepletions_BLNoRes!AJ$5,$AM93,0)))</f>
        <v>#N/A</v>
      </c>
      <c r="AK93" s="519" t="e">
        <f t="shared" si="11"/>
        <v>#N/A</v>
      </c>
      <c r="AL93" s="519" t="e">
        <f t="shared" si="12"/>
        <v>#N/A</v>
      </c>
      <c r="AM93" s="519" t="e">
        <f>MATCH($AL93,StateModDepletions_BL!$A$6:$A$90,0)</f>
        <v>#N/A</v>
      </c>
    </row>
    <row r="94" spans="1:39" x14ac:dyDescent="0.25">
      <c r="A94" s="519" t="e">
        <f t="shared" si="10"/>
        <v>#N/A</v>
      </c>
      <c r="B94" s="311" t="e">
        <f ca="1">IF($B$4=0,OFFSET(StateModDepletions_BL!B$5,$AM94,0),IF($B$4=1,OFFSET(StateModDepletions_BLNoRes!B$5,$AM94,0)))</f>
        <v>#N/A</v>
      </c>
      <c r="C94" s="312" t="e">
        <f ca="1">IF($B$4=0,OFFSET(StateModDepletions_BL!C$5,$AM94,0),IF($B$4=1,OFFSET(StateModDepletions_BLNoRes!C$5,$AM94,0)))</f>
        <v>#N/A</v>
      </c>
      <c r="D94" s="312" t="e">
        <f ca="1">IF($B$4=0,OFFSET(StateModDepletions_BL!D$5,$AM94,0),IF($B$4=1,OFFSET(StateModDepletions_BLNoRes!D$5,$AM94,0)))</f>
        <v>#N/A</v>
      </c>
      <c r="E94" s="312" t="e">
        <f ca="1">IF($B$4=0,OFFSET(StateModDepletions_BL!E$5,$AM94,0),IF($B$4=1,OFFSET(StateModDepletions_BLNoRes!E$5,$AM94,0)))</f>
        <v>#N/A</v>
      </c>
      <c r="F94" s="312" t="e">
        <f ca="1">IF($B$4=0,OFFSET(StateModDepletions_BL!F$5,$AM94,0),IF($B$4=1,OFFSET(StateModDepletions_BLNoRes!F$5,$AM94,0)))</f>
        <v>#N/A</v>
      </c>
      <c r="G94" s="312" t="e">
        <f ca="1">IF($B$4=0,OFFSET(StateModDepletions_BL!G$5,$AM94,0),IF($B$4=1,OFFSET(StateModDepletions_BLNoRes!G$5,$AM94,0)))</f>
        <v>#N/A</v>
      </c>
      <c r="H94" s="312" t="e">
        <f ca="1">IF($B$4=0,OFFSET(StateModDepletions_BL!H$5,$AM94,0),IF($B$4=1,OFFSET(StateModDepletions_BLNoRes!H$5,$AM94,0)))</f>
        <v>#N/A</v>
      </c>
      <c r="I94" s="312" t="e">
        <f ca="1">IF($B$4=0,OFFSET(StateModDepletions_BL!I$5,$AM94,0),IF($B$4=1,OFFSET(StateModDepletions_BLNoRes!I$5,$AM94,0)))</f>
        <v>#N/A</v>
      </c>
      <c r="J94" s="312" t="e">
        <f ca="1">IF($B$4=0,OFFSET(StateModDepletions_BL!J$5,$AM94,0),IF($B$4=1,OFFSET(StateModDepletions_BLNoRes!J$5,$AM94,0)))</f>
        <v>#N/A</v>
      </c>
      <c r="K94" s="312" t="e">
        <f ca="1">IF($B$4=0,OFFSET(StateModDepletions_BL!K$5,$AM94,0),IF($B$4=1,OFFSET(StateModDepletions_BLNoRes!K$5,$AM94,0)))</f>
        <v>#N/A</v>
      </c>
      <c r="L94" s="312" t="e">
        <f ca="1">IF($B$4=0,OFFSET(StateModDepletions_BL!L$5,$AM94,0),IF($B$4=1,OFFSET(StateModDepletions_BLNoRes!L$5,$AM94,0)))</f>
        <v>#N/A</v>
      </c>
      <c r="M94" s="312" t="e">
        <f ca="1">IF($B$4=0,OFFSET(StateModDepletions_BL!M$5,$AM94,0),IF($B$4=1,OFFSET(StateModDepletions_BLNoRes!M$5,$AM94,0)))</f>
        <v>#N/A</v>
      </c>
      <c r="N94" s="312" t="e">
        <f ca="1">IF($B$4=0,OFFSET(StateModDepletions_BL!N$5,$AM94,0),IF($B$4=1,OFFSET(StateModDepletions_BLNoRes!N$5,$AM94,0)))</f>
        <v>#N/A</v>
      </c>
      <c r="O94" s="312" t="e">
        <f ca="1">IF($B$4=0,OFFSET(StateModDepletions_BL!O$5,$AM94,0),IF($B$4=1,OFFSET(StateModDepletions_BLNoRes!O$5,$AM94,0)))</f>
        <v>#N/A</v>
      </c>
      <c r="P94" s="312" t="e">
        <f ca="1">IF($B$4=0,OFFSET(StateModDepletions_BL!P$5,$AM94,0),IF($B$4=1,OFFSET(StateModDepletions_BLNoRes!P$5,$AM94,0)))</f>
        <v>#N/A</v>
      </c>
      <c r="Q94" s="312" t="e">
        <f ca="1">IF($B$4=0,OFFSET(StateModDepletions_BL!Q$5,$AM94,0),IF($B$4=1,OFFSET(StateModDepletions_BLNoRes!Q$5,$AM94,0)))</f>
        <v>#N/A</v>
      </c>
      <c r="R94" s="312" t="e">
        <f ca="1">IF($B$4=0,OFFSET(StateModDepletions_BL!R$5,$AM94,0),IF($B$4=1,OFFSET(StateModDepletions_BLNoRes!R$5,$AM94,0)))</f>
        <v>#N/A</v>
      </c>
      <c r="S94" s="312" t="e">
        <f ca="1">IF($B$4=0,OFFSET(StateModDepletions_BL!S$5,$AM94,0),IF($B$4=1,OFFSET(StateModDepletions_BLNoRes!S$5,$AM94,0)))</f>
        <v>#N/A</v>
      </c>
      <c r="T94" s="312" t="e">
        <f ca="1">IF($B$4=0,OFFSET(StateModDepletions_BL!T$5,$AM94,0),IF($B$4=1,OFFSET(StateModDepletions_BLNoRes!T$5,$AM94,0)))</f>
        <v>#N/A</v>
      </c>
      <c r="U94" s="312" t="e">
        <f ca="1">IF($B$4=0,OFFSET(StateModDepletions_BL!U$5,$AM94,0),IF($B$4=1,OFFSET(StateModDepletions_BLNoRes!U$5,$AM94,0)))</f>
        <v>#N/A</v>
      </c>
      <c r="V94" s="312" t="e">
        <f ca="1">IF($B$4=0,OFFSET(StateModDepletions_BL!V$5,$AM94,0),IF($B$4=1,OFFSET(StateModDepletions_BLNoRes!V$5,$AM94,0)))</f>
        <v>#N/A</v>
      </c>
      <c r="W94" s="312" t="e">
        <f ca="1">IF($B$4=0,OFFSET(StateModDepletions_BL!W$5,$AM94,0),IF($B$4=1,OFFSET(StateModDepletions_BLNoRes!W$5,$AM94,0)))</f>
        <v>#N/A</v>
      </c>
      <c r="X94" s="312" t="e">
        <f ca="1">IF($B$4=0,OFFSET(StateModDepletions_BL!X$5,$AM94,0),IF($B$4=1,OFFSET(StateModDepletions_BLNoRes!X$5,$AM94,0)))</f>
        <v>#N/A</v>
      </c>
      <c r="Y94" s="312" t="e">
        <f ca="1">IF($B$4=0,OFFSET(StateModDepletions_BL!Y$5,$AM94,0),IF($B$4=1,OFFSET(StateModDepletions_BLNoRes!Y$5,$AM94,0)))</f>
        <v>#N/A</v>
      </c>
      <c r="Z94" s="312" t="e">
        <f ca="1">IF($B$4=0,OFFSET(StateModDepletions_BL!Z$5,$AM94,0),IF($B$4=1,OFFSET(StateModDepletions_BLNoRes!Z$5,$AM94,0)))</f>
        <v>#N/A</v>
      </c>
      <c r="AA94" s="313" t="e">
        <f ca="1">IF($B$4=0,OFFSET(StateModDepletions_BL!AA$5,$AM94,0),IF($B$4=1,OFFSET(StateModDepletions_BLNoRes!AA$5,$AM94,0)))</f>
        <v>#N/A</v>
      </c>
      <c r="AB94" s="314" t="e">
        <f ca="1">IF($B$4=0,OFFSET(StateModDepletions_BL!AB$5,$AM94,0),IF($B$4=1,OFFSET(StateModDepletions_BLNoRes!AB$5,$AM94,0)))</f>
        <v>#N/A</v>
      </c>
      <c r="AC94" s="314" t="e">
        <f ca="1">IF($B$4=0,OFFSET(StateModDepletions_BL!AC$5,$AM94,0),IF($B$4=1,OFFSET(StateModDepletions_BLNoRes!AC$5,$AM94,0)))</f>
        <v>#N/A</v>
      </c>
      <c r="AD94" s="314" t="e">
        <f ca="1">IF($B$4=0,OFFSET(StateModDepletions_BL!AD$5,$AM94,0),IF($B$4=1,OFFSET(StateModDepletions_BLNoRes!AD$5,$AM94,0)))</f>
        <v>#N/A</v>
      </c>
      <c r="AE94" s="314" t="e">
        <f ca="1">IF($B$4=0,OFFSET(StateModDepletions_BL!AE$5,$AM94,0),IF($B$4=1,OFFSET(StateModDepletions_BLNoRes!AE$5,$AM94,0)))</f>
        <v>#N/A</v>
      </c>
      <c r="AF94" s="314" t="e">
        <f ca="1">IF($B$4=0,OFFSET(StateModDepletions_BL!AF$5,$AM94,0),IF($B$4=1,OFFSET(StateModDepletions_BLNoRes!AF$5,$AM94,0)))</f>
        <v>#N/A</v>
      </c>
      <c r="AG94" s="314" t="e">
        <f ca="1">IF($B$4=0,OFFSET(StateModDepletions_BL!AG$5,$AM94,0),IF($B$4=1,OFFSET(StateModDepletions_BLNoRes!AG$5,$AM94,0)))</f>
        <v>#N/A</v>
      </c>
      <c r="AH94" s="314" t="e">
        <f ca="1">IF($B$4=0,OFFSET(StateModDepletions_BL!AH$5,$AM94,0),IF($B$4=1,OFFSET(StateModDepletions_BLNoRes!AH$5,$AM94,0)))</f>
        <v>#N/A</v>
      </c>
      <c r="AI94" s="314" t="e">
        <f ca="1">IF($B$4=0,OFFSET(StateModDepletions_BL!AI$5,$AM94,0),IF($B$4=1,OFFSET(StateModDepletions_BLNoRes!AI$5,$AM94,0)))</f>
        <v>#N/A</v>
      </c>
      <c r="AJ94" s="315" t="e">
        <f ca="1">IF($B$4=0,OFFSET(StateModDepletions_BL!AJ$5,$AM94,0),IF($B$4=1,OFFSET(StateModDepletions_BLNoRes!AJ$5,$AM94,0)))</f>
        <v>#N/A</v>
      </c>
      <c r="AK94" s="519" t="e">
        <f t="shared" si="11"/>
        <v>#N/A</v>
      </c>
      <c r="AL94" s="519" t="e">
        <f t="shared" si="12"/>
        <v>#N/A</v>
      </c>
      <c r="AM94" s="519" t="e">
        <f>MATCH($AL94,StateModDepletions_BL!$A$6:$A$90,0)</f>
        <v>#N/A</v>
      </c>
    </row>
    <row r="95" spans="1:39" x14ac:dyDescent="0.25">
      <c r="A95" s="519" t="e">
        <f t="shared" si="10"/>
        <v>#N/A</v>
      </c>
      <c r="B95" s="311" t="e">
        <f ca="1">IF($B$4=0,OFFSET(StateModDepletions_BL!B$5,$AM95,0),IF($B$4=1,OFFSET(StateModDepletions_BLNoRes!B$5,$AM95,0)))</f>
        <v>#N/A</v>
      </c>
      <c r="C95" s="312" t="e">
        <f ca="1">IF($B$4=0,OFFSET(StateModDepletions_BL!C$5,$AM95,0),IF($B$4=1,OFFSET(StateModDepletions_BLNoRes!C$5,$AM95,0)))</f>
        <v>#N/A</v>
      </c>
      <c r="D95" s="312" t="e">
        <f ca="1">IF($B$4=0,OFFSET(StateModDepletions_BL!D$5,$AM95,0),IF($B$4=1,OFFSET(StateModDepletions_BLNoRes!D$5,$AM95,0)))</f>
        <v>#N/A</v>
      </c>
      <c r="E95" s="312" t="e">
        <f ca="1">IF($B$4=0,OFFSET(StateModDepletions_BL!E$5,$AM95,0),IF($B$4=1,OFFSET(StateModDepletions_BLNoRes!E$5,$AM95,0)))</f>
        <v>#N/A</v>
      </c>
      <c r="F95" s="312" t="e">
        <f ca="1">IF($B$4=0,OFFSET(StateModDepletions_BL!F$5,$AM95,0),IF($B$4=1,OFFSET(StateModDepletions_BLNoRes!F$5,$AM95,0)))</f>
        <v>#N/A</v>
      </c>
      <c r="G95" s="312" t="e">
        <f ca="1">IF($B$4=0,OFFSET(StateModDepletions_BL!G$5,$AM95,0),IF($B$4=1,OFFSET(StateModDepletions_BLNoRes!G$5,$AM95,0)))</f>
        <v>#N/A</v>
      </c>
      <c r="H95" s="312" t="e">
        <f ca="1">IF($B$4=0,OFFSET(StateModDepletions_BL!H$5,$AM95,0),IF($B$4=1,OFFSET(StateModDepletions_BLNoRes!H$5,$AM95,0)))</f>
        <v>#N/A</v>
      </c>
      <c r="I95" s="312" t="e">
        <f ca="1">IF($B$4=0,OFFSET(StateModDepletions_BL!I$5,$AM95,0),IF($B$4=1,OFFSET(StateModDepletions_BLNoRes!I$5,$AM95,0)))</f>
        <v>#N/A</v>
      </c>
      <c r="J95" s="312" t="e">
        <f ca="1">IF($B$4=0,OFFSET(StateModDepletions_BL!J$5,$AM95,0),IF($B$4=1,OFFSET(StateModDepletions_BLNoRes!J$5,$AM95,0)))</f>
        <v>#N/A</v>
      </c>
      <c r="K95" s="312" t="e">
        <f ca="1">IF($B$4=0,OFFSET(StateModDepletions_BL!K$5,$AM95,0),IF($B$4=1,OFFSET(StateModDepletions_BLNoRes!K$5,$AM95,0)))</f>
        <v>#N/A</v>
      </c>
      <c r="L95" s="312" t="e">
        <f ca="1">IF($B$4=0,OFFSET(StateModDepletions_BL!L$5,$AM95,0),IF($B$4=1,OFFSET(StateModDepletions_BLNoRes!L$5,$AM95,0)))</f>
        <v>#N/A</v>
      </c>
      <c r="M95" s="312" t="e">
        <f ca="1">IF($B$4=0,OFFSET(StateModDepletions_BL!M$5,$AM95,0),IF($B$4=1,OFFSET(StateModDepletions_BLNoRes!M$5,$AM95,0)))</f>
        <v>#N/A</v>
      </c>
      <c r="N95" s="312" t="e">
        <f ca="1">IF($B$4=0,OFFSET(StateModDepletions_BL!N$5,$AM95,0),IF($B$4=1,OFFSET(StateModDepletions_BLNoRes!N$5,$AM95,0)))</f>
        <v>#N/A</v>
      </c>
      <c r="O95" s="312" t="e">
        <f ca="1">IF($B$4=0,OFFSET(StateModDepletions_BL!O$5,$AM95,0),IF($B$4=1,OFFSET(StateModDepletions_BLNoRes!O$5,$AM95,0)))</f>
        <v>#N/A</v>
      </c>
      <c r="P95" s="312" t="e">
        <f ca="1">IF($B$4=0,OFFSET(StateModDepletions_BL!P$5,$AM95,0),IF($B$4=1,OFFSET(StateModDepletions_BLNoRes!P$5,$AM95,0)))</f>
        <v>#N/A</v>
      </c>
      <c r="Q95" s="312" t="e">
        <f ca="1">IF($B$4=0,OFFSET(StateModDepletions_BL!Q$5,$AM95,0),IF($B$4=1,OFFSET(StateModDepletions_BLNoRes!Q$5,$AM95,0)))</f>
        <v>#N/A</v>
      </c>
      <c r="R95" s="312" t="e">
        <f ca="1">IF($B$4=0,OFFSET(StateModDepletions_BL!R$5,$AM95,0),IF($B$4=1,OFFSET(StateModDepletions_BLNoRes!R$5,$AM95,0)))</f>
        <v>#N/A</v>
      </c>
      <c r="S95" s="312" t="e">
        <f ca="1">IF($B$4=0,OFFSET(StateModDepletions_BL!S$5,$AM95,0),IF($B$4=1,OFFSET(StateModDepletions_BLNoRes!S$5,$AM95,0)))</f>
        <v>#N/A</v>
      </c>
      <c r="T95" s="312" t="e">
        <f ca="1">IF($B$4=0,OFFSET(StateModDepletions_BL!T$5,$AM95,0),IF($B$4=1,OFFSET(StateModDepletions_BLNoRes!T$5,$AM95,0)))</f>
        <v>#N/A</v>
      </c>
      <c r="U95" s="312" t="e">
        <f ca="1">IF($B$4=0,OFFSET(StateModDepletions_BL!U$5,$AM95,0),IF($B$4=1,OFFSET(StateModDepletions_BLNoRes!U$5,$AM95,0)))</f>
        <v>#N/A</v>
      </c>
      <c r="V95" s="312" t="e">
        <f ca="1">IF($B$4=0,OFFSET(StateModDepletions_BL!V$5,$AM95,0),IF($B$4=1,OFFSET(StateModDepletions_BLNoRes!V$5,$AM95,0)))</f>
        <v>#N/A</v>
      </c>
      <c r="W95" s="312" t="e">
        <f ca="1">IF($B$4=0,OFFSET(StateModDepletions_BL!W$5,$AM95,0),IF($B$4=1,OFFSET(StateModDepletions_BLNoRes!W$5,$AM95,0)))</f>
        <v>#N/A</v>
      </c>
      <c r="X95" s="312" t="e">
        <f ca="1">IF($B$4=0,OFFSET(StateModDepletions_BL!X$5,$AM95,0),IF($B$4=1,OFFSET(StateModDepletions_BLNoRes!X$5,$AM95,0)))</f>
        <v>#N/A</v>
      </c>
      <c r="Y95" s="312" t="e">
        <f ca="1">IF($B$4=0,OFFSET(StateModDepletions_BL!Y$5,$AM95,0),IF($B$4=1,OFFSET(StateModDepletions_BLNoRes!Y$5,$AM95,0)))</f>
        <v>#N/A</v>
      </c>
      <c r="Z95" s="312" t="e">
        <f ca="1">IF($B$4=0,OFFSET(StateModDepletions_BL!Z$5,$AM95,0),IF($B$4=1,OFFSET(StateModDepletions_BLNoRes!Z$5,$AM95,0)))</f>
        <v>#N/A</v>
      </c>
      <c r="AA95" s="313" t="e">
        <f ca="1">IF($B$4=0,OFFSET(StateModDepletions_BL!AA$5,$AM95,0),IF($B$4=1,OFFSET(StateModDepletions_BLNoRes!AA$5,$AM95,0)))</f>
        <v>#N/A</v>
      </c>
      <c r="AB95" s="314" t="e">
        <f ca="1">IF($B$4=0,OFFSET(StateModDepletions_BL!AB$5,$AM95,0),IF($B$4=1,OFFSET(StateModDepletions_BLNoRes!AB$5,$AM95,0)))</f>
        <v>#N/A</v>
      </c>
      <c r="AC95" s="314" t="e">
        <f ca="1">IF($B$4=0,OFFSET(StateModDepletions_BL!AC$5,$AM95,0),IF($B$4=1,OFFSET(StateModDepletions_BLNoRes!AC$5,$AM95,0)))</f>
        <v>#N/A</v>
      </c>
      <c r="AD95" s="314" t="e">
        <f ca="1">IF($B$4=0,OFFSET(StateModDepletions_BL!AD$5,$AM95,0),IF($B$4=1,OFFSET(StateModDepletions_BLNoRes!AD$5,$AM95,0)))</f>
        <v>#N/A</v>
      </c>
      <c r="AE95" s="314" t="e">
        <f ca="1">IF($B$4=0,OFFSET(StateModDepletions_BL!AE$5,$AM95,0),IF($B$4=1,OFFSET(StateModDepletions_BLNoRes!AE$5,$AM95,0)))</f>
        <v>#N/A</v>
      </c>
      <c r="AF95" s="314" t="e">
        <f ca="1">IF($B$4=0,OFFSET(StateModDepletions_BL!AF$5,$AM95,0),IF($B$4=1,OFFSET(StateModDepletions_BLNoRes!AF$5,$AM95,0)))</f>
        <v>#N/A</v>
      </c>
      <c r="AG95" s="314" t="e">
        <f ca="1">IF($B$4=0,OFFSET(StateModDepletions_BL!AG$5,$AM95,0),IF($B$4=1,OFFSET(StateModDepletions_BLNoRes!AG$5,$AM95,0)))</f>
        <v>#N/A</v>
      </c>
      <c r="AH95" s="314" t="e">
        <f ca="1">IF($B$4=0,OFFSET(StateModDepletions_BL!AH$5,$AM95,0),IF($B$4=1,OFFSET(StateModDepletions_BLNoRes!AH$5,$AM95,0)))</f>
        <v>#N/A</v>
      </c>
      <c r="AI95" s="314" t="e">
        <f ca="1">IF($B$4=0,OFFSET(StateModDepletions_BL!AI$5,$AM95,0),IF($B$4=1,OFFSET(StateModDepletions_BLNoRes!AI$5,$AM95,0)))</f>
        <v>#N/A</v>
      </c>
      <c r="AJ95" s="315" t="e">
        <f ca="1">IF($B$4=0,OFFSET(StateModDepletions_BL!AJ$5,$AM95,0),IF($B$4=1,OFFSET(StateModDepletions_BLNoRes!AJ$5,$AM95,0)))</f>
        <v>#N/A</v>
      </c>
      <c r="AK95" s="519" t="e">
        <f t="shared" si="11"/>
        <v>#N/A</v>
      </c>
      <c r="AL95" s="519" t="e">
        <f t="shared" si="12"/>
        <v>#N/A</v>
      </c>
      <c r="AM95" s="519" t="e">
        <f>MATCH($AL95,StateModDepletions_BL!$A$6:$A$90,0)</f>
        <v>#N/A</v>
      </c>
    </row>
    <row r="96" spans="1:39" x14ac:dyDescent="0.25">
      <c r="A96" s="519" t="e">
        <f t="shared" si="10"/>
        <v>#N/A</v>
      </c>
      <c r="B96" s="311" t="e">
        <f ca="1">IF($B$4=0,OFFSET(StateModDepletions_BL!B$5,$AM96,0),IF($B$4=1,OFFSET(StateModDepletions_BLNoRes!B$5,$AM96,0)))</f>
        <v>#N/A</v>
      </c>
      <c r="C96" s="312" t="e">
        <f ca="1">IF($B$4=0,OFFSET(StateModDepletions_BL!C$5,$AM96,0),IF($B$4=1,OFFSET(StateModDepletions_BLNoRes!C$5,$AM96,0)))</f>
        <v>#N/A</v>
      </c>
      <c r="D96" s="312" t="e">
        <f ca="1">IF($B$4=0,OFFSET(StateModDepletions_BL!D$5,$AM96,0),IF($B$4=1,OFFSET(StateModDepletions_BLNoRes!D$5,$AM96,0)))</f>
        <v>#N/A</v>
      </c>
      <c r="E96" s="312" t="e">
        <f ca="1">IF($B$4=0,OFFSET(StateModDepletions_BL!E$5,$AM96,0),IF($B$4=1,OFFSET(StateModDepletions_BLNoRes!E$5,$AM96,0)))</f>
        <v>#N/A</v>
      </c>
      <c r="F96" s="312" t="e">
        <f ca="1">IF($B$4=0,OFFSET(StateModDepletions_BL!F$5,$AM96,0),IF($B$4=1,OFFSET(StateModDepletions_BLNoRes!F$5,$AM96,0)))</f>
        <v>#N/A</v>
      </c>
      <c r="G96" s="312" t="e">
        <f ca="1">IF($B$4=0,OFFSET(StateModDepletions_BL!G$5,$AM96,0),IF($B$4=1,OFFSET(StateModDepletions_BLNoRes!G$5,$AM96,0)))</f>
        <v>#N/A</v>
      </c>
      <c r="H96" s="312" t="e">
        <f ca="1">IF($B$4=0,OFFSET(StateModDepletions_BL!H$5,$AM96,0),IF($B$4=1,OFFSET(StateModDepletions_BLNoRes!H$5,$AM96,0)))</f>
        <v>#N/A</v>
      </c>
      <c r="I96" s="312" t="e">
        <f ca="1">IF($B$4=0,OFFSET(StateModDepletions_BL!I$5,$AM96,0),IF($B$4=1,OFFSET(StateModDepletions_BLNoRes!I$5,$AM96,0)))</f>
        <v>#N/A</v>
      </c>
      <c r="J96" s="312" t="e">
        <f ca="1">IF($B$4=0,OFFSET(StateModDepletions_BL!J$5,$AM96,0),IF($B$4=1,OFFSET(StateModDepletions_BLNoRes!J$5,$AM96,0)))</f>
        <v>#N/A</v>
      </c>
      <c r="K96" s="312" t="e">
        <f ca="1">IF($B$4=0,OFFSET(StateModDepletions_BL!K$5,$AM96,0),IF($B$4=1,OFFSET(StateModDepletions_BLNoRes!K$5,$AM96,0)))</f>
        <v>#N/A</v>
      </c>
      <c r="L96" s="312" t="e">
        <f ca="1">IF($B$4=0,OFFSET(StateModDepletions_BL!L$5,$AM96,0),IF($B$4=1,OFFSET(StateModDepletions_BLNoRes!L$5,$AM96,0)))</f>
        <v>#N/A</v>
      </c>
      <c r="M96" s="312" t="e">
        <f ca="1">IF($B$4=0,OFFSET(StateModDepletions_BL!M$5,$AM96,0),IF($B$4=1,OFFSET(StateModDepletions_BLNoRes!M$5,$AM96,0)))</f>
        <v>#N/A</v>
      </c>
      <c r="N96" s="312" t="e">
        <f ca="1">IF($B$4=0,OFFSET(StateModDepletions_BL!N$5,$AM96,0),IF($B$4=1,OFFSET(StateModDepletions_BLNoRes!N$5,$AM96,0)))</f>
        <v>#N/A</v>
      </c>
      <c r="O96" s="312" t="e">
        <f ca="1">IF($B$4=0,OFFSET(StateModDepletions_BL!O$5,$AM96,0),IF($B$4=1,OFFSET(StateModDepletions_BLNoRes!O$5,$AM96,0)))</f>
        <v>#N/A</v>
      </c>
      <c r="P96" s="312" t="e">
        <f ca="1">IF($B$4=0,OFFSET(StateModDepletions_BL!P$5,$AM96,0),IF($B$4=1,OFFSET(StateModDepletions_BLNoRes!P$5,$AM96,0)))</f>
        <v>#N/A</v>
      </c>
      <c r="Q96" s="312" t="e">
        <f ca="1">IF($B$4=0,OFFSET(StateModDepletions_BL!Q$5,$AM96,0),IF($B$4=1,OFFSET(StateModDepletions_BLNoRes!Q$5,$AM96,0)))</f>
        <v>#N/A</v>
      </c>
      <c r="R96" s="312" t="e">
        <f ca="1">IF($B$4=0,OFFSET(StateModDepletions_BL!R$5,$AM96,0),IF($B$4=1,OFFSET(StateModDepletions_BLNoRes!R$5,$AM96,0)))</f>
        <v>#N/A</v>
      </c>
      <c r="S96" s="312" t="e">
        <f ca="1">IF($B$4=0,OFFSET(StateModDepletions_BL!S$5,$AM96,0),IF($B$4=1,OFFSET(StateModDepletions_BLNoRes!S$5,$AM96,0)))</f>
        <v>#N/A</v>
      </c>
      <c r="T96" s="312" t="e">
        <f ca="1">IF($B$4=0,OFFSET(StateModDepletions_BL!T$5,$AM96,0),IF($B$4=1,OFFSET(StateModDepletions_BLNoRes!T$5,$AM96,0)))</f>
        <v>#N/A</v>
      </c>
      <c r="U96" s="312" t="e">
        <f ca="1">IF($B$4=0,OFFSET(StateModDepletions_BL!U$5,$AM96,0),IF($B$4=1,OFFSET(StateModDepletions_BLNoRes!U$5,$AM96,0)))</f>
        <v>#N/A</v>
      </c>
      <c r="V96" s="312" t="e">
        <f ca="1">IF($B$4=0,OFFSET(StateModDepletions_BL!V$5,$AM96,0),IF($B$4=1,OFFSET(StateModDepletions_BLNoRes!V$5,$AM96,0)))</f>
        <v>#N/A</v>
      </c>
      <c r="W96" s="312" t="e">
        <f ca="1">IF($B$4=0,OFFSET(StateModDepletions_BL!W$5,$AM96,0),IF($B$4=1,OFFSET(StateModDepletions_BLNoRes!W$5,$AM96,0)))</f>
        <v>#N/A</v>
      </c>
      <c r="X96" s="312" t="e">
        <f ca="1">IF($B$4=0,OFFSET(StateModDepletions_BL!X$5,$AM96,0),IF($B$4=1,OFFSET(StateModDepletions_BLNoRes!X$5,$AM96,0)))</f>
        <v>#N/A</v>
      </c>
      <c r="Y96" s="312" t="e">
        <f ca="1">IF($B$4=0,OFFSET(StateModDepletions_BL!Y$5,$AM96,0),IF($B$4=1,OFFSET(StateModDepletions_BLNoRes!Y$5,$AM96,0)))</f>
        <v>#N/A</v>
      </c>
      <c r="Z96" s="312" t="e">
        <f ca="1">IF($B$4=0,OFFSET(StateModDepletions_BL!Z$5,$AM96,0),IF($B$4=1,OFFSET(StateModDepletions_BLNoRes!Z$5,$AM96,0)))</f>
        <v>#N/A</v>
      </c>
      <c r="AA96" s="313" t="e">
        <f ca="1">IF($B$4=0,OFFSET(StateModDepletions_BL!AA$5,$AM96,0),IF($B$4=1,OFFSET(StateModDepletions_BLNoRes!AA$5,$AM96,0)))</f>
        <v>#N/A</v>
      </c>
      <c r="AB96" s="314" t="e">
        <f ca="1">IF($B$4=0,OFFSET(StateModDepletions_BL!AB$5,$AM96,0),IF($B$4=1,OFFSET(StateModDepletions_BLNoRes!AB$5,$AM96,0)))</f>
        <v>#N/A</v>
      </c>
      <c r="AC96" s="314" t="e">
        <f ca="1">IF($B$4=0,OFFSET(StateModDepletions_BL!AC$5,$AM96,0),IF($B$4=1,OFFSET(StateModDepletions_BLNoRes!AC$5,$AM96,0)))</f>
        <v>#N/A</v>
      </c>
      <c r="AD96" s="314" t="e">
        <f ca="1">IF($B$4=0,OFFSET(StateModDepletions_BL!AD$5,$AM96,0),IF($B$4=1,OFFSET(StateModDepletions_BLNoRes!AD$5,$AM96,0)))</f>
        <v>#N/A</v>
      </c>
      <c r="AE96" s="314" t="e">
        <f ca="1">IF($B$4=0,OFFSET(StateModDepletions_BL!AE$5,$AM96,0),IF($B$4=1,OFFSET(StateModDepletions_BLNoRes!AE$5,$AM96,0)))</f>
        <v>#N/A</v>
      </c>
      <c r="AF96" s="314" t="e">
        <f ca="1">IF($B$4=0,OFFSET(StateModDepletions_BL!AF$5,$AM96,0),IF($B$4=1,OFFSET(StateModDepletions_BLNoRes!AF$5,$AM96,0)))</f>
        <v>#N/A</v>
      </c>
      <c r="AG96" s="314" t="e">
        <f ca="1">IF($B$4=0,OFFSET(StateModDepletions_BL!AG$5,$AM96,0),IF($B$4=1,OFFSET(StateModDepletions_BLNoRes!AG$5,$AM96,0)))</f>
        <v>#N/A</v>
      </c>
      <c r="AH96" s="314" t="e">
        <f ca="1">IF($B$4=0,OFFSET(StateModDepletions_BL!AH$5,$AM96,0),IF($B$4=1,OFFSET(StateModDepletions_BLNoRes!AH$5,$AM96,0)))</f>
        <v>#N/A</v>
      </c>
      <c r="AI96" s="314" t="e">
        <f ca="1">IF($B$4=0,OFFSET(StateModDepletions_BL!AI$5,$AM96,0),IF($B$4=1,OFFSET(StateModDepletions_BLNoRes!AI$5,$AM96,0)))</f>
        <v>#N/A</v>
      </c>
      <c r="AJ96" s="315" t="e">
        <f ca="1">IF($B$4=0,OFFSET(StateModDepletions_BL!AJ$5,$AM96,0),IF($B$4=1,OFFSET(StateModDepletions_BLNoRes!AJ$5,$AM96,0)))</f>
        <v>#N/A</v>
      </c>
      <c r="AK96" s="519" t="e">
        <f t="shared" si="11"/>
        <v>#N/A</v>
      </c>
      <c r="AL96" s="519" t="e">
        <f t="shared" si="12"/>
        <v>#N/A</v>
      </c>
      <c r="AM96" s="519" t="e">
        <f>MATCH($AL96,StateModDepletions_BL!$A$6:$A$90,0)</f>
        <v>#N/A</v>
      </c>
    </row>
    <row r="97" spans="1:39" ht="15.75" thickBot="1" x14ac:dyDescent="0.3">
      <c r="A97" s="519" t="e">
        <f t="shared" si="10"/>
        <v>#N/A</v>
      </c>
      <c r="B97" s="316"/>
      <c r="C97" s="317"/>
      <c r="D97" s="317"/>
      <c r="E97" s="317"/>
      <c r="F97" s="317"/>
      <c r="G97" s="317"/>
      <c r="H97" s="317"/>
      <c r="I97" s="317"/>
      <c r="J97" s="317"/>
      <c r="K97" s="317"/>
      <c r="L97" s="317"/>
      <c r="M97" s="317"/>
      <c r="N97" s="317"/>
      <c r="O97" s="317"/>
      <c r="P97" s="317"/>
      <c r="Q97" s="317"/>
      <c r="R97" s="317"/>
      <c r="S97" s="317"/>
      <c r="T97" s="317"/>
      <c r="U97" s="317"/>
      <c r="V97" s="317"/>
      <c r="W97" s="317"/>
      <c r="X97" s="317"/>
      <c r="Y97" s="317"/>
      <c r="Z97" s="317"/>
      <c r="AA97" s="318"/>
      <c r="AB97" s="319"/>
      <c r="AC97" s="319"/>
      <c r="AD97" s="319"/>
      <c r="AE97" s="319"/>
      <c r="AF97" s="319"/>
      <c r="AG97" s="319"/>
      <c r="AH97" s="319"/>
      <c r="AI97" s="319"/>
      <c r="AJ97" s="320"/>
      <c r="AK97" s="519" t="e">
        <f t="shared" si="11"/>
        <v>#N/A</v>
      </c>
      <c r="AL97" s="519" t="e">
        <f t="shared" si="12"/>
        <v>#N/A</v>
      </c>
      <c r="AM97" s="519" t="e">
        <f>MATCH($AL97,StateModDepletions_BL!$A$6:$A$90,0)</f>
        <v>#N/A</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950C1-CF4E-433E-A67B-2F57E606291E}">
  <sheetPr codeName="Sheet14">
    <tabColor rgb="FFC00000"/>
  </sheetPr>
  <dimension ref="A1:AK90"/>
  <sheetViews>
    <sheetView topLeftCell="A6" zoomScale="55" zoomScaleNormal="55" workbookViewId="0">
      <selection activeCell="U94" sqref="U94"/>
    </sheetView>
  </sheetViews>
  <sheetFormatPr defaultRowHeight="15" x14ac:dyDescent="0.25"/>
  <cols>
    <col min="1" max="1" width="13" style="494" bestFit="1" customWidth="1" collapsed="1"/>
    <col min="2" max="3" width="9.28515625" style="494" bestFit="1" customWidth="1" collapsed="1"/>
    <col min="4" max="4" width="9.7109375" style="494" bestFit="1" customWidth="1" collapsed="1"/>
    <col min="5" max="8" width="9.28515625" style="494" bestFit="1" customWidth="1" collapsed="1"/>
    <col min="9" max="9" width="9.7109375" style="494" bestFit="1" customWidth="1" collapsed="1"/>
    <col min="10" max="22" width="9.28515625" style="494" bestFit="1" customWidth="1" collapsed="1"/>
    <col min="23" max="23" width="9.7109375" style="494" bestFit="1" customWidth="1" collapsed="1"/>
    <col min="24" max="25" width="9.28515625" style="494" bestFit="1" customWidth="1" collapsed="1"/>
    <col min="26" max="26" width="9.7109375" style="494" bestFit="1" customWidth="1" collapsed="1"/>
    <col min="27" max="36" width="12.7109375" style="494" customWidth="1" collapsed="1"/>
    <col min="37" max="16384" width="9.140625" style="494"/>
  </cols>
  <sheetData>
    <row r="1" spans="1:37" x14ac:dyDescent="0.25">
      <c r="A1" s="521" t="s">
        <v>309</v>
      </c>
      <c r="B1" s="522">
        <f>AVERAGE(B$6:B$90)</f>
        <v>31721.659133970916</v>
      </c>
      <c r="C1" s="522">
        <f t="shared" ref="C1:AJ1" si="0">AVERAGE(C$6:C$90)</f>
        <v>1026.0025346279144</v>
      </c>
      <c r="D1" s="522">
        <f t="shared" si="0"/>
        <v>91094.454309920475</v>
      </c>
      <c r="E1" s="522">
        <f t="shared" si="0"/>
        <v>2810.7051087617874</v>
      </c>
      <c r="F1" s="522">
        <f t="shared" si="0"/>
        <v>15451.932363936085</v>
      </c>
      <c r="G1" s="522">
        <f t="shared" si="0"/>
        <v>2036.5992698669434</v>
      </c>
      <c r="H1" s="522">
        <f t="shared" si="0"/>
        <v>2838.8627778291702</v>
      </c>
      <c r="I1" s="522">
        <f t="shared" si="0"/>
        <v>102587.94621147659</v>
      </c>
      <c r="J1" s="522">
        <f t="shared" si="0"/>
        <v>2375.9726961340225</v>
      </c>
      <c r="K1" s="522">
        <f t="shared" si="0"/>
        <v>19102.188742637634</v>
      </c>
      <c r="L1" s="522">
        <f t="shared" si="0"/>
        <v>17169.393423271405</v>
      </c>
      <c r="M1" s="522">
        <f t="shared" si="0"/>
        <v>1349.6109746138432</v>
      </c>
      <c r="N1" s="522">
        <f t="shared" si="0"/>
        <v>1326.6977829933167</v>
      </c>
      <c r="O1" s="522">
        <f t="shared" si="0"/>
        <v>38002.69709933205</v>
      </c>
      <c r="P1" s="522">
        <f t="shared" si="0"/>
        <v>379.72302230766843</v>
      </c>
      <c r="Q1" s="522">
        <f t="shared" si="0"/>
        <v>15617.75496055535</v>
      </c>
      <c r="R1" s="522">
        <f t="shared" si="0"/>
        <v>598.83215999603271</v>
      </c>
      <c r="S1" s="522">
        <f t="shared" si="0"/>
        <v>0</v>
      </c>
      <c r="T1" s="522">
        <f t="shared" si="0"/>
        <v>15945.950641851503</v>
      </c>
      <c r="U1" s="522">
        <f t="shared" si="0"/>
        <v>1462.2704996096129</v>
      </c>
      <c r="V1" s="522">
        <f t="shared" si="0"/>
        <v>11945.651914360267</v>
      </c>
      <c r="W1" s="522">
        <f t="shared" si="0"/>
        <v>130621.67155166905</v>
      </c>
      <c r="X1" s="522">
        <f t="shared" si="0"/>
        <v>5631.4798803242938</v>
      </c>
      <c r="Y1" s="522">
        <f t="shared" si="0"/>
        <v>212.11356273293495</v>
      </c>
      <c r="Z1" s="522">
        <f t="shared" si="0"/>
        <v>214663.79801429046</v>
      </c>
      <c r="AA1" s="522">
        <f t="shared" si="0"/>
        <v>78198.533019564318</v>
      </c>
      <c r="AB1" s="522">
        <f t="shared" si="0"/>
        <v>24751.756629228592</v>
      </c>
      <c r="AC1" s="522">
        <f t="shared" si="0"/>
        <v>32747.66166859883</v>
      </c>
      <c r="AD1" s="522">
        <f t="shared" si="0"/>
        <v>17488.531633803028</v>
      </c>
      <c r="AE1" s="522">
        <f t="shared" si="0"/>
        <v>104963.91890761061</v>
      </c>
      <c r="AF1" s="522">
        <f t="shared" si="0"/>
        <v>18519.004397885245</v>
      </c>
      <c r="AG1" s="522">
        <f t="shared" si="0"/>
        <v>38382.42012163972</v>
      </c>
      <c r="AH1" s="522">
        <f t="shared" si="0"/>
        <v>16216.587120551383</v>
      </c>
      <c r="AI1" s="522">
        <f t="shared" si="0"/>
        <v>17408.221141461116</v>
      </c>
      <c r="AJ1" s="522">
        <f t="shared" si="0"/>
        <v>136253.15143199329</v>
      </c>
    </row>
    <row r="2" spans="1:37" x14ac:dyDescent="0.25">
      <c r="A2" s="523" t="s">
        <v>310</v>
      </c>
      <c r="B2" s="524">
        <f>MIN(B$6:B$90)</f>
        <v>25159.440965354443</v>
      </c>
      <c r="C2" s="524">
        <f t="shared" ref="C2:AJ2" si="1">MIN(C$6:C$90)</f>
        <v>1026.0025346279144</v>
      </c>
      <c r="D2" s="524">
        <f t="shared" si="1"/>
        <v>3234.6556396484375</v>
      </c>
      <c r="E2" s="524">
        <f t="shared" si="1"/>
        <v>2810.7051087617874</v>
      </c>
      <c r="F2" s="524">
        <f t="shared" si="1"/>
        <v>9919.1260161325336</v>
      </c>
      <c r="G2" s="524">
        <f t="shared" si="1"/>
        <v>2036.5992698669434</v>
      </c>
      <c r="H2" s="524">
        <f t="shared" si="1"/>
        <v>2838.8627778291702</v>
      </c>
      <c r="I2" s="524">
        <f t="shared" si="1"/>
        <v>71471.089888095856</v>
      </c>
      <c r="J2" s="524">
        <f t="shared" si="1"/>
        <v>1317.3781144618988</v>
      </c>
      <c r="K2" s="524">
        <f t="shared" si="1"/>
        <v>17935.719019889832</v>
      </c>
      <c r="L2" s="524">
        <f t="shared" si="1"/>
        <v>12869.110400743779</v>
      </c>
      <c r="M2" s="524">
        <f t="shared" si="1"/>
        <v>912.17925810813904</v>
      </c>
      <c r="N2" s="524">
        <f t="shared" si="1"/>
        <v>1326.6977829933167</v>
      </c>
      <c r="O2" s="524">
        <f t="shared" si="1"/>
        <v>11704.532083502263</v>
      </c>
      <c r="P2" s="524">
        <f t="shared" si="1"/>
        <v>267.43048429489136</v>
      </c>
      <c r="Q2" s="524">
        <f t="shared" si="1"/>
        <v>5104.6303098872304</v>
      </c>
      <c r="R2" s="524">
        <f t="shared" si="1"/>
        <v>598.83215999603271</v>
      </c>
      <c r="S2" s="524">
        <f t="shared" si="1"/>
        <v>0</v>
      </c>
      <c r="T2" s="524">
        <f t="shared" si="1"/>
        <v>4420.8252652295678</v>
      </c>
      <c r="U2" s="524">
        <f t="shared" si="1"/>
        <v>1353.1931121349335</v>
      </c>
      <c r="V2" s="524">
        <f t="shared" si="1"/>
        <v>3064.0313931107521</v>
      </c>
      <c r="W2" s="524">
        <f t="shared" si="1"/>
        <v>79697.911122927573</v>
      </c>
      <c r="X2" s="524">
        <f t="shared" si="1"/>
        <v>4547.4637647284562</v>
      </c>
      <c r="Y2" s="524">
        <f t="shared" si="1"/>
        <v>212.11356273293495</v>
      </c>
      <c r="Z2" s="524">
        <f t="shared" si="1"/>
        <v>130283.96319517493</v>
      </c>
      <c r="AA2" s="524">
        <f t="shared" si="1"/>
        <v>35823.23022418256</v>
      </c>
      <c r="AB2" s="524">
        <f t="shared" si="1"/>
        <v>23585.286906480789</v>
      </c>
      <c r="AC2" s="524">
        <f t="shared" si="1"/>
        <v>26185.443499982357</v>
      </c>
      <c r="AD2" s="524">
        <f t="shared" si="1"/>
        <v>11955.725285999477</v>
      </c>
      <c r="AE2" s="524">
        <f t="shared" si="1"/>
        <v>72955.914783716202</v>
      </c>
      <c r="AF2" s="524">
        <f t="shared" si="1"/>
        <v>14232.487855978306</v>
      </c>
      <c r="AG2" s="524">
        <f t="shared" si="1"/>
        <v>11987.918047180623</v>
      </c>
      <c r="AH2" s="524">
        <f t="shared" si="1"/>
        <v>5703.4624698832631</v>
      </c>
      <c r="AI2" s="524">
        <f t="shared" si="1"/>
        <v>5804.9668499975278</v>
      </c>
      <c r="AJ2" s="524">
        <f t="shared" si="1"/>
        <v>84245.374887656028</v>
      </c>
    </row>
    <row r="3" spans="1:37" ht="15.75" thickBot="1" x14ac:dyDescent="0.3">
      <c r="A3" s="525" t="s">
        <v>311</v>
      </c>
      <c r="B3" s="526">
        <f>MAX(B$6:B$90)</f>
        <v>37568.151311397552</v>
      </c>
      <c r="C3" s="526">
        <f t="shared" ref="C3:AJ3" si="2">MAX(C$6:C$90)</f>
        <v>1026.0025346279144</v>
      </c>
      <c r="D3" s="526">
        <f t="shared" si="2"/>
        <v>191640.84257507324</v>
      </c>
      <c r="E3" s="526">
        <f t="shared" si="2"/>
        <v>2810.7051087617874</v>
      </c>
      <c r="F3" s="526">
        <f t="shared" si="2"/>
        <v>17467.8857229352</v>
      </c>
      <c r="G3" s="526">
        <f t="shared" si="2"/>
        <v>2036.5992698669434</v>
      </c>
      <c r="H3" s="526">
        <f t="shared" si="2"/>
        <v>2838.8627778291702</v>
      </c>
      <c r="I3" s="526">
        <f t="shared" si="2"/>
        <v>115008.02590584755</v>
      </c>
      <c r="J3" s="526">
        <f t="shared" si="2"/>
        <v>2696.029901266098</v>
      </c>
      <c r="K3" s="526">
        <f t="shared" si="2"/>
        <v>19116.242594718933</v>
      </c>
      <c r="L3" s="526">
        <f t="shared" si="2"/>
        <v>20482.824206374571</v>
      </c>
      <c r="M3" s="526">
        <f t="shared" si="2"/>
        <v>1438.5394735336304</v>
      </c>
      <c r="N3" s="526">
        <f t="shared" si="2"/>
        <v>1326.6977829933167</v>
      </c>
      <c r="O3" s="526">
        <f t="shared" si="2"/>
        <v>51768.329088537474</v>
      </c>
      <c r="P3" s="526">
        <f t="shared" si="2"/>
        <v>544.84344577789307</v>
      </c>
      <c r="Q3" s="526">
        <f t="shared" si="2"/>
        <v>23194.015044294298</v>
      </c>
      <c r="R3" s="526">
        <f t="shared" si="2"/>
        <v>598.83215999603271</v>
      </c>
      <c r="S3" s="526">
        <f t="shared" si="2"/>
        <v>0</v>
      </c>
      <c r="T3" s="526">
        <f t="shared" si="2"/>
        <v>26657.148342332031</v>
      </c>
      <c r="U3" s="526">
        <f t="shared" si="2"/>
        <v>1583.6459755762935</v>
      </c>
      <c r="V3" s="526">
        <f t="shared" si="2"/>
        <v>17656.200043678284</v>
      </c>
      <c r="W3" s="526">
        <f t="shared" si="2"/>
        <v>163350.64299086825</v>
      </c>
      <c r="X3" s="526">
        <f t="shared" si="2"/>
        <v>6094.1022396683693</v>
      </c>
      <c r="Y3" s="526">
        <f t="shared" si="2"/>
        <v>212.11356273293495</v>
      </c>
      <c r="Z3" s="526">
        <f t="shared" si="2"/>
        <v>264037.38139343262</v>
      </c>
      <c r="AA3" s="526">
        <f t="shared" si="2"/>
        <v>129147.41309344798</v>
      </c>
      <c r="AB3" s="526">
        <f t="shared" si="2"/>
        <v>24765.810481309891</v>
      </c>
      <c r="AC3" s="526">
        <f t="shared" si="2"/>
        <v>38594.153846025467</v>
      </c>
      <c r="AD3" s="526">
        <f t="shared" si="2"/>
        <v>19504.484992802143</v>
      </c>
      <c r="AE3" s="526">
        <f t="shared" si="2"/>
        <v>117572.51014709473</v>
      </c>
      <c r="AF3" s="526">
        <f t="shared" si="2"/>
        <v>21872.030249141142</v>
      </c>
      <c r="AG3" s="526">
        <f t="shared" si="2"/>
        <v>52287.211341945906</v>
      </c>
      <c r="AH3" s="526">
        <f t="shared" si="2"/>
        <v>23792.84720429033</v>
      </c>
      <c r="AI3" s="526">
        <f t="shared" si="2"/>
        <v>28213.801593901942</v>
      </c>
      <c r="AJ3" s="526">
        <f t="shared" si="2"/>
        <v>168542.3329720904</v>
      </c>
    </row>
    <row r="4" spans="1:37" x14ac:dyDescent="0.25">
      <c r="A4" s="527"/>
      <c r="B4" s="527"/>
      <c r="C4" s="527"/>
      <c r="D4" s="527"/>
      <c r="E4" s="527"/>
      <c r="F4" s="527"/>
      <c r="G4" s="527"/>
      <c r="H4" s="527"/>
      <c r="I4" s="527"/>
      <c r="J4" s="527"/>
      <c r="K4" s="527"/>
      <c r="L4" s="527"/>
      <c r="M4" s="527"/>
      <c r="N4" s="527"/>
      <c r="O4" s="527"/>
      <c r="P4" s="527"/>
      <c r="Q4" s="527"/>
      <c r="R4" s="527"/>
      <c r="S4" s="527"/>
      <c r="T4" s="527"/>
      <c r="U4" s="527"/>
      <c r="V4" s="527"/>
      <c r="W4" s="527"/>
      <c r="X4" s="527"/>
      <c r="Y4" s="527"/>
      <c r="Z4" s="527"/>
      <c r="AA4" s="528" t="s">
        <v>312</v>
      </c>
      <c r="AB4" s="529"/>
      <c r="AC4" s="530"/>
      <c r="AD4" s="530"/>
      <c r="AE4" s="530"/>
      <c r="AF4" s="530"/>
      <c r="AG4" s="530"/>
      <c r="AH4" s="530"/>
      <c r="AI4" s="530"/>
      <c r="AJ4" s="531"/>
    </row>
    <row r="5" spans="1:37" ht="105.75" thickBot="1" x14ac:dyDescent="0.3">
      <c r="A5" s="532" t="s">
        <v>313</v>
      </c>
      <c r="B5" s="527" t="s">
        <v>314</v>
      </c>
      <c r="C5" s="527" t="s">
        <v>315</v>
      </c>
      <c r="D5" s="527" t="s">
        <v>316</v>
      </c>
      <c r="E5" s="527" t="s">
        <v>317</v>
      </c>
      <c r="F5" s="527" t="s">
        <v>318</v>
      </c>
      <c r="G5" s="527" t="s">
        <v>319</v>
      </c>
      <c r="H5" s="527" t="s">
        <v>320</v>
      </c>
      <c r="I5" s="527" t="s">
        <v>321</v>
      </c>
      <c r="J5" s="527" t="s">
        <v>322</v>
      </c>
      <c r="K5" s="527" t="s">
        <v>323</v>
      </c>
      <c r="L5" s="527" t="s">
        <v>324</v>
      </c>
      <c r="M5" s="527" t="s">
        <v>325</v>
      </c>
      <c r="N5" s="527" t="s">
        <v>326</v>
      </c>
      <c r="O5" s="527" t="s">
        <v>327</v>
      </c>
      <c r="P5" s="527" t="s">
        <v>328</v>
      </c>
      <c r="Q5" s="527" t="s">
        <v>329</v>
      </c>
      <c r="R5" s="527" t="s">
        <v>330</v>
      </c>
      <c r="S5" s="527" t="s">
        <v>331</v>
      </c>
      <c r="T5" s="527" t="s">
        <v>332</v>
      </c>
      <c r="U5" s="527" t="s">
        <v>333</v>
      </c>
      <c r="V5" s="527" t="s">
        <v>334</v>
      </c>
      <c r="W5" s="527" t="s">
        <v>125</v>
      </c>
      <c r="X5" s="527" t="s">
        <v>335</v>
      </c>
      <c r="Y5" s="527" t="s">
        <v>336</v>
      </c>
      <c r="Z5" s="527" t="s">
        <v>337</v>
      </c>
      <c r="AA5" s="533" t="s">
        <v>177</v>
      </c>
      <c r="AB5" s="534" t="s">
        <v>338</v>
      </c>
      <c r="AC5" s="534" t="s">
        <v>339</v>
      </c>
      <c r="AD5" s="534" t="s">
        <v>340</v>
      </c>
      <c r="AE5" s="534" t="s">
        <v>341</v>
      </c>
      <c r="AF5" s="534" t="s">
        <v>342</v>
      </c>
      <c r="AG5" s="534" t="s">
        <v>343</v>
      </c>
      <c r="AH5" s="534" t="s">
        <v>344</v>
      </c>
      <c r="AI5" s="534" t="s">
        <v>345</v>
      </c>
      <c r="AJ5" s="535" t="s">
        <v>346</v>
      </c>
    </row>
    <row r="6" spans="1:37" x14ac:dyDescent="0.25">
      <c r="A6" s="494">
        <v>1929</v>
      </c>
      <c r="B6" s="536">
        <v>32943.122581966221</v>
      </c>
      <c r="C6" s="537">
        <v>1026.0025346279144</v>
      </c>
      <c r="D6" s="537">
        <v>147150.1963596344</v>
      </c>
      <c r="E6" s="537">
        <v>2810.7051087617874</v>
      </c>
      <c r="F6" s="537">
        <v>16247.769269451499</v>
      </c>
      <c r="G6" s="537">
        <v>2036.5992698669434</v>
      </c>
      <c r="H6" s="537">
        <v>2838.8627778291702</v>
      </c>
      <c r="I6" s="537">
        <v>100289.63148786128</v>
      </c>
      <c r="J6" s="537">
        <v>2650.5328900814056</v>
      </c>
      <c r="K6" s="537">
        <v>19116.242594718933</v>
      </c>
      <c r="L6" s="537">
        <v>15475.654380455608</v>
      </c>
      <c r="M6" s="537">
        <v>1352.5338892936707</v>
      </c>
      <c r="N6" s="537">
        <v>1326.6977829933167</v>
      </c>
      <c r="O6" s="537">
        <v>44999.643507136483</v>
      </c>
      <c r="P6" s="537">
        <v>374.25252342224121</v>
      </c>
      <c r="Q6" s="537">
        <v>18813.154565809295</v>
      </c>
      <c r="R6" s="537">
        <v>598.83215999603271</v>
      </c>
      <c r="S6" s="537">
        <v>0</v>
      </c>
      <c r="T6" s="537">
        <v>20891.560157893673</v>
      </c>
      <c r="U6" s="537">
        <v>1497.7056555151939</v>
      </c>
      <c r="V6" s="537">
        <v>15758.559514045715</v>
      </c>
      <c r="W6" s="537">
        <v>127698.42142096504</v>
      </c>
      <c r="X6" s="537">
        <v>5875.3226467370987</v>
      </c>
      <c r="Y6" s="537">
        <v>212.11356273293495</v>
      </c>
      <c r="Z6" s="537">
        <v>208895.09327602386</v>
      </c>
      <c r="AA6" s="538">
        <v>75109.235645588793</v>
      </c>
      <c r="AB6" s="539">
        <v>24765.810481309891</v>
      </c>
      <c r="AC6" s="539">
        <v>33969.125116594136</v>
      </c>
      <c r="AD6" s="539">
        <v>18284.368539318442</v>
      </c>
      <c r="AE6" s="539">
        <v>102940.16437794268</v>
      </c>
      <c r="AF6" s="539">
        <v>16828.188269749277</v>
      </c>
      <c r="AG6" s="539">
        <v>45373.896030558724</v>
      </c>
      <c r="AH6" s="539">
        <v>19411.986725805327</v>
      </c>
      <c r="AI6" s="539">
        <v>22389.265813408867</v>
      </c>
      <c r="AJ6" s="540">
        <v>133573.74406770215</v>
      </c>
      <c r="AK6" s="541"/>
    </row>
    <row r="7" spans="1:37" x14ac:dyDescent="0.25">
      <c r="A7" s="494">
        <v>1930</v>
      </c>
      <c r="B7" s="542">
        <v>31682.82786526531</v>
      </c>
      <c r="C7" s="541">
        <v>1026.0025346279144</v>
      </c>
      <c r="D7" s="541">
        <v>71485.592948913574</v>
      </c>
      <c r="E7" s="541">
        <v>2810.7051087617874</v>
      </c>
      <c r="F7" s="541">
        <v>15842.428258892614</v>
      </c>
      <c r="G7" s="541">
        <v>2036.5992698669434</v>
      </c>
      <c r="H7" s="541">
        <v>2838.8627778291702</v>
      </c>
      <c r="I7" s="541">
        <v>102453.03227811307</v>
      </c>
      <c r="J7" s="541">
        <v>1952.746833562851</v>
      </c>
      <c r="K7" s="541">
        <v>19116.242594718933</v>
      </c>
      <c r="L7" s="541">
        <v>15997.548434443779</v>
      </c>
      <c r="M7" s="541">
        <v>1406.2581839561462</v>
      </c>
      <c r="N7" s="541">
        <v>1326.6977829933167</v>
      </c>
      <c r="O7" s="541">
        <v>39408.06304758646</v>
      </c>
      <c r="P7" s="541">
        <v>338.22071814537048</v>
      </c>
      <c r="Q7" s="541">
        <v>14077.670300109312</v>
      </c>
      <c r="R7" s="541">
        <v>598.83215999603271</v>
      </c>
      <c r="S7" s="541">
        <v>0</v>
      </c>
      <c r="T7" s="541">
        <v>13318.905240083113</v>
      </c>
      <c r="U7" s="541">
        <v>1436.6377691073042</v>
      </c>
      <c r="V7" s="541">
        <v>12123.480282783508</v>
      </c>
      <c r="W7" s="541">
        <v>134896.07023844466</v>
      </c>
      <c r="X7" s="541">
        <v>5771.3805716149509</v>
      </c>
      <c r="Y7" s="541">
        <v>212.11356273293495</v>
      </c>
      <c r="Z7" s="541">
        <v>202969.3631567955</v>
      </c>
      <c r="AA7" s="543">
        <v>62089.798784002953</v>
      </c>
      <c r="AB7" s="544">
        <v>24765.810481309891</v>
      </c>
      <c r="AC7" s="544">
        <v>32708.830399893224</v>
      </c>
      <c r="AD7" s="544">
        <v>17879.027528759558</v>
      </c>
      <c r="AE7" s="544">
        <v>104405.77911167592</v>
      </c>
      <c r="AF7" s="544">
        <v>17403.806618399925</v>
      </c>
      <c r="AG7" s="544">
        <v>39746.28376573183</v>
      </c>
      <c r="AH7" s="544">
        <v>14676.502460105345</v>
      </c>
      <c r="AI7" s="544">
        <v>14755.543009190418</v>
      </c>
      <c r="AJ7" s="545">
        <v>140667.45081005961</v>
      </c>
      <c r="AK7" s="541"/>
    </row>
    <row r="8" spans="1:37" x14ac:dyDescent="0.25">
      <c r="A8" s="494">
        <v>1931</v>
      </c>
      <c r="B8" s="542">
        <v>31476.705325834453</v>
      </c>
      <c r="C8" s="541">
        <v>1026.0025346279144</v>
      </c>
      <c r="D8" s="541">
        <v>48527.629333496094</v>
      </c>
      <c r="E8" s="541">
        <v>2810.7051087617874</v>
      </c>
      <c r="F8" s="541">
        <v>15605.476575061679</v>
      </c>
      <c r="G8" s="541">
        <v>2036.5992698669434</v>
      </c>
      <c r="H8" s="541">
        <v>2838.8627778291702</v>
      </c>
      <c r="I8" s="541">
        <v>104024.03864276409</v>
      </c>
      <c r="J8" s="541">
        <v>2110.2709577083588</v>
      </c>
      <c r="K8" s="541">
        <v>19116.242594718933</v>
      </c>
      <c r="L8" s="541">
        <v>16577.461978040614</v>
      </c>
      <c r="M8" s="541">
        <v>1255.5566754341125</v>
      </c>
      <c r="N8" s="541">
        <v>1326.6977829933167</v>
      </c>
      <c r="O8" s="541">
        <v>28006.309250956845</v>
      </c>
      <c r="P8" s="541">
        <v>269.15010619163513</v>
      </c>
      <c r="Q8" s="541">
        <v>11080.349627077579</v>
      </c>
      <c r="R8" s="541">
        <v>598.83215999603271</v>
      </c>
      <c r="S8" s="541">
        <v>0</v>
      </c>
      <c r="T8" s="541">
        <v>7889.910753321722</v>
      </c>
      <c r="U8" s="541">
        <v>1381.3535134399422</v>
      </c>
      <c r="V8" s="541">
        <v>9875.3438539505005</v>
      </c>
      <c r="W8" s="541">
        <v>145593.18835562811</v>
      </c>
      <c r="X8" s="541">
        <v>5511.4449573159218</v>
      </c>
      <c r="Y8" s="541">
        <v>212.11356273293495</v>
      </c>
      <c r="Z8" s="541">
        <v>210846.3484992981</v>
      </c>
      <c r="AA8" s="543">
        <v>59529.601623621129</v>
      </c>
      <c r="AB8" s="544">
        <v>24765.810481309891</v>
      </c>
      <c r="AC8" s="544">
        <v>32502.707860462368</v>
      </c>
      <c r="AD8" s="544">
        <v>17642.075844928622</v>
      </c>
      <c r="AE8" s="544">
        <v>106134.30960047245</v>
      </c>
      <c r="AF8" s="544">
        <v>17833.018653474726</v>
      </c>
      <c r="AG8" s="544">
        <v>28275.45935714848</v>
      </c>
      <c r="AH8" s="544">
        <v>11679.181787073612</v>
      </c>
      <c r="AI8" s="544">
        <v>9271.2642667616637</v>
      </c>
      <c r="AJ8" s="545">
        <v>151104.63331294403</v>
      </c>
      <c r="AK8" s="541"/>
    </row>
    <row r="9" spans="1:37" x14ac:dyDescent="0.25">
      <c r="A9" s="494">
        <v>1932</v>
      </c>
      <c r="B9" s="542">
        <v>32693.232559446245</v>
      </c>
      <c r="C9" s="541">
        <v>1026.0025346279144</v>
      </c>
      <c r="D9" s="541">
        <v>147290.98083496094</v>
      </c>
      <c r="E9" s="541">
        <v>2810.7051087617874</v>
      </c>
      <c r="F9" s="541">
        <v>16309.233678504825</v>
      </c>
      <c r="G9" s="541">
        <v>2036.5992698669434</v>
      </c>
      <c r="H9" s="541">
        <v>2838.8627778291702</v>
      </c>
      <c r="I9" s="541">
        <v>102694.11407230049</v>
      </c>
      <c r="J9" s="541">
        <v>2490.8101155757904</v>
      </c>
      <c r="K9" s="541">
        <v>19116.242594718933</v>
      </c>
      <c r="L9" s="541">
        <v>16066.636273548005</v>
      </c>
      <c r="M9" s="541">
        <v>1262.1092133522034</v>
      </c>
      <c r="N9" s="541">
        <v>1326.6977829933167</v>
      </c>
      <c r="O9" s="541">
        <v>46284.786156548638</v>
      </c>
      <c r="P9" s="541">
        <v>477.05621123313904</v>
      </c>
      <c r="Q9" s="541">
        <v>18969.902119606733</v>
      </c>
      <c r="R9" s="541">
        <v>598.83215999603271</v>
      </c>
      <c r="S9" s="541">
        <v>0</v>
      </c>
      <c r="T9" s="541">
        <v>18220.159848289564</v>
      </c>
      <c r="U9" s="541">
        <v>1513.7115696668625</v>
      </c>
      <c r="V9" s="541">
        <v>14896.743636131287</v>
      </c>
      <c r="W9" s="541">
        <v>131165.10689868373</v>
      </c>
      <c r="X9" s="541">
        <v>5803.322064705193</v>
      </c>
      <c r="Y9" s="541">
        <v>212.11356273293495</v>
      </c>
      <c r="Z9" s="541">
        <v>208476.78211736679</v>
      </c>
      <c r="AA9" s="543">
        <v>71296.239591244928</v>
      </c>
      <c r="AB9" s="544">
        <v>24765.810481309891</v>
      </c>
      <c r="AC9" s="544">
        <v>33719.23509407416</v>
      </c>
      <c r="AD9" s="544">
        <v>18345.832948371768</v>
      </c>
      <c r="AE9" s="544">
        <v>105184.92418787628</v>
      </c>
      <c r="AF9" s="544">
        <v>17328.74548690021</v>
      </c>
      <c r="AG9" s="544">
        <v>46761.842367781777</v>
      </c>
      <c r="AH9" s="544">
        <v>19568.734279602766</v>
      </c>
      <c r="AI9" s="544">
        <v>19733.871417956427</v>
      </c>
      <c r="AJ9" s="545">
        <v>136968.42896338893</v>
      </c>
      <c r="AK9" s="541"/>
    </row>
    <row r="10" spans="1:37" x14ac:dyDescent="0.25">
      <c r="A10" s="494">
        <v>1933</v>
      </c>
      <c r="B10" s="542">
        <v>31357.614051319659</v>
      </c>
      <c r="C10" s="541">
        <v>1026.0025346279144</v>
      </c>
      <c r="D10" s="541">
        <v>62729.004089355469</v>
      </c>
      <c r="E10" s="541">
        <v>2810.7051087617874</v>
      </c>
      <c r="F10" s="541">
        <v>15470.284036979079</v>
      </c>
      <c r="G10" s="541">
        <v>2036.5992698669434</v>
      </c>
      <c r="H10" s="541">
        <v>2838.8627778291702</v>
      </c>
      <c r="I10" s="541">
        <v>105166.69848337024</v>
      </c>
      <c r="J10" s="541">
        <v>2547.8643777370453</v>
      </c>
      <c r="K10" s="541">
        <v>19116.242594718933</v>
      </c>
      <c r="L10" s="541">
        <v>16457.402533628036</v>
      </c>
      <c r="M10" s="541">
        <v>1331.428768157959</v>
      </c>
      <c r="N10" s="541">
        <v>1326.6977829933167</v>
      </c>
      <c r="O10" s="541">
        <v>39881.425014896769</v>
      </c>
      <c r="P10" s="541">
        <v>298.93194317817688</v>
      </c>
      <c r="Q10" s="541">
        <v>13373.807915760204</v>
      </c>
      <c r="R10" s="541">
        <v>598.83215999603271</v>
      </c>
      <c r="S10" s="541">
        <v>0</v>
      </c>
      <c r="T10" s="541">
        <v>12902.469747884199</v>
      </c>
      <c r="U10" s="541">
        <v>1398.2889706492424</v>
      </c>
      <c r="V10" s="541">
        <v>12346.516634941101</v>
      </c>
      <c r="W10" s="541">
        <v>139521.58915901528</v>
      </c>
      <c r="X10" s="541">
        <v>5454.6922612058652</v>
      </c>
      <c r="Y10" s="541">
        <v>212.11356273293495</v>
      </c>
      <c r="Z10" s="541">
        <v>217446.5963640213</v>
      </c>
      <c r="AA10" s="543">
        <v>72258.201381067222</v>
      </c>
      <c r="AB10" s="544">
        <v>24765.810481309891</v>
      </c>
      <c r="AC10" s="544">
        <v>32383.616585947573</v>
      </c>
      <c r="AD10" s="544">
        <v>17506.883306846023</v>
      </c>
      <c r="AE10" s="544">
        <v>107714.56286110729</v>
      </c>
      <c r="AF10" s="544">
        <v>17788.831301785995</v>
      </c>
      <c r="AG10" s="544">
        <v>40180.356958074946</v>
      </c>
      <c r="AH10" s="544">
        <v>13972.640075756237</v>
      </c>
      <c r="AI10" s="544">
        <v>14300.758718533441</v>
      </c>
      <c r="AJ10" s="545">
        <v>144976.28142022114</v>
      </c>
      <c r="AK10" s="541"/>
    </row>
    <row r="11" spans="1:37" x14ac:dyDescent="0.25">
      <c r="A11" s="494">
        <v>1934</v>
      </c>
      <c r="B11" s="542">
        <v>29728.536326192319</v>
      </c>
      <c r="C11" s="541">
        <v>1026.0025346279144</v>
      </c>
      <c r="D11" s="541">
        <v>28070.748443603516</v>
      </c>
      <c r="E11" s="541">
        <v>2810.7051087617874</v>
      </c>
      <c r="F11" s="541">
        <v>12365.63606454432</v>
      </c>
      <c r="G11" s="541">
        <v>2036.5992698669434</v>
      </c>
      <c r="H11" s="541">
        <v>2838.8627778291702</v>
      </c>
      <c r="I11" s="541">
        <v>84891.66110842675</v>
      </c>
      <c r="J11" s="541">
        <v>1816.0579888820648</v>
      </c>
      <c r="K11" s="541">
        <v>19116.242594718933</v>
      </c>
      <c r="L11" s="541">
        <v>17258.453954152752</v>
      </c>
      <c r="M11" s="541">
        <v>1427.783721446991</v>
      </c>
      <c r="N11" s="541">
        <v>1326.6977829933167</v>
      </c>
      <c r="O11" s="541">
        <v>21901.251936536824</v>
      </c>
      <c r="P11" s="541">
        <v>278.65056848526001</v>
      </c>
      <c r="Q11" s="541">
        <v>9932.9716379698366</v>
      </c>
      <c r="R11" s="541">
        <v>598.83215999603271</v>
      </c>
      <c r="S11" s="541">
        <v>0</v>
      </c>
      <c r="T11" s="541">
        <v>7904.1310593628141</v>
      </c>
      <c r="U11" s="541">
        <v>1387.436940908432</v>
      </c>
      <c r="V11" s="541">
        <v>7272.1424112319946</v>
      </c>
      <c r="W11" s="541">
        <v>120330.23585987433</v>
      </c>
      <c r="X11" s="541">
        <v>5300.3226603375806</v>
      </c>
      <c r="Y11" s="541">
        <v>212.11356273293495</v>
      </c>
      <c r="Z11" s="541">
        <v>192391.66649317741</v>
      </c>
      <c r="AA11" s="543">
        <v>66548.994410232568</v>
      </c>
      <c r="AB11" s="544">
        <v>24765.810481309891</v>
      </c>
      <c r="AC11" s="544">
        <v>30754.538860820234</v>
      </c>
      <c r="AD11" s="544">
        <v>14402.235334411263</v>
      </c>
      <c r="AE11" s="544">
        <v>86707.719097308815</v>
      </c>
      <c r="AF11" s="544">
        <v>18686.237675599743</v>
      </c>
      <c r="AG11" s="544">
        <v>22179.902505022084</v>
      </c>
      <c r="AH11" s="544">
        <v>10531.803797965869</v>
      </c>
      <c r="AI11" s="544">
        <v>9291.568000271247</v>
      </c>
      <c r="AJ11" s="545">
        <v>125630.55852021191</v>
      </c>
      <c r="AK11" s="541"/>
    </row>
    <row r="12" spans="1:37" x14ac:dyDescent="0.25">
      <c r="A12" s="494">
        <v>1935</v>
      </c>
      <c r="B12" s="542">
        <v>32717.139403536916</v>
      </c>
      <c r="C12" s="541">
        <v>1026.0025346279144</v>
      </c>
      <c r="D12" s="541">
        <v>111978.22772216797</v>
      </c>
      <c r="E12" s="541">
        <v>2810.7051087617874</v>
      </c>
      <c r="F12" s="541">
        <v>16337.42050985992</v>
      </c>
      <c r="G12" s="541">
        <v>2036.5992698669434</v>
      </c>
      <c r="H12" s="541">
        <v>2838.8627778291702</v>
      </c>
      <c r="I12" s="541">
        <v>102249.29915971309</v>
      </c>
      <c r="J12" s="541">
        <v>2462.9890468120575</v>
      </c>
      <c r="K12" s="541">
        <v>19116.242594718933</v>
      </c>
      <c r="L12" s="541">
        <v>15794.583375334727</v>
      </c>
      <c r="M12" s="541">
        <v>1205.4692630767822</v>
      </c>
      <c r="N12" s="541">
        <v>1326.6977829933167</v>
      </c>
      <c r="O12" s="541">
        <v>46264.882456390638</v>
      </c>
      <c r="P12" s="541">
        <v>404.49994277954102</v>
      </c>
      <c r="Q12" s="541">
        <v>21271.398954620585</v>
      </c>
      <c r="R12" s="541">
        <v>598.83215999603271</v>
      </c>
      <c r="S12" s="541">
        <v>0</v>
      </c>
      <c r="T12" s="541">
        <v>23313.637082450019</v>
      </c>
      <c r="U12" s="541">
        <v>1568.0591882765293</v>
      </c>
      <c r="V12" s="541">
        <v>15053.875845909119</v>
      </c>
      <c r="W12" s="541">
        <v>131121.55878898842</v>
      </c>
      <c r="X12" s="541">
        <v>5766.5741074650223</v>
      </c>
      <c r="Y12" s="541">
        <v>212.11356273293495</v>
      </c>
      <c r="Z12" s="541">
        <v>247737.88262915611</v>
      </c>
      <c r="AA12" s="543">
        <v>110637.63616996973</v>
      </c>
      <c r="AB12" s="544">
        <v>24765.810481309891</v>
      </c>
      <c r="AC12" s="544">
        <v>33743.14193816483</v>
      </c>
      <c r="AD12" s="544">
        <v>18374.019779726863</v>
      </c>
      <c r="AE12" s="544">
        <v>104712.28820652515</v>
      </c>
      <c r="AF12" s="544">
        <v>17000.052638411507</v>
      </c>
      <c r="AG12" s="544">
        <v>46669.382399170179</v>
      </c>
      <c r="AH12" s="544">
        <v>21870.231114616618</v>
      </c>
      <c r="AI12" s="544">
        <v>24881.696270726548</v>
      </c>
      <c r="AJ12" s="545">
        <v>136888.13289645343</v>
      </c>
      <c r="AK12" s="541"/>
    </row>
    <row r="13" spans="1:37" x14ac:dyDescent="0.25">
      <c r="A13" s="494">
        <v>1936</v>
      </c>
      <c r="B13" s="542">
        <v>31050.518457889557</v>
      </c>
      <c r="C13" s="541">
        <v>1026.0025346279144</v>
      </c>
      <c r="D13" s="541">
        <v>98120.250854492188</v>
      </c>
      <c r="E13" s="541">
        <v>2810.7051087617874</v>
      </c>
      <c r="F13" s="541">
        <v>15161.554196551442</v>
      </c>
      <c r="G13" s="541">
        <v>2036.5992698669434</v>
      </c>
      <c r="H13" s="541">
        <v>2838.8627778291702</v>
      </c>
      <c r="I13" s="541">
        <v>103994.20503920317</v>
      </c>
      <c r="J13" s="541">
        <v>2151.5721833705902</v>
      </c>
      <c r="K13" s="541">
        <v>19116.242594718933</v>
      </c>
      <c r="L13" s="541">
        <v>16395.536453947407</v>
      </c>
      <c r="M13" s="541">
        <v>1429.7300157546997</v>
      </c>
      <c r="N13" s="541">
        <v>1326.6977829933167</v>
      </c>
      <c r="O13" s="541">
        <v>41265.229923082967</v>
      </c>
      <c r="P13" s="541">
        <v>379.50826406478882</v>
      </c>
      <c r="Q13" s="541">
        <v>14886.168405778706</v>
      </c>
      <c r="R13" s="541">
        <v>598.83215999603271</v>
      </c>
      <c r="S13" s="541">
        <v>0</v>
      </c>
      <c r="T13" s="541">
        <v>15437.95302490227</v>
      </c>
      <c r="U13" s="541">
        <v>1453.1673868894577</v>
      </c>
      <c r="V13" s="541">
        <v>10991.752844810486</v>
      </c>
      <c r="W13" s="541">
        <v>136360.40349865303</v>
      </c>
      <c r="X13" s="541">
        <v>5805.3481456786394</v>
      </c>
      <c r="Y13" s="541">
        <v>212.11356273293495</v>
      </c>
      <c r="Z13" s="541">
        <v>221296.78032398224</v>
      </c>
      <c r="AA13" s="543">
        <v>78918.915116917633</v>
      </c>
      <c r="AB13" s="544">
        <v>24765.810481309891</v>
      </c>
      <c r="AC13" s="544">
        <v>32076.520992517471</v>
      </c>
      <c r="AD13" s="544">
        <v>17198.153466418386</v>
      </c>
      <c r="AE13" s="544">
        <v>106145.77722257376</v>
      </c>
      <c r="AF13" s="544">
        <v>17825.266469702106</v>
      </c>
      <c r="AG13" s="544">
        <v>41644.738187147756</v>
      </c>
      <c r="AH13" s="544">
        <v>15485.000565774739</v>
      </c>
      <c r="AI13" s="544">
        <v>16891.12041179173</v>
      </c>
      <c r="AJ13" s="545">
        <v>142165.75164433167</v>
      </c>
      <c r="AK13" s="541"/>
    </row>
    <row r="14" spans="1:37" x14ac:dyDescent="0.25">
      <c r="A14" s="494">
        <v>1937</v>
      </c>
      <c r="B14" s="542">
        <v>32412.865982681513</v>
      </c>
      <c r="C14" s="541">
        <v>1026.0025346279144</v>
      </c>
      <c r="D14" s="541">
        <v>134110.35729980469</v>
      </c>
      <c r="E14" s="541">
        <v>2810.7051087617874</v>
      </c>
      <c r="F14" s="541">
        <v>15903.5967451334</v>
      </c>
      <c r="G14" s="541">
        <v>2036.5992698669434</v>
      </c>
      <c r="H14" s="541">
        <v>2838.8627778291702</v>
      </c>
      <c r="I14" s="541">
        <v>108563.38417986408</v>
      </c>
      <c r="J14" s="541">
        <v>2461.3829457759857</v>
      </c>
      <c r="K14" s="541">
        <v>19116.242594718933</v>
      </c>
      <c r="L14" s="541">
        <v>17120.973829902712</v>
      </c>
      <c r="M14" s="541">
        <v>1429.2977375984192</v>
      </c>
      <c r="N14" s="541">
        <v>1326.6977829933167</v>
      </c>
      <c r="O14" s="541">
        <v>40697.367724923868</v>
      </c>
      <c r="P14" s="541">
        <v>440.43092560768127</v>
      </c>
      <c r="Q14" s="541">
        <v>17894.430375106633</v>
      </c>
      <c r="R14" s="541">
        <v>598.83215999603271</v>
      </c>
      <c r="S14" s="541">
        <v>0</v>
      </c>
      <c r="T14" s="541">
        <v>16889.527537593618</v>
      </c>
      <c r="U14" s="541">
        <v>1502.9027718088491</v>
      </c>
      <c r="V14" s="541">
        <v>13258.551636695862</v>
      </c>
      <c r="W14" s="541">
        <v>137911.46531632886</v>
      </c>
      <c r="X14" s="541">
        <v>5795.372117947787</v>
      </c>
      <c r="Y14" s="541">
        <v>212.11356273293495</v>
      </c>
      <c r="Z14" s="541">
        <v>222134.37148737907</v>
      </c>
      <c r="AA14" s="543">
        <v>78215.420490369492</v>
      </c>
      <c r="AB14" s="544">
        <v>24765.810481309891</v>
      </c>
      <c r="AC14" s="544">
        <v>33438.868517309427</v>
      </c>
      <c r="AD14" s="544">
        <v>17940.196015000343</v>
      </c>
      <c r="AE14" s="544">
        <v>111024.76712564006</v>
      </c>
      <c r="AF14" s="544">
        <v>18550.271567501131</v>
      </c>
      <c r="AG14" s="544">
        <v>41137.798650531549</v>
      </c>
      <c r="AH14" s="544">
        <v>18493.262535102665</v>
      </c>
      <c r="AI14" s="544">
        <v>18392.430309402465</v>
      </c>
      <c r="AJ14" s="545">
        <v>143706.83743427665</v>
      </c>
      <c r="AK14" s="541"/>
    </row>
    <row r="15" spans="1:37" x14ac:dyDescent="0.25">
      <c r="A15" s="494">
        <v>1938</v>
      </c>
      <c r="B15" s="542">
        <v>31347.622138522565</v>
      </c>
      <c r="C15" s="541">
        <v>1026.0025346279144</v>
      </c>
      <c r="D15" s="541">
        <v>139154.48620605469</v>
      </c>
      <c r="E15" s="541">
        <v>2810.7051087617874</v>
      </c>
      <c r="F15" s="541">
        <v>15358.953510761261</v>
      </c>
      <c r="G15" s="541">
        <v>2036.5992698669434</v>
      </c>
      <c r="H15" s="541">
        <v>2838.8627778291702</v>
      </c>
      <c r="I15" s="541">
        <v>101710.50193709135</v>
      </c>
      <c r="J15" s="541">
        <v>2397.0118062496185</v>
      </c>
      <c r="K15" s="541">
        <v>19116.242594718933</v>
      </c>
      <c r="L15" s="541">
        <v>15745.683165520415</v>
      </c>
      <c r="M15" s="541">
        <v>1373.3481931686401</v>
      </c>
      <c r="N15" s="541">
        <v>1326.6977829933167</v>
      </c>
      <c r="O15" s="541">
        <v>46063.024790807147</v>
      </c>
      <c r="P15" s="541">
        <v>473.51040267944336</v>
      </c>
      <c r="Q15" s="541">
        <v>17249.416899606586</v>
      </c>
      <c r="R15" s="541">
        <v>598.83215999603271</v>
      </c>
      <c r="S15" s="541">
        <v>0</v>
      </c>
      <c r="T15" s="541">
        <v>18490.487174822018</v>
      </c>
      <c r="U15" s="541">
        <v>1521.6969308961525</v>
      </c>
      <c r="V15" s="541">
        <v>14570.047814369202</v>
      </c>
      <c r="W15" s="541">
        <v>127445.51945799931</v>
      </c>
      <c r="X15" s="541">
        <v>5873.0589877281418</v>
      </c>
      <c r="Y15" s="541">
        <v>212.11356273293495</v>
      </c>
      <c r="Z15" s="541">
        <v>223787.21753585339</v>
      </c>
      <c r="AA15" s="543">
        <v>90256.525527392994</v>
      </c>
      <c r="AB15" s="544">
        <v>24765.810481309891</v>
      </c>
      <c r="AC15" s="544">
        <v>32373.62467315048</v>
      </c>
      <c r="AD15" s="544">
        <v>17395.552780628204</v>
      </c>
      <c r="AE15" s="544">
        <v>104107.51374334097</v>
      </c>
      <c r="AF15" s="544">
        <v>17119.031358689055</v>
      </c>
      <c r="AG15" s="544">
        <v>46536.53519348659</v>
      </c>
      <c r="AH15" s="544">
        <v>17848.249059602618</v>
      </c>
      <c r="AI15" s="544">
        <v>20012.18410571817</v>
      </c>
      <c r="AJ15" s="545">
        <v>133318.57844572744</v>
      </c>
      <c r="AK15" s="541"/>
    </row>
    <row r="16" spans="1:37" x14ac:dyDescent="0.25">
      <c r="A16" s="494">
        <v>1939</v>
      </c>
      <c r="B16" s="542">
        <v>30374.677242174745</v>
      </c>
      <c r="C16" s="541">
        <v>1026.0025346279144</v>
      </c>
      <c r="D16" s="541">
        <v>72682.315063476563</v>
      </c>
      <c r="E16" s="541">
        <v>2810.7051087617874</v>
      </c>
      <c r="F16" s="541">
        <v>14669.635607719421</v>
      </c>
      <c r="G16" s="541">
        <v>2036.5992698669434</v>
      </c>
      <c r="H16" s="541">
        <v>2838.8627778291702</v>
      </c>
      <c r="I16" s="541">
        <v>105335.46915643662</v>
      </c>
      <c r="J16" s="541">
        <v>2433.4021337032318</v>
      </c>
      <c r="K16" s="541">
        <v>19116.242594718933</v>
      </c>
      <c r="L16" s="541">
        <v>16851.075934059914</v>
      </c>
      <c r="M16" s="541">
        <v>1403.132933139801</v>
      </c>
      <c r="N16" s="541">
        <v>1326.6977829933167</v>
      </c>
      <c r="O16" s="541">
        <v>35762.479442490716</v>
      </c>
      <c r="P16" s="541">
        <v>364.69755601882935</v>
      </c>
      <c r="Q16" s="541">
        <v>10119.823880417272</v>
      </c>
      <c r="R16" s="541">
        <v>598.83215999603271</v>
      </c>
      <c r="S16" s="541">
        <v>0</v>
      </c>
      <c r="T16" s="541">
        <v>10397.524234810733</v>
      </c>
      <c r="U16" s="541">
        <v>1415.9043029646259</v>
      </c>
      <c r="V16" s="541">
        <v>7240.6926755905151</v>
      </c>
      <c r="W16" s="541">
        <v>146037.35145572171</v>
      </c>
      <c r="X16" s="541">
        <v>5800.9555242955685</v>
      </c>
      <c r="Y16" s="541">
        <v>212.11356273293495</v>
      </c>
      <c r="Z16" s="541">
        <v>203431.54347598553</v>
      </c>
      <c r="AA16" s="543">
        <v>51381.12293323531</v>
      </c>
      <c r="AB16" s="544">
        <v>24765.810481309891</v>
      </c>
      <c r="AC16" s="544">
        <v>31400.679776802659</v>
      </c>
      <c r="AD16" s="544">
        <v>16706.234877586365</v>
      </c>
      <c r="AE16" s="544">
        <v>107768.87129013985</v>
      </c>
      <c r="AF16" s="544">
        <v>18254.208867199715</v>
      </c>
      <c r="AG16" s="544">
        <v>36127.176998509545</v>
      </c>
      <c r="AH16" s="544">
        <v>10718.656040413305</v>
      </c>
      <c r="AI16" s="544">
        <v>11813.428537775359</v>
      </c>
      <c r="AJ16" s="545">
        <v>151838.30698001728</v>
      </c>
      <c r="AK16" s="541"/>
    </row>
    <row r="17" spans="1:37" x14ac:dyDescent="0.25">
      <c r="A17" s="494">
        <v>1940</v>
      </c>
      <c r="B17" s="542">
        <v>30405.878153577447</v>
      </c>
      <c r="C17" s="541">
        <v>1026.0025346279144</v>
      </c>
      <c r="D17" s="541">
        <v>61261.331787109375</v>
      </c>
      <c r="E17" s="541">
        <v>2810.7051087617874</v>
      </c>
      <c r="F17" s="541">
        <v>14634.824818879366</v>
      </c>
      <c r="G17" s="541">
        <v>2036.5992698669434</v>
      </c>
      <c r="H17" s="541">
        <v>2838.8627778291702</v>
      </c>
      <c r="I17" s="541">
        <v>103161.08246788383</v>
      </c>
      <c r="J17" s="541">
        <v>2195.3055093288422</v>
      </c>
      <c r="K17" s="541">
        <v>19116.242594718933</v>
      </c>
      <c r="L17" s="541">
        <v>16539.587585002162</v>
      </c>
      <c r="M17" s="541">
        <v>1383.2634892463684</v>
      </c>
      <c r="N17" s="541">
        <v>1326.6977829933167</v>
      </c>
      <c r="O17" s="541">
        <v>25820.400998918787</v>
      </c>
      <c r="P17" s="541">
        <v>304.02299833297729</v>
      </c>
      <c r="Q17" s="541">
        <v>12505.363113299012</v>
      </c>
      <c r="R17" s="541">
        <v>598.83215999603271</v>
      </c>
      <c r="S17" s="541">
        <v>0</v>
      </c>
      <c r="T17" s="541">
        <v>13097.64510184236</v>
      </c>
      <c r="U17" s="541">
        <v>1427.7170102946402</v>
      </c>
      <c r="V17" s="541">
        <v>10779.196904182434</v>
      </c>
      <c r="W17" s="541">
        <v>140122.96889368043</v>
      </c>
      <c r="X17" s="541">
        <v>5783.2685486935079</v>
      </c>
      <c r="Y17" s="541">
        <v>212.11356273293495</v>
      </c>
      <c r="Z17" s="541">
        <v>236940.86011624336</v>
      </c>
      <c r="AA17" s="543">
        <v>90822.509111136489</v>
      </c>
      <c r="AB17" s="544">
        <v>24765.810481309891</v>
      </c>
      <c r="AC17" s="544">
        <v>31431.880688205361</v>
      </c>
      <c r="AD17" s="544">
        <v>16671.424088746309</v>
      </c>
      <c r="AE17" s="544">
        <v>105356.38797721267</v>
      </c>
      <c r="AF17" s="544">
        <v>17922.85107424853</v>
      </c>
      <c r="AG17" s="544">
        <v>26124.423997251764</v>
      </c>
      <c r="AH17" s="544">
        <v>13104.195273295045</v>
      </c>
      <c r="AI17" s="544">
        <v>14525.362112137</v>
      </c>
      <c r="AJ17" s="545">
        <v>145906.23744237394</v>
      </c>
      <c r="AK17" s="541"/>
    </row>
    <row r="18" spans="1:37" x14ac:dyDescent="0.25">
      <c r="A18" s="494">
        <v>1941</v>
      </c>
      <c r="B18" s="542">
        <v>31206.435624666512</v>
      </c>
      <c r="C18" s="541">
        <v>1026.0025346279144</v>
      </c>
      <c r="D18" s="541">
        <v>174052.20443725586</v>
      </c>
      <c r="E18" s="541">
        <v>2810.7051087617874</v>
      </c>
      <c r="F18" s="541">
        <v>15363.179380513728</v>
      </c>
      <c r="G18" s="541">
        <v>2036.5992698669434</v>
      </c>
      <c r="H18" s="541">
        <v>2838.8627778291702</v>
      </c>
      <c r="I18" s="541">
        <v>99464.53553648293</v>
      </c>
      <c r="J18" s="541">
        <v>2696.029901266098</v>
      </c>
      <c r="K18" s="541">
        <v>19116.242594718933</v>
      </c>
      <c r="L18" s="541">
        <v>15289.431476078913</v>
      </c>
      <c r="M18" s="541">
        <v>1391.8434882164001</v>
      </c>
      <c r="N18" s="541">
        <v>1326.6977829933167</v>
      </c>
      <c r="O18" s="541">
        <v>44993.028248576898</v>
      </c>
      <c r="P18" s="541">
        <v>491.40815997123718</v>
      </c>
      <c r="Q18" s="541">
        <v>22743.308371309191</v>
      </c>
      <c r="R18" s="541">
        <v>598.83215999603271</v>
      </c>
      <c r="S18" s="541">
        <v>0</v>
      </c>
      <c r="T18" s="541">
        <v>26583.626140549408</v>
      </c>
      <c r="U18" s="541">
        <v>1520.2035915715915</v>
      </c>
      <c r="V18" s="541">
        <v>17656.200043678284</v>
      </c>
      <c r="W18" s="541">
        <v>123661.31728747829</v>
      </c>
      <c r="X18" s="541">
        <v>5923.695550389335</v>
      </c>
      <c r="Y18" s="541">
        <v>212.11356273293495</v>
      </c>
      <c r="Z18" s="541">
        <v>196432.67501354218</v>
      </c>
      <c r="AA18" s="543">
        <v>66635.548612941609</v>
      </c>
      <c r="AB18" s="544">
        <v>24765.810481309891</v>
      </c>
      <c r="AC18" s="544">
        <v>32232.438159294426</v>
      </c>
      <c r="AD18" s="544">
        <v>17399.778650380671</v>
      </c>
      <c r="AE18" s="544">
        <v>102160.56543774903</v>
      </c>
      <c r="AF18" s="544">
        <v>16681.274964295313</v>
      </c>
      <c r="AG18" s="544">
        <v>45484.436408548136</v>
      </c>
      <c r="AH18" s="544">
        <v>23342.140531305224</v>
      </c>
      <c r="AI18" s="544">
        <v>28103.829732120998</v>
      </c>
      <c r="AJ18" s="545">
        <v>129585.01283786763</v>
      </c>
      <c r="AK18" s="541"/>
    </row>
    <row r="19" spans="1:37" x14ac:dyDescent="0.25">
      <c r="A19" s="494">
        <v>1942</v>
      </c>
      <c r="B19" s="542">
        <v>32597.227653935552</v>
      </c>
      <c r="C19" s="541">
        <v>1026.0025346279144</v>
      </c>
      <c r="D19" s="541">
        <v>84394.242469787598</v>
      </c>
      <c r="E19" s="541">
        <v>2810.7051087617874</v>
      </c>
      <c r="F19" s="541">
        <v>15797.90575915575</v>
      </c>
      <c r="G19" s="541">
        <v>2036.5992698669434</v>
      </c>
      <c r="H19" s="541">
        <v>2838.8627778291702</v>
      </c>
      <c r="I19" s="541">
        <v>105525.08542947099</v>
      </c>
      <c r="J19" s="541">
        <v>2340.2237832546234</v>
      </c>
      <c r="K19" s="541">
        <v>19116.242594718933</v>
      </c>
      <c r="L19" s="541">
        <v>16587.044126242396</v>
      </c>
      <c r="M19" s="541">
        <v>1438.5394735336304</v>
      </c>
      <c r="N19" s="541">
        <v>1326.6977829933167</v>
      </c>
      <c r="O19" s="541">
        <v>48036.574380560298</v>
      </c>
      <c r="P19" s="541">
        <v>536.64314937591553</v>
      </c>
      <c r="Q19" s="541">
        <v>16021.009150348604</v>
      </c>
      <c r="R19" s="541">
        <v>598.83215999603271</v>
      </c>
      <c r="S19" s="541">
        <v>0</v>
      </c>
      <c r="T19" s="541">
        <v>21853.137876832858</v>
      </c>
      <c r="U19" s="541">
        <v>1546.9785040766001</v>
      </c>
      <c r="V19" s="541">
        <v>13305.691897392273</v>
      </c>
      <c r="W19" s="541">
        <v>131219.13296079979</v>
      </c>
      <c r="X19" s="541">
        <v>5956.0490202382207</v>
      </c>
      <c r="Y19" s="541">
        <v>212.11356273293495</v>
      </c>
      <c r="Z19" s="541">
        <v>187064.6359872818</v>
      </c>
      <c r="AA19" s="543">
        <v>49677.340443510853</v>
      </c>
      <c r="AB19" s="544">
        <v>24765.810481309891</v>
      </c>
      <c r="AC19" s="544">
        <v>33623.230188563466</v>
      </c>
      <c r="AD19" s="544">
        <v>17834.505029022694</v>
      </c>
      <c r="AE19" s="544">
        <v>107865.30921272561</v>
      </c>
      <c r="AF19" s="544">
        <v>18025.583599776026</v>
      </c>
      <c r="AG19" s="544">
        <v>48573.217529936213</v>
      </c>
      <c r="AH19" s="544">
        <v>16619.841310344636</v>
      </c>
      <c r="AI19" s="544">
        <v>23400.116380909458</v>
      </c>
      <c r="AJ19" s="545">
        <v>137175.18198103801</v>
      </c>
      <c r="AK19" s="541"/>
    </row>
    <row r="20" spans="1:37" x14ac:dyDescent="0.25">
      <c r="A20" s="494">
        <v>1943</v>
      </c>
      <c r="B20" s="542">
        <v>32832.940780520439</v>
      </c>
      <c r="C20" s="541">
        <v>1026.0025346279144</v>
      </c>
      <c r="D20" s="541">
        <v>86204.664123535156</v>
      </c>
      <c r="E20" s="541">
        <v>2810.7051087617874</v>
      </c>
      <c r="F20" s="541">
        <v>15923.55750310421</v>
      </c>
      <c r="G20" s="541">
        <v>2036.5992698669434</v>
      </c>
      <c r="H20" s="541">
        <v>2838.8627778291702</v>
      </c>
      <c r="I20" s="541">
        <v>103417.68940995634</v>
      </c>
      <c r="J20" s="541">
        <v>2069.5491559505463</v>
      </c>
      <c r="K20" s="541">
        <v>19116.242594718933</v>
      </c>
      <c r="L20" s="541">
        <v>16152.142779625936</v>
      </c>
      <c r="M20" s="541">
        <v>1327.573691368103</v>
      </c>
      <c r="N20" s="541">
        <v>1326.6977829933167</v>
      </c>
      <c r="O20" s="541">
        <v>39185.36632291969</v>
      </c>
      <c r="P20" s="541">
        <v>353.72037434577942</v>
      </c>
      <c r="Q20" s="541">
        <v>15592.385706160218</v>
      </c>
      <c r="R20" s="541">
        <v>598.83215999603271</v>
      </c>
      <c r="S20" s="541">
        <v>0</v>
      </c>
      <c r="T20" s="541">
        <v>18262.277140209451</v>
      </c>
      <c r="U20" s="541">
        <v>1520.0195856690407</v>
      </c>
      <c r="V20" s="541">
        <v>12683.237570762634</v>
      </c>
      <c r="W20" s="541">
        <v>132756.965241078</v>
      </c>
      <c r="X20" s="541">
        <v>5886.5399483889341</v>
      </c>
      <c r="Y20" s="541">
        <v>212.11356273293495</v>
      </c>
      <c r="Z20" s="541">
        <v>209840.0395219326</v>
      </c>
      <c r="AA20" s="543">
        <v>70984.420769732737</v>
      </c>
      <c r="AB20" s="544">
        <v>24765.810481309891</v>
      </c>
      <c r="AC20" s="544">
        <v>33858.943315148354</v>
      </c>
      <c r="AD20" s="544">
        <v>17960.156772971153</v>
      </c>
      <c r="AE20" s="544">
        <v>105487.23856590688</v>
      </c>
      <c r="AF20" s="544">
        <v>17479.716470994041</v>
      </c>
      <c r="AG20" s="544">
        <v>39539.086697265469</v>
      </c>
      <c r="AH20" s="544">
        <v>16191.21786615625</v>
      </c>
      <c r="AI20" s="544">
        <v>19782.296725878492</v>
      </c>
      <c r="AJ20" s="545">
        <v>138643.50518946693</v>
      </c>
      <c r="AK20" s="541"/>
    </row>
    <row r="21" spans="1:37" x14ac:dyDescent="0.25">
      <c r="A21" s="494">
        <v>1944</v>
      </c>
      <c r="B21" s="542">
        <v>32652.725979708135</v>
      </c>
      <c r="C21" s="541">
        <v>1026.0025346279144</v>
      </c>
      <c r="D21" s="541">
        <v>115459.37182617188</v>
      </c>
      <c r="E21" s="541">
        <v>2810.7051087617874</v>
      </c>
      <c r="F21" s="541">
        <v>16109.570566866547</v>
      </c>
      <c r="G21" s="541">
        <v>2036.5992698669434</v>
      </c>
      <c r="H21" s="541">
        <v>2838.8627778291702</v>
      </c>
      <c r="I21" s="541">
        <v>105753.9943369329</v>
      </c>
      <c r="J21" s="541">
        <v>2633.796581029892</v>
      </c>
      <c r="K21" s="541">
        <v>19116.242594718933</v>
      </c>
      <c r="L21" s="541">
        <v>16404.109202884138</v>
      </c>
      <c r="M21" s="541">
        <v>1241.1229095458984</v>
      </c>
      <c r="N21" s="541">
        <v>1326.6977829933167</v>
      </c>
      <c r="O21" s="541">
        <v>47568.708298905272</v>
      </c>
      <c r="P21" s="541">
        <v>498.26240015029907</v>
      </c>
      <c r="Q21" s="541">
        <v>19609.060748584569</v>
      </c>
      <c r="R21" s="541">
        <v>598.83215999603271</v>
      </c>
      <c r="S21" s="541">
        <v>0</v>
      </c>
      <c r="T21" s="541">
        <v>23501.437343109326</v>
      </c>
      <c r="U21" s="541">
        <v>1555.7476612925529</v>
      </c>
      <c r="V21" s="541">
        <v>14882.97659778595</v>
      </c>
      <c r="W21" s="541">
        <v>128702.60688153251</v>
      </c>
      <c r="X21" s="541">
        <v>5894.1916200630367</v>
      </c>
      <c r="Y21" s="541">
        <v>212.11356273293495</v>
      </c>
      <c r="Z21" s="541">
        <v>210278.97888898849</v>
      </c>
      <c r="AA21" s="543">
        <v>75470.066824660011</v>
      </c>
      <c r="AB21" s="544">
        <v>24765.810481309891</v>
      </c>
      <c r="AC21" s="544">
        <v>33678.72851433605</v>
      </c>
      <c r="AD21" s="544">
        <v>18146.16983673349</v>
      </c>
      <c r="AE21" s="544">
        <v>108387.79091796279</v>
      </c>
      <c r="AF21" s="544">
        <v>17645.232112430036</v>
      </c>
      <c r="AG21" s="544">
        <v>48066.970699055571</v>
      </c>
      <c r="AH21" s="544">
        <v>20207.892908580601</v>
      </c>
      <c r="AI21" s="544">
        <v>25057.185004401879</v>
      </c>
      <c r="AJ21" s="545">
        <v>134596.79850159556</v>
      </c>
      <c r="AK21" s="541"/>
    </row>
    <row r="22" spans="1:37" x14ac:dyDescent="0.25">
      <c r="A22" s="494">
        <v>1945</v>
      </c>
      <c r="B22" s="542">
        <v>32521.773738659918</v>
      </c>
      <c r="C22" s="541">
        <v>1026.0025346279144</v>
      </c>
      <c r="D22" s="541">
        <v>103386.51266479492</v>
      </c>
      <c r="E22" s="541">
        <v>2810.7051087617874</v>
      </c>
      <c r="F22" s="541">
        <v>15749.177778422832</v>
      </c>
      <c r="G22" s="541">
        <v>2036.5992698669434</v>
      </c>
      <c r="H22" s="541">
        <v>2838.8627778291702</v>
      </c>
      <c r="I22" s="541">
        <v>106844.40237654746</v>
      </c>
      <c r="J22" s="541">
        <v>2630.0026128292084</v>
      </c>
      <c r="K22" s="541">
        <v>19116.242594718933</v>
      </c>
      <c r="L22" s="541">
        <v>16714.469623118639</v>
      </c>
      <c r="M22" s="541">
        <v>1324.7190070152283</v>
      </c>
      <c r="N22" s="541">
        <v>1326.6977829933167</v>
      </c>
      <c r="O22" s="541">
        <v>40098.270114412306</v>
      </c>
      <c r="P22" s="541">
        <v>344.87947225570679</v>
      </c>
      <c r="Q22" s="541">
        <v>15860.436730362475</v>
      </c>
      <c r="R22" s="541">
        <v>598.83215999603271</v>
      </c>
      <c r="S22" s="541">
        <v>0</v>
      </c>
      <c r="T22" s="541">
        <v>18361.335615592077</v>
      </c>
      <c r="U22" s="541">
        <v>1491.9496465677585</v>
      </c>
      <c r="V22" s="541">
        <v>12563.284537315369</v>
      </c>
      <c r="W22" s="541">
        <v>133702.10698354588</v>
      </c>
      <c r="X22" s="541">
        <v>5877.1961567403323</v>
      </c>
      <c r="Y22" s="541">
        <v>212.11356273293495</v>
      </c>
      <c r="Z22" s="541">
        <v>214999.11407411098</v>
      </c>
      <c r="AA22" s="543">
        <v>75207.697371091839</v>
      </c>
      <c r="AB22" s="544">
        <v>24765.810481309891</v>
      </c>
      <c r="AC22" s="544">
        <v>33547.776273287833</v>
      </c>
      <c r="AD22" s="544">
        <v>17785.777048289776</v>
      </c>
      <c r="AE22" s="544">
        <v>109474.40498937666</v>
      </c>
      <c r="AF22" s="544">
        <v>18039.188630133867</v>
      </c>
      <c r="AG22" s="544">
        <v>40443.149586668012</v>
      </c>
      <c r="AH22" s="544">
        <v>16459.268890358508</v>
      </c>
      <c r="AI22" s="544">
        <v>19853.285262159836</v>
      </c>
      <c r="AJ22" s="545">
        <v>139579.30314028621</v>
      </c>
      <c r="AK22" s="541"/>
    </row>
    <row r="23" spans="1:37" x14ac:dyDescent="0.25">
      <c r="A23" s="494">
        <v>1946</v>
      </c>
      <c r="B23" s="542">
        <v>31460.104874156415</v>
      </c>
      <c r="C23" s="541">
        <v>1026.0025346279144</v>
      </c>
      <c r="D23" s="541">
        <v>38596.943098068237</v>
      </c>
      <c r="E23" s="541">
        <v>2810.7051087617874</v>
      </c>
      <c r="F23" s="541">
        <v>15450.999692365527</v>
      </c>
      <c r="G23" s="541">
        <v>2036.5992698669434</v>
      </c>
      <c r="H23" s="541">
        <v>2838.8627778291702</v>
      </c>
      <c r="I23" s="541">
        <v>103170.33923593163</v>
      </c>
      <c r="J23" s="541">
        <v>2320.6165482997894</v>
      </c>
      <c r="K23" s="541">
        <v>19116.242594718933</v>
      </c>
      <c r="L23" s="541">
        <v>16121.631117480079</v>
      </c>
      <c r="M23" s="541">
        <v>1331.380717664957</v>
      </c>
      <c r="N23" s="541">
        <v>1326.6977829933167</v>
      </c>
      <c r="O23" s="541">
        <v>28694.642833753005</v>
      </c>
      <c r="P23" s="541">
        <v>293.4656355381012</v>
      </c>
      <c r="Q23" s="541">
        <v>12428.141948968172</v>
      </c>
      <c r="R23" s="541">
        <v>598.83215999603271</v>
      </c>
      <c r="S23" s="541">
        <v>0</v>
      </c>
      <c r="T23" s="541">
        <v>9614.9449519784011</v>
      </c>
      <c r="U23" s="541">
        <v>1383.8324329853058</v>
      </c>
      <c r="V23" s="541">
        <v>10261.149859428406</v>
      </c>
      <c r="W23" s="541">
        <v>137158.70985709474</v>
      </c>
      <c r="X23" s="541">
        <v>5849.1684772727685</v>
      </c>
      <c r="Y23" s="541">
        <v>212.11356273293495</v>
      </c>
      <c r="Z23" s="541">
        <v>225840.04540252686</v>
      </c>
      <c r="AA23" s="543">
        <v>82620.053505426404</v>
      </c>
      <c r="AB23" s="544">
        <v>24765.810481309891</v>
      </c>
      <c r="AC23" s="544">
        <v>32486.10740878433</v>
      </c>
      <c r="AD23" s="544">
        <v>17487.598962232471</v>
      </c>
      <c r="AE23" s="544">
        <v>105490.95578423142</v>
      </c>
      <c r="AF23" s="544">
        <v>17453.011835145036</v>
      </c>
      <c r="AG23" s="544">
        <v>28988.108469291106</v>
      </c>
      <c r="AH23" s="544">
        <v>13026.974108964205</v>
      </c>
      <c r="AI23" s="544">
        <v>10998.777384963707</v>
      </c>
      <c r="AJ23" s="545">
        <v>143007.8783343675</v>
      </c>
      <c r="AK23" s="541"/>
    </row>
    <row r="24" spans="1:37" x14ac:dyDescent="0.25">
      <c r="A24" s="494">
        <v>1947</v>
      </c>
      <c r="B24" s="542">
        <v>30124.213036805391</v>
      </c>
      <c r="C24" s="541">
        <v>1026.0025346279144</v>
      </c>
      <c r="D24" s="541">
        <v>69014.953369140625</v>
      </c>
      <c r="E24" s="541">
        <v>2810.7051087617874</v>
      </c>
      <c r="F24" s="541">
        <v>15042.340457072482</v>
      </c>
      <c r="G24" s="541">
        <v>2036.5992698669434</v>
      </c>
      <c r="H24" s="541">
        <v>2838.8627778291702</v>
      </c>
      <c r="I24" s="541">
        <v>101519.4093555063</v>
      </c>
      <c r="J24" s="541">
        <v>2614.0002934932709</v>
      </c>
      <c r="K24" s="541">
        <v>19116.242594718933</v>
      </c>
      <c r="L24" s="541">
        <v>15682.76271882652</v>
      </c>
      <c r="M24" s="541">
        <v>1333.2977938652039</v>
      </c>
      <c r="N24" s="541">
        <v>1326.6977829933167</v>
      </c>
      <c r="O24" s="541">
        <v>39537.457884340067</v>
      </c>
      <c r="P24" s="541">
        <v>335.24912881851196</v>
      </c>
      <c r="Q24" s="541">
        <v>16402.830129288137</v>
      </c>
      <c r="R24" s="541">
        <v>598.83215999603271</v>
      </c>
      <c r="S24" s="541">
        <v>0</v>
      </c>
      <c r="T24" s="541">
        <v>14687.592947090045</v>
      </c>
      <c r="U24" s="541">
        <v>1423.492450594902</v>
      </c>
      <c r="V24" s="541">
        <v>13311.805470466614</v>
      </c>
      <c r="W24" s="541">
        <v>128669.38480666622</v>
      </c>
      <c r="X24" s="541">
        <v>5859.2019937317018</v>
      </c>
      <c r="Y24" s="541">
        <v>212.11356273293495</v>
      </c>
      <c r="Z24" s="541">
        <v>210774.2971739769</v>
      </c>
      <c r="AA24" s="543">
        <v>76033.596810846037</v>
      </c>
      <c r="AB24" s="544">
        <v>24765.810481309891</v>
      </c>
      <c r="AC24" s="544">
        <v>31150.215571433306</v>
      </c>
      <c r="AD24" s="544">
        <v>17078.939726939425</v>
      </c>
      <c r="AE24" s="544">
        <v>104133.40964899957</v>
      </c>
      <c r="AF24" s="544">
        <v>17016.060512691722</v>
      </c>
      <c r="AG24" s="544">
        <v>39872.707013158579</v>
      </c>
      <c r="AH24" s="544">
        <v>17001.66228928417</v>
      </c>
      <c r="AI24" s="544">
        <v>16111.085397684947</v>
      </c>
      <c r="AJ24" s="545">
        <v>134528.58680039793</v>
      </c>
      <c r="AK24" s="541"/>
    </row>
    <row r="25" spans="1:37" x14ac:dyDescent="0.25">
      <c r="A25" s="494">
        <v>1948</v>
      </c>
      <c r="B25" s="542">
        <v>32879.89634180069</v>
      </c>
      <c r="C25" s="541">
        <v>1026.0025346279144</v>
      </c>
      <c r="D25" s="541">
        <v>105388.2919921875</v>
      </c>
      <c r="E25" s="541">
        <v>2810.7051087617874</v>
      </c>
      <c r="F25" s="541">
        <v>16015.982196085155</v>
      </c>
      <c r="G25" s="541">
        <v>2036.5992698669434</v>
      </c>
      <c r="H25" s="541">
        <v>2838.8627778291702</v>
      </c>
      <c r="I25" s="541">
        <v>108125.40277776867</v>
      </c>
      <c r="J25" s="541">
        <v>2471.3602826595306</v>
      </c>
      <c r="K25" s="541">
        <v>19116.242594718933</v>
      </c>
      <c r="L25" s="541">
        <v>16784.005723923448</v>
      </c>
      <c r="M25" s="541">
        <v>912.17925810813904</v>
      </c>
      <c r="N25" s="541">
        <v>1326.6977829933167</v>
      </c>
      <c r="O25" s="541">
        <v>48488.363657547612</v>
      </c>
      <c r="P25" s="541">
        <v>522.24778413772583</v>
      </c>
      <c r="Q25" s="541">
        <v>16372.408016383648</v>
      </c>
      <c r="R25" s="541">
        <v>598.83215999603271</v>
      </c>
      <c r="S25" s="541">
        <v>0</v>
      </c>
      <c r="T25" s="541">
        <v>17231.684719214216</v>
      </c>
      <c r="U25" s="541">
        <v>1494.3477475643158</v>
      </c>
      <c r="V25" s="541">
        <v>11607.478980064392</v>
      </c>
      <c r="W25" s="541">
        <v>135437.68881516502</v>
      </c>
      <c r="X25" s="541">
        <v>5901.4129563011229</v>
      </c>
      <c r="Y25" s="541">
        <v>212.11356273293495</v>
      </c>
      <c r="Z25" s="541">
        <v>197658.59954166412</v>
      </c>
      <c r="AA25" s="543">
        <v>56107.384207465046</v>
      </c>
      <c r="AB25" s="544">
        <v>24765.810481309891</v>
      </c>
      <c r="AC25" s="544">
        <v>33905.898876428604</v>
      </c>
      <c r="AD25" s="544">
        <v>18052.581465952098</v>
      </c>
      <c r="AE25" s="544">
        <v>110596.7630604282</v>
      </c>
      <c r="AF25" s="544">
        <v>17696.184982031587</v>
      </c>
      <c r="AG25" s="544">
        <v>49010.611441685338</v>
      </c>
      <c r="AH25" s="544">
        <v>16971.240176379681</v>
      </c>
      <c r="AI25" s="544">
        <v>18726.032466778532</v>
      </c>
      <c r="AJ25" s="545">
        <v>141339.10177146614</v>
      </c>
      <c r="AK25" s="541"/>
    </row>
    <row r="26" spans="1:37" x14ac:dyDescent="0.25">
      <c r="A26" s="494">
        <v>1949</v>
      </c>
      <c r="B26" s="542">
        <v>32749.576065406203</v>
      </c>
      <c r="C26" s="541">
        <v>1026.0025346279144</v>
      </c>
      <c r="D26" s="541">
        <v>123890.13906097412</v>
      </c>
      <c r="E26" s="541">
        <v>2810.7051087617874</v>
      </c>
      <c r="F26" s="541">
        <v>16031.843831807375</v>
      </c>
      <c r="G26" s="541">
        <v>2036.5992698669434</v>
      </c>
      <c r="H26" s="541">
        <v>2838.8627778291702</v>
      </c>
      <c r="I26" s="541">
        <v>105830.38067446649</v>
      </c>
      <c r="J26" s="541">
        <v>2390.0679204463959</v>
      </c>
      <c r="K26" s="541">
        <v>19116.242594718933</v>
      </c>
      <c r="L26" s="541">
        <v>16402.126856214327</v>
      </c>
      <c r="M26" s="541">
        <v>1387.5271005034447</v>
      </c>
      <c r="N26" s="541">
        <v>1326.6977829933167</v>
      </c>
      <c r="O26" s="541">
        <v>47505.776715113301</v>
      </c>
      <c r="P26" s="541">
        <v>509.32354855537415</v>
      </c>
      <c r="Q26" s="541">
        <v>21371.050236076117</v>
      </c>
      <c r="R26" s="541">
        <v>598.83215999603271</v>
      </c>
      <c r="S26" s="541">
        <v>0</v>
      </c>
      <c r="T26" s="541">
        <v>23766.938998460697</v>
      </c>
      <c r="U26" s="541">
        <v>1560.0318539691261</v>
      </c>
      <c r="V26" s="541">
        <v>15602.020581245422</v>
      </c>
      <c r="W26" s="541">
        <v>129775.27807286724</v>
      </c>
      <c r="X26" s="541">
        <v>5896.6381503859157</v>
      </c>
      <c r="Y26" s="541">
        <v>212.11356273293495</v>
      </c>
      <c r="Z26" s="541">
        <v>221396.19322860241</v>
      </c>
      <c r="AA26" s="543">
        <v>85512.163442616322</v>
      </c>
      <c r="AB26" s="544">
        <v>24765.810481309891</v>
      </c>
      <c r="AC26" s="544">
        <v>33775.578600034118</v>
      </c>
      <c r="AD26" s="544">
        <v>18068.443101674318</v>
      </c>
      <c r="AE26" s="544">
        <v>108220.44859491289</v>
      </c>
      <c r="AF26" s="544">
        <v>17789.653956717772</v>
      </c>
      <c r="AG26" s="544">
        <v>48015.100263668675</v>
      </c>
      <c r="AH26" s="544">
        <v>21969.882396072149</v>
      </c>
      <c r="AI26" s="544">
        <v>25326.970852429822</v>
      </c>
      <c r="AJ26" s="545">
        <v>135671.91622325315</v>
      </c>
      <c r="AK26" s="541"/>
    </row>
    <row r="27" spans="1:37" x14ac:dyDescent="0.25">
      <c r="A27" s="494">
        <v>1950</v>
      </c>
      <c r="B27" s="542">
        <v>34285.705353364348</v>
      </c>
      <c r="C27" s="541">
        <v>1026.0025346279144</v>
      </c>
      <c r="D27" s="541">
        <v>53772.865539550781</v>
      </c>
      <c r="E27" s="541">
        <v>2810.7051087617874</v>
      </c>
      <c r="F27" s="541">
        <v>16217.276028670371</v>
      </c>
      <c r="G27" s="541">
        <v>2036.5992698669434</v>
      </c>
      <c r="H27" s="541">
        <v>2838.8627778291702</v>
      </c>
      <c r="I27" s="541">
        <v>112078.99793364108</v>
      </c>
      <c r="J27" s="541">
        <v>2428.2700288295746</v>
      </c>
      <c r="K27" s="541">
        <v>19116.242594718933</v>
      </c>
      <c r="L27" s="541">
        <v>16743.510959118616</v>
      </c>
      <c r="M27" s="541">
        <v>1359.4136896133423</v>
      </c>
      <c r="N27" s="541">
        <v>1326.6977829933167</v>
      </c>
      <c r="O27" s="541">
        <v>32561.059121607315</v>
      </c>
      <c r="P27" s="541">
        <v>330.66846084594727</v>
      </c>
      <c r="Q27" s="541">
        <v>11380.228502623737</v>
      </c>
      <c r="R27" s="541">
        <v>598.83215999603271</v>
      </c>
      <c r="S27" s="541">
        <v>0</v>
      </c>
      <c r="T27" s="541">
        <v>11039.231351741479</v>
      </c>
      <c r="U27" s="541">
        <v>1427.7060898840427</v>
      </c>
      <c r="V27" s="541">
        <v>8538.3033170700073</v>
      </c>
      <c r="W27" s="541">
        <v>142198.59492837236</v>
      </c>
      <c r="X27" s="541">
        <v>5700.6438421466055</v>
      </c>
      <c r="Y27" s="541">
        <v>212.11356273293495</v>
      </c>
      <c r="Z27" s="541">
        <v>225796.41400623322</v>
      </c>
      <c r="AA27" s="543">
        <v>77685.061672981319</v>
      </c>
      <c r="AB27" s="544">
        <v>24765.810481309891</v>
      </c>
      <c r="AC27" s="544">
        <v>35311.707887992263</v>
      </c>
      <c r="AD27" s="544">
        <v>18253.875298537314</v>
      </c>
      <c r="AE27" s="544">
        <v>114507.26796247065</v>
      </c>
      <c r="AF27" s="544">
        <v>18102.924648731958</v>
      </c>
      <c r="AG27" s="544">
        <v>32891.727582453263</v>
      </c>
      <c r="AH27" s="544">
        <v>11979.06066261977</v>
      </c>
      <c r="AI27" s="544">
        <v>12466.937441625521</v>
      </c>
      <c r="AJ27" s="545">
        <v>147899.23877051898</v>
      </c>
      <c r="AK27" s="541"/>
    </row>
    <row r="28" spans="1:37" x14ac:dyDescent="0.25">
      <c r="A28" s="494">
        <v>1951</v>
      </c>
      <c r="B28" s="542">
        <v>31397.317469358444</v>
      </c>
      <c r="C28" s="541">
        <v>1026.0025346279144</v>
      </c>
      <c r="D28" s="541">
        <v>39996.90576171875</v>
      </c>
      <c r="E28" s="541">
        <v>2810.7051087617874</v>
      </c>
      <c r="F28" s="541">
        <v>15088.39638299495</v>
      </c>
      <c r="G28" s="541">
        <v>2036.5992698669434</v>
      </c>
      <c r="H28" s="541">
        <v>2838.8627778291702</v>
      </c>
      <c r="I28" s="541">
        <v>87977.871916919947</v>
      </c>
      <c r="J28" s="541">
        <v>1728.9732568264008</v>
      </c>
      <c r="K28" s="541">
        <v>19116.242594718933</v>
      </c>
      <c r="L28" s="541">
        <v>16919.275514304634</v>
      </c>
      <c r="M28" s="541">
        <v>1271.371789932251</v>
      </c>
      <c r="N28" s="541">
        <v>1326.6977829933167</v>
      </c>
      <c r="O28" s="541">
        <v>22544.345815821067</v>
      </c>
      <c r="P28" s="541">
        <v>282.93470501899719</v>
      </c>
      <c r="Q28" s="541">
        <v>10050.207042343915</v>
      </c>
      <c r="R28" s="541">
        <v>598.83215999603271</v>
      </c>
      <c r="S28" s="541">
        <v>0</v>
      </c>
      <c r="T28" s="541">
        <v>6760.3532597281783</v>
      </c>
      <c r="U28" s="541">
        <v>1381.8042982442598</v>
      </c>
      <c r="V28" s="541">
        <v>7750.5946841239929</v>
      </c>
      <c r="W28" s="541">
        <v>128885.95591147586</v>
      </c>
      <c r="X28" s="541">
        <v>5123.8288842255315</v>
      </c>
      <c r="Y28" s="541">
        <v>212.11356273293495</v>
      </c>
      <c r="Z28" s="541">
        <v>201529.7941827774</v>
      </c>
      <c r="AA28" s="543">
        <v>67307.895824343082</v>
      </c>
      <c r="AB28" s="544">
        <v>24765.810481309891</v>
      </c>
      <c r="AC28" s="544">
        <v>32423.320003986359</v>
      </c>
      <c r="AD28" s="544">
        <v>17124.995652861893</v>
      </c>
      <c r="AE28" s="544">
        <v>89706.845173746347</v>
      </c>
      <c r="AF28" s="544">
        <v>18190.647304236885</v>
      </c>
      <c r="AG28" s="544">
        <v>22827.280520840064</v>
      </c>
      <c r="AH28" s="544">
        <v>10649.039202339947</v>
      </c>
      <c r="AI28" s="544">
        <v>8142.1575579724376</v>
      </c>
      <c r="AJ28" s="545">
        <v>134009.78479570139</v>
      </c>
      <c r="AK28" s="541"/>
    </row>
    <row r="29" spans="1:37" x14ac:dyDescent="0.25">
      <c r="A29" s="494">
        <v>1952</v>
      </c>
      <c r="B29" s="542">
        <v>35943.856153957546</v>
      </c>
      <c r="C29" s="541">
        <v>1026.0025346279144</v>
      </c>
      <c r="D29" s="541">
        <v>155028.49816894531</v>
      </c>
      <c r="E29" s="541">
        <v>2810.7051087617874</v>
      </c>
      <c r="F29" s="541">
        <v>17467.8857229352</v>
      </c>
      <c r="G29" s="541">
        <v>2036.5992698669434</v>
      </c>
      <c r="H29" s="541">
        <v>2838.8627778291702</v>
      </c>
      <c r="I29" s="541">
        <v>106876.31756443158</v>
      </c>
      <c r="J29" s="541">
        <v>2562.5488212108612</v>
      </c>
      <c r="K29" s="541">
        <v>19116.242594718933</v>
      </c>
      <c r="L29" s="541">
        <v>16327.365285143274</v>
      </c>
      <c r="M29" s="541">
        <v>1301.4240398406982</v>
      </c>
      <c r="N29" s="541">
        <v>1326.6977829933167</v>
      </c>
      <c r="O29" s="541">
        <v>47462.756666256566</v>
      </c>
      <c r="P29" s="541">
        <v>518.25602221488953</v>
      </c>
      <c r="Q29" s="541">
        <v>19561.840960398316</v>
      </c>
      <c r="R29" s="541">
        <v>598.83215999603271</v>
      </c>
      <c r="S29" s="541">
        <v>0</v>
      </c>
      <c r="T29" s="541">
        <v>22426.789587594496</v>
      </c>
      <c r="U29" s="541">
        <v>1538.1952003240585</v>
      </c>
      <c r="V29" s="541">
        <v>13653.922734260559</v>
      </c>
      <c r="W29" s="541">
        <v>145404.93223491654</v>
      </c>
      <c r="X29" s="541">
        <v>5701.0801081098616</v>
      </c>
      <c r="Y29" s="541">
        <v>212.11356273293495</v>
      </c>
      <c r="Z29" s="541">
        <v>248878.65685224533</v>
      </c>
      <c r="AA29" s="543">
        <v>97560.530946485989</v>
      </c>
      <c r="AB29" s="544">
        <v>24765.810481309891</v>
      </c>
      <c r="AC29" s="544">
        <v>36969.85868858546</v>
      </c>
      <c r="AD29" s="544">
        <v>19504.484992802143</v>
      </c>
      <c r="AE29" s="544">
        <v>109438.86638564244</v>
      </c>
      <c r="AF29" s="544">
        <v>17628.789324983973</v>
      </c>
      <c r="AG29" s="544">
        <v>47981.012688471455</v>
      </c>
      <c r="AH29" s="544">
        <v>20160.673120394349</v>
      </c>
      <c r="AI29" s="544">
        <v>23964.984787918555</v>
      </c>
      <c r="AJ29" s="545">
        <v>151106.01234302641</v>
      </c>
      <c r="AK29" s="541"/>
    </row>
    <row r="30" spans="1:37" x14ac:dyDescent="0.25">
      <c r="A30" s="494">
        <v>1953</v>
      </c>
      <c r="B30" s="542">
        <v>32550.885788820684</v>
      </c>
      <c r="C30" s="541">
        <v>1026.0025346279144</v>
      </c>
      <c r="D30" s="541">
        <v>58468.0283203125</v>
      </c>
      <c r="E30" s="541">
        <v>2810.7051087617874</v>
      </c>
      <c r="F30" s="541">
        <v>15702.739633738995</v>
      </c>
      <c r="G30" s="541">
        <v>2036.5992698669434</v>
      </c>
      <c r="H30" s="541">
        <v>2838.8627778291702</v>
      </c>
      <c r="I30" s="541">
        <v>103408.25322274491</v>
      </c>
      <c r="J30" s="541">
        <v>2543.2552964687347</v>
      </c>
      <c r="K30" s="541">
        <v>19116.242594718933</v>
      </c>
      <c r="L30" s="541">
        <v>15818.715610660613</v>
      </c>
      <c r="M30" s="541">
        <v>1322.5819845199585</v>
      </c>
      <c r="N30" s="541">
        <v>1326.6977829933167</v>
      </c>
      <c r="O30" s="541">
        <v>32937.01824056216</v>
      </c>
      <c r="P30" s="541">
        <v>326.69489049911499</v>
      </c>
      <c r="Q30" s="541">
        <v>11708.845556557178</v>
      </c>
      <c r="R30" s="541">
        <v>598.83215999603271</v>
      </c>
      <c r="S30" s="541">
        <v>0</v>
      </c>
      <c r="T30" s="541">
        <v>9295.3481613416225</v>
      </c>
      <c r="U30" s="541">
        <v>1386.910815268755</v>
      </c>
      <c r="V30" s="541">
        <v>8315.2823674678802</v>
      </c>
      <c r="W30" s="541">
        <v>130908.19004777416</v>
      </c>
      <c r="X30" s="541">
        <v>5716.637038756955</v>
      </c>
      <c r="Y30" s="541">
        <v>212.11356273293495</v>
      </c>
      <c r="Z30" s="541">
        <v>225266.81286621094</v>
      </c>
      <c r="AA30" s="543">
        <v>88429.872216946882</v>
      </c>
      <c r="AB30" s="544">
        <v>24765.810481309891</v>
      </c>
      <c r="AC30" s="544">
        <v>33576.888323448598</v>
      </c>
      <c r="AD30" s="544">
        <v>17739.338903605938</v>
      </c>
      <c r="AE30" s="544">
        <v>105951.50851921365</v>
      </c>
      <c r="AF30" s="544">
        <v>17141.297595180571</v>
      </c>
      <c r="AG30" s="544">
        <v>33263.713131061275</v>
      </c>
      <c r="AH30" s="544">
        <v>12307.677716553211</v>
      </c>
      <c r="AI30" s="544">
        <v>10682.258976610377</v>
      </c>
      <c r="AJ30" s="545">
        <v>136624.82708653112</v>
      </c>
      <c r="AK30" s="541"/>
    </row>
    <row r="31" spans="1:37" x14ac:dyDescent="0.25">
      <c r="A31" s="494">
        <v>1954</v>
      </c>
      <c r="B31" s="542">
        <v>32824.006477668881</v>
      </c>
      <c r="C31" s="541">
        <v>1026.0025346279144</v>
      </c>
      <c r="D31" s="541">
        <v>49191.261489868164</v>
      </c>
      <c r="E31" s="541">
        <v>2810.7051087617874</v>
      </c>
      <c r="F31" s="541">
        <v>16567.288561552763</v>
      </c>
      <c r="G31" s="541">
        <v>2036.5992698669434</v>
      </c>
      <c r="H31" s="541">
        <v>2838.8627778291702</v>
      </c>
      <c r="I31" s="541">
        <v>101309.91823638976</v>
      </c>
      <c r="J31" s="541">
        <v>2386.6363618373871</v>
      </c>
      <c r="K31" s="541">
        <v>19116.242594718933</v>
      </c>
      <c r="L31" s="541">
        <v>15727.066177241486</v>
      </c>
      <c r="M31" s="541">
        <v>1422.4178252220154</v>
      </c>
      <c r="N31" s="541">
        <v>1326.6977829933167</v>
      </c>
      <c r="O31" s="541">
        <v>31936.325594289672</v>
      </c>
      <c r="P31" s="541">
        <v>313.34165453910828</v>
      </c>
      <c r="Q31" s="541">
        <v>9660.2490800768137</v>
      </c>
      <c r="R31" s="541">
        <v>598.83215999603271</v>
      </c>
      <c r="S31" s="541">
        <v>0</v>
      </c>
      <c r="T31" s="541">
        <v>10076.136350274906</v>
      </c>
      <c r="U31" s="541">
        <v>1404.1277987865105</v>
      </c>
      <c r="V31" s="541">
        <v>8716.5977029800415</v>
      </c>
      <c r="W31" s="541">
        <v>134729.36573171959</v>
      </c>
      <c r="X31" s="541">
        <v>5678.9337385669351</v>
      </c>
      <c r="Y31" s="541">
        <v>212.11356273293495</v>
      </c>
      <c r="Z31" s="541">
        <v>240840.89907646179</v>
      </c>
      <c r="AA31" s="543">
        <v>100220.48604344233</v>
      </c>
      <c r="AB31" s="544">
        <v>24765.810481309891</v>
      </c>
      <c r="AC31" s="544">
        <v>33850.009012296796</v>
      </c>
      <c r="AD31" s="544">
        <v>18603.887831419706</v>
      </c>
      <c r="AE31" s="544">
        <v>103696.55459822714</v>
      </c>
      <c r="AF31" s="544">
        <v>17149.484002463501</v>
      </c>
      <c r="AG31" s="544">
        <v>32249.66724882878</v>
      </c>
      <c r="AH31" s="544">
        <v>10259.081240072846</v>
      </c>
      <c r="AI31" s="544">
        <v>11480.264149061417</v>
      </c>
      <c r="AJ31" s="545">
        <v>140408.29947028653</v>
      </c>
      <c r="AK31" s="541"/>
    </row>
    <row r="32" spans="1:37" x14ac:dyDescent="0.25">
      <c r="A32" s="494">
        <v>1955</v>
      </c>
      <c r="B32" s="542">
        <v>32342.375977270305</v>
      </c>
      <c r="C32" s="541">
        <v>1026.0025346279144</v>
      </c>
      <c r="D32" s="541">
        <v>46107.563781738281</v>
      </c>
      <c r="E32" s="541">
        <v>2810.7051087617874</v>
      </c>
      <c r="F32" s="541">
        <v>15898.799339320511</v>
      </c>
      <c r="G32" s="541">
        <v>2036.5992698669434</v>
      </c>
      <c r="H32" s="541">
        <v>2838.8627778291702</v>
      </c>
      <c r="I32" s="541">
        <v>102468.80279185995</v>
      </c>
      <c r="J32" s="541">
        <v>2602.7169091701508</v>
      </c>
      <c r="K32" s="541">
        <v>19116.242594718933</v>
      </c>
      <c r="L32" s="541">
        <v>16059.633210785691</v>
      </c>
      <c r="M32" s="541">
        <v>1307.7977366447449</v>
      </c>
      <c r="N32" s="541">
        <v>1326.6977829933167</v>
      </c>
      <c r="O32" s="541">
        <v>30005.861730037701</v>
      </c>
      <c r="P32" s="541">
        <v>313.48513579368591</v>
      </c>
      <c r="Q32" s="541">
        <v>11210.242236450315</v>
      </c>
      <c r="R32" s="541">
        <v>598.83215999603271</v>
      </c>
      <c r="S32" s="541">
        <v>0</v>
      </c>
      <c r="T32" s="541">
        <v>9473.6668604769566</v>
      </c>
      <c r="U32" s="541">
        <v>1411.7931905369169</v>
      </c>
      <c r="V32" s="541">
        <v>10876.080883979797</v>
      </c>
      <c r="W32" s="541">
        <v>117427.52425679906</v>
      </c>
      <c r="X32" s="541">
        <v>5635.5598104481687</v>
      </c>
      <c r="Y32" s="541">
        <v>212.11356273293495</v>
      </c>
      <c r="Z32" s="541">
        <v>215498.89399719238</v>
      </c>
      <c r="AA32" s="543">
        <v>92223.696367212222</v>
      </c>
      <c r="AB32" s="544">
        <v>24765.810481309891</v>
      </c>
      <c r="AC32" s="544">
        <v>33368.37851189822</v>
      </c>
      <c r="AD32" s="544">
        <v>17935.398609187454</v>
      </c>
      <c r="AE32" s="544">
        <v>105071.51970103011</v>
      </c>
      <c r="AF32" s="544">
        <v>17367.430947430435</v>
      </c>
      <c r="AG32" s="544">
        <v>30319.346865831387</v>
      </c>
      <c r="AH32" s="544">
        <v>11809.074396446347</v>
      </c>
      <c r="AI32" s="544">
        <v>10885.460051013873</v>
      </c>
      <c r="AJ32" s="545">
        <v>123063.08406724723</v>
      </c>
      <c r="AK32" s="541"/>
    </row>
    <row r="33" spans="1:37" x14ac:dyDescent="0.25">
      <c r="A33" s="494">
        <v>1956</v>
      </c>
      <c r="B33" s="542">
        <v>32405.807645309716</v>
      </c>
      <c r="C33" s="541">
        <v>1026.0025346279144</v>
      </c>
      <c r="D33" s="541">
        <v>56676.412353515625</v>
      </c>
      <c r="E33" s="541">
        <v>2810.7051087617874</v>
      </c>
      <c r="F33" s="541">
        <v>15621.842332586646</v>
      </c>
      <c r="G33" s="541">
        <v>2036.5992698669434</v>
      </c>
      <c r="H33" s="541">
        <v>2838.8627778291702</v>
      </c>
      <c r="I33" s="541">
        <v>113647.51011633128</v>
      </c>
      <c r="J33" s="541">
        <v>2608.8834187984467</v>
      </c>
      <c r="K33" s="541">
        <v>19116.242594718933</v>
      </c>
      <c r="L33" s="541">
        <v>18232.466757401817</v>
      </c>
      <c r="M33" s="541">
        <v>1371.3970828056335</v>
      </c>
      <c r="N33" s="541">
        <v>1326.6977829933167</v>
      </c>
      <c r="O33" s="541">
        <v>27144.165951116458</v>
      </c>
      <c r="P33" s="541">
        <v>303.62273526191711</v>
      </c>
      <c r="Q33" s="541">
        <v>11010.946844130754</v>
      </c>
      <c r="R33" s="541">
        <v>598.83215999603271</v>
      </c>
      <c r="S33" s="541">
        <v>0</v>
      </c>
      <c r="T33" s="541">
        <v>10760.28426789621</v>
      </c>
      <c r="U33" s="541">
        <v>1420.9431223273277</v>
      </c>
      <c r="V33" s="541">
        <v>8135.2251586914063</v>
      </c>
      <c r="W33" s="541">
        <v>114084.41693088754</v>
      </c>
      <c r="X33" s="541">
        <v>5542.4217932387837</v>
      </c>
      <c r="Y33" s="541">
        <v>212.11356273293495</v>
      </c>
      <c r="Z33" s="541">
        <v>211346.36829090118</v>
      </c>
      <c r="AA33" s="543">
        <v>91507.416004041923</v>
      </c>
      <c r="AB33" s="544">
        <v>24765.810481309891</v>
      </c>
      <c r="AC33" s="544">
        <v>33431.810179937631</v>
      </c>
      <c r="AD33" s="544">
        <v>17658.441602453589</v>
      </c>
      <c r="AE33" s="544">
        <v>116256.39353512973</v>
      </c>
      <c r="AF33" s="544">
        <v>19603.86384020745</v>
      </c>
      <c r="AG33" s="544">
        <v>27447.788686378375</v>
      </c>
      <c r="AH33" s="544">
        <v>11609.779004126787</v>
      </c>
      <c r="AI33" s="544">
        <v>12181.227390223537</v>
      </c>
      <c r="AJ33" s="545">
        <v>119626.83872412633</v>
      </c>
      <c r="AK33" s="541"/>
    </row>
    <row r="34" spans="1:37" x14ac:dyDescent="0.25">
      <c r="A34" s="494">
        <v>1957</v>
      </c>
      <c r="B34" s="542">
        <v>27357.338185831904</v>
      </c>
      <c r="C34" s="541">
        <v>1026.0025346279144</v>
      </c>
      <c r="D34" s="541">
        <v>157969.27038574219</v>
      </c>
      <c r="E34" s="541">
        <v>2810.7051087617874</v>
      </c>
      <c r="F34" s="541">
        <v>13413.913911610842</v>
      </c>
      <c r="G34" s="541">
        <v>2036.5992698669434</v>
      </c>
      <c r="H34" s="541">
        <v>2838.8627778291702</v>
      </c>
      <c r="I34" s="541">
        <v>82659.740735501051</v>
      </c>
      <c r="J34" s="541">
        <v>2498.0162160396576</v>
      </c>
      <c r="K34" s="541">
        <v>19116.242594718933</v>
      </c>
      <c r="L34" s="541">
        <v>12869.110400743779</v>
      </c>
      <c r="M34" s="541">
        <v>1363.3774552345276</v>
      </c>
      <c r="N34" s="541">
        <v>1326.6977829933167</v>
      </c>
      <c r="O34" s="541">
        <v>38001.08438181736</v>
      </c>
      <c r="P34" s="541">
        <v>430.12261247634888</v>
      </c>
      <c r="Q34" s="541">
        <v>19396.470980316401</v>
      </c>
      <c r="R34" s="541">
        <v>598.83215999603271</v>
      </c>
      <c r="S34" s="541">
        <v>0</v>
      </c>
      <c r="T34" s="541">
        <v>21470.390010908621</v>
      </c>
      <c r="U34" s="541">
        <v>1583.6459755762935</v>
      </c>
      <c r="V34" s="541">
        <v>17425.663586616516</v>
      </c>
      <c r="W34" s="541">
        <v>97710.700722340189</v>
      </c>
      <c r="X34" s="541">
        <v>5784.680172637105</v>
      </c>
      <c r="Y34" s="541">
        <v>212.11356273293495</v>
      </c>
      <c r="Z34" s="541">
        <v>221849.88265037537</v>
      </c>
      <c r="AA34" s="543">
        <v>118142.38819266514</v>
      </c>
      <c r="AB34" s="544">
        <v>24765.810481309891</v>
      </c>
      <c r="AC34" s="544">
        <v>28383.340720459819</v>
      </c>
      <c r="AD34" s="544">
        <v>15450.513181477785</v>
      </c>
      <c r="AE34" s="544">
        <v>85157.756951540709</v>
      </c>
      <c r="AF34" s="544">
        <v>14232.487855978306</v>
      </c>
      <c r="AG34" s="544">
        <v>38431.206994293709</v>
      </c>
      <c r="AH34" s="544">
        <v>19995.303140312433</v>
      </c>
      <c r="AI34" s="544">
        <v>23054.035986484916</v>
      </c>
      <c r="AJ34" s="545">
        <v>103495.38089497729</v>
      </c>
      <c r="AK34" s="541"/>
    </row>
    <row r="35" spans="1:37" x14ac:dyDescent="0.25">
      <c r="A35" s="494">
        <v>1958</v>
      </c>
      <c r="B35" s="542">
        <v>34975.645249500871</v>
      </c>
      <c r="C35" s="541">
        <v>1026.0025346279144</v>
      </c>
      <c r="D35" s="541">
        <v>114682.65545654297</v>
      </c>
      <c r="E35" s="541">
        <v>2810.7051087617874</v>
      </c>
      <c r="F35" s="541">
        <v>17211.469055905938</v>
      </c>
      <c r="G35" s="541">
        <v>2036.5992698669434</v>
      </c>
      <c r="H35" s="541">
        <v>2838.8627778291702</v>
      </c>
      <c r="I35" s="541">
        <v>113163.85779730976</v>
      </c>
      <c r="J35" s="541">
        <v>2474.2328126430511</v>
      </c>
      <c r="K35" s="541">
        <v>19116.242594718933</v>
      </c>
      <c r="L35" s="541">
        <v>18232.20676027982</v>
      </c>
      <c r="M35" s="541">
        <v>1367.6555404663086</v>
      </c>
      <c r="N35" s="541">
        <v>1326.6977829933167</v>
      </c>
      <c r="O35" s="541">
        <v>51156.390819339533</v>
      </c>
      <c r="P35" s="541">
        <v>472.9890251159668</v>
      </c>
      <c r="Q35" s="541">
        <v>16882.486840639263</v>
      </c>
      <c r="R35" s="541">
        <v>598.83215999603271</v>
      </c>
      <c r="S35" s="541">
        <v>0</v>
      </c>
      <c r="T35" s="541">
        <v>21660.689084881917</v>
      </c>
      <c r="U35" s="541">
        <v>1515.6032690627253</v>
      </c>
      <c r="V35" s="541">
        <v>12421.686657905579</v>
      </c>
      <c r="W35" s="541">
        <v>154367.14214976475</v>
      </c>
      <c r="X35" s="541">
        <v>5828.4267360717058</v>
      </c>
      <c r="Y35" s="541">
        <v>212.11356273293495</v>
      </c>
      <c r="Z35" s="541">
        <v>221959.72789573669</v>
      </c>
      <c r="AA35" s="543">
        <v>61552.0454471673</v>
      </c>
      <c r="AB35" s="544">
        <v>24765.810481309891</v>
      </c>
      <c r="AC35" s="544">
        <v>36001.647784128785</v>
      </c>
      <c r="AD35" s="544">
        <v>19248.068325772882</v>
      </c>
      <c r="AE35" s="544">
        <v>115638.09060995281</v>
      </c>
      <c r="AF35" s="544">
        <v>19599.862300746128</v>
      </c>
      <c r="AG35" s="544">
        <v>51629.3798444555</v>
      </c>
      <c r="AH35" s="544">
        <v>17481.319000635296</v>
      </c>
      <c r="AI35" s="544">
        <v>23176.292353944642</v>
      </c>
      <c r="AJ35" s="545">
        <v>160195.56888583646</v>
      </c>
      <c r="AK35" s="541"/>
    </row>
    <row r="36" spans="1:37" x14ac:dyDescent="0.25">
      <c r="A36" s="494">
        <v>1959</v>
      </c>
      <c r="B36" s="542">
        <v>29126.36716248095</v>
      </c>
      <c r="C36" s="541">
        <v>1026.0025346279144</v>
      </c>
      <c r="D36" s="541">
        <v>36245.572387695313</v>
      </c>
      <c r="E36" s="541">
        <v>2810.7051087617874</v>
      </c>
      <c r="F36" s="541">
        <v>13969.66473415494</v>
      </c>
      <c r="G36" s="541">
        <v>2036.5992698669434</v>
      </c>
      <c r="H36" s="541">
        <v>2838.8627778291702</v>
      </c>
      <c r="I36" s="541">
        <v>102182.24745930731</v>
      </c>
      <c r="J36" s="541">
        <v>2126.3059251308441</v>
      </c>
      <c r="K36" s="541">
        <v>19116.242594718933</v>
      </c>
      <c r="L36" s="541">
        <v>15624.306823872028</v>
      </c>
      <c r="M36" s="541">
        <v>1175.4560527801514</v>
      </c>
      <c r="N36" s="541">
        <v>1326.6977829933167</v>
      </c>
      <c r="O36" s="541">
        <v>21510.987733452097</v>
      </c>
      <c r="P36" s="541">
        <v>283.36485433578491</v>
      </c>
      <c r="Q36" s="541">
        <v>8141.9567873813212</v>
      </c>
      <c r="R36" s="541">
        <v>598.83215999603271</v>
      </c>
      <c r="S36" s="541">
        <v>0</v>
      </c>
      <c r="T36" s="541">
        <v>5217.2766748991608</v>
      </c>
      <c r="U36" s="541">
        <v>1380.9769555926323</v>
      </c>
      <c r="V36" s="541">
        <v>7407.9379396438599</v>
      </c>
      <c r="W36" s="541">
        <v>129094.38120553239</v>
      </c>
      <c r="X36" s="541">
        <v>5475.8954146504402</v>
      </c>
      <c r="Y36" s="541">
        <v>212.11356273293495</v>
      </c>
      <c r="Z36" s="541">
        <v>212893.71466958523</v>
      </c>
      <c r="AA36" s="543">
        <v>78111.324486669459</v>
      </c>
      <c r="AB36" s="544">
        <v>24765.810481309891</v>
      </c>
      <c r="AC36" s="544">
        <v>30152.369697108865</v>
      </c>
      <c r="AD36" s="544">
        <v>16006.264004021883</v>
      </c>
      <c r="AE36" s="544">
        <v>104308.55338443816</v>
      </c>
      <c r="AF36" s="544">
        <v>16799.762876652181</v>
      </c>
      <c r="AG36" s="544">
        <v>21794.352587787882</v>
      </c>
      <c r="AH36" s="544">
        <v>8740.7889473773539</v>
      </c>
      <c r="AI36" s="544">
        <v>6598.253630491793</v>
      </c>
      <c r="AJ36" s="545">
        <v>134570.27662018285</v>
      </c>
      <c r="AK36" s="541"/>
    </row>
    <row r="37" spans="1:37" x14ac:dyDescent="0.25">
      <c r="A37" s="494">
        <v>1960</v>
      </c>
      <c r="B37" s="542">
        <v>33758.625381410122</v>
      </c>
      <c r="C37" s="541">
        <v>1026.0025346279144</v>
      </c>
      <c r="D37" s="541">
        <v>101742.96533203125</v>
      </c>
      <c r="E37" s="541">
        <v>2810.7051087617874</v>
      </c>
      <c r="F37" s="541">
        <v>16334.205378994346</v>
      </c>
      <c r="G37" s="541">
        <v>2036.5992698669434</v>
      </c>
      <c r="H37" s="541">
        <v>2838.8627778291702</v>
      </c>
      <c r="I37" s="541">
        <v>108193.52961089928</v>
      </c>
      <c r="J37" s="541">
        <v>2373.1802003383636</v>
      </c>
      <c r="K37" s="541">
        <v>19116.242594718933</v>
      </c>
      <c r="L37" s="541">
        <v>17173.013142339882</v>
      </c>
      <c r="M37" s="541">
        <v>1379.0741891860962</v>
      </c>
      <c r="N37" s="541">
        <v>1326.6977829933167</v>
      </c>
      <c r="O37" s="541">
        <v>35367.749925701399</v>
      </c>
      <c r="P37" s="541">
        <v>352.55170226097107</v>
      </c>
      <c r="Q37" s="541">
        <v>14600.691522046924</v>
      </c>
      <c r="R37" s="541">
        <v>598.83215999603271</v>
      </c>
      <c r="S37" s="541">
        <v>0</v>
      </c>
      <c r="T37" s="541">
        <v>18748.358072878793</v>
      </c>
      <c r="U37" s="541">
        <v>1521.3486390233181</v>
      </c>
      <c r="V37" s="541">
        <v>11104.052372932434</v>
      </c>
      <c r="W37" s="541">
        <v>148222.9838984643</v>
      </c>
      <c r="X37" s="541">
        <v>5443.4723812458151</v>
      </c>
      <c r="Y37" s="541">
        <v>212.11356273293495</v>
      </c>
      <c r="Z37" s="541">
        <v>216480.86566162109</v>
      </c>
      <c r="AA37" s="543">
        <v>62602.295819178042</v>
      </c>
      <c r="AB37" s="544">
        <v>24765.810481309891</v>
      </c>
      <c r="AC37" s="544">
        <v>34784.627916038036</v>
      </c>
      <c r="AD37" s="544">
        <v>18370.804648861289</v>
      </c>
      <c r="AE37" s="544">
        <v>110566.70981123764</v>
      </c>
      <c r="AF37" s="544">
        <v>18552.087331525978</v>
      </c>
      <c r="AG37" s="544">
        <v>35720.30162796237</v>
      </c>
      <c r="AH37" s="544">
        <v>15199.523682042956</v>
      </c>
      <c r="AI37" s="544">
        <v>20269.706711902112</v>
      </c>
      <c r="AJ37" s="545">
        <v>153666.45627971011</v>
      </c>
      <c r="AK37" s="541"/>
    </row>
    <row r="38" spans="1:37" x14ac:dyDescent="0.25">
      <c r="A38" s="494">
        <v>1961</v>
      </c>
      <c r="B38" s="542">
        <v>30749.22798448056</v>
      </c>
      <c r="C38" s="541">
        <v>1026.0025346279144</v>
      </c>
      <c r="D38" s="541">
        <v>71889.613693237305</v>
      </c>
      <c r="E38" s="541">
        <v>2810.7051087617874</v>
      </c>
      <c r="F38" s="541">
        <v>15128.98440952599</v>
      </c>
      <c r="G38" s="541">
        <v>2036.5992698669434</v>
      </c>
      <c r="H38" s="541">
        <v>2838.8627778291702</v>
      </c>
      <c r="I38" s="541">
        <v>101554.08679379523</v>
      </c>
      <c r="J38" s="541">
        <v>2472.733104467392</v>
      </c>
      <c r="K38" s="541">
        <v>19116.242594718933</v>
      </c>
      <c r="L38" s="541">
        <v>15770.570674411952</v>
      </c>
      <c r="M38" s="541">
        <v>1380.1715097427368</v>
      </c>
      <c r="N38" s="541">
        <v>1326.6977829933167</v>
      </c>
      <c r="O38" s="541">
        <v>32640.176850123778</v>
      </c>
      <c r="P38" s="541">
        <v>293.17856025695801</v>
      </c>
      <c r="Q38" s="541">
        <v>15644.20481492579</v>
      </c>
      <c r="R38" s="541">
        <v>598.83215999603271</v>
      </c>
      <c r="S38" s="541">
        <v>0</v>
      </c>
      <c r="T38" s="541">
        <v>13027.311045491026</v>
      </c>
      <c r="U38" s="541">
        <v>1435.9494752287865</v>
      </c>
      <c r="V38" s="541">
        <v>11586.666974067688</v>
      </c>
      <c r="W38" s="541">
        <v>135370.83024166868</v>
      </c>
      <c r="X38" s="541">
        <v>5401.3159805538853</v>
      </c>
      <c r="Y38" s="541">
        <v>212.11356273293495</v>
      </c>
      <c r="Z38" s="541">
        <v>255672.63536930084</v>
      </c>
      <c r="AA38" s="543">
        <v>114688.37558434534</v>
      </c>
      <c r="AB38" s="544">
        <v>24765.810481309891</v>
      </c>
      <c r="AC38" s="544">
        <v>31775.230519108474</v>
      </c>
      <c r="AD38" s="544">
        <v>17165.583679392934</v>
      </c>
      <c r="AE38" s="544">
        <v>104026.81989826262</v>
      </c>
      <c r="AF38" s="544">
        <v>17150.742184154689</v>
      </c>
      <c r="AG38" s="544">
        <v>32933.35541038074</v>
      </c>
      <c r="AH38" s="544">
        <v>16243.036974921823</v>
      </c>
      <c r="AI38" s="544">
        <v>14463.260520719812</v>
      </c>
      <c r="AJ38" s="545">
        <v>140772.14622222257</v>
      </c>
      <c r="AK38" s="541"/>
    </row>
    <row r="39" spans="1:37" x14ac:dyDescent="0.25">
      <c r="A39" s="494">
        <v>1962</v>
      </c>
      <c r="B39" s="542">
        <v>33841.750220432878</v>
      </c>
      <c r="C39" s="541">
        <v>1026.0025346279144</v>
      </c>
      <c r="D39" s="541">
        <v>96137.953765869141</v>
      </c>
      <c r="E39" s="541">
        <v>2810.7051087617874</v>
      </c>
      <c r="F39" s="541">
        <v>16666.76443195343</v>
      </c>
      <c r="G39" s="541">
        <v>2036.5992698669434</v>
      </c>
      <c r="H39" s="541">
        <v>2838.8627778291702</v>
      </c>
      <c r="I39" s="541">
        <v>109097.29241359234</v>
      </c>
      <c r="J39" s="541">
        <v>2256.3404939174652</v>
      </c>
      <c r="K39" s="541">
        <v>19116.242594718933</v>
      </c>
      <c r="L39" s="541">
        <v>17026.498659089208</v>
      </c>
      <c r="M39" s="541">
        <v>1385.7694554328918</v>
      </c>
      <c r="N39" s="541">
        <v>1326.6977829933167</v>
      </c>
      <c r="O39" s="541">
        <v>34110.4794750125</v>
      </c>
      <c r="P39" s="541">
        <v>339.00571370124817</v>
      </c>
      <c r="Q39" s="541">
        <v>14265.200619138777</v>
      </c>
      <c r="R39" s="541">
        <v>598.83215999603271</v>
      </c>
      <c r="S39" s="541">
        <v>0</v>
      </c>
      <c r="T39" s="541">
        <v>14673.212002659217</v>
      </c>
      <c r="U39" s="541">
        <v>1437.8885340120464</v>
      </c>
      <c r="V39" s="541">
        <v>10833.813507556915</v>
      </c>
      <c r="W39" s="541">
        <v>137689.01850137458</v>
      </c>
      <c r="X39" s="541">
        <v>5449.6475036814809</v>
      </c>
      <c r="Y39" s="541">
        <v>212.11356273293495</v>
      </c>
      <c r="Z39" s="541">
        <v>210731.67543363571</v>
      </c>
      <c r="AA39" s="543">
        <v>67380.895865846716</v>
      </c>
      <c r="AB39" s="544">
        <v>24765.810481309891</v>
      </c>
      <c r="AC39" s="544">
        <v>34867.752755060792</v>
      </c>
      <c r="AD39" s="544">
        <v>18703.363701820374</v>
      </c>
      <c r="AE39" s="544">
        <v>111353.6329075098</v>
      </c>
      <c r="AF39" s="544">
        <v>18412.268114522099</v>
      </c>
      <c r="AG39" s="544">
        <v>34449.485188713748</v>
      </c>
      <c r="AH39" s="544">
        <v>14864.03277913481</v>
      </c>
      <c r="AI39" s="544">
        <v>16111.100536671263</v>
      </c>
      <c r="AJ39" s="545">
        <v>143138.66600505606</v>
      </c>
      <c r="AK39" s="541"/>
    </row>
    <row r="40" spans="1:37" x14ac:dyDescent="0.25">
      <c r="A40" s="494">
        <v>1963</v>
      </c>
      <c r="B40" s="542">
        <v>31530.187563896179</v>
      </c>
      <c r="C40" s="541">
        <v>1026.0025346279144</v>
      </c>
      <c r="D40" s="541">
        <v>42910.715103149414</v>
      </c>
      <c r="E40" s="541">
        <v>2810.7051087617874</v>
      </c>
      <c r="F40" s="541">
        <v>15815.032400101423</v>
      </c>
      <c r="G40" s="541">
        <v>2036.5992698669434</v>
      </c>
      <c r="H40" s="541">
        <v>2838.8627778291702</v>
      </c>
      <c r="I40" s="541">
        <v>101639.33189398237</v>
      </c>
      <c r="J40" s="541">
        <v>2361.7754743099213</v>
      </c>
      <c r="K40" s="541">
        <v>19116.242594718933</v>
      </c>
      <c r="L40" s="541">
        <v>16196.553621947769</v>
      </c>
      <c r="M40" s="541">
        <v>1360.4503207206726</v>
      </c>
      <c r="N40" s="541">
        <v>1326.6977829933167</v>
      </c>
      <c r="O40" s="541">
        <v>27349.719536131695</v>
      </c>
      <c r="P40" s="541">
        <v>297.23484969139099</v>
      </c>
      <c r="Q40" s="541">
        <v>11039.338425010443</v>
      </c>
      <c r="R40" s="541">
        <v>598.83215999603271</v>
      </c>
      <c r="S40" s="541">
        <v>0</v>
      </c>
      <c r="T40" s="541">
        <v>11024.686499603913</v>
      </c>
      <c r="U40" s="541">
        <v>1423.1451075971127</v>
      </c>
      <c r="V40" s="541">
        <v>8364.9141054153442</v>
      </c>
      <c r="W40" s="541">
        <v>133161.01313156978</v>
      </c>
      <c r="X40" s="541">
        <v>5403.6943594208051</v>
      </c>
      <c r="Y40" s="541">
        <v>212.11356273293495</v>
      </c>
      <c r="Z40" s="541">
        <v>206590.76850557327</v>
      </c>
      <c r="AA40" s="543">
        <v>67813.947451849759</v>
      </c>
      <c r="AB40" s="544">
        <v>24765.810481309891</v>
      </c>
      <c r="AC40" s="544">
        <v>32556.190098524094</v>
      </c>
      <c r="AD40" s="544">
        <v>17851.631669968367</v>
      </c>
      <c r="AE40" s="544">
        <v>104001.10736829229</v>
      </c>
      <c r="AF40" s="544">
        <v>17557.003942668442</v>
      </c>
      <c r="AG40" s="544">
        <v>27646.954385823086</v>
      </c>
      <c r="AH40" s="544">
        <v>11638.170585006475</v>
      </c>
      <c r="AI40" s="544">
        <v>12447.831607201026</v>
      </c>
      <c r="AJ40" s="545">
        <v>138564.70749099058</v>
      </c>
      <c r="AK40" s="541"/>
    </row>
    <row r="41" spans="1:37" x14ac:dyDescent="0.25">
      <c r="A41" s="494">
        <v>1964</v>
      </c>
      <c r="B41" s="542">
        <v>34959.862106569111</v>
      </c>
      <c r="C41" s="541">
        <v>1026.0025346279144</v>
      </c>
      <c r="D41" s="541">
        <v>54616.380432128906</v>
      </c>
      <c r="E41" s="541">
        <v>2810.7051087617874</v>
      </c>
      <c r="F41" s="541">
        <v>15979.494484096766</v>
      </c>
      <c r="G41" s="541">
        <v>2036.5992698669434</v>
      </c>
      <c r="H41" s="541">
        <v>2838.8627778291702</v>
      </c>
      <c r="I41" s="541">
        <v>101638.59579022229</v>
      </c>
      <c r="J41" s="541">
        <v>2166.6441113948822</v>
      </c>
      <c r="K41" s="541">
        <v>19116.242594718933</v>
      </c>
      <c r="L41" s="541">
        <v>17125.739578403522</v>
      </c>
      <c r="M41" s="541">
        <v>1326.5622525215149</v>
      </c>
      <c r="N41" s="541">
        <v>1326.6977829933167</v>
      </c>
      <c r="O41" s="541">
        <v>24091.023422099803</v>
      </c>
      <c r="P41" s="541">
        <v>267.43048429489136</v>
      </c>
      <c r="Q41" s="541">
        <v>13347.473749727011</v>
      </c>
      <c r="R41" s="541">
        <v>598.83215999603271</v>
      </c>
      <c r="S41" s="541">
        <v>0</v>
      </c>
      <c r="T41" s="541">
        <v>10909.181837835238</v>
      </c>
      <c r="U41" s="541">
        <v>1392.7702518999577</v>
      </c>
      <c r="V41" s="541">
        <v>10091.796875953674</v>
      </c>
      <c r="W41" s="541">
        <v>111098.35054181858</v>
      </c>
      <c r="X41" s="541">
        <v>5242.9200390612359</v>
      </c>
      <c r="Y41" s="541">
        <v>212.11356273293495</v>
      </c>
      <c r="Z41" s="541">
        <v>206358.84523962438</v>
      </c>
      <c r="AA41" s="543">
        <v>89805.461096011626</v>
      </c>
      <c r="AB41" s="544">
        <v>24765.810481309891</v>
      </c>
      <c r="AC41" s="544">
        <v>35985.864641197026</v>
      </c>
      <c r="AD41" s="544">
        <v>18016.093753963709</v>
      </c>
      <c r="AE41" s="544">
        <v>103805.23990161717</v>
      </c>
      <c r="AF41" s="544">
        <v>18452.301830925036</v>
      </c>
      <c r="AG41" s="544">
        <v>24358.453906394694</v>
      </c>
      <c r="AH41" s="544">
        <v>13946.305909723043</v>
      </c>
      <c r="AI41" s="544">
        <v>12301.952089735196</v>
      </c>
      <c r="AJ41" s="545">
        <v>116341.27058087982</v>
      </c>
      <c r="AK41" s="541"/>
    </row>
    <row r="42" spans="1:37" x14ac:dyDescent="0.25">
      <c r="A42" s="494">
        <v>1965</v>
      </c>
      <c r="B42" s="542">
        <v>35846.368672192097</v>
      </c>
      <c r="C42" s="541">
        <v>1026.0025346279144</v>
      </c>
      <c r="D42" s="541">
        <v>143532.74061584473</v>
      </c>
      <c r="E42" s="541">
        <v>2810.7051087617874</v>
      </c>
      <c r="F42" s="541">
        <v>14952.056076958776</v>
      </c>
      <c r="G42" s="541">
        <v>2036.5992698669434</v>
      </c>
      <c r="H42" s="541">
        <v>2838.8627778291702</v>
      </c>
      <c r="I42" s="541">
        <v>103113.30942165852</v>
      </c>
      <c r="J42" s="541">
        <v>2641.7379815578461</v>
      </c>
      <c r="K42" s="541">
        <v>19116.242594718933</v>
      </c>
      <c r="L42" s="541">
        <v>15211.297102726989</v>
      </c>
      <c r="M42" s="541">
        <v>1344.3224596977234</v>
      </c>
      <c r="N42" s="541">
        <v>1326.6977829933167</v>
      </c>
      <c r="O42" s="541">
        <v>41241.056261251601</v>
      </c>
      <c r="P42" s="541">
        <v>318.11277675628662</v>
      </c>
      <c r="Q42" s="541">
        <v>20051.339646920562</v>
      </c>
      <c r="R42" s="541">
        <v>598.83215999603271</v>
      </c>
      <c r="S42" s="541">
        <v>0</v>
      </c>
      <c r="T42" s="541">
        <v>21916.606464814322</v>
      </c>
      <c r="U42" s="541">
        <v>1571.9742879245805</v>
      </c>
      <c r="V42" s="541">
        <v>17239.281411170959</v>
      </c>
      <c r="W42" s="541">
        <v>104997.31663843959</v>
      </c>
      <c r="X42" s="541">
        <v>5748.5890097618103</v>
      </c>
      <c r="Y42" s="541">
        <v>212.11356273293495</v>
      </c>
      <c r="Z42" s="541">
        <v>240105.43230438232</v>
      </c>
      <c r="AA42" s="543">
        <v>129147.41309344798</v>
      </c>
      <c r="AB42" s="544">
        <v>24765.810481309891</v>
      </c>
      <c r="AC42" s="544">
        <v>36872.371206820011</v>
      </c>
      <c r="AD42" s="544">
        <v>16988.655346825719</v>
      </c>
      <c r="AE42" s="544">
        <v>105755.04740321636</v>
      </c>
      <c r="AF42" s="544">
        <v>16555.619562424712</v>
      </c>
      <c r="AG42" s="544">
        <v>41559.169038007887</v>
      </c>
      <c r="AH42" s="544">
        <v>20650.171806916595</v>
      </c>
      <c r="AI42" s="544">
        <v>23488.580752738904</v>
      </c>
      <c r="AJ42" s="545">
        <v>110745.9056482014</v>
      </c>
      <c r="AK42" s="541"/>
    </row>
    <row r="43" spans="1:37" x14ac:dyDescent="0.25">
      <c r="A43" s="494">
        <v>1966</v>
      </c>
      <c r="B43" s="542">
        <v>37568.151311397552</v>
      </c>
      <c r="C43" s="541">
        <v>1026.0025346279144</v>
      </c>
      <c r="D43" s="541">
        <v>87768.272521972656</v>
      </c>
      <c r="E43" s="541">
        <v>2810.7051087617874</v>
      </c>
      <c r="F43" s="541">
        <v>17362.744509041309</v>
      </c>
      <c r="G43" s="541">
        <v>2036.5992698669434</v>
      </c>
      <c r="H43" s="541">
        <v>2838.8627778291702</v>
      </c>
      <c r="I43" s="541">
        <v>113555.80522208288</v>
      </c>
      <c r="J43" s="541">
        <v>2646.8207185268402</v>
      </c>
      <c r="K43" s="541">
        <v>19116.242594718933</v>
      </c>
      <c r="L43" s="541">
        <v>17675.331380695101</v>
      </c>
      <c r="M43" s="541">
        <v>1392.3019318580627</v>
      </c>
      <c r="N43" s="541">
        <v>1326.6977829933167</v>
      </c>
      <c r="O43" s="541">
        <v>42446.593457879055</v>
      </c>
      <c r="P43" s="541">
        <v>375.74047517776489</v>
      </c>
      <c r="Q43" s="541">
        <v>14722.323054287583</v>
      </c>
      <c r="R43" s="541">
        <v>598.83215999603271</v>
      </c>
      <c r="S43" s="541">
        <v>0</v>
      </c>
      <c r="T43" s="541">
        <v>15944.430327699409</v>
      </c>
      <c r="U43" s="541">
        <v>1449.4838941693306</v>
      </c>
      <c r="V43" s="541">
        <v>10810.212825775146</v>
      </c>
      <c r="W43" s="541">
        <v>150470.49067461834</v>
      </c>
      <c r="X43" s="541">
        <v>5631.5411239029872</v>
      </c>
      <c r="Y43" s="541">
        <v>212.11356273293495</v>
      </c>
      <c r="Z43" s="541">
        <v>192137.37558543682</v>
      </c>
      <c r="AA43" s="543">
        <v>35823.23022418256</v>
      </c>
      <c r="AB43" s="544">
        <v>24765.810481309891</v>
      </c>
      <c r="AC43" s="544">
        <v>38594.153846025467</v>
      </c>
      <c r="AD43" s="544">
        <v>19399.343778908253</v>
      </c>
      <c r="AE43" s="544">
        <v>116202.62594060972</v>
      </c>
      <c r="AF43" s="544">
        <v>19067.633312553164</v>
      </c>
      <c r="AG43" s="544">
        <v>42822.33393305682</v>
      </c>
      <c r="AH43" s="544">
        <v>15321.155214283615</v>
      </c>
      <c r="AI43" s="544">
        <v>17393.914221868741</v>
      </c>
      <c r="AJ43" s="545">
        <v>156102.03179852132</v>
      </c>
      <c r="AK43" s="541"/>
    </row>
    <row r="44" spans="1:37" x14ac:dyDescent="0.25">
      <c r="A44" s="494">
        <v>1967</v>
      </c>
      <c r="B44" s="542">
        <v>31686.862961187959</v>
      </c>
      <c r="C44" s="541">
        <v>1026.0025346279144</v>
      </c>
      <c r="D44" s="541">
        <v>66750.247802734375</v>
      </c>
      <c r="E44" s="541">
        <v>2810.7051087617874</v>
      </c>
      <c r="F44" s="541">
        <v>14525.841252490878</v>
      </c>
      <c r="G44" s="541">
        <v>2036.5992698669434</v>
      </c>
      <c r="H44" s="541">
        <v>2838.8627778291702</v>
      </c>
      <c r="I44" s="541">
        <v>101795.7415252924</v>
      </c>
      <c r="J44" s="541">
        <v>2454.0069634914398</v>
      </c>
      <c r="K44" s="541">
        <v>19116.242594718933</v>
      </c>
      <c r="L44" s="541">
        <v>16179.824101522561</v>
      </c>
      <c r="M44" s="541">
        <v>1334.5336737632751</v>
      </c>
      <c r="N44" s="541">
        <v>1326.6977829933167</v>
      </c>
      <c r="O44" s="541">
        <v>32428.521812146973</v>
      </c>
      <c r="P44" s="541">
        <v>279.71633386611938</v>
      </c>
      <c r="Q44" s="541">
        <v>12217.200193241239</v>
      </c>
      <c r="R44" s="541">
        <v>598.83215999603271</v>
      </c>
      <c r="S44" s="541">
        <v>0</v>
      </c>
      <c r="T44" s="541">
        <v>9483.3890823152669</v>
      </c>
      <c r="U44" s="541">
        <v>1388.3039614178776</v>
      </c>
      <c r="V44" s="541">
        <v>9854.772985458374</v>
      </c>
      <c r="W44" s="541">
        <v>124389.34408653124</v>
      </c>
      <c r="X44" s="541">
        <v>5359.1497383802935</v>
      </c>
      <c r="Y44" s="541">
        <v>212.11356273293495</v>
      </c>
      <c r="Z44" s="541">
        <v>215328.78787088394</v>
      </c>
      <c r="AA44" s="543">
        <v>85368.18048323947</v>
      </c>
      <c r="AB44" s="544">
        <v>24765.810481309891</v>
      </c>
      <c r="AC44" s="544">
        <v>32712.865495815873</v>
      </c>
      <c r="AD44" s="544">
        <v>16562.440522357821</v>
      </c>
      <c r="AE44" s="544">
        <v>104249.74848878384</v>
      </c>
      <c r="AF44" s="544">
        <v>17514.357775285836</v>
      </c>
      <c r="AG44" s="544">
        <v>32708.238146013093</v>
      </c>
      <c r="AH44" s="544">
        <v>12816.032353237271</v>
      </c>
      <c r="AI44" s="544">
        <v>10871.693043733145</v>
      </c>
      <c r="AJ44" s="545">
        <v>129748.49382491154</v>
      </c>
      <c r="AK44" s="541"/>
    </row>
    <row r="45" spans="1:37" x14ac:dyDescent="0.25">
      <c r="A45" s="494">
        <v>1968</v>
      </c>
      <c r="B45" s="542">
        <v>34560.241704016924</v>
      </c>
      <c r="C45" s="541">
        <v>1026.0025346279144</v>
      </c>
      <c r="D45" s="541">
        <v>84623.095092773438</v>
      </c>
      <c r="E45" s="541">
        <v>2810.7051087617874</v>
      </c>
      <c r="F45" s="541">
        <v>16135.560477878898</v>
      </c>
      <c r="G45" s="541">
        <v>2036.5992698669434</v>
      </c>
      <c r="H45" s="541">
        <v>2838.8627778291702</v>
      </c>
      <c r="I45" s="541">
        <v>106983.93912896514</v>
      </c>
      <c r="J45" s="541">
        <v>2528.0301320552826</v>
      </c>
      <c r="K45" s="541">
        <v>19116.242594718933</v>
      </c>
      <c r="L45" s="541">
        <v>17221.875707402811</v>
      </c>
      <c r="M45" s="541">
        <v>1281.8706030845642</v>
      </c>
      <c r="N45" s="541">
        <v>1326.6977829933167</v>
      </c>
      <c r="O45" s="541">
        <v>35978.223360313554</v>
      </c>
      <c r="P45" s="541">
        <v>282.12049269676208</v>
      </c>
      <c r="Q45" s="541">
        <v>18313.488672539592</v>
      </c>
      <c r="R45" s="541">
        <v>598.83215999603271</v>
      </c>
      <c r="S45" s="541">
        <v>0</v>
      </c>
      <c r="T45" s="541">
        <v>18819.472222829238</v>
      </c>
      <c r="U45" s="541">
        <v>1490.3383675813675</v>
      </c>
      <c r="V45" s="541">
        <v>13552.42827129364</v>
      </c>
      <c r="W45" s="541">
        <v>122032.46293586835</v>
      </c>
      <c r="X45" s="541">
        <v>5410.0378453359008</v>
      </c>
      <c r="Y45" s="541">
        <v>212.11356273293495</v>
      </c>
      <c r="Z45" s="541">
        <v>226500.1316202879</v>
      </c>
      <c r="AA45" s="543">
        <v>98845.517276350714</v>
      </c>
      <c r="AB45" s="544">
        <v>24765.810481309891</v>
      </c>
      <c r="AC45" s="544">
        <v>35586.244238644838</v>
      </c>
      <c r="AD45" s="544">
        <v>18172.159747745842</v>
      </c>
      <c r="AE45" s="544">
        <v>109511.96926102042</v>
      </c>
      <c r="AF45" s="544">
        <v>18503.746310487375</v>
      </c>
      <c r="AG45" s="544">
        <v>36260.343853010316</v>
      </c>
      <c r="AH45" s="544">
        <v>18912.320832535625</v>
      </c>
      <c r="AI45" s="544">
        <v>20309.810590410605</v>
      </c>
      <c r="AJ45" s="545">
        <v>127442.50078120425</v>
      </c>
      <c r="AK45" s="541"/>
    </row>
    <row r="46" spans="1:37" x14ac:dyDescent="0.25">
      <c r="A46" s="494">
        <v>1969</v>
      </c>
      <c r="B46" s="542">
        <v>29870.540133647621</v>
      </c>
      <c r="C46" s="541">
        <v>1026.0025346279144</v>
      </c>
      <c r="D46" s="541">
        <v>117387.23657226563</v>
      </c>
      <c r="E46" s="541">
        <v>2810.7051087617874</v>
      </c>
      <c r="F46" s="541">
        <v>14800.226827248931</v>
      </c>
      <c r="G46" s="541">
        <v>2036.5992698669434</v>
      </c>
      <c r="H46" s="541">
        <v>2838.8627778291702</v>
      </c>
      <c r="I46" s="541">
        <v>95233.045182973146</v>
      </c>
      <c r="J46" s="541">
        <v>2397.33522772789</v>
      </c>
      <c r="K46" s="541">
        <v>19116.242594718933</v>
      </c>
      <c r="L46" s="541">
        <v>15744.438654966658</v>
      </c>
      <c r="M46" s="541">
        <v>1368.1098251342773</v>
      </c>
      <c r="N46" s="541">
        <v>1326.6977829933167</v>
      </c>
      <c r="O46" s="541">
        <v>43538.423692292054</v>
      </c>
      <c r="P46" s="541">
        <v>367.20778131484985</v>
      </c>
      <c r="Q46" s="541">
        <v>19674.585597217083</v>
      </c>
      <c r="R46" s="541">
        <v>598.83215999603271</v>
      </c>
      <c r="S46" s="541">
        <v>0</v>
      </c>
      <c r="T46" s="541">
        <v>18187.302203739062</v>
      </c>
      <c r="U46" s="541">
        <v>1504.6878689717705</v>
      </c>
      <c r="V46" s="541">
        <v>15615.632664680481</v>
      </c>
      <c r="W46" s="541">
        <v>133181.57528177247</v>
      </c>
      <c r="X46" s="541">
        <v>5591.2270271853195</v>
      </c>
      <c r="Y46" s="541">
        <v>212.11356273293495</v>
      </c>
      <c r="Z46" s="541">
        <v>256162.06614875793</v>
      </c>
      <c r="AA46" s="543">
        <v>117177.15027706721</v>
      </c>
      <c r="AB46" s="544">
        <v>24765.810481309891</v>
      </c>
      <c r="AC46" s="544">
        <v>30896.542668275535</v>
      </c>
      <c r="AD46" s="544">
        <v>16836.826097115874</v>
      </c>
      <c r="AE46" s="544">
        <v>97630.380410701036</v>
      </c>
      <c r="AF46" s="544">
        <v>17112.548480100937</v>
      </c>
      <c r="AG46" s="544">
        <v>43905.631473606903</v>
      </c>
      <c r="AH46" s="544">
        <v>20273.417757213116</v>
      </c>
      <c r="AI46" s="544">
        <v>19691.990072710832</v>
      </c>
      <c r="AJ46" s="545">
        <v>138772.80230895779</v>
      </c>
      <c r="AK46" s="541"/>
    </row>
    <row r="47" spans="1:37" x14ac:dyDescent="0.25">
      <c r="A47" s="494">
        <v>1970</v>
      </c>
      <c r="B47" s="542">
        <v>28151.461044341326</v>
      </c>
      <c r="C47" s="541">
        <v>1026.0025346279144</v>
      </c>
      <c r="D47" s="541">
        <v>80171.122483491898</v>
      </c>
      <c r="E47" s="541">
        <v>2810.7051087617874</v>
      </c>
      <c r="F47" s="541">
        <v>13909.451530009508</v>
      </c>
      <c r="G47" s="541">
        <v>2036.5992698669434</v>
      </c>
      <c r="H47" s="541">
        <v>2838.8627778291702</v>
      </c>
      <c r="I47" s="541">
        <v>100921.8668550998</v>
      </c>
      <c r="J47" s="541">
        <v>2376.8262364864349</v>
      </c>
      <c r="K47" s="541">
        <v>19116.242594718933</v>
      </c>
      <c r="L47" s="541">
        <v>15751.173635646704</v>
      </c>
      <c r="M47" s="541">
        <v>1376.2565293312073</v>
      </c>
      <c r="N47" s="541">
        <v>1326.6977829933167</v>
      </c>
      <c r="O47" s="541">
        <v>44226.549510678728</v>
      </c>
      <c r="P47" s="541">
        <v>329.66480350494385</v>
      </c>
      <c r="Q47" s="541">
        <v>15503.716050311923</v>
      </c>
      <c r="R47" s="541">
        <v>598.83215999603271</v>
      </c>
      <c r="S47" s="541">
        <v>0</v>
      </c>
      <c r="T47" s="541">
        <v>14716.137461963817</v>
      </c>
      <c r="U47" s="541">
        <v>1379.0204287801726</v>
      </c>
      <c r="V47" s="541">
        <v>13195.320412635803</v>
      </c>
      <c r="W47" s="541">
        <v>124886.67524479672</v>
      </c>
      <c r="X47" s="541">
        <v>5569.2497825026512</v>
      </c>
      <c r="Y47" s="541">
        <v>212.11356273293495</v>
      </c>
      <c r="Z47" s="541">
        <v>206200.7319226265</v>
      </c>
      <c r="AA47" s="543">
        <v>75532.693332594194</v>
      </c>
      <c r="AB47" s="544">
        <v>24765.810481309891</v>
      </c>
      <c r="AC47" s="544">
        <v>29177.46357896924</v>
      </c>
      <c r="AD47" s="544">
        <v>15946.050799876451</v>
      </c>
      <c r="AE47" s="544">
        <v>103298.69309158623</v>
      </c>
      <c r="AF47" s="544">
        <v>17127.430164977912</v>
      </c>
      <c r="AG47" s="544">
        <v>44556.214314183671</v>
      </c>
      <c r="AH47" s="544">
        <v>16102.548210307956</v>
      </c>
      <c r="AI47" s="544">
        <v>16095.157890743991</v>
      </c>
      <c r="AJ47" s="545">
        <v>130455.92502729937</v>
      </c>
      <c r="AK47" s="541"/>
    </row>
    <row r="48" spans="1:37" x14ac:dyDescent="0.25">
      <c r="A48" s="494">
        <v>1971</v>
      </c>
      <c r="B48" s="542">
        <v>29967.910879969597</v>
      </c>
      <c r="C48" s="541">
        <v>1026.0025346279144</v>
      </c>
      <c r="D48" s="541">
        <v>45783.0703125</v>
      </c>
      <c r="E48" s="541">
        <v>2810.7051087617874</v>
      </c>
      <c r="F48" s="541">
        <v>14750.519942641258</v>
      </c>
      <c r="G48" s="541">
        <v>2036.5992698669434</v>
      </c>
      <c r="H48" s="541">
        <v>2838.8627778291702</v>
      </c>
      <c r="I48" s="541">
        <v>102780.18254506215</v>
      </c>
      <c r="J48" s="541">
        <v>2291.3252675533295</v>
      </c>
      <c r="K48" s="541">
        <v>19116.242594718933</v>
      </c>
      <c r="L48" s="541">
        <v>16144.195183590044</v>
      </c>
      <c r="M48" s="541">
        <v>1331.7065773010254</v>
      </c>
      <c r="N48" s="541">
        <v>1326.6977829933167</v>
      </c>
      <c r="O48" s="541">
        <v>34386.770392640014</v>
      </c>
      <c r="P48" s="541">
        <v>303.36001968383789</v>
      </c>
      <c r="Q48" s="541">
        <v>13889.142258904874</v>
      </c>
      <c r="R48" s="541">
        <v>598.83215999603271</v>
      </c>
      <c r="S48" s="541">
        <v>0</v>
      </c>
      <c r="T48" s="541">
        <v>14330.51057212241</v>
      </c>
      <c r="U48" s="541">
        <v>1428.8591300845146</v>
      </c>
      <c r="V48" s="541">
        <v>11747.252390861511</v>
      </c>
      <c r="W48" s="541">
        <v>125327.73513019427</v>
      </c>
      <c r="X48" s="541">
        <v>5842.043161115761</v>
      </c>
      <c r="Y48" s="541">
        <v>212.11356273293495</v>
      </c>
      <c r="Z48" s="541">
        <v>207111.20185446739</v>
      </c>
      <c r="AA48" s="543">
        <v>75729.310000424433</v>
      </c>
      <c r="AB48" s="544">
        <v>24765.810481309891</v>
      </c>
      <c r="AC48" s="544">
        <v>30993.913414597511</v>
      </c>
      <c r="AD48" s="544">
        <v>16787.119212508202</v>
      </c>
      <c r="AE48" s="544">
        <v>105071.50781261548</v>
      </c>
      <c r="AF48" s="544">
        <v>17475.901760891069</v>
      </c>
      <c r="AG48" s="544">
        <v>34690.130412323851</v>
      </c>
      <c r="AH48" s="544">
        <v>14487.974418900907</v>
      </c>
      <c r="AI48" s="544">
        <v>15759.369702206925</v>
      </c>
      <c r="AJ48" s="545">
        <v>131169.77829131004</v>
      </c>
      <c r="AK48" s="541"/>
    </row>
    <row r="49" spans="1:37" x14ac:dyDescent="0.25">
      <c r="A49" s="494">
        <v>1972</v>
      </c>
      <c r="B49" s="542">
        <v>28959.076632585377</v>
      </c>
      <c r="C49" s="541">
        <v>1026.0025346279144</v>
      </c>
      <c r="D49" s="541">
        <v>47512.08748626709</v>
      </c>
      <c r="E49" s="541">
        <v>2810.7051087617874</v>
      </c>
      <c r="F49" s="541">
        <v>14524.992597967386</v>
      </c>
      <c r="G49" s="541">
        <v>2036.5992698669434</v>
      </c>
      <c r="H49" s="541">
        <v>2838.8627778291702</v>
      </c>
      <c r="I49" s="541">
        <v>103038.31285062432</v>
      </c>
      <c r="J49" s="541">
        <v>2146.1474950313568</v>
      </c>
      <c r="K49" s="541">
        <v>19116.242594718933</v>
      </c>
      <c r="L49" s="541">
        <v>17311.585790008307</v>
      </c>
      <c r="M49" s="541">
        <v>1347.1212892532349</v>
      </c>
      <c r="N49" s="541">
        <v>1326.6977829933167</v>
      </c>
      <c r="O49" s="541">
        <v>26104.948727636114</v>
      </c>
      <c r="P49" s="541">
        <v>291.31498432159424</v>
      </c>
      <c r="Q49" s="541">
        <v>10668.882056046277</v>
      </c>
      <c r="R49" s="541">
        <v>598.83215999603271</v>
      </c>
      <c r="S49" s="541">
        <v>0</v>
      </c>
      <c r="T49" s="541">
        <v>8331.7644957155735</v>
      </c>
      <c r="U49" s="541">
        <v>1353.1931121349335</v>
      </c>
      <c r="V49" s="541">
        <v>8836.2280311584473</v>
      </c>
      <c r="W49" s="541">
        <v>140402.17323814676</v>
      </c>
      <c r="X49" s="541">
        <v>5366.0709318489935</v>
      </c>
      <c r="Y49" s="541">
        <v>212.11356273293495</v>
      </c>
      <c r="Z49" s="541">
        <v>203495.78237521648</v>
      </c>
      <c r="AA49" s="543">
        <v>57515.424642487793</v>
      </c>
      <c r="AB49" s="544">
        <v>24765.810481309891</v>
      </c>
      <c r="AC49" s="544">
        <v>29985.079167213291</v>
      </c>
      <c r="AD49" s="544">
        <v>16561.59186783433</v>
      </c>
      <c r="AE49" s="544">
        <v>105184.46034565568</v>
      </c>
      <c r="AF49" s="544">
        <v>18658.707079261541</v>
      </c>
      <c r="AG49" s="544">
        <v>26396.263711957708</v>
      </c>
      <c r="AH49" s="544">
        <v>11267.71421604231</v>
      </c>
      <c r="AI49" s="544">
        <v>9684.957607850507</v>
      </c>
      <c r="AJ49" s="545">
        <v>145768.24416999574</v>
      </c>
      <c r="AK49" s="541"/>
    </row>
    <row r="50" spans="1:37" x14ac:dyDescent="0.25">
      <c r="A50" s="494">
        <v>1973</v>
      </c>
      <c r="B50" s="542">
        <v>32108.014996483922</v>
      </c>
      <c r="C50" s="541">
        <v>1026.0025346279144</v>
      </c>
      <c r="D50" s="541">
        <v>150796.97979736328</v>
      </c>
      <c r="E50" s="541">
        <v>2810.7051087617874</v>
      </c>
      <c r="F50" s="541">
        <v>15736.575765907764</v>
      </c>
      <c r="G50" s="541">
        <v>2036.5992698669434</v>
      </c>
      <c r="H50" s="541">
        <v>2838.8627778291702</v>
      </c>
      <c r="I50" s="541">
        <v>100808.38901187479</v>
      </c>
      <c r="J50" s="541">
        <v>2622.0049874782562</v>
      </c>
      <c r="K50" s="541">
        <v>19116.242594718933</v>
      </c>
      <c r="L50" s="541">
        <v>16675.612427562442</v>
      </c>
      <c r="M50" s="541">
        <v>1347.8015170097351</v>
      </c>
      <c r="N50" s="541">
        <v>1326.6977829933167</v>
      </c>
      <c r="O50" s="541">
        <v>46213.245385034461</v>
      </c>
      <c r="P50" s="541">
        <v>499.77720880508423</v>
      </c>
      <c r="Q50" s="541">
        <v>20791.402812924236</v>
      </c>
      <c r="R50" s="541">
        <v>598.83215999603271</v>
      </c>
      <c r="S50" s="541">
        <v>0</v>
      </c>
      <c r="T50" s="541">
        <v>24543.977572198884</v>
      </c>
      <c r="U50" s="541">
        <v>1572.5964852571487</v>
      </c>
      <c r="V50" s="541">
        <v>15842.156903266907</v>
      </c>
      <c r="W50" s="541">
        <v>121226.89363225146</v>
      </c>
      <c r="X50" s="541">
        <v>6054.2960319519043</v>
      </c>
      <c r="Y50" s="541">
        <v>212.11356273293495</v>
      </c>
      <c r="Z50" s="541">
        <v>194350.9814043045</v>
      </c>
      <c r="AA50" s="543">
        <v>66857.678177368201</v>
      </c>
      <c r="AB50" s="544">
        <v>24765.810481309891</v>
      </c>
      <c r="AC50" s="544">
        <v>33134.017531111836</v>
      </c>
      <c r="AD50" s="544">
        <v>17773.175035774708</v>
      </c>
      <c r="AE50" s="544">
        <v>103430.39399935305</v>
      </c>
      <c r="AF50" s="544">
        <v>18023.413944572178</v>
      </c>
      <c r="AG50" s="544">
        <v>46713.022593839545</v>
      </c>
      <c r="AH50" s="544">
        <v>21390.234972920269</v>
      </c>
      <c r="AI50" s="544">
        <v>26116.574057456033</v>
      </c>
      <c r="AJ50" s="545">
        <v>127281.18966420337</v>
      </c>
      <c r="AK50" s="541"/>
    </row>
    <row r="51" spans="1:37" x14ac:dyDescent="0.25">
      <c r="A51" s="494">
        <v>1974</v>
      </c>
      <c r="B51" s="542">
        <v>32314.612410843372</v>
      </c>
      <c r="C51" s="541">
        <v>1026.0025346279144</v>
      </c>
      <c r="D51" s="541">
        <v>40279.934093475342</v>
      </c>
      <c r="E51" s="541">
        <v>2810.7051087617874</v>
      </c>
      <c r="F51" s="541">
        <v>15462.811552643776</v>
      </c>
      <c r="G51" s="541">
        <v>2036.5992698669434</v>
      </c>
      <c r="H51" s="541">
        <v>2838.8627778291702</v>
      </c>
      <c r="I51" s="541">
        <v>103588.40484564006</v>
      </c>
      <c r="J51" s="541">
        <v>2373.4899613857269</v>
      </c>
      <c r="K51" s="541">
        <v>19116.242594718933</v>
      </c>
      <c r="L51" s="541">
        <v>17338.054353497922</v>
      </c>
      <c r="M51" s="541">
        <v>1360.4285321235657</v>
      </c>
      <c r="N51" s="541">
        <v>1326.6977829933167</v>
      </c>
      <c r="O51" s="541">
        <v>30344.521927861944</v>
      </c>
      <c r="P51" s="541">
        <v>323.53977632522583</v>
      </c>
      <c r="Q51" s="541">
        <v>9579.7517871744931</v>
      </c>
      <c r="R51" s="541">
        <v>598.83215999603271</v>
      </c>
      <c r="S51" s="541">
        <v>0</v>
      </c>
      <c r="T51" s="541">
        <v>8467.5039081656196</v>
      </c>
      <c r="U51" s="541">
        <v>1385.7892159932842</v>
      </c>
      <c r="V51" s="541">
        <v>6907.3946990966797</v>
      </c>
      <c r="W51" s="541">
        <v>148773.97719586239</v>
      </c>
      <c r="X51" s="541">
        <v>5290.403453667237</v>
      </c>
      <c r="Y51" s="541">
        <v>212.11356273293495</v>
      </c>
      <c r="Z51" s="541">
        <v>212606.75881898403</v>
      </c>
      <c r="AA51" s="543">
        <v>58330.264606721466</v>
      </c>
      <c r="AB51" s="544">
        <v>24765.810481309891</v>
      </c>
      <c r="AC51" s="544">
        <v>33340.614945471287</v>
      </c>
      <c r="AD51" s="544">
        <v>17499.410822510719</v>
      </c>
      <c r="AE51" s="544">
        <v>105961.89480702579</v>
      </c>
      <c r="AF51" s="544">
        <v>18698.482885621488</v>
      </c>
      <c r="AG51" s="544">
        <v>30668.06170418717</v>
      </c>
      <c r="AH51" s="544">
        <v>10178.583947170526</v>
      </c>
      <c r="AI51" s="544">
        <v>9853.2931241589031</v>
      </c>
      <c r="AJ51" s="545">
        <v>154064.38064952963</v>
      </c>
      <c r="AK51" s="541"/>
    </row>
    <row r="52" spans="1:37" x14ac:dyDescent="0.25">
      <c r="A52" s="494">
        <v>1975</v>
      </c>
      <c r="B52" s="542">
        <v>33939.48683860153</v>
      </c>
      <c r="C52" s="541">
        <v>1026.0025346279144</v>
      </c>
      <c r="D52" s="541">
        <v>140442.57757568359</v>
      </c>
      <c r="E52" s="541">
        <v>2810.7051087617874</v>
      </c>
      <c r="F52" s="541">
        <v>16464.602327659726</v>
      </c>
      <c r="G52" s="541">
        <v>2036.5992698669434</v>
      </c>
      <c r="H52" s="541">
        <v>2838.8627778291702</v>
      </c>
      <c r="I52" s="541">
        <v>106796.9945128113</v>
      </c>
      <c r="J52" s="541">
        <v>2598.5521600246429</v>
      </c>
      <c r="K52" s="541">
        <v>19116.242594718933</v>
      </c>
      <c r="L52" s="541">
        <v>17700.164730645705</v>
      </c>
      <c r="M52" s="541">
        <v>1392.1547365188599</v>
      </c>
      <c r="N52" s="541">
        <v>1326.6977829933167</v>
      </c>
      <c r="O52" s="541">
        <v>49327.010736568351</v>
      </c>
      <c r="P52" s="541">
        <v>470.41834115982056</v>
      </c>
      <c r="Q52" s="541">
        <v>22074.900729071349</v>
      </c>
      <c r="R52" s="541">
        <v>598.83215999603271</v>
      </c>
      <c r="S52" s="541">
        <v>0</v>
      </c>
      <c r="T52" s="541">
        <v>26657.148342332031</v>
      </c>
      <c r="U52" s="541">
        <v>1556.6532515699107</v>
      </c>
      <c r="V52" s="541">
        <v>15913.491417884827</v>
      </c>
      <c r="W52" s="541">
        <v>123258.50775124475</v>
      </c>
      <c r="X52" s="541">
        <v>5406.5516634359956</v>
      </c>
      <c r="Y52" s="541">
        <v>212.11356273293495</v>
      </c>
      <c r="Z52" s="541">
        <v>242635.86738777161</v>
      </c>
      <c r="AA52" s="543">
        <v>113758.69441035793</v>
      </c>
      <c r="AB52" s="544">
        <v>24765.810481309891</v>
      </c>
      <c r="AC52" s="544">
        <v>34965.489373229444</v>
      </c>
      <c r="AD52" s="544">
        <v>18501.20159752667</v>
      </c>
      <c r="AE52" s="544">
        <v>109395.54667283595</v>
      </c>
      <c r="AF52" s="544">
        <v>19092.319467164565</v>
      </c>
      <c r="AG52" s="544">
        <v>49797.429077728171</v>
      </c>
      <c r="AH52" s="544">
        <v>22673.732889067382</v>
      </c>
      <c r="AI52" s="544">
        <v>28213.801593901942</v>
      </c>
      <c r="AJ52" s="545">
        <v>128665.05941468074</v>
      </c>
      <c r="AK52" s="541"/>
    </row>
    <row r="53" spans="1:37" x14ac:dyDescent="0.25">
      <c r="A53" s="494">
        <v>1976</v>
      </c>
      <c r="B53" s="542">
        <v>32271.799607232213</v>
      </c>
      <c r="C53" s="541">
        <v>1026.0025346279144</v>
      </c>
      <c r="D53" s="541">
        <v>74668.012512207031</v>
      </c>
      <c r="E53" s="541">
        <v>2810.7051087617874</v>
      </c>
      <c r="F53" s="541">
        <v>15847.775936208665</v>
      </c>
      <c r="G53" s="541">
        <v>2036.5992698669434</v>
      </c>
      <c r="H53" s="541">
        <v>2838.8627778291702</v>
      </c>
      <c r="I53" s="541">
        <v>99038.2399174124</v>
      </c>
      <c r="J53" s="541">
        <v>2606.5198438167572</v>
      </c>
      <c r="K53" s="541">
        <v>19116.242594718933</v>
      </c>
      <c r="L53" s="541">
        <v>16774.593496486552</v>
      </c>
      <c r="M53" s="541">
        <v>1262.1614189147949</v>
      </c>
      <c r="N53" s="541">
        <v>1326.6977829933167</v>
      </c>
      <c r="O53" s="541">
        <v>39506.195093207512</v>
      </c>
      <c r="P53" s="541">
        <v>388.27916288375854</v>
      </c>
      <c r="Q53" s="541">
        <v>13462.662733092904</v>
      </c>
      <c r="R53" s="541">
        <v>598.83215999603271</v>
      </c>
      <c r="S53" s="541">
        <v>0</v>
      </c>
      <c r="T53" s="541">
        <v>12727.703257718013</v>
      </c>
      <c r="U53" s="541">
        <v>1415.5440880656242</v>
      </c>
      <c r="V53" s="541">
        <v>10966.615132331848</v>
      </c>
      <c r="W53" s="541">
        <v>125321.5025957857</v>
      </c>
      <c r="X53" s="541">
        <v>5118.8121231942059</v>
      </c>
      <c r="Y53" s="541">
        <v>212.11356273293495</v>
      </c>
      <c r="Z53" s="541">
        <v>221127.03445386887</v>
      </c>
      <c r="AA53" s="543">
        <v>90474.606172156025</v>
      </c>
      <c r="AB53" s="544">
        <v>24765.810481309891</v>
      </c>
      <c r="AC53" s="544">
        <v>33297.802141860127</v>
      </c>
      <c r="AD53" s="544">
        <v>17884.375206075609</v>
      </c>
      <c r="AE53" s="544">
        <v>101644.75976122916</v>
      </c>
      <c r="AF53" s="544">
        <v>18036.754915401347</v>
      </c>
      <c r="AG53" s="544">
        <v>39894.474256091271</v>
      </c>
      <c r="AH53" s="544">
        <v>14061.494893088937</v>
      </c>
      <c r="AI53" s="544">
        <v>14143.247345783637</v>
      </c>
      <c r="AJ53" s="545">
        <v>130440.31471897991</v>
      </c>
      <c r="AK53" s="541"/>
    </row>
    <row r="54" spans="1:37" x14ac:dyDescent="0.25">
      <c r="A54" s="494">
        <v>1977</v>
      </c>
      <c r="B54" s="542">
        <v>29248.120573095977</v>
      </c>
      <c r="C54" s="541">
        <v>1026.0025346279144</v>
      </c>
      <c r="D54" s="541">
        <v>11956.477355957031</v>
      </c>
      <c r="E54" s="541">
        <v>2810.7051087617874</v>
      </c>
      <c r="F54" s="541">
        <v>14361.647783756256</v>
      </c>
      <c r="G54" s="541">
        <v>2036.5992698669434</v>
      </c>
      <c r="H54" s="541">
        <v>2838.8627778291702</v>
      </c>
      <c r="I54" s="541">
        <v>84104.795855864882</v>
      </c>
      <c r="J54" s="541">
        <v>1822.4736440181732</v>
      </c>
      <c r="K54" s="541">
        <v>19116.242594718933</v>
      </c>
      <c r="L54" s="541">
        <v>18972.278492756173</v>
      </c>
      <c r="M54" s="541">
        <v>1248.9770970344543</v>
      </c>
      <c r="N54" s="541">
        <v>1326.6977829933167</v>
      </c>
      <c r="O54" s="541">
        <v>16747.635945065391</v>
      </c>
      <c r="P54" s="541">
        <v>283.90742826461792</v>
      </c>
      <c r="Q54" s="541">
        <v>6132.9705138765275</v>
      </c>
      <c r="R54" s="541">
        <v>598.83215999603271</v>
      </c>
      <c r="S54" s="541">
        <v>0</v>
      </c>
      <c r="T54" s="541">
        <v>4535.9121962659801</v>
      </c>
      <c r="U54" s="541">
        <v>1382.1353635957498</v>
      </c>
      <c r="V54" s="541">
        <v>4082.4014501571655</v>
      </c>
      <c r="W54" s="541">
        <v>125656.29801665588</v>
      </c>
      <c r="X54" s="541">
        <v>4611.0848365724087</v>
      </c>
      <c r="Y54" s="541">
        <v>212.11356273293495</v>
      </c>
      <c r="Z54" s="541">
        <v>197216.21497511864</v>
      </c>
      <c r="AA54" s="543">
        <v>66736.718559157409</v>
      </c>
      <c r="AB54" s="544">
        <v>24765.810481309891</v>
      </c>
      <c r="AC54" s="544">
        <v>30274.123107723892</v>
      </c>
      <c r="AD54" s="544">
        <v>16398.247053623199</v>
      </c>
      <c r="AE54" s="544">
        <v>85927.269499883056</v>
      </c>
      <c r="AF54" s="544">
        <v>20221.255589790628</v>
      </c>
      <c r="AG54" s="544">
        <v>17031.543373330009</v>
      </c>
      <c r="AH54" s="544">
        <v>6731.8026738725603</v>
      </c>
      <c r="AI54" s="544">
        <v>5918.0475598617304</v>
      </c>
      <c r="AJ54" s="545">
        <v>130267.38285322829</v>
      </c>
      <c r="AK54" s="541"/>
    </row>
    <row r="55" spans="1:37" x14ac:dyDescent="0.25">
      <c r="A55" s="494">
        <v>1978</v>
      </c>
      <c r="B55" s="542">
        <v>32663.967499434948</v>
      </c>
      <c r="C55" s="541">
        <v>1026.0025346279144</v>
      </c>
      <c r="D55" s="541">
        <v>94725.125732421875</v>
      </c>
      <c r="E55" s="541">
        <v>2810.7051087617874</v>
      </c>
      <c r="F55" s="541">
        <v>15757.657014206052</v>
      </c>
      <c r="G55" s="541">
        <v>2036.5992698669434</v>
      </c>
      <c r="H55" s="541">
        <v>2838.8627778291702</v>
      </c>
      <c r="I55" s="541">
        <v>107554.99094175547</v>
      </c>
      <c r="J55" s="541">
        <v>2598.9155948162079</v>
      </c>
      <c r="K55" s="541">
        <v>19116.242594718933</v>
      </c>
      <c r="L55" s="541">
        <v>17675.036001138331</v>
      </c>
      <c r="M55" s="541">
        <v>1281.6547131538391</v>
      </c>
      <c r="N55" s="541">
        <v>1326.6977829933167</v>
      </c>
      <c r="O55" s="541">
        <v>29880.79686471678</v>
      </c>
      <c r="P55" s="541">
        <v>360.53236293792725</v>
      </c>
      <c r="Q55" s="541">
        <v>15376.096411794424</v>
      </c>
      <c r="R55" s="541">
        <v>598.83215999603271</v>
      </c>
      <c r="S55" s="541">
        <v>0</v>
      </c>
      <c r="T55" s="541">
        <v>19007.437615180388</v>
      </c>
      <c r="U55" s="541">
        <v>1517.900700993674</v>
      </c>
      <c r="V55" s="541">
        <v>11504.302476882935</v>
      </c>
      <c r="W55" s="541">
        <v>130792.08832687854</v>
      </c>
      <c r="X55" s="541">
        <v>5294.4705147699988</v>
      </c>
      <c r="Y55" s="541">
        <v>212.11356273293495</v>
      </c>
      <c r="Z55" s="541">
        <v>223214.94013214111</v>
      </c>
      <c r="AA55" s="543">
        <v>86916.267727759638</v>
      </c>
      <c r="AB55" s="544">
        <v>24765.810481309891</v>
      </c>
      <c r="AC55" s="544">
        <v>33689.970034062862</v>
      </c>
      <c r="AD55" s="544">
        <v>17794.256284072995</v>
      </c>
      <c r="AE55" s="544">
        <v>110153.90653657168</v>
      </c>
      <c r="AF55" s="544">
        <v>18956.69071429217</v>
      </c>
      <c r="AG55" s="544">
        <v>30241.329227654707</v>
      </c>
      <c r="AH55" s="544">
        <v>15974.928571790457</v>
      </c>
      <c r="AI55" s="544">
        <v>20525.338316174064</v>
      </c>
      <c r="AJ55" s="545">
        <v>136086.55884164854</v>
      </c>
      <c r="AK55" s="541"/>
    </row>
    <row r="56" spans="1:37" x14ac:dyDescent="0.25">
      <c r="A56" s="494">
        <v>1979</v>
      </c>
      <c r="B56" s="542">
        <v>34818.433326393366</v>
      </c>
      <c r="C56" s="541">
        <v>1026.0025346279144</v>
      </c>
      <c r="D56" s="541">
        <v>153056.35571289063</v>
      </c>
      <c r="E56" s="541">
        <v>2810.7051087617874</v>
      </c>
      <c r="F56" s="541">
        <v>17041.523613594472</v>
      </c>
      <c r="G56" s="541">
        <v>2036.5992698669434</v>
      </c>
      <c r="H56" s="541">
        <v>2838.8627778291702</v>
      </c>
      <c r="I56" s="541">
        <v>114947.24525035918</v>
      </c>
      <c r="J56" s="541">
        <v>2546.4172914028168</v>
      </c>
      <c r="K56" s="541">
        <v>19116.242594718933</v>
      </c>
      <c r="L56" s="541">
        <v>18588.346675483972</v>
      </c>
      <c r="M56" s="541">
        <v>1053.0147466734052</v>
      </c>
      <c r="N56" s="541">
        <v>1326.6977829933167</v>
      </c>
      <c r="O56" s="541">
        <v>51768.329088537474</v>
      </c>
      <c r="P56" s="541">
        <v>518.88225340843201</v>
      </c>
      <c r="Q56" s="541">
        <v>21943.668578594923</v>
      </c>
      <c r="R56" s="541">
        <v>598.83215999603271</v>
      </c>
      <c r="S56" s="541">
        <v>0</v>
      </c>
      <c r="T56" s="541">
        <v>23909.199002336638</v>
      </c>
      <c r="U56" s="541">
        <v>1528.2040997990548</v>
      </c>
      <c r="V56" s="541">
        <v>14958.229292869568</v>
      </c>
      <c r="W56" s="541">
        <v>133356.65783659712</v>
      </c>
      <c r="X56" s="541">
        <v>5574.691083804606</v>
      </c>
      <c r="Y56" s="541">
        <v>212.11356273293495</v>
      </c>
      <c r="Z56" s="541">
        <v>235127.42077720165</v>
      </c>
      <c r="AA56" s="543">
        <v>95983.958294066993</v>
      </c>
      <c r="AB56" s="544">
        <v>24765.810481309891</v>
      </c>
      <c r="AC56" s="544">
        <v>35844.43586102128</v>
      </c>
      <c r="AD56" s="544">
        <v>19078.122883461416</v>
      </c>
      <c r="AE56" s="544">
        <v>117493.66254176199</v>
      </c>
      <c r="AF56" s="544">
        <v>19641.361422157377</v>
      </c>
      <c r="AG56" s="544">
        <v>52287.211341945906</v>
      </c>
      <c r="AH56" s="544">
        <v>22542.500738590956</v>
      </c>
      <c r="AI56" s="544">
        <v>25437.403102135693</v>
      </c>
      <c r="AJ56" s="545">
        <v>138931.34892040174</v>
      </c>
      <c r="AK56" s="541"/>
    </row>
    <row r="57" spans="1:37" x14ac:dyDescent="0.25">
      <c r="A57" s="494">
        <v>1980</v>
      </c>
      <c r="B57" s="542">
        <v>34649.475097376853</v>
      </c>
      <c r="C57" s="541">
        <v>1026.0025346279144</v>
      </c>
      <c r="D57" s="541">
        <v>131129.88012695313</v>
      </c>
      <c r="E57" s="541">
        <v>2810.7051087617874</v>
      </c>
      <c r="F57" s="541">
        <v>17090.547840058804</v>
      </c>
      <c r="G57" s="541">
        <v>2036.5992698669434</v>
      </c>
      <c r="H57" s="541">
        <v>2838.8627778291702</v>
      </c>
      <c r="I57" s="541">
        <v>108364.56731256843</v>
      </c>
      <c r="J57" s="541">
        <v>2602.7835385799408</v>
      </c>
      <c r="K57" s="541">
        <v>19116.242594718933</v>
      </c>
      <c r="L57" s="541">
        <v>18161.660935111347</v>
      </c>
      <c r="M57" s="541">
        <v>1277.0373687744141</v>
      </c>
      <c r="N57" s="541">
        <v>1326.6977829933167</v>
      </c>
      <c r="O57" s="541">
        <v>50710.173060326357</v>
      </c>
      <c r="P57" s="541">
        <v>433.62366819381714</v>
      </c>
      <c r="Q57" s="541">
        <v>22249.933236964047</v>
      </c>
      <c r="R57" s="541">
        <v>598.83215999603271</v>
      </c>
      <c r="S57" s="541">
        <v>0</v>
      </c>
      <c r="T57" s="541">
        <v>24388.805813178347</v>
      </c>
      <c r="U57" s="541">
        <v>1517.5168644580017</v>
      </c>
      <c r="V57" s="541">
        <v>15539.443257331848</v>
      </c>
      <c r="W57" s="541">
        <v>136225.26494624064</v>
      </c>
      <c r="X57" s="541">
        <v>5801.8749884203207</v>
      </c>
      <c r="Y57" s="541">
        <v>212.11356273293495</v>
      </c>
      <c r="Z57" s="541">
        <v>252202.05038642883</v>
      </c>
      <c r="AA57" s="543">
        <v>109962.79688903494</v>
      </c>
      <c r="AB57" s="544">
        <v>24765.810481309891</v>
      </c>
      <c r="AC57" s="544">
        <v>35675.477632004768</v>
      </c>
      <c r="AD57" s="544">
        <v>19127.147109925747</v>
      </c>
      <c r="AE57" s="544">
        <v>110967.35085114837</v>
      </c>
      <c r="AF57" s="544">
        <v>19438.698303885762</v>
      </c>
      <c r="AG57" s="544">
        <v>51143.796728520174</v>
      </c>
      <c r="AH57" s="544">
        <v>22848.76539696008</v>
      </c>
      <c r="AI57" s="544">
        <v>25906.322677636348</v>
      </c>
      <c r="AJ57" s="545">
        <v>142027.13993466095</v>
      </c>
      <c r="AK57" s="541"/>
    </row>
    <row r="58" spans="1:37" x14ac:dyDescent="0.25">
      <c r="A58" s="494">
        <v>1981</v>
      </c>
      <c r="B58" s="542">
        <v>29347.417821828276</v>
      </c>
      <c r="C58" s="541">
        <v>1026.0025346279144</v>
      </c>
      <c r="D58" s="541">
        <v>51567.463470458984</v>
      </c>
      <c r="E58" s="541">
        <v>2810.7051087617874</v>
      </c>
      <c r="F58" s="541">
        <v>14468.325735732913</v>
      </c>
      <c r="G58" s="541">
        <v>2036.5992698669434</v>
      </c>
      <c r="H58" s="541">
        <v>2838.8627778291702</v>
      </c>
      <c r="I58" s="541">
        <v>107395.35631874949</v>
      </c>
      <c r="J58" s="541">
        <v>2472.343003988266</v>
      </c>
      <c r="K58" s="541">
        <v>19116.242594718933</v>
      </c>
      <c r="L58" s="541">
        <v>16433.650581985705</v>
      </c>
      <c r="M58" s="541">
        <v>1309.692943572998</v>
      </c>
      <c r="N58" s="541">
        <v>1326.6977829933167</v>
      </c>
      <c r="O58" s="541">
        <v>37337.216328157563</v>
      </c>
      <c r="P58" s="541">
        <v>308.57198524475098</v>
      </c>
      <c r="Q58" s="541">
        <v>13682.542457818985</v>
      </c>
      <c r="R58" s="541">
        <v>598.83215999603271</v>
      </c>
      <c r="S58" s="541">
        <v>0</v>
      </c>
      <c r="T58" s="541">
        <v>10730.838914417551</v>
      </c>
      <c r="U58" s="541">
        <v>1395.4111227498179</v>
      </c>
      <c r="V58" s="541">
        <v>10904.005724906921</v>
      </c>
      <c r="W58" s="541">
        <v>124571.48228519007</v>
      </c>
      <c r="X58" s="541">
        <v>5498.9465467855334</v>
      </c>
      <c r="Y58" s="541">
        <v>212.11356273293495</v>
      </c>
      <c r="Z58" s="541">
        <v>246454.71502113342</v>
      </c>
      <c r="AA58" s="543">
        <v>116172.17262642489</v>
      </c>
      <c r="AB58" s="544">
        <v>24765.810481309891</v>
      </c>
      <c r="AC58" s="544">
        <v>30373.42035645619</v>
      </c>
      <c r="AD58" s="544">
        <v>16504.925005599856</v>
      </c>
      <c r="AE58" s="544">
        <v>109867.69932273775</v>
      </c>
      <c r="AF58" s="544">
        <v>17743.343525558703</v>
      </c>
      <c r="AG58" s="544">
        <v>37645.788313402314</v>
      </c>
      <c r="AH58" s="544">
        <v>14281.374617815018</v>
      </c>
      <c r="AI58" s="544">
        <v>12126.250037167369</v>
      </c>
      <c r="AJ58" s="545">
        <v>130070.4288319756</v>
      </c>
      <c r="AK58" s="541"/>
    </row>
    <row r="59" spans="1:37" x14ac:dyDescent="0.25">
      <c r="A59" s="494">
        <v>1982</v>
      </c>
      <c r="B59" s="542">
        <v>32442.301158115268</v>
      </c>
      <c r="C59" s="541">
        <v>1026.0025346279144</v>
      </c>
      <c r="D59" s="541">
        <v>161148.5643529892</v>
      </c>
      <c r="E59" s="541">
        <v>2810.7051087617874</v>
      </c>
      <c r="F59" s="541">
        <v>15367.266431674361</v>
      </c>
      <c r="G59" s="541">
        <v>2036.5992698669434</v>
      </c>
      <c r="H59" s="541">
        <v>2838.8627778291702</v>
      </c>
      <c r="I59" s="541">
        <v>96183.346884220839</v>
      </c>
      <c r="J59" s="541">
        <v>2579.2664563655853</v>
      </c>
      <c r="K59" s="541">
        <v>19116.242594718933</v>
      </c>
      <c r="L59" s="541">
        <v>16344.757176883515</v>
      </c>
      <c r="M59" s="541">
        <v>1254.8664417266846</v>
      </c>
      <c r="N59" s="541">
        <v>1326.6977829933167</v>
      </c>
      <c r="O59" s="541">
        <v>44744.215245990534</v>
      </c>
      <c r="P59" s="541">
        <v>398.5383129119873</v>
      </c>
      <c r="Q59" s="541">
        <v>19354.069732189178</v>
      </c>
      <c r="R59" s="541">
        <v>598.83215999603271</v>
      </c>
      <c r="S59" s="541">
        <v>0</v>
      </c>
      <c r="T59" s="541">
        <v>20947.979409018531</v>
      </c>
      <c r="U59" s="541">
        <v>1503.8315715073577</v>
      </c>
      <c r="V59" s="541">
        <v>15734.206692695618</v>
      </c>
      <c r="W59" s="541">
        <v>114816.82646108016</v>
      </c>
      <c r="X59" s="541">
        <v>5826.7592900693417</v>
      </c>
      <c r="Y59" s="541">
        <v>212.11356273293495</v>
      </c>
      <c r="Z59" s="541">
        <v>193716.12626743317</v>
      </c>
      <c r="AA59" s="543">
        <v>72860.426953550734</v>
      </c>
      <c r="AB59" s="544">
        <v>24765.810481309891</v>
      </c>
      <c r="AC59" s="544">
        <v>33468.303692743182</v>
      </c>
      <c r="AD59" s="544">
        <v>17403.865701541305</v>
      </c>
      <c r="AE59" s="544">
        <v>98762.613340586424</v>
      </c>
      <c r="AF59" s="544">
        <v>17599.6236186102</v>
      </c>
      <c r="AG59" s="544">
        <v>45142.753558902521</v>
      </c>
      <c r="AH59" s="544">
        <v>19952.901892185211</v>
      </c>
      <c r="AI59" s="544">
        <v>22451.81098052589</v>
      </c>
      <c r="AJ59" s="545">
        <v>120643.5857511495</v>
      </c>
      <c r="AK59" s="541"/>
    </row>
    <row r="60" spans="1:37" x14ac:dyDescent="0.25">
      <c r="A60" s="494">
        <v>1983</v>
      </c>
      <c r="B60" s="542">
        <v>33038.019016355276</v>
      </c>
      <c r="C60" s="541">
        <v>1026.0025346279144</v>
      </c>
      <c r="D60" s="541">
        <v>136650.19689941406</v>
      </c>
      <c r="E60" s="541">
        <v>2810.7051087617874</v>
      </c>
      <c r="F60" s="541">
        <v>15965.106910675764</v>
      </c>
      <c r="G60" s="541">
        <v>2036.5992698669434</v>
      </c>
      <c r="H60" s="541">
        <v>2838.8627778291702</v>
      </c>
      <c r="I60" s="541">
        <v>115008.02590584755</v>
      </c>
      <c r="J60" s="541">
        <v>2564.4842412471771</v>
      </c>
      <c r="K60" s="541">
        <v>19116.242594718933</v>
      </c>
      <c r="L60" s="541">
        <v>18088.624685764302</v>
      </c>
      <c r="M60" s="541">
        <v>1304.7546677589417</v>
      </c>
      <c r="N60" s="541">
        <v>1326.6977829933167</v>
      </c>
      <c r="O60" s="541">
        <v>49548.372269807835</v>
      </c>
      <c r="P60" s="541">
        <v>407.93087911605835</v>
      </c>
      <c r="Q60" s="541">
        <v>22734.619184385985</v>
      </c>
      <c r="R60" s="541">
        <v>598.83215999603271</v>
      </c>
      <c r="S60" s="541">
        <v>0</v>
      </c>
      <c r="T60" s="541">
        <v>25153.314727609533</v>
      </c>
      <c r="U60" s="541">
        <v>1552.8076229344761</v>
      </c>
      <c r="V60" s="541">
        <v>16524.236939430237</v>
      </c>
      <c r="W60" s="541">
        <v>113989.70832902535</v>
      </c>
      <c r="X60" s="541">
        <v>6094.1022396683693</v>
      </c>
      <c r="Y60" s="541">
        <v>212.11356273293495</v>
      </c>
      <c r="Z60" s="541">
        <v>189667.6123085022</v>
      </c>
      <c r="AA60" s="543">
        <v>69371.688177075543</v>
      </c>
      <c r="AB60" s="544">
        <v>24765.810481309891</v>
      </c>
      <c r="AC60" s="544">
        <v>34064.021550983191</v>
      </c>
      <c r="AD60" s="544">
        <v>18001.706180542707</v>
      </c>
      <c r="AE60" s="544">
        <v>117572.51014709473</v>
      </c>
      <c r="AF60" s="544">
        <v>19393.379353523243</v>
      </c>
      <c r="AG60" s="544">
        <v>49956.303148923893</v>
      </c>
      <c r="AH60" s="544">
        <v>23333.451344382018</v>
      </c>
      <c r="AI60" s="544">
        <v>26706.12235054401</v>
      </c>
      <c r="AJ60" s="545">
        <v>120083.81056869372</v>
      </c>
      <c r="AK60" s="541"/>
    </row>
    <row r="61" spans="1:37" x14ac:dyDescent="0.25">
      <c r="A61" s="494">
        <v>1984</v>
      </c>
      <c r="B61" s="542">
        <v>31281.824956670403</v>
      </c>
      <c r="C61" s="541">
        <v>1026.0025346279144</v>
      </c>
      <c r="D61" s="541">
        <v>132012.37954711914</v>
      </c>
      <c r="E61" s="541">
        <v>2810.7051087617874</v>
      </c>
      <c r="F61" s="541">
        <v>16050.427155897021</v>
      </c>
      <c r="G61" s="541">
        <v>2036.5992698669434</v>
      </c>
      <c r="H61" s="541">
        <v>2838.8627778291702</v>
      </c>
      <c r="I61" s="541">
        <v>111683.23632659018</v>
      </c>
      <c r="J61" s="541">
        <v>2608.8271310329437</v>
      </c>
      <c r="K61" s="541">
        <v>19116.242594718933</v>
      </c>
      <c r="L61" s="541">
        <v>17460.84858407823</v>
      </c>
      <c r="M61" s="541">
        <v>1310.8137335777283</v>
      </c>
      <c r="N61" s="541">
        <v>1326.6977829933167</v>
      </c>
      <c r="O61" s="541">
        <v>47721.968711657901</v>
      </c>
      <c r="P61" s="541">
        <v>420.77869844436646</v>
      </c>
      <c r="Q61" s="541">
        <v>18537.862465493381</v>
      </c>
      <c r="R61" s="541">
        <v>598.83215999603271</v>
      </c>
      <c r="S61" s="541">
        <v>0</v>
      </c>
      <c r="T61" s="541">
        <v>18444.488209405914</v>
      </c>
      <c r="U61" s="541">
        <v>1491.0907712816843</v>
      </c>
      <c r="V61" s="541">
        <v>13387.382218360901</v>
      </c>
      <c r="W61" s="541">
        <v>114868.51572852179</v>
      </c>
      <c r="X61" s="541">
        <v>5909.2078681588173</v>
      </c>
      <c r="Y61" s="541">
        <v>212.11356273293495</v>
      </c>
      <c r="Z61" s="541">
        <v>210806.35505843163</v>
      </c>
      <c r="AA61" s="543">
        <v>89816.517899018087</v>
      </c>
      <c r="AB61" s="544">
        <v>24765.810481309891</v>
      </c>
      <c r="AC61" s="544">
        <v>32307.827491298318</v>
      </c>
      <c r="AD61" s="544">
        <v>18087.026425763965</v>
      </c>
      <c r="AE61" s="544">
        <v>114292.06345762312</v>
      </c>
      <c r="AF61" s="544">
        <v>18771.662317655959</v>
      </c>
      <c r="AG61" s="544">
        <v>48142.747410102267</v>
      </c>
      <c r="AH61" s="544">
        <v>19136.694625489414</v>
      </c>
      <c r="AI61" s="544">
        <v>19935.578980687598</v>
      </c>
      <c r="AJ61" s="545">
        <v>120777.7235966806</v>
      </c>
      <c r="AK61" s="541"/>
    </row>
    <row r="62" spans="1:37" x14ac:dyDescent="0.25">
      <c r="A62" s="494">
        <v>1985</v>
      </c>
      <c r="B62" s="542">
        <v>31450.841072820127</v>
      </c>
      <c r="C62" s="541">
        <v>1026.0025346279144</v>
      </c>
      <c r="D62" s="541">
        <v>191640.84257507324</v>
      </c>
      <c r="E62" s="541">
        <v>2810.7051087617874</v>
      </c>
      <c r="F62" s="541">
        <v>15109.031175419688</v>
      </c>
      <c r="G62" s="541">
        <v>2036.5992698669434</v>
      </c>
      <c r="H62" s="541">
        <v>2838.8627778291702</v>
      </c>
      <c r="I62" s="541">
        <v>114127.06915311515</v>
      </c>
      <c r="J62" s="541">
        <v>2400.2002007961273</v>
      </c>
      <c r="K62" s="541">
        <v>19116.242594718933</v>
      </c>
      <c r="L62" s="541">
        <v>18204.939930424098</v>
      </c>
      <c r="M62" s="541">
        <v>1397.5919589996338</v>
      </c>
      <c r="N62" s="541">
        <v>1326.6977829933167</v>
      </c>
      <c r="O62" s="541">
        <v>50792.279975323458</v>
      </c>
      <c r="P62" s="541">
        <v>530.79295539855957</v>
      </c>
      <c r="Q62" s="541">
        <v>21689.595151588321</v>
      </c>
      <c r="R62" s="541">
        <v>598.83215999603271</v>
      </c>
      <c r="S62" s="541">
        <v>0</v>
      </c>
      <c r="T62" s="541">
        <v>21430.12455018796</v>
      </c>
      <c r="U62" s="541">
        <v>1526.0980031120152</v>
      </c>
      <c r="V62" s="541">
        <v>14434.693634986877</v>
      </c>
      <c r="W62" s="541">
        <v>124064.32102989004</v>
      </c>
      <c r="X62" s="541">
        <v>5839.2801697254181</v>
      </c>
      <c r="Y62" s="541">
        <v>212.11356273293495</v>
      </c>
      <c r="Z62" s="541">
        <v>190549.91597175598</v>
      </c>
      <c r="AA62" s="543">
        <v>60434.201209407591</v>
      </c>
      <c r="AB62" s="544">
        <v>24765.810481309891</v>
      </c>
      <c r="AC62" s="544">
        <v>32476.843607448041</v>
      </c>
      <c r="AD62" s="544">
        <v>17145.630445286632</v>
      </c>
      <c r="AE62" s="544">
        <v>116527.26935391128</v>
      </c>
      <c r="AF62" s="544">
        <v>19602.531889423732</v>
      </c>
      <c r="AG62" s="544">
        <v>51323.072930722017</v>
      </c>
      <c r="AH62" s="544">
        <v>22288.427311584353</v>
      </c>
      <c r="AI62" s="544">
        <v>22956.222553299976</v>
      </c>
      <c r="AJ62" s="545">
        <v>129903.60119961546</v>
      </c>
      <c r="AK62" s="541"/>
    </row>
    <row r="63" spans="1:37" x14ac:dyDescent="0.25">
      <c r="A63" s="494">
        <v>1986</v>
      </c>
      <c r="B63" s="542">
        <v>28256.851131379604</v>
      </c>
      <c r="C63" s="541">
        <v>1026.0025346279144</v>
      </c>
      <c r="D63" s="541">
        <v>135953.30113601685</v>
      </c>
      <c r="E63" s="541">
        <v>2810.7051087617874</v>
      </c>
      <c r="F63" s="541">
        <v>14142.019212886691</v>
      </c>
      <c r="G63" s="541">
        <v>2036.5992698669434</v>
      </c>
      <c r="H63" s="541">
        <v>2838.8627778291702</v>
      </c>
      <c r="I63" s="541">
        <v>89740.417478270829</v>
      </c>
      <c r="J63" s="541">
        <v>2394.4240243434906</v>
      </c>
      <c r="K63" s="541">
        <v>19116.242594718933</v>
      </c>
      <c r="L63" s="541">
        <v>15067.868537843218</v>
      </c>
      <c r="M63" s="541">
        <v>1366.6908497810364</v>
      </c>
      <c r="N63" s="541">
        <v>1326.6977829933167</v>
      </c>
      <c r="O63" s="541">
        <v>40980.75665616848</v>
      </c>
      <c r="P63" s="541">
        <v>515.34848260879517</v>
      </c>
      <c r="Q63" s="541">
        <v>18869.148969702423</v>
      </c>
      <c r="R63" s="541">
        <v>598.83215999603271</v>
      </c>
      <c r="S63" s="541">
        <v>0</v>
      </c>
      <c r="T63" s="541">
        <v>20825.235861645266</v>
      </c>
      <c r="U63" s="541">
        <v>1519.9461812376976</v>
      </c>
      <c r="V63" s="541">
        <v>15846.953511238098</v>
      </c>
      <c r="W63" s="541">
        <v>105992.9262762998</v>
      </c>
      <c r="X63" s="541">
        <v>5943.595062670649</v>
      </c>
      <c r="Y63" s="541">
        <v>212.11356273293495</v>
      </c>
      <c r="Z63" s="541">
        <v>187832.17130088806</v>
      </c>
      <c r="AA63" s="543">
        <v>75683.536399184683</v>
      </c>
      <c r="AB63" s="544">
        <v>24765.810481309891</v>
      </c>
      <c r="AC63" s="544">
        <v>29282.853666007519</v>
      </c>
      <c r="AD63" s="544">
        <v>16178.618482753634</v>
      </c>
      <c r="AE63" s="544">
        <v>92134.841502614319</v>
      </c>
      <c r="AF63" s="544">
        <v>16434.559387624256</v>
      </c>
      <c r="AG63" s="544">
        <v>41496.105138777275</v>
      </c>
      <c r="AH63" s="544">
        <v>19467.981129698455</v>
      </c>
      <c r="AI63" s="544">
        <v>22345.182042882963</v>
      </c>
      <c r="AJ63" s="545">
        <v>111936.52133897044</v>
      </c>
      <c r="AK63" s="541"/>
    </row>
    <row r="64" spans="1:37" x14ac:dyDescent="0.25">
      <c r="A64" s="494">
        <v>1987</v>
      </c>
      <c r="B64" s="542">
        <v>32293.075099043548</v>
      </c>
      <c r="C64" s="541">
        <v>1026.0025346279144</v>
      </c>
      <c r="D64" s="541">
        <v>74416.019515991211</v>
      </c>
      <c r="E64" s="541">
        <v>2810.7051087617874</v>
      </c>
      <c r="F64" s="541">
        <v>16254.585354760289</v>
      </c>
      <c r="G64" s="541">
        <v>2036.5992698669434</v>
      </c>
      <c r="H64" s="541">
        <v>2838.8627778291702</v>
      </c>
      <c r="I64" s="541">
        <v>103097.61627339572</v>
      </c>
      <c r="J64" s="541">
        <v>2354.067197561264</v>
      </c>
      <c r="K64" s="541">
        <v>19116.242594718933</v>
      </c>
      <c r="L64" s="541">
        <v>17476.846191778768</v>
      </c>
      <c r="M64" s="541">
        <v>1364.4884910583496</v>
      </c>
      <c r="N64" s="541">
        <v>1326.6977829933167</v>
      </c>
      <c r="O64" s="541">
        <v>46738.631539969225</v>
      </c>
      <c r="P64" s="541">
        <v>530.74375677108765</v>
      </c>
      <c r="Q64" s="541">
        <v>21794.299299731851</v>
      </c>
      <c r="R64" s="541">
        <v>598.83215999603271</v>
      </c>
      <c r="S64" s="541">
        <v>0</v>
      </c>
      <c r="T64" s="541">
        <v>23206.237449228691</v>
      </c>
      <c r="U64" s="541">
        <v>1529.8003821372986</v>
      </c>
      <c r="V64" s="541">
        <v>14501.540280342102</v>
      </c>
      <c r="W64" s="541">
        <v>122786.38562608107</v>
      </c>
      <c r="X64" s="541">
        <v>5954.7716854810715</v>
      </c>
      <c r="Y64" s="541">
        <v>212.11356273293495</v>
      </c>
      <c r="Z64" s="541">
        <v>194907.67035710812</v>
      </c>
      <c r="AA64" s="543">
        <v>65954.399482813038</v>
      </c>
      <c r="AB64" s="544">
        <v>24765.810481309891</v>
      </c>
      <c r="AC64" s="544">
        <v>33319.077633671463</v>
      </c>
      <c r="AD64" s="544">
        <v>18291.184624627233</v>
      </c>
      <c r="AE64" s="544">
        <v>105451.68347095698</v>
      </c>
      <c r="AF64" s="544">
        <v>18841.334682837118</v>
      </c>
      <c r="AG64" s="544">
        <v>47269.375296740312</v>
      </c>
      <c r="AH64" s="544">
        <v>22393.131459727883</v>
      </c>
      <c r="AI64" s="544">
        <v>24736.037831365989</v>
      </c>
      <c r="AJ64" s="545">
        <v>128741.15731156214</v>
      </c>
      <c r="AK64" s="541"/>
    </row>
    <row r="65" spans="1:37" x14ac:dyDescent="0.25">
      <c r="A65" s="494">
        <v>1988</v>
      </c>
      <c r="B65" s="542">
        <v>32136.164511911571</v>
      </c>
      <c r="C65" s="541">
        <v>1026.0025346279144</v>
      </c>
      <c r="D65" s="541">
        <v>60055.489227294922</v>
      </c>
      <c r="E65" s="541">
        <v>2810.7051087617874</v>
      </c>
      <c r="F65" s="541">
        <v>15976.881240855902</v>
      </c>
      <c r="G65" s="541">
        <v>2036.5992698669434</v>
      </c>
      <c r="H65" s="541">
        <v>2838.8627778291702</v>
      </c>
      <c r="I65" s="541">
        <v>105956.28976468369</v>
      </c>
      <c r="J65" s="541">
        <v>2383.7892835140228</v>
      </c>
      <c r="K65" s="541">
        <v>19116.242594718933</v>
      </c>
      <c r="L65" s="541">
        <v>18796.640632197261</v>
      </c>
      <c r="M65" s="541">
        <v>1385.8992519378662</v>
      </c>
      <c r="N65" s="541">
        <v>1326.6977829933167</v>
      </c>
      <c r="O65" s="541">
        <v>43716.758535696645</v>
      </c>
      <c r="P65" s="541">
        <v>340.94512009620667</v>
      </c>
      <c r="Q65" s="541">
        <v>19178.630270108581</v>
      </c>
      <c r="R65" s="541">
        <v>598.83215999603271</v>
      </c>
      <c r="S65" s="541">
        <v>0</v>
      </c>
      <c r="T65" s="541">
        <v>14799.22920816578</v>
      </c>
      <c r="U65" s="541">
        <v>1433.1278231892525</v>
      </c>
      <c r="V65" s="541">
        <v>12880.180867195129</v>
      </c>
      <c r="W65" s="541">
        <v>117163.91494465216</v>
      </c>
      <c r="X65" s="541">
        <v>5766.3554458767176</v>
      </c>
      <c r="Y65" s="541">
        <v>212.11356273293495</v>
      </c>
      <c r="Z65" s="541">
        <v>189478.57684993744</v>
      </c>
      <c r="AA65" s="543">
        <v>66336.192896675624</v>
      </c>
      <c r="AB65" s="544">
        <v>24765.810481309891</v>
      </c>
      <c r="AC65" s="544">
        <v>33162.167046539485</v>
      </c>
      <c r="AD65" s="544">
        <v>18013.480510722846</v>
      </c>
      <c r="AE65" s="544">
        <v>108340.07904819772</v>
      </c>
      <c r="AF65" s="544">
        <v>20182.539884135127</v>
      </c>
      <c r="AG65" s="544">
        <v>44057.703655792851</v>
      </c>
      <c r="AH65" s="544">
        <v>19777.462430104613</v>
      </c>
      <c r="AI65" s="544">
        <v>16232.357031355032</v>
      </c>
      <c r="AJ65" s="545">
        <v>122930.27039052888</v>
      </c>
      <c r="AK65" s="541"/>
    </row>
    <row r="66" spans="1:37" x14ac:dyDescent="0.25">
      <c r="A66" s="494">
        <v>1989</v>
      </c>
      <c r="B66" s="542">
        <v>33670.659942824394</v>
      </c>
      <c r="C66" s="541">
        <v>1026.0025346279144</v>
      </c>
      <c r="D66" s="541">
        <v>66110.755737304688</v>
      </c>
      <c r="E66" s="541">
        <v>2810.7051087617874</v>
      </c>
      <c r="F66" s="541">
        <v>16448.197522863746</v>
      </c>
      <c r="G66" s="541">
        <v>2036.5992698669434</v>
      </c>
      <c r="H66" s="541">
        <v>2838.8627778291702</v>
      </c>
      <c r="I66" s="541">
        <v>106934.7685354054</v>
      </c>
      <c r="J66" s="541">
        <v>1715.0700204372406</v>
      </c>
      <c r="K66" s="541">
        <v>19116.242594718933</v>
      </c>
      <c r="L66" s="541">
        <v>20393.38134068995</v>
      </c>
      <c r="M66" s="541">
        <v>1394.1528329849243</v>
      </c>
      <c r="N66" s="541">
        <v>1326.6977829933167</v>
      </c>
      <c r="O66" s="541">
        <v>33614.439321054597</v>
      </c>
      <c r="P66" s="541">
        <v>366.49237990379333</v>
      </c>
      <c r="Q66" s="541">
        <v>12671.576250717044</v>
      </c>
      <c r="R66" s="541">
        <v>598.83215999603271</v>
      </c>
      <c r="S66" s="541">
        <v>0</v>
      </c>
      <c r="T66" s="541">
        <v>13050.715059756332</v>
      </c>
      <c r="U66" s="541">
        <v>1438.102690756321</v>
      </c>
      <c r="V66" s="541">
        <v>8339.6251201629639</v>
      </c>
      <c r="W66" s="541">
        <v>143254.77109372959</v>
      </c>
      <c r="X66" s="541">
        <v>5500.6703393608914</v>
      </c>
      <c r="Y66" s="541">
        <v>212.11356273293495</v>
      </c>
      <c r="Z66" s="541">
        <v>186427.57899856567</v>
      </c>
      <c r="AA66" s="543">
        <v>37460.024002742255</v>
      </c>
      <c r="AB66" s="544">
        <v>24765.810481309891</v>
      </c>
      <c r="AC66" s="544">
        <v>34696.662477452308</v>
      </c>
      <c r="AD66" s="544">
        <v>18484.796792730689</v>
      </c>
      <c r="AE66" s="544">
        <v>108649.83855584264</v>
      </c>
      <c r="AF66" s="544">
        <v>21787.534173674874</v>
      </c>
      <c r="AG66" s="544">
        <v>33980.93170095839</v>
      </c>
      <c r="AH66" s="544">
        <v>13270.408410713077</v>
      </c>
      <c r="AI66" s="544">
        <v>14488.817750512653</v>
      </c>
      <c r="AJ66" s="545">
        <v>148755.44143309048</v>
      </c>
      <c r="AK66" s="541"/>
    </row>
    <row r="67" spans="1:37" x14ac:dyDescent="0.25">
      <c r="A67" s="494">
        <v>1990</v>
      </c>
      <c r="B67" s="542">
        <v>30562.329971387982</v>
      </c>
      <c r="C67" s="541">
        <v>1026.0025346279144</v>
      </c>
      <c r="D67" s="541">
        <v>68981.821533203125</v>
      </c>
      <c r="E67" s="541">
        <v>2810.7051087617874</v>
      </c>
      <c r="F67" s="541">
        <v>15215.450620874763</v>
      </c>
      <c r="G67" s="541">
        <v>2036.5992698669434</v>
      </c>
      <c r="H67" s="541">
        <v>2838.8627778291702</v>
      </c>
      <c r="I67" s="541">
        <v>97499.411266297102</v>
      </c>
      <c r="J67" s="541">
        <v>2124.5331494808197</v>
      </c>
      <c r="K67" s="541">
        <v>19116.242594718933</v>
      </c>
      <c r="L67" s="541">
        <v>17084.847532734268</v>
      </c>
      <c r="M67" s="541">
        <v>1436.1444606781006</v>
      </c>
      <c r="N67" s="541">
        <v>1326.6977829933167</v>
      </c>
      <c r="O67" s="541">
        <v>34214.242193310041</v>
      </c>
      <c r="P67" s="541">
        <v>288.74829077720642</v>
      </c>
      <c r="Q67" s="541">
        <v>11856.981076702476</v>
      </c>
      <c r="R67" s="541">
        <v>598.83215999603271</v>
      </c>
      <c r="S67" s="541">
        <v>0</v>
      </c>
      <c r="T67" s="541">
        <v>8233.4886131909498</v>
      </c>
      <c r="U67" s="541">
        <v>1379.1811339259148</v>
      </c>
      <c r="V67" s="541">
        <v>10663.555787086487</v>
      </c>
      <c r="W67" s="541">
        <v>115616.0458571647</v>
      </c>
      <c r="X67" s="541">
        <v>5484.871378025854</v>
      </c>
      <c r="Y67" s="541">
        <v>212.11356273293495</v>
      </c>
      <c r="Z67" s="541">
        <v>230290.84494149685</v>
      </c>
      <c r="AA67" s="543">
        <v>108977.81414357336</v>
      </c>
      <c r="AB67" s="544">
        <v>24765.810481309891</v>
      </c>
      <c r="AC67" s="544">
        <v>31588.332506015897</v>
      </c>
      <c r="AD67" s="544">
        <v>17252.049890741706</v>
      </c>
      <c r="AE67" s="544">
        <v>99623.944415777922</v>
      </c>
      <c r="AF67" s="544">
        <v>18520.991993412368</v>
      </c>
      <c r="AG67" s="544">
        <v>34502.990484087248</v>
      </c>
      <c r="AH67" s="544">
        <v>12455.813236698508</v>
      </c>
      <c r="AI67" s="544">
        <v>9612.6697471168645</v>
      </c>
      <c r="AJ67" s="545">
        <v>121100.91723519056</v>
      </c>
      <c r="AK67" s="541"/>
    </row>
    <row r="68" spans="1:37" x14ac:dyDescent="0.25">
      <c r="A68" s="494">
        <v>1991</v>
      </c>
      <c r="B68" s="542">
        <v>29874.590659990907</v>
      </c>
      <c r="C68" s="541">
        <v>1026.0025346279144</v>
      </c>
      <c r="D68" s="541">
        <v>117437.73883056641</v>
      </c>
      <c r="E68" s="541">
        <v>2810.7051087617874</v>
      </c>
      <c r="F68" s="541">
        <v>14863.587761357427</v>
      </c>
      <c r="G68" s="541">
        <v>2036.5992698669434</v>
      </c>
      <c r="H68" s="541">
        <v>2838.8627778291702</v>
      </c>
      <c r="I68" s="541">
        <v>106282.67822857201</v>
      </c>
      <c r="J68" s="541">
        <v>2485.713142156601</v>
      </c>
      <c r="K68" s="541">
        <v>19116.242594718933</v>
      </c>
      <c r="L68" s="541">
        <v>19005.348350889963</v>
      </c>
      <c r="M68" s="541">
        <v>1393.4346914291382</v>
      </c>
      <c r="N68" s="541">
        <v>1326.6977829933167</v>
      </c>
      <c r="O68" s="541">
        <v>40674.193793682833</v>
      </c>
      <c r="P68" s="541">
        <v>363.56249809265137</v>
      </c>
      <c r="Q68" s="541">
        <v>16571.399551846087</v>
      </c>
      <c r="R68" s="541">
        <v>598.83215999603271</v>
      </c>
      <c r="S68" s="541">
        <v>0</v>
      </c>
      <c r="T68" s="541">
        <v>14703.748447202966</v>
      </c>
      <c r="U68" s="541">
        <v>1408.6430385695712</v>
      </c>
      <c r="V68" s="541">
        <v>12614.457663536072</v>
      </c>
      <c r="W68" s="541">
        <v>126457.51164976104</v>
      </c>
      <c r="X68" s="541">
        <v>5744.862716598218</v>
      </c>
      <c r="Y68" s="541">
        <v>212.11356273293495</v>
      </c>
      <c r="Z68" s="541">
        <v>199350.48925304413</v>
      </c>
      <c r="AA68" s="543">
        <v>66936.001323951932</v>
      </c>
      <c r="AB68" s="544">
        <v>24765.810481309891</v>
      </c>
      <c r="AC68" s="544">
        <v>30900.593194618821</v>
      </c>
      <c r="AD68" s="544">
        <v>16900.18703122437</v>
      </c>
      <c r="AE68" s="544">
        <v>108768.39137072861</v>
      </c>
      <c r="AF68" s="544">
        <v>20398.783042319101</v>
      </c>
      <c r="AG68" s="544">
        <v>41037.756291775484</v>
      </c>
      <c r="AH68" s="544">
        <v>17170.23171184212</v>
      </c>
      <c r="AI68" s="544">
        <v>16112.391485772538</v>
      </c>
      <c r="AJ68" s="545">
        <v>132202.37436635926</v>
      </c>
      <c r="AK68" s="541"/>
    </row>
    <row r="69" spans="1:37" x14ac:dyDescent="0.25">
      <c r="A69" s="494">
        <v>1992</v>
      </c>
      <c r="B69" s="542">
        <v>28091.588534541428</v>
      </c>
      <c r="C69" s="541">
        <v>1026.0025346279144</v>
      </c>
      <c r="D69" s="541">
        <v>117054.44799804688</v>
      </c>
      <c r="E69" s="541">
        <v>2810.7051087617874</v>
      </c>
      <c r="F69" s="541">
        <v>14082.045574307442</v>
      </c>
      <c r="G69" s="541">
        <v>2036.5992698669434</v>
      </c>
      <c r="H69" s="541">
        <v>2838.8627778291702</v>
      </c>
      <c r="I69" s="541">
        <v>101456.72171677649</v>
      </c>
      <c r="J69" s="541">
        <v>2245.6503865718842</v>
      </c>
      <c r="K69" s="541">
        <v>19116.242594718933</v>
      </c>
      <c r="L69" s="541">
        <v>17212.850763142094</v>
      </c>
      <c r="M69" s="541">
        <v>1415.0184035301208</v>
      </c>
      <c r="N69" s="541">
        <v>1326.6977829933167</v>
      </c>
      <c r="O69" s="541">
        <v>40387.572098223944</v>
      </c>
      <c r="P69" s="541">
        <v>417.97858285903931</v>
      </c>
      <c r="Q69" s="541">
        <v>17006.667536079884</v>
      </c>
      <c r="R69" s="541">
        <v>598.83215999603271</v>
      </c>
      <c r="S69" s="541">
        <v>0</v>
      </c>
      <c r="T69" s="541">
        <v>17084.74069208838</v>
      </c>
      <c r="U69" s="541">
        <v>1506.8662263154984</v>
      </c>
      <c r="V69" s="541">
        <v>12963.791850090027</v>
      </c>
      <c r="W69" s="541">
        <v>112591.44940887734</v>
      </c>
      <c r="X69" s="541">
        <v>5904.539648078382</v>
      </c>
      <c r="Y69" s="541">
        <v>212.11356273293495</v>
      </c>
      <c r="Z69" s="541">
        <v>206443.73423230648</v>
      </c>
      <c r="AA69" s="543">
        <v>87735.631612617828</v>
      </c>
      <c r="AB69" s="544">
        <v>24765.810481309891</v>
      </c>
      <c r="AC69" s="544">
        <v>29117.591069169343</v>
      </c>
      <c r="AD69" s="544">
        <v>16118.644844174385</v>
      </c>
      <c r="AE69" s="544">
        <v>103702.37210334837</v>
      </c>
      <c r="AF69" s="544">
        <v>18627.869166672215</v>
      </c>
      <c r="AG69" s="544">
        <v>40805.550681082983</v>
      </c>
      <c r="AH69" s="544">
        <v>17605.499696075916</v>
      </c>
      <c r="AI69" s="544">
        <v>18591.606918403879</v>
      </c>
      <c r="AJ69" s="545">
        <v>118495.98905695572</v>
      </c>
      <c r="AK69" s="541"/>
    </row>
    <row r="70" spans="1:37" x14ac:dyDescent="0.25">
      <c r="A70" s="494">
        <v>1993</v>
      </c>
      <c r="B70" s="542">
        <v>32103.136144503951</v>
      </c>
      <c r="C70" s="541">
        <v>1026.0025346279144</v>
      </c>
      <c r="D70" s="541">
        <v>152973.38549804688</v>
      </c>
      <c r="E70" s="541">
        <v>2810.7051087617874</v>
      </c>
      <c r="F70" s="541">
        <v>15988.784241110086</v>
      </c>
      <c r="G70" s="541">
        <v>2036.5992698669434</v>
      </c>
      <c r="H70" s="541">
        <v>2838.8627778291702</v>
      </c>
      <c r="I70" s="541">
        <v>105709.74933767319</v>
      </c>
      <c r="J70" s="541">
        <v>2421.1311242580414</v>
      </c>
      <c r="K70" s="541">
        <v>19116.242594718933</v>
      </c>
      <c r="L70" s="541">
        <v>17761.653258830291</v>
      </c>
      <c r="M70" s="541">
        <v>1409.339928150177</v>
      </c>
      <c r="N70" s="541">
        <v>1326.6977829933167</v>
      </c>
      <c r="O70" s="541">
        <v>46448.059832675834</v>
      </c>
      <c r="P70" s="541">
        <v>510.01865291595459</v>
      </c>
      <c r="Q70" s="541">
        <v>23194.015044294298</v>
      </c>
      <c r="R70" s="541">
        <v>598.83215999603271</v>
      </c>
      <c r="S70" s="541">
        <v>0</v>
      </c>
      <c r="T70" s="541">
        <v>21886.42927126959</v>
      </c>
      <c r="U70" s="541">
        <v>1527.7050304333034</v>
      </c>
      <c r="V70" s="541">
        <v>15636.440155982971</v>
      </c>
      <c r="W70" s="541">
        <v>127148.83836561783</v>
      </c>
      <c r="X70" s="541">
        <v>5949.4723663202703</v>
      </c>
      <c r="Y70" s="541">
        <v>212.11356273293495</v>
      </c>
      <c r="Z70" s="541">
        <v>184771.15517747402</v>
      </c>
      <c r="AA70" s="543">
        <v>51460.730882802985</v>
      </c>
      <c r="AB70" s="544">
        <v>24765.810481309891</v>
      </c>
      <c r="AC70" s="544">
        <v>33129.138679131866</v>
      </c>
      <c r="AD70" s="544">
        <v>18025.38351097703</v>
      </c>
      <c r="AE70" s="544">
        <v>108130.88046193123</v>
      </c>
      <c r="AF70" s="544">
        <v>19170.993186980468</v>
      </c>
      <c r="AG70" s="544">
        <v>46958.078485591788</v>
      </c>
      <c r="AH70" s="544">
        <v>23792.84720429033</v>
      </c>
      <c r="AI70" s="544">
        <v>23414.134301702892</v>
      </c>
      <c r="AJ70" s="545">
        <v>133098.31073193811</v>
      </c>
      <c r="AK70" s="541"/>
    </row>
    <row r="71" spans="1:37" x14ac:dyDescent="0.25">
      <c r="A71" s="494">
        <v>1994</v>
      </c>
      <c r="B71" s="542">
        <v>31375.235254570842</v>
      </c>
      <c r="C71" s="541">
        <v>1026.0025346279144</v>
      </c>
      <c r="D71" s="541">
        <v>118496.70453643799</v>
      </c>
      <c r="E71" s="541">
        <v>2810.7051087617874</v>
      </c>
      <c r="F71" s="541">
        <v>15648.641727104783</v>
      </c>
      <c r="G71" s="541">
        <v>2036.5992698669434</v>
      </c>
      <c r="H71" s="541">
        <v>2838.8627778291702</v>
      </c>
      <c r="I71" s="541">
        <v>106378.93849997595</v>
      </c>
      <c r="J71" s="541">
        <v>2574.2189137935638</v>
      </c>
      <c r="K71" s="541">
        <v>19116.242594718933</v>
      </c>
      <c r="L71" s="541">
        <v>18496.048557460301</v>
      </c>
      <c r="M71" s="541">
        <v>1402.7864398956299</v>
      </c>
      <c r="N71" s="541">
        <v>1326.6977829933167</v>
      </c>
      <c r="O71" s="541">
        <v>37563.936680889208</v>
      </c>
      <c r="P71" s="541">
        <v>342.99559569358826</v>
      </c>
      <c r="Q71" s="541">
        <v>15423.816070884466</v>
      </c>
      <c r="R71" s="541">
        <v>598.83215999603271</v>
      </c>
      <c r="S71" s="541">
        <v>0</v>
      </c>
      <c r="T71" s="541">
        <v>16902.15482695587</v>
      </c>
      <c r="U71" s="541">
        <v>1431.1785380423075</v>
      </c>
      <c r="V71" s="541">
        <v>11770.206915855408</v>
      </c>
      <c r="W71" s="541">
        <v>153351.90552741633</v>
      </c>
      <c r="X71" s="541">
        <v>5712.1269104927778</v>
      </c>
      <c r="Y71" s="541">
        <v>212.11356273293495</v>
      </c>
      <c r="Z71" s="541">
        <v>217992.42529058456</v>
      </c>
      <c r="AA71" s="543">
        <v>58716.279289942526</v>
      </c>
      <c r="AB71" s="544">
        <v>24765.810481309891</v>
      </c>
      <c r="AC71" s="544">
        <v>32401.237789198756</v>
      </c>
      <c r="AD71" s="544">
        <v>17685.240996971726</v>
      </c>
      <c r="AE71" s="544">
        <v>108953.15741376951</v>
      </c>
      <c r="AF71" s="544">
        <v>19898.834997355931</v>
      </c>
      <c r="AG71" s="544">
        <v>37906.932276582796</v>
      </c>
      <c r="AH71" s="544">
        <v>16022.648230880499</v>
      </c>
      <c r="AI71" s="544">
        <v>18333.333364998176</v>
      </c>
      <c r="AJ71" s="545">
        <v>159064.0324379091</v>
      </c>
      <c r="AK71" s="541"/>
    </row>
    <row r="72" spans="1:37" x14ac:dyDescent="0.25">
      <c r="A72" s="494">
        <v>1995</v>
      </c>
      <c r="B72" s="542">
        <v>28506.971692956984</v>
      </c>
      <c r="C72" s="541">
        <v>1026.0025346279144</v>
      </c>
      <c r="D72" s="541">
        <v>105102.31011962891</v>
      </c>
      <c r="E72" s="541">
        <v>2810.7051087617874</v>
      </c>
      <c r="F72" s="541">
        <v>14542.535258993506</v>
      </c>
      <c r="G72" s="541">
        <v>2036.5992698669434</v>
      </c>
      <c r="H72" s="541">
        <v>2838.8627778291702</v>
      </c>
      <c r="I72" s="541">
        <v>101047.14626684785</v>
      </c>
      <c r="J72" s="541">
        <v>2550.4907605648041</v>
      </c>
      <c r="K72" s="541">
        <v>19116.242594718933</v>
      </c>
      <c r="L72" s="541">
        <v>17458.349292680596</v>
      </c>
      <c r="M72" s="541">
        <v>1359.8109498023987</v>
      </c>
      <c r="N72" s="541">
        <v>1326.6977829933167</v>
      </c>
      <c r="O72" s="541">
        <v>45967.858518718262</v>
      </c>
      <c r="P72" s="541">
        <v>483.46467566490173</v>
      </c>
      <c r="Q72" s="541">
        <v>22057.724539775401</v>
      </c>
      <c r="R72" s="541">
        <v>598.83215999603271</v>
      </c>
      <c r="S72" s="541">
        <v>0</v>
      </c>
      <c r="T72" s="541">
        <v>24878.070052479881</v>
      </c>
      <c r="U72" s="541">
        <v>1581.7079276483128</v>
      </c>
      <c r="V72" s="541">
        <v>16272.813761711121</v>
      </c>
      <c r="W72" s="541">
        <v>115514.61933257028</v>
      </c>
      <c r="X72" s="541">
        <v>6071.0040401907072</v>
      </c>
      <c r="Y72" s="541">
        <v>212.11356273293495</v>
      </c>
      <c r="Z72" s="541">
        <v>204038.33221387863</v>
      </c>
      <c r="AA72" s="543">
        <v>82240.595278384717</v>
      </c>
      <c r="AB72" s="544">
        <v>24765.810481309891</v>
      </c>
      <c r="AC72" s="544">
        <v>29532.974227584898</v>
      </c>
      <c r="AD72" s="544">
        <v>16579.13452886045</v>
      </c>
      <c r="AE72" s="544">
        <v>103597.63702741265</v>
      </c>
      <c r="AF72" s="544">
        <v>18818.160242482994</v>
      </c>
      <c r="AG72" s="544">
        <v>46451.323194383163</v>
      </c>
      <c r="AH72" s="544">
        <v>22656.556699771434</v>
      </c>
      <c r="AI72" s="544">
        <v>26459.777980128194</v>
      </c>
      <c r="AJ72" s="545">
        <v>121585.62337276098</v>
      </c>
      <c r="AK72" s="541"/>
    </row>
    <row r="73" spans="1:37" x14ac:dyDescent="0.25">
      <c r="A73" s="494">
        <v>1996</v>
      </c>
      <c r="B73" s="542">
        <v>29779.537081614137</v>
      </c>
      <c r="C73" s="541">
        <v>1026.0025346279144</v>
      </c>
      <c r="D73" s="541">
        <v>48240.947612762451</v>
      </c>
      <c r="E73" s="541">
        <v>2810.7051087617874</v>
      </c>
      <c r="F73" s="541">
        <v>15250.292549237609</v>
      </c>
      <c r="G73" s="541">
        <v>2036.5992698669434</v>
      </c>
      <c r="H73" s="541">
        <v>2838.8627778291702</v>
      </c>
      <c r="I73" s="541">
        <v>100162.74940613657</v>
      </c>
      <c r="J73" s="541">
        <v>2327.6493165493011</v>
      </c>
      <c r="K73" s="541">
        <v>19116.242594718933</v>
      </c>
      <c r="L73" s="541">
        <v>19141.341357752659</v>
      </c>
      <c r="M73" s="541">
        <v>1372.9785013198853</v>
      </c>
      <c r="N73" s="541">
        <v>1326.6977829933167</v>
      </c>
      <c r="O73" s="541">
        <v>26328.391575990692</v>
      </c>
      <c r="P73" s="541">
        <v>291.16730356216431</v>
      </c>
      <c r="Q73" s="541">
        <v>11528.445808507502</v>
      </c>
      <c r="R73" s="541">
        <v>598.83215999603271</v>
      </c>
      <c r="S73" s="541">
        <v>0</v>
      </c>
      <c r="T73" s="541">
        <v>10799.320131667033</v>
      </c>
      <c r="U73" s="541">
        <v>1380.9019365602483</v>
      </c>
      <c r="V73" s="541">
        <v>8083.8472414016724</v>
      </c>
      <c r="W73" s="541">
        <v>147990.34096988261</v>
      </c>
      <c r="X73" s="541">
        <v>5370.1847173767164</v>
      </c>
      <c r="Y73" s="541">
        <v>212.11356273293495</v>
      </c>
      <c r="Z73" s="541">
        <v>249572.9455909729</v>
      </c>
      <c r="AA73" s="543">
        <v>96000.306340980635</v>
      </c>
      <c r="AB73" s="544">
        <v>24765.810481309891</v>
      </c>
      <c r="AC73" s="544">
        <v>30805.539616242051</v>
      </c>
      <c r="AD73" s="544">
        <v>17286.891819104552</v>
      </c>
      <c r="AE73" s="544">
        <v>102490.39872268587</v>
      </c>
      <c r="AF73" s="544">
        <v>20514.319859072544</v>
      </c>
      <c r="AG73" s="544">
        <v>26619.558879552857</v>
      </c>
      <c r="AH73" s="544">
        <v>12127.277968503535</v>
      </c>
      <c r="AI73" s="544">
        <v>12180.222068227282</v>
      </c>
      <c r="AJ73" s="545">
        <v>153360.52568725933</v>
      </c>
      <c r="AK73" s="541"/>
    </row>
    <row r="74" spans="1:37" x14ac:dyDescent="0.25">
      <c r="A74" s="494">
        <v>1997</v>
      </c>
      <c r="B74" s="542">
        <v>25159.440965354443</v>
      </c>
      <c r="C74" s="541">
        <v>1026.0025346279144</v>
      </c>
      <c r="D74" s="541">
        <v>141869.90014648438</v>
      </c>
      <c r="E74" s="541">
        <v>2810.7051087617874</v>
      </c>
      <c r="F74" s="541">
        <v>12714.264801204205</v>
      </c>
      <c r="G74" s="541">
        <v>2036.5992698669434</v>
      </c>
      <c r="H74" s="541">
        <v>2838.8627778291702</v>
      </c>
      <c r="I74" s="541">
        <v>103258.39309136569</v>
      </c>
      <c r="J74" s="541">
        <v>2691.6278207302094</v>
      </c>
      <c r="K74" s="541">
        <v>19116.242594718933</v>
      </c>
      <c r="L74" s="541">
        <v>16778.413258336466</v>
      </c>
      <c r="M74" s="541">
        <v>1388.1358737945557</v>
      </c>
      <c r="N74" s="541">
        <v>1326.6977829933167</v>
      </c>
      <c r="O74" s="541">
        <v>44856.933479888816</v>
      </c>
      <c r="P74" s="541">
        <v>488.73036551475525</v>
      </c>
      <c r="Q74" s="541">
        <v>22530.197339996696</v>
      </c>
      <c r="R74" s="541">
        <v>598.83215999603271</v>
      </c>
      <c r="S74" s="541">
        <v>0</v>
      </c>
      <c r="T74" s="541">
        <v>23059.31420964457</v>
      </c>
      <c r="U74" s="541">
        <v>1527.3596330424455</v>
      </c>
      <c r="V74" s="541">
        <v>16793.071511268616</v>
      </c>
      <c r="W74" s="541">
        <v>134823.82695226715</v>
      </c>
      <c r="X74" s="541">
        <v>5891.855215626575</v>
      </c>
      <c r="Y74" s="541">
        <v>212.11356273293495</v>
      </c>
      <c r="Z74" s="541">
        <v>199579.09180855751</v>
      </c>
      <c r="AA74" s="543">
        <v>58651.296077930856</v>
      </c>
      <c r="AB74" s="544">
        <v>24765.810481309891</v>
      </c>
      <c r="AC74" s="544">
        <v>26185.443499982357</v>
      </c>
      <c r="AD74" s="544">
        <v>14750.864071071148</v>
      </c>
      <c r="AE74" s="544">
        <v>105950.0209120959</v>
      </c>
      <c r="AF74" s="544">
        <v>18166.549132131022</v>
      </c>
      <c r="AG74" s="544">
        <v>45345.663845403571</v>
      </c>
      <c r="AH74" s="544">
        <v>23129.029499992728</v>
      </c>
      <c r="AI74" s="544">
        <v>24586.673842687014</v>
      </c>
      <c r="AJ74" s="545">
        <v>140715.68216789371</v>
      </c>
      <c r="AK74" s="541"/>
    </row>
    <row r="75" spans="1:37" x14ac:dyDescent="0.25">
      <c r="A75" s="494">
        <v>1998</v>
      </c>
      <c r="B75" s="542">
        <v>33177.189328059554</v>
      </c>
      <c r="C75" s="541">
        <v>1026.0025346279144</v>
      </c>
      <c r="D75" s="541">
        <v>97067.112983703613</v>
      </c>
      <c r="E75" s="541">
        <v>2810.7051087617874</v>
      </c>
      <c r="F75" s="541">
        <v>16562.881358131766</v>
      </c>
      <c r="G75" s="541">
        <v>2036.5992698669434</v>
      </c>
      <c r="H75" s="541">
        <v>2838.8627778291702</v>
      </c>
      <c r="I75" s="541">
        <v>103749.49309156835</v>
      </c>
      <c r="J75" s="541">
        <v>2458.2529428005219</v>
      </c>
      <c r="K75" s="541">
        <v>19116.242594718933</v>
      </c>
      <c r="L75" s="541">
        <v>18279.750435873866</v>
      </c>
      <c r="M75" s="541">
        <v>1393.2385935783386</v>
      </c>
      <c r="N75" s="541">
        <v>1326.6977829933167</v>
      </c>
      <c r="O75" s="541">
        <v>42203.480178008307</v>
      </c>
      <c r="P75" s="541">
        <v>351.52508592605591</v>
      </c>
      <c r="Q75" s="541">
        <v>17572.224156752229</v>
      </c>
      <c r="R75" s="541">
        <v>598.83215999603271</v>
      </c>
      <c r="S75" s="541">
        <v>0</v>
      </c>
      <c r="T75" s="541">
        <v>16809.420229131356</v>
      </c>
      <c r="U75" s="541">
        <v>1432.2823120910975</v>
      </c>
      <c r="V75" s="541">
        <v>12114.775233268738</v>
      </c>
      <c r="W75" s="541">
        <v>148079.24838319764</v>
      </c>
      <c r="X75" s="541">
        <v>5794.8287901207805</v>
      </c>
      <c r="Y75" s="541">
        <v>212.11356273293495</v>
      </c>
      <c r="Z75" s="541">
        <v>208180.59205627441</v>
      </c>
      <c r="AA75" s="543">
        <v>54094.401320223056</v>
      </c>
      <c r="AB75" s="544">
        <v>24765.810481309891</v>
      </c>
      <c r="AC75" s="544">
        <v>34203.191862687469</v>
      </c>
      <c r="AD75" s="544">
        <v>18599.48062799871</v>
      </c>
      <c r="AE75" s="544">
        <v>106207.74603436887</v>
      </c>
      <c r="AF75" s="544">
        <v>19672.989029452205</v>
      </c>
      <c r="AG75" s="544">
        <v>42555.005263934363</v>
      </c>
      <c r="AH75" s="544">
        <v>18171.056316748261</v>
      </c>
      <c r="AI75" s="544">
        <v>18241.702541222454</v>
      </c>
      <c r="AJ75" s="545">
        <v>153874.07717331842</v>
      </c>
      <c r="AK75" s="541"/>
    </row>
    <row r="76" spans="1:37" x14ac:dyDescent="0.25">
      <c r="A76" s="494">
        <v>1999</v>
      </c>
      <c r="B76" s="542">
        <v>32964.874221034348</v>
      </c>
      <c r="C76" s="541">
        <v>1026.0025346279144</v>
      </c>
      <c r="D76" s="541">
        <v>102844.95849609375</v>
      </c>
      <c r="E76" s="541">
        <v>2810.7051087617874</v>
      </c>
      <c r="F76" s="541">
        <v>16529.314782619476</v>
      </c>
      <c r="G76" s="541">
        <v>2036.5992698669434</v>
      </c>
      <c r="H76" s="541">
        <v>2838.8627778291702</v>
      </c>
      <c r="I76" s="541">
        <v>98996.988639742136</v>
      </c>
      <c r="J76" s="541">
        <v>2602.8871610164642</v>
      </c>
      <c r="K76" s="541">
        <v>19116.242594718933</v>
      </c>
      <c r="L76" s="541">
        <v>15896.855471760024</v>
      </c>
      <c r="M76" s="541">
        <v>1421.9062471389771</v>
      </c>
      <c r="N76" s="541">
        <v>1326.6977829933167</v>
      </c>
      <c r="O76" s="541">
        <v>42588.623615293283</v>
      </c>
      <c r="P76" s="541">
        <v>388.57774639129639</v>
      </c>
      <c r="Q76" s="541">
        <v>19445.735156543553</v>
      </c>
      <c r="R76" s="541">
        <v>598.83215999603271</v>
      </c>
      <c r="S76" s="541">
        <v>0</v>
      </c>
      <c r="T76" s="541">
        <v>17879.28560508378</v>
      </c>
      <c r="U76" s="541">
        <v>1462.6694886213734</v>
      </c>
      <c r="V76" s="541">
        <v>15258.390456199646</v>
      </c>
      <c r="W76" s="541">
        <v>133632.7145545219</v>
      </c>
      <c r="X76" s="541">
        <v>5803.2621471136808</v>
      </c>
      <c r="Y76" s="541">
        <v>212.11356273293495</v>
      </c>
      <c r="Z76" s="541">
        <v>218006.16120147705</v>
      </c>
      <c r="AA76" s="543">
        <v>78358.07093710854</v>
      </c>
      <c r="AB76" s="544">
        <v>24765.810481309891</v>
      </c>
      <c r="AC76" s="544">
        <v>33990.876755662262</v>
      </c>
      <c r="AD76" s="544">
        <v>18565.91405248642</v>
      </c>
      <c r="AE76" s="544">
        <v>101599.8758007586</v>
      </c>
      <c r="AF76" s="544">
        <v>17318.761718899001</v>
      </c>
      <c r="AG76" s="544">
        <v>42977.20136168458</v>
      </c>
      <c r="AH76" s="544">
        <v>20044.567316539586</v>
      </c>
      <c r="AI76" s="544">
        <v>19341.955093705154</v>
      </c>
      <c r="AJ76" s="545">
        <v>139435.97670163558</v>
      </c>
      <c r="AK76" s="541"/>
    </row>
    <row r="77" spans="1:37" x14ac:dyDescent="0.25">
      <c r="A77" s="494">
        <v>2000</v>
      </c>
      <c r="B77" s="542">
        <v>29344.583369780332</v>
      </c>
      <c r="C77" s="541">
        <v>1026.0025346279144</v>
      </c>
      <c r="D77" s="541">
        <v>36166.211456298828</v>
      </c>
      <c r="E77" s="541">
        <v>2810.7051087617874</v>
      </c>
      <c r="F77" s="541">
        <v>15188.556368738413</v>
      </c>
      <c r="G77" s="541">
        <v>2036.5992698669434</v>
      </c>
      <c r="H77" s="541">
        <v>2838.8627778291702</v>
      </c>
      <c r="I77" s="541">
        <v>101541.77090242505</v>
      </c>
      <c r="J77" s="541">
        <v>2352.8794076442719</v>
      </c>
      <c r="K77" s="541">
        <v>19116.242594718933</v>
      </c>
      <c r="L77" s="541">
        <v>18819.408040262751</v>
      </c>
      <c r="M77" s="541">
        <v>1411.2530813217163</v>
      </c>
      <c r="N77" s="541">
        <v>1326.6977829933167</v>
      </c>
      <c r="O77" s="541">
        <v>31979.584313808456</v>
      </c>
      <c r="P77" s="541">
        <v>323.67598628997803</v>
      </c>
      <c r="Q77" s="541">
        <v>13817.336681306362</v>
      </c>
      <c r="R77" s="541">
        <v>598.83215999603271</v>
      </c>
      <c r="S77" s="541">
        <v>0</v>
      </c>
      <c r="T77" s="541">
        <v>13808.490894689114</v>
      </c>
      <c r="U77" s="541">
        <v>1429.5072996441741</v>
      </c>
      <c r="V77" s="541">
        <v>8371.530348777771</v>
      </c>
      <c r="W77" s="541">
        <v>163350.64299086825</v>
      </c>
      <c r="X77" s="541">
        <v>5191.6899812221527</v>
      </c>
      <c r="Y77" s="541">
        <v>212.11356273293495</v>
      </c>
      <c r="Z77" s="541">
        <v>217884.83100879192</v>
      </c>
      <c r="AA77" s="543">
        <v>49130.384473968588</v>
      </c>
      <c r="AB77" s="544">
        <v>24765.810481309891</v>
      </c>
      <c r="AC77" s="544">
        <v>30370.585904408246</v>
      </c>
      <c r="AD77" s="544">
        <v>17225.155638605356</v>
      </c>
      <c r="AE77" s="544">
        <v>103894.65031006932</v>
      </c>
      <c r="AF77" s="544">
        <v>20230.661121584468</v>
      </c>
      <c r="AG77" s="544">
        <v>32303.260300098435</v>
      </c>
      <c r="AH77" s="544">
        <v>14416.168841302395</v>
      </c>
      <c r="AI77" s="544">
        <v>15237.998194333288</v>
      </c>
      <c r="AJ77" s="545">
        <v>168542.3329720904</v>
      </c>
      <c r="AK77" s="541"/>
    </row>
    <row r="78" spans="1:37" x14ac:dyDescent="0.25">
      <c r="A78" s="494">
        <v>2001</v>
      </c>
      <c r="B78" s="542">
        <v>33777.548021025956</v>
      </c>
      <c r="C78" s="541">
        <v>1026.0025346279144</v>
      </c>
      <c r="D78" s="541">
        <v>100318.58647155762</v>
      </c>
      <c r="E78" s="541">
        <v>2810.7051087617874</v>
      </c>
      <c r="F78" s="541">
        <v>17078.43208155036</v>
      </c>
      <c r="G78" s="541">
        <v>2036.5992698669434</v>
      </c>
      <c r="H78" s="541">
        <v>2838.8627778291702</v>
      </c>
      <c r="I78" s="541">
        <v>109569.03057979792</v>
      </c>
      <c r="J78" s="541">
        <v>2674.9391229152679</v>
      </c>
      <c r="K78" s="541">
        <v>19116.242594718933</v>
      </c>
      <c r="L78" s="541">
        <v>20482.824206374571</v>
      </c>
      <c r="M78" s="541">
        <v>1389.206042766571</v>
      </c>
      <c r="N78" s="541">
        <v>1326.6977829933167</v>
      </c>
      <c r="O78" s="541">
        <v>43369.202577559729</v>
      </c>
      <c r="P78" s="541">
        <v>441.15729832649231</v>
      </c>
      <c r="Q78" s="541">
        <v>16257.600159466267</v>
      </c>
      <c r="R78" s="541">
        <v>598.83215999603271</v>
      </c>
      <c r="S78" s="541">
        <v>0</v>
      </c>
      <c r="T78" s="541">
        <v>16588.145288820342</v>
      </c>
      <c r="U78" s="541">
        <v>1445.1781397499144</v>
      </c>
      <c r="V78" s="541">
        <v>11804.499000549316</v>
      </c>
      <c r="W78" s="541">
        <v>156871.85808800504</v>
      </c>
      <c r="X78" s="541">
        <v>5422.8628231664115</v>
      </c>
      <c r="Y78" s="541">
        <v>212.11356273293495</v>
      </c>
      <c r="Z78" s="541">
        <v>229907.88041687012</v>
      </c>
      <c r="AA78" s="543">
        <v>67401.04594296572</v>
      </c>
      <c r="AB78" s="544">
        <v>24765.810481309891</v>
      </c>
      <c r="AC78" s="544">
        <v>34803.55055565387</v>
      </c>
      <c r="AD78" s="544">
        <v>19115.031351417303</v>
      </c>
      <c r="AE78" s="544">
        <v>112243.96970271319</v>
      </c>
      <c r="AF78" s="544">
        <v>21872.030249141142</v>
      </c>
      <c r="AG78" s="544">
        <v>43810.359875886221</v>
      </c>
      <c r="AH78" s="544">
        <v>16856.432319462299</v>
      </c>
      <c r="AI78" s="544">
        <v>18033.323428570257</v>
      </c>
      <c r="AJ78" s="545">
        <v>162294.72091117146</v>
      </c>
      <c r="AK78" s="541"/>
    </row>
    <row r="79" spans="1:37" x14ac:dyDescent="0.25">
      <c r="A79" s="494">
        <v>2002</v>
      </c>
      <c r="B79" s="542">
        <v>26764.857599247247</v>
      </c>
      <c r="C79" s="541">
        <v>1026.0025346279144</v>
      </c>
      <c r="D79" s="541">
        <v>3234.6556396484375</v>
      </c>
      <c r="E79" s="541">
        <v>2810.7051087617874</v>
      </c>
      <c r="F79" s="541">
        <v>9919.1260161325336</v>
      </c>
      <c r="G79" s="541">
        <v>2036.5992698669434</v>
      </c>
      <c r="H79" s="541">
        <v>2838.8627778291702</v>
      </c>
      <c r="I79" s="541">
        <v>71471.089888095856</v>
      </c>
      <c r="J79" s="541">
        <v>1484.8248956203461</v>
      </c>
      <c r="K79" s="541">
        <v>17935.719019889832</v>
      </c>
      <c r="L79" s="541">
        <v>20280.662608705465</v>
      </c>
      <c r="M79" s="541">
        <v>1351.6636481285095</v>
      </c>
      <c r="N79" s="541">
        <v>1326.6977829933167</v>
      </c>
      <c r="O79" s="541">
        <v>11704.532083502263</v>
      </c>
      <c r="P79" s="541">
        <v>283.38596367835999</v>
      </c>
      <c r="Q79" s="541">
        <v>5104.6303098872304</v>
      </c>
      <c r="R79" s="541">
        <v>598.83215999603271</v>
      </c>
      <c r="S79" s="541">
        <v>0</v>
      </c>
      <c r="T79" s="541">
        <v>4420.8252652295678</v>
      </c>
      <c r="U79" s="541">
        <v>1384.14158476796</v>
      </c>
      <c r="V79" s="541">
        <v>3064.0313931107521</v>
      </c>
      <c r="W79" s="541">
        <v>79697.911122927573</v>
      </c>
      <c r="X79" s="541">
        <v>4547.4637647284562</v>
      </c>
      <c r="Y79" s="541">
        <v>212.11356273293495</v>
      </c>
      <c r="Z79" s="541">
        <v>130283.96319517493</v>
      </c>
      <c r="AA79" s="543">
        <v>45826.47474478597</v>
      </c>
      <c r="AB79" s="544">
        <v>23585.286906480789</v>
      </c>
      <c r="AC79" s="544">
        <v>27790.860133875161</v>
      </c>
      <c r="AD79" s="544">
        <v>11955.725285999477</v>
      </c>
      <c r="AE79" s="544">
        <v>72955.914783716202</v>
      </c>
      <c r="AF79" s="544">
        <v>21632.326256833974</v>
      </c>
      <c r="AG79" s="544">
        <v>11987.918047180623</v>
      </c>
      <c r="AH79" s="544">
        <v>5703.4624698832631</v>
      </c>
      <c r="AI79" s="544">
        <v>5804.9668499975278</v>
      </c>
      <c r="AJ79" s="545">
        <v>84245.374887656028</v>
      </c>
      <c r="AK79" s="541"/>
    </row>
    <row r="80" spans="1:37" x14ac:dyDescent="0.25">
      <c r="A80" s="494">
        <v>2003</v>
      </c>
      <c r="B80" s="542">
        <v>31581.698455646634</v>
      </c>
      <c r="C80" s="541">
        <v>1026.0025346279144</v>
      </c>
      <c r="D80" s="541">
        <v>52519.952919006348</v>
      </c>
      <c r="E80" s="541">
        <v>2810.7051087617874</v>
      </c>
      <c r="F80" s="541">
        <v>14780.423109680414</v>
      </c>
      <c r="G80" s="541">
        <v>2036.5992698669434</v>
      </c>
      <c r="H80" s="541">
        <v>2838.8627778291702</v>
      </c>
      <c r="I80" s="541">
        <v>84958.297561615705</v>
      </c>
      <c r="J80" s="541">
        <v>1525.2299468517303</v>
      </c>
      <c r="K80" s="541">
        <v>19116.242594718933</v>
      </c>
      <c r="L80" s="541">
        <v>19393.348131328807</v>
      </c>
      <c r="M80" s="541">
        <v>1362.6126961708069</v>
      </c>
      <c r="N80" s="541">
        <v>1326.6977829933167</v>
      </c>
      <c r="O80" s="541">
        <v>25875.324496712983</v>
      </c>
      <c r="P80" s="541">
        <v>288.09121346473694</v>
      </c>
      <c r="Q80" s="541">
        <v>12372.079201120883</v>
      </c>
      <c r="R80" s="541">
        <v>598.83215999603271</v>
      </c>
      <c r="S80" s="541">
        <v>0</v>
      </c>
      <c r="T80" s="541">
        <v>11053.859652318881</v>
      </c>
      <c r="U80" s="541">
        <v>1411.8523596003652</v>
      </c>
      <c r="V80" s="541">
        <v>8501.7762340307236</v>
      </c>
      <c r="W80" s="541">
        <v>109095.16018007755</v>
      </c>
      <c r="X80" s="541">
        <v>4971.0676205158234</v>
      </c>
      <c r="Y80" s="541">
        <v>212.11356273293495</v>
      </c>
      <c r="Z80" s="541">
        <v>199370.26995080709</v>
      </c>
      <c r="AA80" s="543">
        <v>85091.928587480783</v>
      </c>
      <c r="AB80" s="544">
        <v>24765.810481309891</v>
      </c>
      <c r="AC80" s="544">
        <v>32607.700990274549</v>
      </c>
      <c r="AD80" s="544">
        <v>16817.022379547358</v>
      </c>
      <c r="AE80" s="544">
        <v>86483.527508467436</v>
      </c>
      <c r="AF80" s="544">
        <v>20755.960827499614</v>
      </c>
      <c r="AG80" s="544">
        <v>26163.41571017772</v>
      </c>
      <c r="AH80" s="544">
        <v>12970.911361116916</v>
      </c>
      <c r="AI80" s="544">
        <v>12465.712011919246</v>
      </c>
      <c r="AJ80" s="545">
        <v>114066.22780059338</v>
      </c>
      <c r="AK80" s="541"/>
    </row>
    <row r="81" spans="1:37" x14ac:dyDescent="0.25">
      <c r="A81" s="494">
        <v>2004</v>
      </c>
      <c r="B81" s="542">
        <v>31455.867254421115</v>
      </c>
      <c r="C81" s="541">
        <v>1026.0025346279144</v>
      </c>
      <c r="D81" s="541">
        <v>76055.111083984375</v>
      </c>
      <c r="E81" s="541">
        <v>2810.7051087617874</v>
      </c>
      <c r="F81" s="541">
        <v>15241.384085401893</v>
      </c>
      <c r="G81" s="541">
        <v>2036.5992698669434</v>
      </c>
      <c r="H81" s="541">
        <v>2838.8627778291702</v>
      </c>
      <c r="I81" s="541">
        <v>105721.29304637015</v>
      </c>
      <c r="J81" s="541">
        <v>2426.8390653133392</v>
      </c>
      <c r="K81" s="541">
        <v>19116.242594718933</v>
      </c>
      <c r="L81" s="541">
        <v>18309.343495324247</v>
      </c>
      <c r="M81" s="541">
        <v>1412.5928068161011</v>
      </c>
      <c r="N81" s="541">
        <v>1326.6977829933167</v>
      </c>
      <c r="O81" s="541">
        <v>36574.474019209374</v>
      </c>
      <c r="P81" s="541">
        <v>350.8755931854248</v>
      </c>
      <c r="Q81" s="541">
        <v>12691.453418567777</v>
      </c>
      <c r="R81" s="541">
        <v>598.83215999603271</v>
      </c>
      <c r="S81" s="541">
        <v>0</v>
      </c>
      <c r="T81" s="541">
        <v>14411.446160935686</v>
      </c>
      <c r="U81" s="541">
        <v>1435.321028668654</v>
      </c>
      <c r="V81" s="541">
        <v>11147.685513496399</v>
      </c>
      <c r="W81" s="541">
        <v>120953.98686488315</v>
      </c>
      <c r="X81" s="541">
        <v>5414.614354464793</v>
      </c>
      <c r="Y81" s="541">
        <v>212.11356273293495</v>
      </c>
      <c r="Z81" s="541">
        <v>245619.79559373856</v>
      </c>
      <c r="AA81" s="543">
        <v>119039.08081165768</v>
      </c>
      <c r="AB81" s="544">
        <v>24765.810481309891</v>
      </c>
      <c r="AC81" s="544">
        <v>32481.869789049029</v>
      </c>
      <c r="AD81" s="544">
        <v>17277.983355268836</v>
      </c>
      <c r="AE81" s="544">
        <v>108148.13211168349</v>
      </c>
      <c r="AF81" s="544">
        <v>19721.936302140348</v>
      </c>
      <c r="AG81" s="544">
        <v>36925.349612394799</v>
      </c>
      <c r="AH81" s="544">
        <v>13290.285578563809</v>
      </c>
      <c r="AI81" s="544">
        <v>15846.767189604339</v>
      </c>
      <c r="AJ81" s="545">
        <v>126368.60121934794</v>
      </c>
      <c r="AK81" s="541"/>
    </row>
    <row r="82" spans="1:37" x14ac:dyDescent="0.25">
      <c r="A82" s="494">
        <v>2005</v>
      </c>
      <c r="B82" s="542">
        <v>34699.979027479887</v>
      </c>
      <c r="C82" s="541">
        <v>1026.0025346279144</v>
      </c>
      <c r="D82" s="541">
        <v>106948.22332763672</v>
      </c>
      <c r="E82" s="541">
        <v>2810.7051087617874</v>
      </c>
      <c r="F82" s="541">
        <v>17310.619971886277</v>
      </c>
      <c r="G82" s="541">
        <v>2036.5992698669434</v>
      </c>
      <c r="H82" s="541">
        <v>2838.8627778291702</v>
      </c>
      <c r="I82" s="541">
        <v>106462.95276351273</v>
      </c>
      <c r="J82" s="541">
        <v>2427.2232568264008</v>
      </c>
      <c r="K82" s="541">
        <v>19116.242594718933</v>
      </c>
      <c r="L82" s="541">
        <v>18769.083691611886</v>
      </c>
      <c r="M82" s="541">
        <v>1422.3165097236633</v>
      </c>
      <c r="N82" s="541">
        <v>1326.6977829933167</v>
      </c>
      <c r="O82" s="541">
        <v>49216.352149574537</v>
      </c>
      <c r="P82" s="541">
        <v>544.84344577789307</v>
      </c>
      <c r="Q82" s="541">
        <v>19702.658020853996</v>
      </c>
      <c r="R82" s="541">
        <v>598.83215999603271</v>
      </c>
      <c r="S82" s="541">
        <v>0</v>
      </c>
      <c r="T82" s="541">
        <v>21666.189086135848</v>
      </c>
      <c r="U82" s="541">
        <v>1537.8012830764055</v>
      </c>
      <c r="V82" s="541">
        <v>14510.001776695251</v>
      </c>
      <c r="W82" s="541">
        <v>137898.7564274703</v>
      </c>
      <c r="X82" s="541">
        <v>5846.7669621066789</v>
      </c>
      <c r="Y82" s="541">
        <v>212.11356273293495</v>
      </c>
      <c r="Z82" s="541">
        <v>201277.04602241516</v>
      </c>
      <c r="AA82" s="543">
        <v>57319.409070105241</v>
      </c>
      <c r="AB82" s="544">
        <v>24765.810481309891</v>
      </c>
      <c r="AC82" s="544">
        <v>35725.981562107801</v>
      </c>
      <c r="AD82" s="544">
        <v>19347.219241753221</v>
      </c>
      <c r="AE82" s="544">
        <v>108890.17602033913</v>
      </c>
      <c r="AF82" s="544">
        <v>20191.400201335549</v>
      </c>
      <c r="AG82" s="544">
        <v>49761.19559535243</v>
      </c>
      <c r="AH82" s="544">
        <v>20301.490180850029</v>
      </c>
      <c r="AI82" s="544">
        <v>23203.990369212253</v>
      </c>
      <c r="AJ82" s="545">
        <v>143745.52338957699</v>
      </c>
      <c r="AK82" s="541"/>
    </row>
    <row r="83" spans="1:37" x14ac:dyDescent="0.25">
      <c r="A83" s="494">
        <v>2006</v>
      </c>
      <c r="B83" s="542">
        <v>26892.104374498129</v>
      </c>
      <c r="C83" s="541">
        <v>1026.0025346279144</v>
      </c>
      <c r="D83" s="541">
        <v>59986.444580078125</v>
      </c>
      <c r="E83" s="541">
        <v>2810.7051087617874</v>
      </c>
      <c r="F83" s="541">
        <v>13226.696225106716</v>
      </c>
      <c r="G83" s="541">
        <v>2036.5992698669434</v>
      </c>
      <c r="H83" s="541">
        <v>2838.8627778291702</v>
      </c>
      <c r="I83" s="541">
        <v>96696.523375287652</v>
      </c>
      <c r="J83" s="541">
        <v>2154.951308965683</v>
      </c>
      <c r="K83" s="541">
        <v>19116.242594718933</v>
      </c>
      <c r="L83" s="541">
        <v>17667.845848649737</v>
      </c>
      <c r="M83" s="541">
        <v>1426.5519766807556</v>
      </c>
      <c r="N83" s="541">
        <v>1326.6977829933167</v>
      </c>
      <c r="O83" s="541">
        <v>36140.171056015868</v>
      </c>
      <c r="P83" s="541">
        <v>333.02450108528137</v>
      </c>
      <c r="Q83" s="541">
        <v>11371.097733090632</v>
      </c>
      <c r="R83" s="541">
        <v>598.83215999603271</v>
      </c>
      <c r="S83" s="541">
        <v>0</v>
      </c>
      <c r="T83" s="541">
        <v>11124.659458942786</v>
      </c>
      <c r="U83" s="541">
        <v>1364.5486536590615</v>
      </c>
      <c r="V83" s="541">
        <v>9071.5415697097778</v>
      </c>
      <c r="W83" s="541">
        <v>139720.50071552739</v>
      </c>
      <c r="X83" s="541">
        <v>5485.2871244246926</v>
      </c>
      <c r="Y83" s="541">
        <v>212.11356273293495</v>
      </c>
      <c r="Z83" s="541">
        <v>264037.38139343262</v>
      </c>
      <c r="AA83" s="543">
        <v>118619.4799907476</v>
      </c>
      <c r="AB83" s="544">
        <v>24765.810481309891</v>
      </c>
      <c r="AC83" s="544">
        <v>27918.106909126043</v>
      </c>
      <c r="AD83" s="544">
        <v>15263.29549497366</v>
      </c>
      <c r="AE83" s="544">
        <v>98851.474684253335</v>
      </c>
      <c r="AF83" s="544">
        <v>19094.397825330492</v>
      </c>
      <c r="AG83" s="544">
        <v>36473.195557101149</v>
      </c>
      <c r="AH83" s="544">
        <v>11969.929893086664</v>
      </c>
      <c r="AI83" s="544">
        <v>12489.208112601847</v>
      </c>
      <c r="AJ83" s="545">
        <v>145205.7878399521</v>
      </c>
      <c r="AK83" s="541"/>
    </row>
    <row r="84" spans="1:37" x14ac:dyDescent="0.25">
      <c r="A84" s="494">
        <v>2007</v>
      </c>
      <c r="B84" s="542">
        <v>32083.032539010048</v>
      </c>
      <c r="C84" s="541">
        <v>1026.0025346279144</v>
      </c>
      <c r="D84" s="541">
        <v>96758.552978515625</v>
      </c>
      <c r="E84" s="541">
        <v>2810.7051087617874</v>
      </c>
      <c r="F84" s="541">
        <v>15836.226370587945</v>
      </c>
      <c r="G84" s="541">
        <v>2036.5992698669434</v>
      </c>
      <c r="H84" s="541">
        <v>2838.8627778291702</v>
      </c>
      <c r="I84" s="541">
        <v>103945.61299514025</v>
      </c>
      <c r="J84" s="541">
        <v>2555.5918099880219</v>
      </c>
      <c r="K84" s="541">
        <v>19116.242594718933</v>
      </c>
      <c r="L84" s="541">
        <v>19206.821893073611</v>
      </c>
      <c r="M84" s="541">
        <v>1416.033796787262</v>
      </c>
      <c r="N84" s="541">
        <v>1326.6977829933167</v>
      </c>
      <c r="O84" s="541">
        <v>43189.303810565252</v>
      </c>
      <c r="P84" s="541">
        <v>425.02103614807129</v>
      </c>
      <c r="Q84" s="541">
        <v>13857.634303599596</v>
      </c>
      <c r="R84" s="541">
        <v>598.83215999603271</v>
      </c>
      <c r="S84" s="541">
        <v>0</v>
      </c>
      <c r="T84" s="541">
        <v>14517.304543967248</v>
      </c>
      <c r="U84" s="541">
        <v>1437.1810734719038</v>
      </c>
      <c r="V84" s="541">
        <v>11992.852585792542</v>
      </c>
      <c r="W84" s="541">
        <v>141257.03249118075</v>
      </c>
      <c r="X84" s="541">
        <v>5690.5539253322095</v>
      </c>
      <c r="Y84" s="541">
        <v>212.11356273293495</v>
      </c>
      <c r="Z84" s="541">
        <v>201517.66971969604</v>
      </c>
      <c r="AA84" s="543">
        <v>54357.969740450149</v>
      </c>
      <c r="AB84" s="544">
        <v>24765.810481309891</v>
      </c>
      <c r="AC84" s="544">
        <v>33109.035073637962</v>
      </c>
      <c r="AD84" s="544">
        <v>17872.825640454888</v>
      </c>
      <c r="AE84" s="544">
        <v>106501.20480512828</v>
      </c>
      <c r="AF84" s="544">
        <v>20622.855689860873</v>
      </c>
      <c r="AG84" s="544">
        <v>43614.324846713323</v>
      </c>
      <c r="AH84" s="544">
        <v>14456.466463595629</v>
      </c>
      <c r="AI84" s="544">
        <v>15954.485617439152</v>
      </c>
      <c r="AJ84" s="545">
        <v>146947.58641651296</v>
      </c>
      <c r="AK84" s="541"/>
    </row>
    <row r="85" spans="1:37" x14ac:dyDescent="0.25">
      <c r="A85" s="494">
        <v>2008</v>
      </c>
      <c r="B85" s="542">
        <v>33378.825506225228</v>
      </c>
      <c r="C85" s="541">
        <v>1026.0025346279144</v>
      </c>
      <c r="D85" s="541">
        <v>129360.86596679688</v>
      </c>
      <c r="E85" s="541">
        <v>2810.7051087617874</v>
      </c>
      <c r="F85" s="541">
        <v>16555.219167292118</v>
      </c>
      <c r="G85" s="541">
        <v>2036.5992698669434</v>
      </c>
      <c r="H85" s="541">
        <v>2838.8627778291702</v>
      </c>
      <c r="I85" s="541">
        <v>110973.17781279609</v>
      </c>
      <c r="J85" s="541">
        <v>2312.369313955307</v>
      </c>
      <c r="K85" s="541">
        <v>19116.242594718933</v>
      </c>
      <c r="L85" s="541">
        <v>18740.371564798068</v>
      </c>
      <c r="M85" s="541">
        <v>1412.0403499603271</v>
      </c>
      <c r="N85" s="541">
        <v>1326.6977829933167</v>
      </c>
      <c r="O85" s="541">
        <v>44964.894185288329</v>
      </c>
      <c r="P85" s="541">
        <v>445.30504512786865</v>
      </c>
      <c r="Q85" s="541">
        <v>17076.383311137557</v>
      </c>
      <c r="R85" s="541">
        <v>598.83215999603271</v>
      </c>
      <c r="S85" s="541">
        <v>0</v>
      </c>
      <c r="T85" s="541">
        <v>20366.208074146882</v>
      </c>
      <c r="U85" s="541">
        <v>1519.2667823433876</v>
      </c>
      <c r="V85" s="541">
        <v>13559.119305610657</v>
      </c>
      <c r="W85" s="541">
        <v>135675.48817108915</v>
      </c>
      <c r="X85" s="541">
        <v>5859.8621201835376</v>
      </c>
      <c r="Y85" s="541">
        <v>212.11356273293495</v>
      </c>
      <c r="Z85" s="541">
        <v>198992.18550491333</v>
      </c>
      <c r="AA85" s="543">
        <v>57244.721650907712</v>
      </c>
      <c r="AB85" s="544">
        <v>24765.810481309891</v>
      </c>
      <c r="AC85" s="544">
        <v>34404.828040853143</v>
      </c>
      <c r="AD85" s="544">
        <v>18591.818437159061</v>
      </c>
      <c r="AE85" s="544">
        <v>113285.54712675139</v>
      </c>
      <c r="AF85" s="544">
        <v>20152.411914758395</v>
      </c>
      <c r="AG85" s="544">
        <v>45410.199230416198</v>
      </c>
      <c r="AH85" s="544">
        <v>17675.21547113359</v>
      </c>
      <c r="AI85" s="544">
        <v>21885.474856490269</v>
      </c>
      <c r="AJ85" s="545">
        <v>141535.35029127268</v>
      </c>
      <c r="AK85" s="541"/>
    </row>
    <row r="86" spans="1:37" x14ac:dyDescent="0.25">
      <c r="A86" s="494">
        <v>2009</v>
      </c>
      <c r="B86" s="542">
        <v>30725.939101696014</v>
      </c>
      <c r="C86" s="541">
        <v>1026.0025346279144</v>
      </c>
      <c r="D86" s="541">
        <v>82542.131469726563</v>
      </c>
      <c r="E86" s="541">
        <v>2810.7051087617874</v>
      </c>
      <c r="F86" s="541">
        <v>14606.617819294333</v>
      </c>
      <c r="G86" s="541">
        <v>2036.5992698669434</v>
      </c>
      <c r="H86" s="541">
        <v>2838.8627778291702</v>
      </c>
      <c r="I86" s="541">
        <v>104151.95025357604</v>
      </c>
      <c r="J86" s="541">
        <v>2676.7949578762054</v>
      </c>
      <c r="K86" s="541">
        <v>19116.242594718933</v>
      </c>
      <c r="L86" s="541">
        <v>17856.210318066172</v>
      </c>
      <c r="M86" s="541">
        <v>1430.852249622345</v>
      </c>
      <c r="N86" s="541">
        <v>1326.6977829933167</v>
      </c>
      <c r="O86" s="541">
        <v>33340.714480748851</v>
      </c>
      <c r="P86" s="541">
        <v>414.27928733825684</v>
      </c>
      <c r="Q86" s="541">
        <v>14244.025078341365</v>
      </c>
      <c r="R86" s="541">
        <v>598.83215999603271</v>
      </c>
      <c r="S86" s="541">
        <v>0</v>
      </c>
      <c r="T86" s="541">
        <v>15342.627130092011</v>
      </c>
      <c r="U86" s="541">
        <v>1437.5162173243941</v>
      </c>
      <c r="V86" s="541">
        <v>9852.8582468032837</v>
      </c>
      <c r="W86" s="541">
        <v>141146.91952011333</v>
      </c>
      <c r="X86" s="541">
        <v>5792.4695515632629</v>
      </c>
      <c r="Y86" s="541">
        <v>212.11356273293495</v>
      </c>
      <c r="Z86" s="541">
        <v>232946.2184753418</v>
      </c>
      <c r="AA86" s="543">
        <v>85794.715840932273</v>
      </c>
      <c r="AB86" s="544">
        <v>24765.810481309891</v>
      </c>
      <c r="AC86" s="544">
        <v>31751.941636323929</v>
      </c>
      <c r="AD86" s="544">
        <v>16643.217089161277</v>
      </c>
      <c r="AE86" s="544">
        <v>106828.74521145225</v>
      </c>
      <c r="AF86" s="544">
        <v>19287.062567688517</v>
      </c>
      <c r="AG86" s="544">
        <v>33754.993768087108</v>
      </c>
      <c r="AH86" s="544">
        <v>14842.857238337398</v>
      </c>
      <c r="AI86" s="544">
        <v>16780.143347416404</v>
      </c>
      <c r="AJ86" s="545">
        <v>146939.38907167659</v>
      </c>
      <c r="AK86" s="541"/>
    </row>
    <row r="87" spans="1:37" x14ac:dyDescent="0.25">
      <c r="A87" s="494">
        <v>2010</v>
      </c>
      <c r="B87" s="542">
        <v>32922.027227371931</v>
      </c>
      <c r="C87" s="541">
        <v>1026.0025346279144</v>
      </c>
      <c r="D87" s="541">
        <v>83031.094848632813</v>
      </c>
      <c r="E87" s="541">
        <v>2810.7051087617874</v>
      </c>
      <c r="F87" s="541">
        <v>15864.970588542521</v>
      </c>
      <c r="G87" s="541">
        <v>2036.5992698669434</v>
      </c>
      <c r="H87" s="541">
        <v>2838.8627778291702</v>
      </c>
      <c r="I87" s="541">
        <v>105237.50898635387</v>
      </c>
      <c r="J87" s="541">
        <v>2549.103954076767</v>
      </c>
      <c r="K87" s="541">
        <v>19116.242594718933</v>
      </c>
      <c r="L87" s="541">
        <v>17677.722465068098</v>
      </c>
      <c r="M87" s="541">
        <v>1407.6486639976501</v>
      </c>
      <c r="N87" s="541">
        <v>1326.6977829933167</v>
      </c>
      <c r="O87" s="541">
        <v>32988.825517414589</v>
      </c>
      <c r="P87" s="541">
        <v>334.8253014087677</v>
      </c>
      <c r="Q87" s="541">
        <v>14464.764993004501</v>
      </c>
      <c r="R87" s="541">
        <v>598.83215999603271</v>
      </c>
      <c r="S87" s="541">
        <v>0</v>
      </c>
      <c r="T87" s="541">
        <v>13431.890377626643</v>
      </c>
      <c r="U87" s="541">
        <v>1427.2409411970925</v>
      </c>
      <c r="V87" s="541">
        <v>11599.043879508972</v>
      </c>
      <c r="W87" s="541">
        <v>135488.68313140766</v>
      </c>
      <c r="X87" s="541">
        <v>5836.8219375610352</v>
      </c>
      <c r="Y87" s="541">
        <v>212.11356273293495</v>
      </c>
      <c r="Z87" s="541">
        <v>240864.36229419708</v>
      </c>
      <c r="AA87" s="543">
        <v>99326.743662495457</v>
      </c>
      <c r="AB87" s="544">
        <v>24765.810481309891</v>
      </c>
      <c r="AC87" s="544">
        <v>33948.029761999846</v>
      </c>
      <c r="AD87" s="544">
        <v>17901.569858409464</v>
      </c>
      <c r="AE87" s="544">
        <v>107786.61294043064</v>
      </c>
      <c r="AF87" s="544">
        <v>19085.371129065748</v>
      </c>
      <c r="AG87" s="544">
        <v>33323.650818823357</v>
      </c>
      <c r="AH87" s="544">
        <v>15063.597153000534</v>
      </c>
      <c r="AI87" s="544">
        <v>14859.131318823736</v>
      </c>
      <c r="AJ87" s="545">
        <v>141325.50506896869</v>
      </c>
      <c r="AK87" s="541"/>
    </row>
    <row r="88" spans="1:37" x14ac:dyDescent="0.25">
      <c r="A88" s="494">
        <v>2011</v>
      </c>
      <c r="B88" s="542">
        <v>31788.936209842563</v>
      </c>
      <c r="C88" s="541">
        <v>1026.0025346279144</v>
      </c>
      <c r="D88" s="541">
        <v>76828.638427734375</v>
      </c>
      <c r="E88" s="541">
        <v>2810.7051087617874</v>
      </c>
      <c r="F88" s="541">
        <v>15198.787290260196</v>
      </c>
      <c r="G88" s="541">
        <v>2036.5992698669434</v>
      </c>
      <c r="H88" s="541">
        <v>2838.8627778291702</v>
      </c>
      <c r="I88" s="541">
        <v>102476.07337450981</v>
      </c>
      <c r="J88" s="541">
        <v>2489.4617002010345</v>
      </c>
      <c r="K88" s="541">
        <v>19116.242594718933</v>
      </c>
      <c r="L88" s="541">
        <v>18195.077438250177</v>
      </c>
      <c r="M88" s="541">
        <v>1374.6366958618164</v>
      </c>
      <c r="N88" s="541">
        <v>1326.6977829933167</v>
      </c>
      <c r="O88" s="541">
        <v>35772.40253317215</v>
      </c>
      <c r="P88" s="541">
        <v>357.85462975502014</v>
      </c>
      <c r="Q88" s="541">
        <v>14833.825332716107</v>
      </c>
      <c r="R88" s="541">
        <v>598.83215999603271</v>
      </c>
      <c r="S88" s="541">
        <v>0</v>
      </c>
      <c r="T88" s="541">
        <v>16870.378133347258</v>
      </c>
      <c r="U88" s="541">
        <v>1441.3265880942345</v>
      </c>
      <c r="V88" s="541">
        <v>11748.038029670715</v>
      </c>
      <c r="W88" s="541">
        <v>139863.51174702094</v>
      </c>
      <c r="X88" s="541">
        <v>5515.8249931335449</v>
      </c>
      <c r="Y88" s="541">
        <v>212.11356273293495</v>
      </c>
      <c r="Z88" s="541">
        <v>237612.81143569946</v>
      </c>
      <c r="AA88" s="543">
        <v>92021.361132812046</v>
      </c>
      <c r="AB88" s="544">
        <v>24765.810481309891</v>
      </c>
      <c r="AC88" s="544">
        <v>32814.938744470477</v>
      </c>
      <c r="AD88" s="544">
        <v>17235.386560127139</v>
      </c>
      <c r="AE88" s="544">
        <v>104965.53507471085</v>
      </c>
      <c r="AF88" s="544">
        <v>19569.714134111993</v>
      </c>
      <c r="AG88" s="544">
        <v>36130.25716292717</v>
      </c>
      <c r="AH88" s="544">
        <v>15432.65749271214</v>
      </c>
      <c r="AI88" s="544">
        <v>18311.704721441492</v>
      </c>
      <c r="AJ88" s="545">
        <v>145379.33674015448</v>
      </c>
      <c r="AK88" s="541"/>
    </row>
    <row r="89" spans="1:37" x14ac:dyDescent="0.25">
      <c r="A89" s="494">
        <v>2012</v>
      </c>
      <c r="B89" s="542">
        <v>29802.803409129381</v>
      </c>
      <c r="C89" s="541">
        <v>1026.0025346279144</v>
      </c>
      <c r="D89" s="541">
        <v>39591.030895233154</v>
      </c>
      <c r="E89" s="541">
        <v>2810.7051087617874</v>
      </c>
      <c r="F89" s="541">
        <v>14775.95776630193</v>
      </c>
      <c r="G89" s="541">
        <v>2036.5992698669434</v>
      </c>
      <c r="H89" s="541">
        <v>2838.8627778291702</v>
      </c>
      <c r="I89" s="541">
        <v>74807.262236252427</v>
      </c>
      <c r="J89" s="541">
        <v>1317.3781144618988</v>
      </c>
      <c r="K89" s="541">
        <v>19116.242594718933</v>
      </c>
      <c r="L89" s="541">
        <v>20057.488544762131</v>
      </c>
      <c r="M89" s="541">
        <v>1425.6986212730408</v>
      </c>
      <c r="N89" s="541">
        <v>1326.6977829933167</v>
      </c>
      <c r="O89" s="541">
        <v>26551.651283881143</v>
      </c>
      <c r="P89" s="541">
        <v>368.27211546897888</v>
      </c>
      <c r="Q89" s="541">
        <v>9270.8409530669451</v>
      </c>
      <c r="R89" s="541">
        <v>598.83215999603271</v>
      </c>
      <c r="S89" s="541">
        <v>0</v>
      </c>
      <c r="T89" s="541">
        <v>9886.5920780443412</v>
      </c>
      <c r="U89" s="541">
        <v>1424.933252583809</v>
      </c>
      <c r="V89" s="541">
        <v>5659.1552724838257</v>
      </c>
      <c r="W89" s="541">
        <v>144545.17189729557</v>
      </c>
      <c r="X89" s="541">
        <v>5023.9206251949072</v>
      </c>
      <c r="Y89" s="541">
        <v>212.11356273293495</v>
      </c>
      <c r="Z89" s="541">
        <v>205520.30726623535</v>
      </c>
      <c r="AA89" s="543">
        <v>55739.101181011938</v>
      </c>
      <c r="AB89" s="544">
        <v>24765.810481309891</v>
      </c>
      <c r="AC89" s="544">
        <v>30828.805943757296</v>
      </c>
      <c r="AD89" s="544">
        <v>16812.557036168873</v>
      </c>
      <c r="AE89" s="544">
        <v>76124.640350714326</v>
      </c>
      <c r="AF89" s="544">
        <v>21483.187166035172</v>
      </c>
      <c r="AG89" s="544">
        <v>26919.923399350122</v>
      </c>
      <c r="AH89" s="544">
        <v>9869.6731130629778</v>
      </c>
      <c r="AI89" s="544">
        <v>11311.52533062815</v>
      </c>
      <c r="AJ89" s="545">
        <v>149569.09252249048</v>
      </c>
      <c r="AK89" s="541"/>
    </row>
    <row r="90" spans="1:37" ht="15.75" thickBot="1" x14ac:dyDescent="0.3">
      <c r="A90" s="494">
        <v>2013</v>
      </c>
      <c r="B90" s="546"/>
      <c r="C90" s="547"/>
      <c r="D90" s="547"/>
      <c r="E90" s="547"/>
      <c r="F90" s="547"/>
      <c r="G90" s="547"/>
      <c r="H90" s="547"/>
      <c r="I90" s="547"/>
      <c r="J90" s="547"/>
      <c r="K90" s="547"/>
      <c r="L90" s="547"/>
      <c r="M90" s="547"/>
      <c r="N90" s="547"/>
      <c r="O90" s="547"/>
      <c r="P90" s="547"/>
      <c r="Q90" s="547"/>
      <c r="R90" s="547"/>
      <c r="S90" s="547"/>
      <c r="T90" s="547"/>
      <c r="U90" s="547"/>
      <c r="V90" s="547"/>
      <c r="W90" s="547"/>
      <c r="X90" s="547"/>
      <c r="Y90" s="547"/>
      <c r="Z90" s="547"/>
      <c r="AA90" s="548"/>
      <c r="AB90" s="549"/>
      <c r="AC90" s="549"/>
      <c r="AD90" s="549"/>
      <c r="AE90" s="549"/>
      <c r="AF90" s="549"/>
      <c r="AG90" s="549"/>
      <c r="AH90" s="549"/>
      <c r="AI90" s="549"/>
      <c r="AJ90" s="550"/>
      <c r="AK90" s="541"/>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CA918-2566-47E0-9224-D01555F55229}">
  <sheetPr codeName="Sheet15">
    <tabColor rgb="FFC00000"/>
  </sheetPr>
  <dimension ref="A1:AJ90"/>
  <sheetViews>
    <sheetView topLeftCell="A30" zoomScale="55" zoomScaleNormal="55" workbookViewId="0">
      <selection activeCell="A5" sqref="A1:XFD1048576"/>
    </sheetView>
  </sheetViews>
  <sheetFormatPr defaultRowHeight="15" x14ac:dyDescent="0.25"/>
  <cols>
    <col min="1" max="1" width="13" bestFit="1" customWidth="1" collapsed="1"/>
    <col min="2" max="3" width="9.28515625" bestFit="1" customWidth="1" collapsed="1"/>
    <col min="4" max="4" width="9.7109375" bestFit="1" customWidth="1" collapsed="1"/>
    <col min="5" max="8" width="9.28515625" bestFit="1" customWidth="1" collapsed="1"/>
    <col min="9" max="9" width="9.7109375" bestFit="1" customWidth="1" collapsed="1"/>
    <col min="10" max="22" width="9.28515625" bestFit="1" customWidth="1" collapsed="1"/>
    <col min="23" max="23" width="9.7109375" bestFit="1" customWidth="1" collapsed="1"/>
    <col min="24" max="25" width="9.28515625" bestFit="1" customWidth="1" collapsed="1"/>
    <col min="26" max="26" width="9.7109375" bestFit="1" customWidth="1" collapsed="1"/>
    <col min="27" max="36" width="12.7109375" customWidth="1" collapsed="1"/>
  </cols>
  <sheetData>
    <row r="1" spans="1:36" x14ac:dyDescent="0.25">
      <c r="A1" s="292" t="s">
        <v>309</v>
      </c>
      <c r="B1" s="293">
        <f>AVERAGE(B$6:B$90)</f>
        <v>31724.366404611617</v>
      </c>
      <c r="C1" s="293">
        <f t="shared" ref="C1:AJ1" si="0">AVERAGE(C$6:C$90)</f>
        <v>1026.0025346279144</v>
      </c>
      <c r="D1" s="293">
        <f t="shared" si="0"/>
        <v>91095.089460194111</v>
      </c>
      <c r="E1" s="293">
        <f t="shared" si="0"/>
        <v>0</v>
      </c>
      <c r="F1" s="293">
        <f t="shared" si="0"/>
        <v>15468.526912047511</v>
      </c>
      <c r="G1" s="293">
        <f t="shared" si="0"/>
        <v>2036.5992698669434</v>
      </c>
      <c r="H1" s="293">
        <f t="shared" si="0"/>
        <v>0</v>
      </c>
      <c r="I1" s="293">
        <f t="shared" si="0"/>
        <v>103182.15634724709</v>
      </c>
      <c r="J1" s="293">
        <f t="shared" si="0"/>
        <v>2392.6399484929584</v>
      </c>
      <c r="K1" s="293">
        <f t="shared" si="0"/>
        <v>0</v>
      </c>
      <c r="L1" s="293">
        <f t="shared" si="0"/>
        <v>17169.738423734278</v>
      </c>
      <c r="M1" s="293">
        <f t="shared" si="0"/>
        <v>1349.6109746138432</v>
      </c>
      <c r="N1" s="293">
        <f t="shared" si="0"/>
        <v>0</v>
      </c>
      <c r="O1" s="293">
        <f t="shared" si="0"/>
        <v>38003.401075494185</v>
      </c>
      <c r="P1" s="293">
        <f t="shared" si="0"/>
        <v>379.72302230766843</v>
      </c>
      <c r="Q1" s="293">
        <f t="shared" si="0"/>
        <v>15617.75496055535</v>
      </c>
      <c r="R1" s="293">
        <f t="shared" si="0"/>
        <v>598.83215999603271</v>
      </c>
      <c r="S1" s="293">
        <f t="shared" si="0"/>
        <v>0</v>
      </c>
      <c r="T1" s="293">
        <f t="shared" si="0"/>
        <v>23840.819757048153</v>
      </c>
      <c r="U1" s="293">
        <f t="shared" si="0"/>
        <v>1522.8133653531538</v>
      </c>
      <c r="V1" s="293">
        <f t="shared" si="0"/>
        <v>0</v>
      </c>
      <c r="W1" s="293">
        <f t="shared" si="0"/>
        <v>130627.08713081259</v>
      </c>
      <c r="X1" s="293">
        <f t="shared" si="0"/>
        <v>5631.4798803242938</v>
      </c>
      <c r="Y1" s="293">
        <f t="shared" si="0"/>
        <v>0</v>
      </c>
      <c r="Z1" s="293">
        <f t="shared" si="0"/>
        <v>214663.79801429046</v>
      </c>
      <c r="AA1" s="293">
        <f t="shared" si="0"/>
        <v>78405.231003153691</v>
      </c>
      <c r="AB1" s="293">
        <f t="shared" si="0"/>
        <v>0</v>
      </c>
      <c r="AC1" s="293">
        <f t="shared" si="0"/>
        <v>32750.368939239532</v>
      </c>
      <c r="AD1" s="293">
        <f t="shared" si="0"/>
        <v>17505.126181914453</v>
      </c>
      <c r="AE1" s="293">
        <f t="shared" si="0"/>
        <v>105574.79629574005</v>
      </c>
      <c r="AF1" s="293">
        <f t="shared" si="0"/>
        <v>18519.349398348117</v>
      </c>
      <c r="AG1" s="293">
        <f t="shared" si="0"/>
        <v>38383.124097801847</v>
      </c>
      <c r="AH1" s="293">
        <f t="shared" si="0"/>
        <v>16216.587120551383</v>
      </c>
      <c r="AI1" s="293">
        <f t="shared" si="0"/>
        <v>25363.633122401312</v>
      </c>
      <c r="AJ1" s="293">
        <f t="shared" si="0"/>
        <v>136258.56701113685</v>
      </c>
    </row>
    <row r="2" spans="1:36" x14ac:dyDescent="0.25">
      <c r="A2" s="294" t="s">
        <v>310</v>
      </c>
      <c r="B2" s="295">
        <f>MIN(B$6:B$90)</f>
        <v>25159.440965354443</v>
      </c>
      <c r="C2" s="295">
        <f t="shared" ref="C2:AJ2" si="1">MIN(C$6:C$90)</f>
        <v>1026.0025346279144</v>
      </c>
      <c r="D2" s="295">
        <f t="shared" si="1"/>
        <v>3234.6556396484375</v>
      </c>
      <c r="E2" s="295">
        <f t="shared" si="1"/>
        <v>0</v>
      </c>
      <c r="F2" s="295">
        <f t="shared" si="1"/>
        <v>11024.693001762033</v>
      </c>
      <c r="G2" s="295">
        <f t="shared" si="1"/>
        <v>2036.5992698669434</v>
      </c>
      <c r="H2" s="295">
        <f t="shared" si="1"/>
        <v>0</v>
      </c>
      <c r="I2" s="295">
        <f t="shared" si="1"/>
        <v>80389.895578101277</v>
      </c>
      <c r="J2" s="295">
        <f t="shared" si="1"/>
        <v>1393.3668954372406</v>
      </c>
      <c r="K2" s="295">
        <f t="shared" si="1"/>
        <v>0</v>
      </c>
      <c r="L2" s="295">
        <f t="shared" si="1"/>
        <v>12869.110400743779</v>
      </c>
      <c r="M2" s="295">
        <f t="shared" si="1"/>
        <v>912.17925810813904</v>
      </c>
      <c r="N2" s="295">
        <f t="shared" si="1"/>
        <v>0</v>
      </c>
      <c r="O2" s="295">
        <f t="shared" si="1"/>
        <v>11701.721521845311</v>
      </c>
      <c r="P2" s="295">
        <f t="shared" si="1"/>
        <v>267.43048429489136</v>
      </c>
      <c r="Q2" s="295">
        <f t="shared" si="1"/>
        <v>5104.6303098872304</v>
      </c>
      <c r="R2" s="295">
        <f t="shared" si="1"/>
        <v>598.83215999603271</v>
      </c>
      <c r="S2" s="295">
        <f t="shared" si="1"/>
        <v>0</v>
      </c>
      <c r="T2" s="295">
        <f t="shared" si="1"/>
        <v>7585.0531404879694</v>
      </c>
      <c r="U2" s="295">
        <f t="shared" si="1"/>
        <v>1375.1648360490799</v>
      </c>
      <c r="V2" s="295">
        <f t="shared" si="1"/>
        <v>0</v>
      </c>
      <c r="W2" s="295">
        <f t="shared" si="1"/>
        <v>79882.678049693015</v>
      </c>
      <c r="X2" s="295">
        <f t="shared" si="1"/>
        <v>4547.4637647284562</v>
      </c>
      <c r="Y2" s="295">
        <f t="shared" si="1"/>
        <v>0</v>
      </c>
      <c r="Z2" s="295">
        <f t="shared" si="1"/>
        <v>130283.96319517493</v>
      </c>
      <c r="AA2" s="295">
        <f t="shared" si="1"/>
        <v>36035.343786915495</v>
      </c>
      <c r="AB2" s="295">
        <f t="shared" si="1"/>
        <v>0</v>
      </c>
      <c r="AC2" s="295">
        <f t="shared" si="1"/>
        <v>26185.443499982357</v>
      </c>
      <c r="AD2" s="295">
        <f t="shared" si="1"/>
        <v>13061.292271628976</v>
      </c>
      <c r="AE2" s="295">
        <f t="shared" si="1"/>
        <v>82028.000409558415</v>
      </c>
      <c r="AF2" s="295">
        <f t="shared" si="1"/>
        <v>14232.487855978306</v>
      </c>
      <c r="AG2" s="295">
        <f t="shared" si="1"/>
        <v>11985.107485523671</v>
      </c>
      <c r="AH2" s="295">
        <f t="shared" si="1"/>
        <v>5703.4624698832631</v>
      </c>
      <c r="AI2" s="295">
        <f t="shared" si="1"/>
        <v>8970.02246089857</v>
      </c>
      <c r="AJ2" s="295">
        <f t="shared" si="1"/>
        <v>84430.141814421469</v>
      </c>
    </row>
    <row r="3" spans="1:36" ht="15.75" thickBot="1" x14ac:dyDescent="0.3">
      <c r="A3" s="296" t="s">
        <v>311</v>
      </c>
      <c r="B3" s="297">
        <f>MAX(B$6:B$90)</f>
        <v>37568.75128698349</v>
      </c>
      <c r="C3" s="297">
        <f t="shared" ref="C3:AJ3" si="2">MAX(C$6:C$90)</f>
        <v>1026.0025346279144</v>
      </c>
      <c r="D3" s="297">
        <f t="shared" si="2"/>
        <v>191640.84257507324</v>
      </c>
      <c r="E3" s="297">
        <f t="shared" si="2"/>
        <v>0</v>
      </c>
      <c r="F3" s="297">
        <f t="shared" si="2"/>
        <v>17467.8857229352</v>
      </c>
      <c r="G3" s="297">
        <f t="shared" si="2"/>
        <v>2036.5992698669434</v>
      </c>
      <c r="H3" s="297">
        <f t="shared" si="2"/>
        <v>0</v>
      </c>
      <c r="I3" s="297">
        <f t="shared" si="2"/>
        <v>115012.58096146584</v>
      </c>
      <c r="J3" s="297">
        <f t="shared" si="2"/>
        <v>2701.0620763301849</v>
      </c>
      <c r="K3" s="297">
        <f t="shared" si="2"/>
        <v>0</v>
      </c>
      <c r="L3" s="297">
        <f t="shared" si="2"/>
        <v>20484.744205974028</v>
      </c>
      <c r="M3" s="297">
        <f t="shared" si="2"/>
        <v>1438.5394735336304</v>
      </c>
      <c r="N3" s="297">
        <f t="shared" si="2"/>
        <v>0</v>
      </c>
      <c r="O3" s="297">
        <f t="shared" si="2"/>
        <v>51768.329105703611</v>
      </c>
      <c r="P3" s="297">
        <f t="shared" si="2"/>
        <v>544.84344577789307</v>
      </c>
      <c r="Q3" s="297">
        <f t="shared" si="2"/>
        <v>23194.015044294298</v>
      </c>
      <c r="R3" s="297">
        <f t="shared" si="2"/>
        <v>598.83215999603271</v>
      </c>
      <c r="S3" s="297">
        <f t="shared" si="2"/>
        <v>0</v>
      </c>
      <c r="T3" s="297">
        <f t="shared" si="2"/>
        <v>29745.069352358209</v>
      </c>
      <c r="U3" s="297">
        <f t="shared" si="2"/>
        <v>1605.9718111753464</v>
      </c>
      <c r="V3" s="297">
        <f t="shared" si="2"/>
        <v>0</v>
      </c>
      <c r="W3" s="297">
        <f t="shared" si="2"/>
        <v>163350.64299086825</v>
      </c>
      <c r="X3" s="297">
        <f t="shared" si="2"/>
        <v>6094.1022396683693</v>
      </c>
      <c r="Y3" s="297">
        <f t="shared" si="2"/>
        <v>0</v>
      </c>
      <c r="Z3" s="297">
        <f t="shared" si="2"/>
        <v>264037.38139343262</v>
      </c>
      <c r="AA3" s="297">
        <f t="shared" si="2"/>
        <v>129359.52665618091</v>
      </c>
      <c r="AB3" s="297">
        <f t="shared" si="2"/>
        <v>0</v>
      </c>
      <c r="AC3" s="297">
        <f t="shared" si="2"/>
        <v>38594.753821611404</v>
      </c>
      <c r="AD3" s="297">
        <f t="shared" si="2"/>
        <v>19504.484992802143</v>
      </c>
      <c r="AE3" s="297">
        <f t="shared" si="2"/>
        <v>117577.04660224915</v>
      </c>
      <c r="AF3" s="297">
        <f t="shared" si="2"/>
        <v>21873.950248740599</v>
      </c>
      <c r="AG3" s="297">
        <f t="shared" si="2"/>
        <v>52287.211359112043</v>
      </c>
      <c r="AH3" s="297">
        <f t="shared" si="2"/>
        <v>23792.84720429033</v>
      </c>
      <c r="AI3" s="297">
        <f t="shared" si="2"/>
        <v>31312.50799410008</v>
      </c>
      <c r="AJ3" s="297">
        <f t="shared" si="2"/>
        <v>168542.3329720904</v>
      </c>
    </row>
    <row r="4" spans="1:36" x14ac:dyDescent="0.25">
      <c r="A4" s="122"/>
      <c r="B4" s="122"/>
      <c r="C4" s="122"/>
      <c r="D4" s="122"/>
      <c r="E4" s="122"/>
      <c r="F4" s="122"/>
      <c r="G4" s="122"/>
      <c r="H4" s="122"/>
      <c r="I4" s="122"/>
      <c r="J4" s="122"/>
      <c r="K4" s="122"/>
      <c r="L4" s="122"/>
      <c r="M4" s="122"/>
      <c r="N4" s="122"/>
      <c r="O4" s="122"/>
      <c r="P4" s="122"/>
      <c r="Q4" s="122"/>
      <c r="R4" s="122"/>
      <c r="S4" s="122"/>
      <c r="T4" s="122"/>
      <c r="U4" s="122"/>
      <c r="V4" s="122"/>
      <c r="W4" s="122"/>
      <c r="X4" s="122"/>
      <c r="Y4" s="122"/>
      <c r="Z4" s="122"/>
      <c r="AA4" s="298" t="s">
        <v>312</v>
      </c>
      <c r="AB4" s="299"/>
      <c r="AC4" s="300"/>
      <c r="AD4" s="300"/>
      <c r="AE4" s="300"/>
      <c r="AF4" s="300"/>
      <c r="AG4" s="300"/>
      <c r="AH4" s="300"/>
      <c r="AI4" s="300"/>
      <c r="AJ4" s="301"/>
    </row>
    <row r="5" spans="1:36" ht="105.75" thickBot="1" x14ac:dyDescent="0.3">
      <c r="A5" s="362" t="s">
        <v>313</v>
      </c>
      <c r="B5" s="122" t="s">
        <v>314</v>
      </c>
      <c r="C5" s="122" t="s">
        <v>315</v>
      </c>
      <c r="D5" s="122" t="s">
        <v>316</v>
      </c>
      <c r="E5" s="122" t="s">
        <v>317</v>
      </c>
      <c r="F5" s="122" t="s">
        <v>318</v>
      </c>
      <c r="G5" s="122" t="s">
        <v>319</v>
      </c>
      <c r="H5" s="122" t="s">
        <v>320</v>
      </c>
      <c r="I5" s="122" t="s">
        <v>321</v>
      </c>
      <c r="J5" s="122" t="s">
        <v>322</v>
      </c>
      <c r="K5" s="122" t="s">
        <v>323</v>
      </c>
      <c r="L5" s="302" t="s">
        <v>324</v>
      </c>
      <c r="M5" s="122" t="s">
        <v>325</v>
      </c>
      <c r="N5" s="302" t="s">
        <v>326</v>
      </c>
      <c r="O5" s="122" t="s">
        <v>327</v>
      </c>
      <c r="P5" s="122" t="s">
        <v>328</v>
      </c>
      <c r="Q5" s="122" t="s">
        <v>329</v>
      </c>
      <c r="R5" s="122" t="s">
        <v>330</v>
      </c>
      <c r="S5" s="122" t="s">
        <v>331</v>
      </c>
      <c r="T5" s="122" t="s">
        <v>332</v>
      </c>
      <c r="U5" s="122" t="s">
        <v>333</v>
      </c>
      <c r="V5" s="122" t="s">
        <v>334</v>
      </c>
      <c r="W5" s="122" t="s">
        <v>125</v>
      </c>
      <c r="X5" s="122" t="s">
        <v>335</v>
      </c>
      <c r="Y5" s="122" t="s">
        <v>336</v>
      </c>
      <c r="Z5" s="122" t="s">
        <v>337</v>
      </c>
      <c r="AA5" s="303" t="s">
        <v>177</v>
      </c>
      <c r="AB5" s="304" t="s">
        <v>338</v>
      </c>
      <c r="AC5" s="304" t="s">
        <v>339</v>
      </c>
      <c r="AD5" s="304" t="s">
        <v>340</v>
      </c>
      <c r="AE5" s="304" t="s">
        <v>341</v>
      </c>
      <c r="AF5" s="304" t="s">
        <v>342</v>
      </c>
      <c r="AG5" s="304" t="s">
        <v>343</v>
      </c>
      <c r="AH5" s="304" t="s">
        <v>344</v>
      </c>
      <c r="AI5" s="304" t="s">
        <v>345</v>
      </c>
      <c r="AJ5" s="305" t="s">
        <v>346</v>
      </c>
    </row>
    <row r="6" spans="1:36" x14ac:dyDescent="0.25">
      <c r="A6">
        <v>1929</v>
      </c>
      <c r="B6" s="306">
        <v>32943.722603328526</v>
      </c>
      <c r="C6" s="307">
        <v>1026.0025346279144</v>
      </c>
      <c r="D6" s="307">
        <v>147150.1963596344</v>
      </c>
      <c r="E6" s="307">
        <v>0</v>
      </c>
      <c r="F6" s="307">
        <v>16247.769269451499</v>
      </c>
      <c r="G6" s="307">
        <v>2036.5992698669434</v>
      </c>
      <c r="H6" s="307">
        <v>0</v>
      </c>
      <c r="I6" s="307">
        <v>100291.20613576472</v>
      </c>
      <c r="J6" s="307">
        <v>2649.9086835384369</v>
      </c>
      <c r="K6" s="307">
        <v>0</v>
      </c>
      <c r="L6" s="307">
        <v>15475.954381838435</v>
      </c>
      <c r="M6" s="307">
        <v>1352.5338892936707</v>
      </c>
      <c r="N6" s="307">
        <v>0</v>
      </c>
      <c r="O6" s="307">
        <v>44999.643507136483</v>
      </c>
      <c r="P6" s="307">
        <v>374.25252342224121</v>
      </c>
      <c r="Q6" s="307">
        <v>18813.154565809295</v>
      </c>
      <c r="R6" s="307">
        <v>598.83215999603271</v>
      </c>
      <c r="S6" s="307">
        <v>0</v>
      </c>
      <c r="T6" s="307">
        <v>27390.741341046618</v>
      </c>
      <c r="U6" s="307">
        <v>1559.6504763960838</v>
      </c>
      <c r="V6" s="307">
        <v>0</v>
      </c>
      <c r="W6" s="307">
        <v>127698.42142096504</v>
      </c>
      <c r="X6" s="307">
        <v>5875.3226467370987</v>
      </c>
      <c r="Y6" s="307">
        <v>0</v>
      </c>
      <c r="Z6" s="307">
        <v>208895.09327602386</v>
      </c>
      <c r="AA6" s="308">
        <v>75321.349208321728</v>
      </c>
      <c r="AB6" s="309">
        <v>0</v>
      </c>
      <c r="AC6" s="309">
        <v>33969.72513795644</v>
      </c>
      <c r="AD6" s="309">
        <v>18284.368539318442</v>
      </c>
      <c r="AE6" s="309">
        <v>102941.11481930315</v>
      </c>
      <c r="AF6" s="309">
        <v>16828.488271132104</v>
      </c>
      <c r="AG6" s="309">
        <v>45373.896030558724</v>
      </c>
      <c r="AH6" s="309">
        <v>19411.986725805327</v>
      </c>
      <c r="AI6" s="309">
        <v>28950.391817442702</v>
      </c>
      <c r="AJ6" s="310">
        <v>133573.74406770215</v>
      </c>
    </row>
    <row r="7" spans="1:36" x14ac:dyDescent="0.25">
      <c r="A7">
        <v>1930</v>
      </c>
      <c r="B7" s="311">
        <v>31683.427886627614</v>
      </c>
      <c r="C7" s="312">
        <v>1026.0025346279144</v>
      </c>
      <c r="D7" s="312">
        <v>71485.592948913574</v>
      </c>
      <c r="E7" s="312">
        <v>0</v>
      </c>
      <c r="F7" s="312">
        <v>15842.428258892614</v>
      </c>
      <c r="G7" s="312">
        <v>2036.5992698669434</v>
      </c>
      <c r="H7" s="312">
        <v>0</v>
      </c>
      <c r="I7" s="312">
        <v>102491.69279175252</v>
      </c>
      <c r="J7" s="312">
        <v>1966.1425511837006</v>
      </c>
      <c r="K7" s="312">
        <v>0</v>
      </c>
      <c r="L7" s="312">
        <v>15998.028435893364</v>
      </c>
      <c r="M7" s="312">
        <v>1406.2581839561462</v>
      </c>
      <c r="N7" s="312">
        <v>0</v>
      </c>
      <c r="O7" s="312">
        <v>39408.06304758646</v>
      </c>
      <c r="P7" s="312">
        <v>338.22071814537048</v>
      </c>
      <c r="Q7" s="312">
        <v>14077.670300109312</v>
      </c>
      <c r="R7" s="312">
        <v>598.83215999603271</v>
      </c>
      <c r="S7" s="312">
        <v>0</v>
      </c>
      <c r="T7" s="312">
        <v>26665.75948422365</v>
      </c>
      <c r="U7" s="312">
        <v>1552.7291102409363</v>
      </c>
      <c r="V7" s="312">
        <v>0</v>
      </c>
      <c r="W7" s="312">
        <v>134896.07024035201</v>
      </c>
      <c r="X7" s="312">
        <v>5771.3805716149509</v>
      </c>
      <c r="Y7" s="312">
        <v>0</v>
      </c>
      <c r="Z7" s="312">
        <v>202969.3631567955</v>
      </c>
      <c r="AA7" s="313">
        <v>62301.912344828539</v>
      </c>
      <c r="AB7" s="314">
        <v>0</v>
      </c>
      <c r="AC7" s="314">
        <v>32709.430421255529</v>
      </c>
      <c r="AD7" s="314">
        <v>17879.027528759558</v>
      </c>
      <c r="AE7" s="314">
        <v>104457.83534293622</v>
      </c>
      <c r="AF7" s="314">
        <v>17404.28661984951</v>
      </c>
      <c r="AG7" s="314">
        <v>39746.28376573183</v>
      </c>
      <c r="AH7" s="314">
        <v>14676.502460105345</v>
      </c>
      <c r="AI7" s="314">
        <v>28218.488594464587</v>
      </c>
      <c r="AJ7" s="315">
        <v>140667.45081196696</v>
      </c>
    </row>
    <row r="8" spans="1:36" x14ac:dyDescent="0.25">
      <c r="A8">
        <v>1931</v>
      </c>
      <c r="B8" s="311">
        <v>31477.305347196758</v>
      </c>
      <c r="C8" s="312">
        <v>1026.0025346279144</v>
      </c>
      <c r="D8" s="312">
        <v>48527.629333496094</v>
      </c>
      <c r="E8" s="312">
        <v>0</v>
      </c>
      <c r="F8" s="312">
        <v>15605.476575061679</v>
      </c>
      <c r="G8" s="312">
        <v>2036.5992698669434</v>
      </c>
      <c r="H8" s="312">
        <v>0</v>
      </c>
      <c r="I8" s="312">
        <v>104343.13857328892</v>
      </c>
      <c r="J8" s="312">
        <v>2156.900153875351</v>
      </c>
      <c r="K8" s="312">
        <v>0</v>
      </c>
      <c r="L8" s="312">
        <v>16577.821978650965</v>
      </c>
      <c r="M8" s="312">
        <v>1255.5566754341125</v>
      </c>
      <c r="N8" s="312">
        <v>0</v>
      </c>
      <c r="O8" s="312">
        <v>28006.309252864194</v>
      </c>
      <c r="P8" s="312">
        <v>269.15010619163513</v>
      </c>
      <c r="Q8" s="312">
        <v>11080.349627077579</v>
      </c>
      <c r="R8" s="312">
        <v>598.83215999603271</v>
      </c>
      <c r="S8" s="312">
        <v>0</v>
      </c>
      <c r="T8" s="312">
        <v>18215.146562132613</v>
      </c>
      <c r="U8" s="312">
        <v>1410.2606419622898</v>
      </c>
      <c r="V8" s="312">
        <v>0</v>
      </c>
      <c r="W8" s="312">
        <v>145593.18832797155</v>
      </c>
      <c r="X8" s="312">
        <v>5511.4449573159218</v>
      </c>
      <c r="Y8" s="312">
        <v>0</v>
      </c>
      <c r="Z8" s="312">
        <v>210846.3484992981</v>
      </c>
      <c r="AA8" s="313">
        <v>59741.715214010619</v>
      </c>
      <c r="AB8" s="314">
        <v>0</v>
      </c>
      <c r="AC8" s="314">
        <v>32503.307881824672</v>
      </c>
      <c r="AD8" s="314">
        <v>17642.075844928622</v>
      </c>
      <c r="AE8" s="314">
        <v>106500.03872716427</v>
      </c>
      <c r="AF8" s="314">
        <v>17833.378654085078</v>
      </c>
      <c r="AG8" s="314">
        <v>28275.459359055829</v>
      </c>
      <c r="AH8" s="314">
        <v>11679.181787073612</v>
      </c>
      <c r="AI8" s="314">
        <v>19625.407204094903</v>
      </c>
      <c r="AJ8" s="315">
        <v>151104.63328528748</v>
      </c>
    </row>
    <row r="9" spans="1:36" x14ac:dyDescent="0.25">
      <c r="A9">
        <v>1932</v>
      </c>
      <c r="B9" s="311">
        <v>32693.83258080855</v>
      </c>
      <c r="C9" s="312">
        <v>1026.0025346279144</v>
      </c>
      <c r="D9" s="312">
        <v>147290.98083496094</v>
      </c>
      <c r="E9" s="312">
        <v>0</v>
      </c>
      <c r="F9" s="312">
        <v>16309.233678504825</v>
      </c>
      <c r="G9" s="312">
        <v>2036.5992698669434</v>
      </c>
      <c r="H9" s="312">
        <v>0</v>
      </c>
      <c r="I9" s="312">
        <v>102695.57525298744</v>
      </c>
      <c r="J9" s="312">
        <v>2486.7834966182709</v>
      </c>
      <c r="K9" s="312">
        <v>0</v>
      </c>
      <c r="L9" s="312">
        <v>16067.056275531648</v>
      </c>
      <c r="M9" s="312">
        <v>1262.1092133522034</v>
      </c>
      <c r="N9" s="312">
        <v>0</v>
      </c>
      <c r="O9" s="312">
        <v>46284.786156548638</v>
      </c>
      <c r="P9" s="312">
        <v>477.05621123313904</v>
      </c>
      <c r="Q9" s="312">
        <v>18969.902119606733</v>
      </c>
      <c r="R9" s="312">
        <v>598.83215999603271</v>
      </c>
      <c r="S9" s="312">
        <v>0</v>
      </c>
      <c r="T9" s="312">
        <v>27554.732172399388</v>
      </c>
      <c r="U9" s="312">
        <v>1605.9718111753464</v>
      </c>
      <c r="V9" s="312">
        <v>0</v>
      </c>
      <c r="W9" s="312">
        <v>131165.10689868373</v>
      </c>
      <c r="X9" s="312">
        <v>5803.322064705193</v>
      </c>
      <c r="Y9" s="312">
        <v>0</v>
      </c>
      <c r="Z9" s="312">
        <v>208476.78211736679</v>
      </c>
      <c r="AA9" s="313">
        <v>71508.353153977863</v>
      </c>
      <c r="AB9" s="314">
        <v>0</v>
      </c>
      <c r="AC9" s="314">
        <v>33719.835115436465</v>
      </c>
      <c r="AD9" s="314">
        <v>18345.832948371768</v>
      </c>
      <c r="AE9" s="314">
        <v>105182.35874960572</v>
      </c>
      <c r="AF9" s="314">
        <v>17329.165488883853</v>
      </c>
      <c r="AG9" s="314">
        <v>46761.842367781777</v>
      </c>
      <c r="AH9" s="314">
        <v>19568.734279602766</v>
      </c>
      <c r="AI9" s="314">
        <v>29160.703983574735</v>
      </c>
      <c r="AJ9" s="315">
        <v>136968.42896338893</v>
      </c>
    </row>
    <row r="10" spans="1:36" x14ac:dyDescent="0.25">
      <c r="A10">
        <v>1933</v>
      </c>
      <c r="B10" s="311">
        <v>31358.274074055254</v>
      </c>
      <c r="C10" s="312">
        <v>1026.0025346279144</v>
      </c>
      <c r="D10" s="312">
        <v>62729.004089355469</v>
      </c>
      <c r="E10" s="312">
        <v>0</v>
      </c>
      <c r="F10" s="312">
        <v>15470.284036979079</v>
      </c>
      <c r="G10" s="312">
        <v>2036.5992698669434</v>
      </c>
      <c r="H10" s="312">
        <v>0</v>
      </c>
      <c r="I10" s="312">
        <v>105170.50952108949</v>
      </c>
      <c r="J10" s="312">
        <v>2547.8448007106781</v>
      </c>
      <c r="K10" s="312">
        <v>0</v>
      </c>
      <c r="L10" s="312">
        <v>16457.882535077621</v>
      </c>
      <c r="M10" s="312">
        <v>1331.428768157959</v>
      </c>
      <c r="N10" s="312">
        <v>0</v>
      </c>
      <c r="O10" s="312">
        <v>39881.425014896769</v>
      </c>
      <c r="P10" s="312">
        <v>298.93194317817688</v>
      </c>
      <c r="Q10" s="312">
        <v>13373.807915760204</v>
      </c>
      <c r="R10" s="312">
        <v>598.83215999603271</v>
      </c>
      <c r="S10" s="312">
        <v>0</v>
      </c>
      <c r="T10" s="312">
        <v>26536.735761809723</v>
      </c>
      <c r="U10" s="312">
        <v>1535.0001285001636</v>
      </c>
      <c r="V10" s="312">
        <v>0</v>
      </c>
      <c r="W10" s="312">
        <v>139521.58915901528</v>
      </c>
      <c r="X10" s="312">
        <v>5454.6922612058652</v>
      </c>
      <c r="Y10" s="312">
        <v>0</v>
      </c>
      <c r="Z10" s="312">
        <v>217446.5963640213</v>
      </c>
      <c r="AA10" s="313">
        <v>72470.314943800156</v>
      </c>
      <c r="AB10" s="314">
        <v>0</v>
      </c>
      <c r="AC10" s="314">
        <v>32384.276608683169</v>
      </c>
      <c r="AD10" s="314">
        <v>17506.883306846023</v>
      </c>
      <c r="AE10" s="314">
        <v>107718.35432180017</v>
      </c>
      <c r="AF10" s="314">
        <v>17789.31130323558</v>
      </c>
      <c r="AG10" s="314">
        <v>40180.356958074946</v>
      </c>
      <c r="AH10" s="314">
        <v>13972.640075756237</v>
      </c>
      <c r="AI10" s="314">
        <v>28071.735890309887</v>
      </c>
      <c r="AJ10" s="315">
        <v>144976.28142022114</v>
      </c>
    </row>
    <row r="11" spans="1:36" x14ac:dyDescent="0.25">
      <c r="A11">
        <v>1934</v>
      </c>
      <c r="B11" s="311">
        <v>29729.136347554624</v>
      </c>
      <c r="C11" s="312">
        <v>1026.0025346279144</v>
      </c>
      <c r="D11" s="312">
        <v>28070.748443603516</v>
      </c>
      <c r="E11" s="312">
        <v>0</v>
      </c>
      <c r="F11" s="312">
        <v>12637.601263538003</v>
      </c>
      <c r="G11" s="312">
        <v>2036.5992698669434</v>
      </c>
      <c r="H11" s="312">
        <v>0</v>
      </c>
      <c r="I11" s="312">
        <v>86160.726699464023</v>
      </c>
      <c r="J11" s="312">
        <v>1845.8892018795013</v>
      </c>
      <c r="K11" s="312">
        <v>0</v>
      </c>
      <c r="L11" s="312">
        <v>17258.993953637768</v>
      </c>
      <c r="M11" s="312">
        <v>1427.783721446991</v>
      </c>
      <c r="N11" s="312">
        <v>0</v>
      </c>
      <c r="O11" s="312">
        <v>21900.479937177694</v>
      </c>
      <c r="P11" s="312">
        <v>278.65056848526001</v>
      </c>
      <c r="Q11" s="312">
        <v>9932.9716379698366</v>
      </c>
      <c r="R11" s="312">
        <v>598.83215999603271</v>
      </c>
      <c r="S11" s="312">
        <v>0</v>
      </c>
      <c r="T11" s="312">
        <v>16331.674419471994</v>
      </c>
      <c r="U11" s="312">
        <v>1432.5904128104448</v>
      </c>
      <c r="V11" s="312">
        <v>0</v>
      </c>
      <c r="W11" s="312">
        <v>120354.84820366248</v>
      </c>
      <c r="X11" s="312">
        <v>5300.3226603375806</v>
      </c>
      <c r="Y11" s="312">
        <v>0</v>
      </c>
      <c r="Z11" s="312">
        <v>192391.66649317741</v>
      </c>
      <c r="AA11" s="313">
        <v>66736.495629177356</v>
      </c>
      <c r="AB11" s="314">
        <v>0</v>
      </c>
      <c r="AC11" s="314">
        <v>30755.138882182539</v>
      </c>
      <c r="AD11" s="314">
        <v>14674.200533404946</v>
      </c>
      <c r="AE11" s="314">
        <v>88006.615901343524</v>
      </c>
      <c r="AF11" s="314">
        <v>18686.777675084759</v>
      </c>
      <c r="AG11" s="314">
        <v>22179.130505662954</v>
      </c>
      <c r="AH11" s="314">
        <v>10531.803797965869</v>
      </c>
      <c r="AI11" s="314">
        <v>17764.264832282439</v>
      </c>
      <c r="AJ11" s="315">
        <v>125655.17086400006</v>
      </c>
    </row>
    <row r="12" spans="1:36" x14ac:dyDescent="0.25">
      <c r="A12">
        <v>1935</v>
      </c>
      <c r="B12" s="311">
        <v>32717.73942489922</v>
      </c>
      <c r="C12" s="312">
        <v>1026.0025346279144</v>
      </c>
      <c r="D12" s="312">
        <v>111978.22772216797</v>
      </c>
      <c r="E12" s="312">
        <v>0</v>
      </c>
      <c r="F12" s="312">
        <v>16337.42050985992</v>
      </c>
      <c r="G12" s="312">
        <v>2036.5992698669434</v>
      </c>
      <c r="H12" s="312">
        <v>0</v>
      </c>
      <c r="I12" s="312">
        <v>102250.92422968894</v>
      </c>
      <c r="J12" s="312">
        <v>2466.2382771968842</v>
      </c>
      <c r="K12" s="312">
        <v>0</v>
      </c>
      <c r="L12" s="312">
        <v>15795.00337731837</v>
      </c>
      <c r="M12" s="312">
        <v>1205.4692630767822</v>
      </c>
      <c r="N12" s="312">
        <v>0</v>
      </c>
      <c r="O12" s="312">
        <v>46264.882456390638</v>
      </c>
      <c r="P12" s="312">
        <v>404.49994277954102</v>
      </c>
      <c r="Q12" s="312">
        <v>21271.398954620585</v>
      </c>
      <c r="R12" s="312">
        <v>598.83215999603271</v>
      </c>
      <c r="S12" s="312">
        <v>0</v>
      </c>
      <c r="T12" s="312">
        <v>27550.88424847657</v>
      </c>
      <c r="U12" s="312">
        <v>1602.4485954195261</v>
      </c>
      <c r="V12" s="312">
        <v>0</v>
      </c>
      <c r="W12" s="312">
        <v>131121.55878898842</v>
      </c>
      <c r="X12" s="312">
        <v>5766.5741074650223</v>
      </c>
      <c r="Y12" s="312">
        <v>0</v>
      </c>
      <c r="Z12" s="312">
        <v>247737.88262915611</v>
      </c>
      <c r="AA12" s="313">
        <v>110849.74973270266</v>
      </c>
      <c r="AB12" s="314">
        <v>0</v>
      </c>
      <c r="AC12" s="314">
        <v>33743.741959527135</v>
      </c>
      <c r="AD12" s="314">
        <v>18374.019779726863</v>
      </c>
      <c r="AE12" s="314">
        <v>104717.16250688583</v>
      </c>
      <c r="AF12" s="314">
        <v>17000.47264039515</v>
      </c>
      <c r="AG12" s="314">
        <v>46669.382399170179</v>
      </c>
      <c r="AH12" s="314">
        <v>21870.231114616618</v>
      </c>
      <c r="AI12" s="314">
        <v>29153.332843896096</v>
      </c>
      <c r="AJ12" s="315">
        <v>136888.13289645343</v>
      </c>
    </row>
    <row r="13" spans="1:36" x14ac:dyDescent="0.25">
      <c r="A13">
        <v>1936</v>
      </c>
      <c r="B13" s="311">
        <v>31050.578459262848</v>
      </c>
      <c r="C13" s="312">
        <v>1026.0025346279144</v>
      </c>
      <c r="D13" s="312">
        <v>98120.250854492188</v>
      </c>
      <c r="E13" s="312">
        <v>0</v>
      </c>
      <c r="F13" s="312">
        <v>15161.554196551442</v>
      </c>
      <c r="G13" s="312">
        <v>2036.5992698669434</v>
      </c>
      <c r="H13" s="312">
        <v>0</v>
      </c>
      <c r="I13" s="312">
        <v>104094.12116664648</v>
      </c>
      <c r="J13" s="312">
        <v>2157.3748967647552</v>
      </c>
      <c r="K13" s="312">
        <v>0</v>
      </c>
      <c r="L13" s="312">
        <v>16395.956455931049</v>
      </c>
      <c r="M13" s="312">
        <v>1429.7300157546997</v>
      </c>
      <c r="N13" s="312">
        <v>0</v>
      </c>
      <c r="O13" s="312">
        <v>41265.229923082967</v>
      </c>
      <c r="P13" s="312">
        <v>379.50826406478882</v>
      </c>
      <c r="Q13" s="312">
        <v>14886.168405778706</v>
      </c>
      <c r="R13" s="312">
        <v>598.83215999603271</v>
      </c>
      <c r="S13" s="312">
        <v>0</v>
      </c>
      <c r="T13" s="312">
        <v>23577.95533466302</v>
      </c>
      <c r="U13" s="312">
        <v>1541.2319845445454</v>
      </c>
      <c r="V13" s="312">
        <v>0</v>
      </c>
      <c r="W13" s="312">
        <v>136360.40349197731</v>
      </c>
      <c r="X13" s="312">
        <v>5805.3481456786394</v>
      </c>
      <c r="Y13" s="312">
        <v>0</v>
      </c>
      <c r="Z13" s="312">
        <v>221296.78032398224</v>
      </c>
      <c r="AA13" s="313">
        <v>79131.028686326288</v>
      </c>
      <c r="AB13" s="314">
        <v>0</v>
      </c>
      <c r="AC13" s="314">
        <v>32076.580993890762</v>
      </c>
      <c r="AD13" s="314">
        <v>17198.153466418386</v>
      </c>
      <c r="AE13" s="314">
        <v>106251.49606341124</v>
      </c>
      <c r="AF13" s="314">
        <v>17825.686471685749</v>
      </c>
      <c r="AG13" s="314">
        <v>41644.738187147756</v>
      </c>
      <c r="AH13" s="314">
        <v>15485.000565774739</v>
      </c>
      <c r="AI13" s="314">
        <v>25119.187319207565</v>
      </c>
      <c r="AJ13" s="315">
        <v>142165.75163765595</v>
      </c>
    </row>
    <row r="14" spans="1:36" x14ac:dyDescent="0.25">
      <c r="A14">
        <v>1937</v>
      </c>
      <c r="B14" s="311">
        <v>32413.466004043818</v>
      </c>
      <c r="C14" s="312">
        <v>1026.0025346279144</v>
      </c>
      <c r="D14" s="312">
        <v>134110.35729980469</v>
      </c>
      <c r="E14" s="312">
        <v>0</v>
      </c>
      <c r="F14" s="312">
        <v>15903.5967451334</v>
      </c>
      <c r="G14" s="312">
        <v>2036.5992698669434</v>
      </c>
      <c r="H14" s="312">
        <v>0</v>
      </c>
      <c r="I14" s="312">
        <v>108567.88614774123</v>
      </c>
      <c r="J14" s="312">
        <v>2457.7330701351166</v>
      </c>
      <c r="K14" s="312">
        <v>0</v>
      </c>
      <c r="L14" s="312">
        <v>17121.393829979006</v>
      </c>
      <c r="M14" s="312">
        <v>1429.2977375984192</v>
      </c>
      <c r="N14" s="312">
        <v>0</v>
      </c>
      <c r="O14" s="312">
        <v>40697.367724923868</v>
      </c>
      <c r="P14" s="312">
        <v>440.43092560768127</v>
      </c>
      <c r="Q14" s="312">
        <v>17894.430375106633</v>
      </c>
      <c r="R14" s="312">
        <v>598.83215999603271</v>
      </c>
      <c r="S14" s="312">
        <v>0</v>
      </c>
      <c r="T14" s="312">
        <v>26707.029713913427</v>
      </c>
      <c r="U14" s="312">
        <v>1584.0288822730072</v>
      </c>
      <c r="V14" s="312">
        <v>0</v>
      </c>
      <c r="W14" s="312">
        <v>137911.46531632886</v>
      </c>
      <c r="X14" s="312">
        <v>5795.372117947787</v>
      </c>
      <c r="Y14" s="312">
        <v>0</v>
      </c>
      <c r="Z14" s="312">
        <v>222134.37148737907</v>
      </c>
      <c r="AA14" s="313">
        <v>78427.534053102427</v>
      </c>
      <c r="AB14" s="314">
        <v>0</v>
      </c>
      <c r="AC14" s="314">
        <v>33439.468538671732</v>
      </c>
      <c r="AD14" s="314">
        <v>17940.196015000343</v>
      </c>
      <c r="AE14" s="314">
        <v>111025.61921787634</v>
      </c>
      <c r="AF14" s="314">
        <v>18550.691567577425</v>
      </c>
      <c r="AG14" s="314">
        <v>41137.798650531549</v>
      </c>
      <c r="AH14" s="314">
        <v>18493.262535102665</v>
      </c>
      <c r="AI14" s="314">
        <v>28291.058596186434</v>
      </c>
      <c r="AJ14" s="315">
        <v>143706.83743427665</v>
      </c>
    </row>
    <row r="15" spans="1:36" x14ac:dyDescent="0.25">
      <c r="A15">
        <v>1938</v>
      </c>
      <c r="B15" s="311">
        <v>31347.742135547101</v>
      </c>
      <c r="C15" s="312">
        <v>1026.0025346279144</v>
      </c>
      <c r="D15" s="312">
        <v>139154.48620605469</v>
      </c>
      <c r="E15" s="312">
        <v>0</v>
      </c>
      <c r="F15" s="312">
        <v>15358.953510761261</v>
      </c>
      <c r="G15" s="312">
        <v>2036.5992698669434</v>
      </c>
      <c r="H15" s="312">
        <v>0</v>
      </c>
      <c r="I15" s="312">
        <v>101707.29192656279</v>
      </c>
      <c r="J15" s="312">
        <v>2397.0231740474701</v>
      </c>
      <c r="K15" s="312">
        <v>0</v>
      </c>
      <c r="L15" s="312">
        <v>15746.043162554488</v>
      </c>
      <c r="M15" s="312">
        <v>1373.3481931686401</v>
      </c>
      <c r="N15" s="312">
        <v>0</v>
      </c>
      <c r="O15" s="312">
        <v>46063.024790807147</v>
      </c>
      <c r="P15" s="312">
        <v>473.51040267944336</v>
      </c>
      <c r="Q15" s="312">
        <v>17249.416899606586</v>
      </c>
      <c r="R15" s="312">
        <v>598.83215999603271</v>
      </c>
      <c r="S15" s="312">
        <v>0</v>
      </c>
      <c r="T15" s="312">
        <v>27426.380741912501</v>
      </c>
      <c r="U15" s="312">
        <v>1603.7180314660072</v>
      </c>
      <c r="V15" s="312">
        <v>0</v>
      </c>
      <c r="W15" s="312">
        <v>127445.51945799931</v>
      </c>
      <c r="X15" s="312">
        <v>5873.0589877281418</v>
      </c>
      <c r="Y15" s="312">
        <v>0</v>
      </c>
      <c r="Z15" s="312">
        <v>223787.21753585339</v>
      </c>
      <c r="AA15" s="313">
        <v>90468.639090125929</v>
      </c>
      <c r="AB15" s="314">
        <v>0</v>
      </c>
      <c r="AC15" s="314">
        <v>32373.744670175016</v>
      </c>
      <c r="AD15" s="314">
        <v>17395.552780628204</v>
      </c>
      <c r="AE15" s="314">
        <v>104104.31510061026</v>
      </c>
      <c r="AF15" s="314">
        <v>17119.391355723128</v>
      </c>
      <c r="AG15" s="314">
        <v>46536.53519348659</v>
      </c>
      <c r="AH15" s="314">
        <v>17848.249059602618</v>
      </c>
      <c r="AI15" s="314">
        <v>29030.098773378508</v>
      </c>
      <c r="AJ15" s="315">
        <v>133318.57844572744</v>
      </c>
    </row>
    <row r="16" spans="1:36" x14ac:dyDescent="0.25">
      <c r="A16">
        <v>1939</v>
      </c>
      <c r="B16" s="311">
        <v>30374.737243548036</v>
      </c>
      <c r="C16" s="312">
        <v>1026.0025346279144</v>
      </c>
      <c r="D16" s="312">
        <v>72682.315063476563</v>
      </c>
      <c r="E16" s="312">
        <v>0</v>
      </c>
      <c r="F16" s="312">
        <v>14669.635607719421</v>
      </c>
      <c r="G16" s="312">
        <v>2036.5992698669434</v>
      </c>
      <c r="H16" s="312">
        <v>0</v>
      </c>
      <c r="I16" s="312">
        <v>105335.46883004159</v>
      </c>
      <c r="J16" s="312">
        <v>2433.4021985530853</v>
      </c>
      <c r="K16" s="312">
        <v>0</v>
      </c>
      <c r="L16" s="312">
        <v>16851.61593354493</v>
      </c>
      <c r="M16" s="312">
        <v>1403.132933139801</v>
      </c>
      <c r="N16" s="312">
        <v>0</v>
      </c>
      <c r="O16" s="312">
        <v>35762.479442490716</v>
      </c>
      <c r="P16" s="312">
        <v>364.69755601882935</v>
      </c>
      <c r="Q16" s="312">
        <v>10119.823880417272</v>
      </c>
      <c r="R16" s="312">
        <v>598.83215999603271</v>
      </c>
      <c r="S16" s="312">
        <v>0</v>
      </c>
      <c r="T16" s="312">
        <v>18209.28560821768</v>
      </c>
      <c r="U16" s="312">
        <v>1433.2576552927494</v>
      </c>
      <c r="V16" s="312">
        <v>0</v>
      </c>
      <c r="W16" s="312">
        <v>146037.35146335111</v>
      </c>
      <c r="X16" s="312">
        <v>5800.9555242955685</v>
      </c>
      <c r="Y16" s="312">
        <v>0</v>
      </c>
      <c r="Z16" s="312">
        <v>203431.54347598553</v>
      </c>
      <c r="AA16" s="313">
        <v>51593.236488338851</v>
      </c>
      <c r="AB16" s="314">
        <v>0</v>
      </c>
      <c r="AC16" s="314">
        <v>31400.73977817595</v>
      </c>
      <c r="AD16" s="314">
        <v>16706.234877586365</v>
      </c>
      <c r="AE16" s="314">
        <v>107768.87102859467</v>
      </c>
      <c r="AF16" s="314">
        <v>18254.748866684731</v>
      </c>
      <c r="AG16" s="314">
        <v>36127.176998509545</v>
      </c>
      <c r="AH16" s="314">
        <v>10718.656040413305</v>
      </c>
      <c r="AI16" s="314">
        <v>19642.54326351043</v>
      </c>
      <c r="AJ16" s="315">
        <v>151838.30698764668</v>
      </c>
    </row>
    <row r="17" spans="1:36" x14ac:dyDescent="0.25">
      <c r="A17">
        <v>1940</v>
      </c>
      <c r="B17" s="311">
        <v>30405.938154950738</v>
      </c>
      <c r="C17" s="312">
        <v>1026.0025346279144</v>
      </c>
      <c r="D17" s="312">
        <v>61261.331787109375</v>
      </c>
      <c r="E17" s="312">
        <v>0</v>
      </c>
      <c r="F17" s="312">
        <v>14634.824818879366</v>
      </c>
      <c r="G17" s="312">
        <v>2036.5992698669434</v>
      </c>
      <c r="H17" s="312">
        <v>0</v>
      </c>
      <c r="I17" s="312">
        <v>103161.08329606801</v>
      </c>
      <c r="J17" s="312">
        <v>2195.3051946163177</v>
      </c>
      <c r="K17" s="312">
        <v>0</v>
      </c>
      <c r="L17" s="312">
        <v>16539.827585011699</v>
      </c>
      <c r="M17" s="312">
        <v>1383.2634892463684</v>
      </c>
      <c r="N17" s="312">
        <v>0</v>
      </c>
      <c r="O17" s="312">
        <v>25820.400998918787</v>
      </c>
      <c r="P17" s="312">
        <v>304.02299833297729</v>
      </c>
      <c r="Q17" s="312">
        <v>12505.363113299012</v>
      </c>
      <c r="R17" s="312">
        <v>598.83215999603271</v>
      </c>
      <c r="S17" s="312">
        <v>0</v>
      </c>
      <c r="T17" s="312">
        <v>23150.529915667699</v>
      </c>
      <c r="U17" s="312">
        <v>1507.4078702628613</v>
      </c>
      <c r="V17" s="312">
        <v>0</v>
      </c>
      <c r="W17" s="312">
        <v>140122.96890130983</v>
      </c>
      <c r="X17" s="312">
        <v>5783.2685486935079</v>
      </c>
      <c r="Y17" s="312">
        <v>0</v>
      </c>
      <c r="Z17" s="312">
        <v>236940.86011624336</v>
      </c>
      <c r="AA17" s="313">
        <v>91034.62266624003</v>
      </c>
      <c r="AB17" s="314">
        <v>0</v>
      </c>
      <c r="AC17" s="314">
        <v>31431.940689578652</v>
      </c>
      <c r="AD17" s="314">
        <v>16671.424088746309</v>
      </c>
      <c r="AE17" s="314">
        <v>105356.38849068433</v>
      </c>
      <c r="AF17" s="314">
        <v>17923.091074258067</v>
      </c>
      <c r="AG17" s="314">
        <v>26124.423997251764</v>
      </c>
      <c r="AH17" s="314">
        <v>13104.195273295045</v>
      </c>
      <c r="AI17" s="314">
        <v>24657.93778593056</v>
      </c>
      <c r="AJ17" s="315">
        <v>145906.23745000333</v>
      </c>
    </row>
    <row r="18" spans="1:36" x14ac:dyDescent="0.25">
      <c r="A18">
        <v>1941</v>
      </c>
      <c r="B18" s="311">
        <v>31206.555627413094</v>
      </c>
      <c r="C18" s="312">
        <v>1026.0025346279144</v>
      </c>
      <c r="D18" s="312">
        <v>174052.20443725586</v>
      </c>
      <c r="E18" s="312">
        <v>0</v>
      </c>
      <c r="F18" s="312">
        <v>15363.179380513728</v>
      </c>
      <c r="G18" s="312">
        <v>2036.5992698669434</v>
      </c>
      <c r="H18" s="312">
        <v>0</v>
      </c>
      <c r="I18" s="312">
        <v>99464.535385325551</v>
      </c>
      <c r="J18" s="312">
        <v>2696.0298421382904</v>
      </c>
      <c r="K18" s="312">
        <v>0</v>
      </c>
      <c r="L18" s="312">
        <v>15289.67147608845</v>
      </c>
      <c r="M18" s="312">
        <v>1391.8434882164001</v>
      </c>
      <c r="N18" s="312">
        <v>0</v>
      </c>
      <c r="O18" s="312">
        <v>44993.028248576898</v>
      </c>
      <c r="P18" s="312">
        <v>491.40815997123718</v>
      </c>
      <c r="Q18" s="312">
        <v>22743.308371309191</v>
      </c>
      <c r="R18" s="312">
        <v>598.83215999603271</v>
      </c>
      <c r="S18" s="312">
        <v>0</v>
      </c>
      <c r="T18" s="312">
        <v>27506.306688822435</v>
      </c>
      <c r="U18" s="312">
        <v>1555.8420432209969</v>
      </c>
      <c r="V18" s="312">
        <v>0</v>
      </c>
      <c r="W18" s="312">
        <v>123661.31728747829</v>
      </c>
      <c r="X18" s="312">
        <v>5923.695550389335</v>
      </c>
      <c r="Y18" s="312">
        <v>0</v>
      </c>
      <c r="Z18" s="312">
        <v>196432.67501354218</v>
      </c>
      <c r="AA18" s="313">
        <v>66847.662175674544</v>
      </c>
      <c r="AB18" s="314">
        <v>0</v>
      </c>
      <c r="AC18" s="314">
        <v>32232.558162041008</v>
      </c>
      <c r="AD18" s="314">
        <v>17399.778650380671</v>
      </c>
      <c r="AE18" s="314">
        <v>102160.56522746384</v>
      </c>
      <c r="AF18" s="314">
        <v>16681.51496430485</v>
      </c>
      <c r="AG18" s="314">
        <v>45484.436408548136</v>
      </c>
      <c r="AH18" s="314">
        <v>23342.140531305224</v>
      </c>
      <c r="AI18" s="314">
        <v>29062.148732043432</v>
      </c>
      <c r="AJ18" s="315">
        <v>129585.01283786763</v>
      </c>
    </row>
    <row r="19" spans="1:36" x14ac:dyDescent="0.25">
      <c r="A19">
        <v>1942</v>
      </c>
      <c r="B19" s="311">
        <v>32597.527664616704</v>
      </c>
      <c r="C19" s="312">
        <v>1026.0025346279144</v>
      </c>
      <c r="D19" s="312">
        <v>84394.242469787598</v>
      </c>
      <c r="E19" s="312">
        <v>0</v>
      </c>
      <c r="F19" s="312">
        <v>15797.90575915575</v>
      </c>
      <c r="G19" s="312">
        <v>2036.5992698669434</v>
      </c>
      <c r="H19" s="312">
        <v>0</v>
      </c>
      <c r="I19" s="312">
        <v>105525.98473417014</v>
      </c>
      <c r="J19" s="312">
        <v>2340.2241418361664</v>
      </c>
      <c r="K19" s="312">
        <v>0</v>
      </c>
      <c r="L19" s="312">
        <v>16587.584125727411</v>
      </c>
      <c r="M19" s="312">
        <v>1438.5394735336304</v>
      </c>
      <c r="N19" s="312">
        <v>0</v>
      </c>
      <c r="O19" s="312">
        <v>48036.574380560298</v>
      </c>
      <c r="P19" s="312">
        <v>536.64314937591553</v>
      </c>
      <c r="Q19" s="312">
        <v>16021.009150348604</v>
      </c>
      <c r="R19" s="312">
        <v>598.83215999603271</v>
      </c>
      <c r="S19" s="312">
        <v>0</v>
      </c>
      <c r="T19" s="312">
        <v>27734.547546147929</v>
      </c>
      <c r="U19" s="312">
        <v>1582.1597941666842</v>
      </c>
      <c r="V19" s="312">
        <v>0</v>
      </c>
      <c r="W19" s="312">
        <v>131219.13296079979</v>
      </c>
      <c r="X19" s="312">
        <v>5956.0490202382207</v>
      </c>
      <c r="Y19" s="312">
        <v>0</v>
      </c>
      <c r="Z19" s="312">
        <v>187064.6359872818</v>
      </c>
      <c r="AA19" s="313">
        <v>49889.454006243788</v>
      </c>
      <c r="AB19" s="314">
        <v>0</v>
      </c>
      <c r="AC19" s="314">
        <v>33623.530199244618</v>
      </c>
      <c r="AD19" s="314">
        <v>17834.505029022694</v>
      </c>
      <c r="AE19" s="314">
        <v>107866.20887600631</v>
      </c>
      <c r="AF19" s="314">
        <v>18026.123599261042</v>
      </c>
      <c r="AG19" s="314">
        <v>48573.217529936213</v>
      </c>
      <c r="AH19" s="314">
        <v>16619.841310344636</v>
      </c>
      <c r="AI19" s="314">
        <v>29316.707340314613</v>
      </c>
      <c r="AJ19" s="315">
        <v>137175.18198103801</v>
      </c>
    </row>
    <row r="20" spans="1:36" x14ac:dyDescent="0.25">
      <c r="A20">
        <v>1943</v>
      </c>
      <c r="B20" s="311">
        <v>32833.540801882744</v>
      </c>
      <c r="C20" s="312">
        <v>1026.0025346279144</v>
      </c>
      <c r="D20" s="312">
        <v>86204.664123535156</v>
      </c>
      <c r="E20" s="312">
        <v>0</v>
      </c>
      <c r="F20" s="312">
        <v>15923.55750310421</v>
      </c>
      <c r="G20" s="312">
        <v>2036.5992698669434</v>
      </c>
      <c r="H20" s="312">
        <v>0</v>
      </c>
      <c r="I20" s="312">
        <v>103417.68868635595</v>
      </c>
      <c r="J20" s="312">
        <v>2069.5491559505463</v>
      </c>
      <c r="K20" s="312">
        <v>0</v>
      </c>
      <c r="L20" s="312">
        <v>16152.56277970223</v>
      </c>
      <c r="M20" s="312">
        <v>1327.573691368103</v>
      </c>
      <c r="N20" s="312">
        <v>0</v>
      </c>
      <c r="O20" s="312">
        <v>39185.36632291969</v>
      </c>
      <c r="P20" s="312">
        <v>353.72037434577942</v>
      </c>
      <c r="Q20" s="312">
        <v>15592.385706160218</v>
      </c>
      <c r="R20" s="312">
        <v>598.83215999603271</v>
      </c>
      <c r="S20" s="312">
        <v>0</v>
      </c>
      <c r="T20" s="312">
        <v>26991.201039000975</v>
      </c>
      <c r="U20" s="312">
        <v>1592.528636470437</v>
      </c>
      <c r="V20" s="312">
        <v>0</v>
      </c>
      <c r="W20" s="312">
        <v>132756.965241078</v>
      </c>
      <c r="X20" s="312">
        <v>5886.5399483889341</v>
      </c>
      <c r="Y20" s="312">
        <v>0</v>
      </c>
      <c r="Z20" s="312">
        <v>209840.0395219326</v>
      </c>
      <c r="AA20" s="313">
        <v>71196.534332465671</v>
      </c>
      <c r="AB20" s="314">
        <v>0</v>
      </c>
      <c r="AC20" s="314">
        <v>33859.543336510658</v>
      </c>
      <c r="AD20" s="314">
        <v>17960.156772971153</v>
      </c>
      <c r="AE20" s="314">
        <v>105487.23784230649</v>
      </c>
      <c r="AF20" s="314">
        <v>17480.136471070335</v>
      </c>
      <c r="AG20" s="314">
        <v>39539.086697265469</v>
      </c>
      <c r="AH20" s="314">
        <v>16191.21786615625</v>
      </c>
      <c r="AI20" s="314">
        <v>28583.729675471412</v>
      </c>
      <c r="AJ20" s="315">
        <v>138643.50518946693</v>
      </c>
    </row>
    <row r="21" spans="1:36" x14ac:dyDescent="0.25">
      <c r="A21">
        <v>1944</v>
      </c>
      <c r="B21" s="311">
        <v>32652.725979708135</v>
      </c>
      <c r="C21" s="312">
        <v>1026.0025346279144</v>
      </c>
      <c r="D21" s="312">
        <v>115459.37182617188</v>
      </c>
      <c r="E21" s="312">
        <v>0</v>
      </c>
      <c r="F21" s="312">
        <v>16109.570566866547</v>
      </c>
      <c r="G21" s="312">
        <v>2036.5992698669434</v>
      </c>
      <c r="H21" s="312">
        <v>0</v>
      </c>
      <c r="I21" s="312">
        <v>105754.89382776618</v>
      </c>
      <c r="J21" s="312">
        <v>2633.7941167354584</v>
      </c>
      <c r="K21" s="312">
        <v>0</v>
      </c>
      <c r="L21" s="312">
        <v>16404.469203494489</v>
      </c>
      <c r="M21" s="312">
        <v>1241.1229095458984</v>
      </c>
      <c r="N21" s="312">
        <v>0</v>
      </c>
      <c r="O21" s="312">
        <v>47568.708298905272</v>
      </c>
      <c r="P21" s="312">
        <v>498.26240015029907</v>
      </c>
      <c r="Q21" s="312">
        <v>19609.060748584569</v>
      </c>
      <c r="R21" s="312">
        <v>598.83215999603271</v>
      </c>
      <c r="S21" s="312">
        <v>0</v>
      </c>
      <c r="T21" s="312">
        <v>27928.787941887604</v>
      </c>
      <c r="U21" s="312">
        <v>1590.1351171731949</v>
      </c>
      <c r="V21" s="312">
        <v>0</v>
      </c>
      <c r="W21" s="312">
        <v>128702.60688153251</v>
      </c>
      <c r="X21" s="312">
        <v>5894.1916200630367</v>
      </c>
      <c r="Y21" s="312">
        <v>0</v>
      </c>
      <c r="Z21" s="312">
        <v>210278.97888898849</v>
      </c>
      <c r="AA21" s="313">
        <v>75682.180387392946</v>
      </c>
      <c r="AB21" s="314">
        <v>0</v>
      </c>
      <c r="AC21" s="314">
        <v>33678.72851433605</v>
      </c>
      <c r="AD21" s="314">
        <v>18146.16983673349</v>
      </c>
      <c r="AE21" s="314">
        <v>108388.68794450164</v>
      </c>
      <c r="AF21" s="314">
        <v>17645.592113040388</v>
      </c>
      <c r="AG21" s="314">
        <v>48066.970699055571</v>
      </c>
      <c r="AH21" s="314">
        <v>20207.892908580601</v>
      </c>
      <c r="AI21" s="314">
        <v>29518.923059060799</v>
      </c>
      <c r="AJ21" s="315">
        <v>134596.79850159556</v>
      </c>
    </row>
    <row r="22" spans="1:36" x14ac:dyDescent="0.25">
      <c r="A22">
        <v>1945</v>
      </c>
      <c r="B22" s="311">
        <v>32521.773738659918</v>
      </c>
      <c r="C22" s="312">
        <v>1026.0025346279144</v>
      </c>
      <c r="D22" s="312">
        <v>103386.51266479492</v>
      </c>
      <c r="E22" s="312">
        <v>0</v>
      </c>
      <c r="F22" s="312">
        <v>15749.177778422832</v>
      </c>
      <c r="G22" s="312">
        <v>2036.5992698669434</v>
      </c>
      <c r="H22" s="312">
        <v>0</v>
      </c>
      <c r="I22" s="312">
        <v>106845.30101559311</v>
      </c>
      <c r="J22" s="312">
        <v>2630.0041387081146</v>
      </c>
      <c r="K22" s="312">
        <v>0</v>
      </c>
      <c r="L22" s="312">
        <v>16714.949620753527</v>
      </c>
      <c r="M22" s="312">
        <v>1324.7190070152283</v>
      </c>
      <c r="N22" s="312">
        <v>0</v>
      </c>
      <c r="O22" s="312">
        <v>40098.270114412306</v>
      </c>
      <c r="P22" s="312">
        <v>344.87947225570679</v>
      </c>
      <c r="Q22" s="312">
        <v>15860.436730362475</v>
      </c>
      <c r="R22" s="312">
        <v>598.83215999603271</v>
      </c>
      <c r="S22" s="312">
        <v>0</v>
      </c>
      <c r="T22" s="312">
        <v>27564.222383379565</v>
      </c>
      <c r="U22" s="312">
        <v>1575.9483808577061</v>
      </c>
      <c r="V22" s="312">
        <v>0</v>
      </c>
      <c r="W22" s="312">
        <v>133702.10698354588</v>
      </c>
      <c r="X22" s="312">
        <v>5877.1961567403323</v>
      </c>
      <c r="Y22" s="312">
        <v>0</v>
      </c>
      <c r="Z22" s="312">
        <v>214999.11407411098</v>
      </c>
      <c r="AA22" s="313">
        <v>75419.810933824774</v>
      </c>
      <c r="AB22" s="314">
        <v>0</v>
      </c>
      <c r="AC22" s="314">
        <v>33547.776273287833</v>
      </c>
      <c r="AD22" s="314">
        <v>17785.777048289776</v>
      </c>
      <c r="AE22" s="314">
        <v>109475.30515430123</v>
      </c>
      <c r="AF22" s="314">
        <v>18039.668627768755</v>
      </c>
      <c r="AG22" s="314">
        <v>40443.149586668012</v>
      </c>
      <c r="AH22" s="314">
        <v>16459.268890358508</v>
      </c>
      <c r="AI22" s="314">
        <v>29140.170764237271</v>
      </c>
      <c r="AJ22" s="315">
        <v>139579.30314028621</v>
      </c>
    </row>
    <row r="23" spans="1:36" x14ac:dyDescent="0.25">
      <c r="A23">
        <v>1946</v>
      </c>
      <c r="B23" s="311">
        <v>31460.104874156415</v>
      </c>
      <c r="C23" s="312">
        <v>1026.0025346279144</v>
      </c>
      <c r="D23" s="312">
        <v>38596.943098068237</v>
      </c>
      <c r="E23" s="312">
        <v>0</v>
      </c>
      <c r="F23" s="312">
        <v>15450.999692365527</v>
      </c>
      <c r="G23" s="312">
        <v>2036.5992698669434</v>
      </c>
      <c r="H23" s="312">
        <v>0</v>
      </c>
      <c r="I23" s="312">
        <v>103372.64295819402</v>
      </c>
      <c r="J23" s="312">
        <v>2334.542430639267</v>
      </c>
      <c r="K23" s="312">
        <v>0</v>
      </c>
      <c r="L23" s="312">
        <v>16122.051117556373</v>
      </c>
      <c r="M23" s="312">
        <v>1331.380717664957</v>
      </c>
      <c r="N23" s="312">
        <v>0</v>
      </c>
      <c r="O23" s="312">
        <v>28694.642833753005</v>
      </c>
      <c r="P23" s="312">
        <v>293.4656355381012</v>
      </c>
      <c r="Q23" s="312">
        <v>12428.141948968172</v>
      </c>
      <c r="R23" s="312">
        <v>598.83215999603271</v>
      </c>
      <c r="S23" s="312">
        <v>0</v>
      </c>
      <c r="T23" s="312">
        <v>21026.350931614266</v>
      </c>
      <c r="U23" s="312">
        <v>1462.3693815171719</v>
      </c>
      <c r="V23" s="312">
        <v>0</v>
      </c>
      <c r="W23" s="312">
        <v>137158.70984946535</v>
      </c>
      <c r="X23" s="312">
        <v>5849.1684772727685</v>
      </c>
      <c r="Y23" s="312">
        <v>0</v>
      </c>
      <c r="Z23" s="312">
        <v>225840.04540252686</v>
      </c>
      <c r="AA23" s="313">
        <v>82832.167075788733</v>
      </c>
      <c r="AB23" s="314">
        <v>0</v>
      </c>
      <c r="AC23" s="314">
        <v>32486.10740878433</v>
      </c>
      <c r="AD23" s="314">
        <v>17487.598962232471</v>
      </c>
      <c r="AE23" s="314">
        <v>105707.18538883328</v>
      </c>
      <c r="AF23" s="314">
        <v>17453.43183522133</v>
      </c>
      <c r="AG23" s="314">
        <v>28988.108469291106</v>
      </c>
      <c r="AH23" s="314">
        <v>13026.974108964205</v>
      </c>
      <c r="AI23" s="314">
        <v>22488.720313131438</v>
      </c>
      <c r="AJ23" s="315">
        <v>143007.87832673811</v>
      </c>
    </row>
    <row r="24" spans="1:36" x14ac:dyDescent="0.25">
      <c r="A24">
        <v>1947</v>
      </c>
      <c r="B24" s="311">
        <v>30124.933060914278</v>
      </c>
      <c r="C24" s="312">
        <v>1026.0025346279144</v>
      </c>
      <c r="D24" s="312">
        <v>69014.953369140625</v>
      </c>
      <c r="E24" s="312">
        <v>0</v>
      </c>
      <c r="F24" s="312">
        <v>15042.340457072482</v>
      </c>
      <c r="G24" s="312">
        <v>2036.5992698669434</v>
      </c>
      <c r="H24" s="312">
        <v>0</v>
      </c>
      <c r="I24" s="312">
        <v>101521.57652132213</v>
      </c>
      <c r="J24" s="312">
        <v>2618.2039620876312</v>
      </c>
      <c r="K24" s="312">
        <v>0</v>
      </c>
      <c r="L24" s="312">
        <v>15683.062720209347</v>
      </c>
      <c r="M24" s="312">
        <v>1333.2977938652039</v>
      </c>
      <c r="N24" s="312">
        <v>0</v>
      </c>
      <c r="O24" s="312">
        <v>39537.457884340067</v>
      </c>
      <c r="P24" s="312">
        <v>335.24912881851196</v>
      </c>
      <c r="Q24" s="312">
        <v>16402.830129288137</v>
      </c>
      <c r="R24" s="312">
        <v>598.83215999603271</v>
      </c>
      <c r="S24" s="312">
        <v>0</v>
      </c>
      <c r="T24" s="312">
        <v>25628.909647807108</v>
      </c>
      <c r="U24" s="312">
        <v>1536.6427546739578</v>
      </c>
      <c r="V24" s="312">
        <v>0</v>
      </c>
      <c r="W24" s="312">
        <v>128669.38480857357</v>
      </c>
      <c r="X24" s="312">
        <v>5859.2019937317018</v>
      </c>
      <c r="Y24" s="312">
        <v>0</v>
      </c>
      <c r="Z24" s="312">
        <v>210774.2971739769</v>
      </c>
      <c r="AA24" s="313">
        <v>76245.710371671623</v>
      </c>
      <c r="AB24" s="314">
        <v>0</v>
      </c>
      <c r="AC24" s="314">
        <v>31150.935595542192</v>
      </c>
      <c r="AD24" s="314">
        <v>17078.939726939425</v>
      </c>
      <c r="AE24" s="314">
        <v>104139.78048340976</v>
      </c>
      <c r="AF24" s="314">
        <v>17016.360514074549</v>
      </c>
      <c r="AG24" s="314">
        <v>39872.707013158579</v>
      </c>
      <c r="AH24" s="314">
        <v>17001.66228928417</v>
      </c>
      <c r="AI24" s="314">
        <v>27165.552402481066</v>
      </c>
      <c r="AJ24" s="315">
        <v>134528.58680230528</v>
      </c>
    </row>
    <row r="25" spans="1:36" x14ac:dyDescent="0.25">
      <c r="A25">
        <v>1948</v>
      </c>
      <c r="B25" s="311">
        <v>32879.89634180069</v>
      </c>
      <c r="C25" s="312">
        <v>1026.0025346279144</v>
      </c>
      <c r="D25" s="312">
        <v>105388.2919921875</v>
      </c>
      <c r="E25" s="312">
        <v>0</v>
      </c>
      <c r="F25" s="312">
        <v>16015.982196085155</v>
      </c>
      <c r="G25" s="312">
        <v>2036.5992698669434</v>
      </c>
      <c r="H25" s="312">
        <v>0</v>
      </c>
      <c r="I25" s="312">
        <v>108122.19316349179</v>
      </c>
      <c r="J25" s="312">
        <v>2471.3611905574799</v>
      </c>
      <c r="K25" s="312">
        <v>0</v>
      </c>
      <c r="L25" s="312">
        <v>16784.425723999742</v>
      </c>
      <c r="M25" s="312">
        <v>912.17925810813904</v>
      </c>
      <c r="N25" s="312">
        <v>0</v>
      </c>
      <c r="O25" s="312">
        <v>48488.363657547612</v>
      </c>
      <c r="P25" s="312">
        <v>522.24778413772583</v>
      </c>
      <c r="Q25" s="312">
        <v>16372.408016383648</v>
      </c>
      <c r="R25" s="312">
        <v>598.83215999603271</v>
      </c>
      <c r="S25" s="312">
        <v>0</v>
      </c>
      <c r="T25" s="312">
        <v>25811.477014541255</v>
      </c>
      <c r="U25" s="312">
        <v>1568.7454395592213</v>
      </c>
      <c r="V25" s="312">
        <v>0</v>
      </c>
      <c r="W25" s="312">
        <v>135437.68881516502</v>
      </c>
      <c r="X25" s="312">
        <v>5901.4129563011229</v>
      </c>
      <c r="Y25" s="312">
        <v>0</v>
      </c>
      <c r="Z25" s="312">
        <v>197658.59954166412</v>
      </c>
      <c r="AA25" s="313">
        <v>56319.497770197981</v>
      </c>
      <c r="AB25" s="314">
        <v>0</v>
      </c>
      <c r="AC25" s="314">
        <v>33905.898876428604</v>
      </c>
      <c r="AD25" s="314">
        <v>18052.581465952098</v>
      </c>
      <c r="AE25" s="314">
        <v>110593.55435404927</v>
      </c>
      <c r="AF25" s="314">
        <v>17696.604982107881</v>
      </c>
      <c r="AG25" s="314">
        <v>49010.611441685338</v>
      </c>
      <c r="AH25" s="314">
        <v>16971.240176379681</v>
      </c>
      <c r="AI25" s="314">
        <v>27380.222454100476</v>
      </c>
      <c r="AJ25" s="315">
        <v>141339.10177146614</v>
      </c>
    </row>
    <row r="26" spans="1:36" x14ac:dyDescent="0.25">
      <c r="A26">
        <v>1949</v>
      </c>
      <c r="B26" s="311">
        <v>32749.576065406203</v>
      </c>
      <c r="C26" s="312">
        <v>1026.0025346279144</v>
      </c>
      <c r="D26" s="312">
        <v>123890.13906097412</v>
      </c>
      <c r="E26" s="312">
        <v>0</v>
      </c>
      <c r="F26" s="312">
        <v>16031.843831807375</v>
      </c>
      <c r="G26" s="312">
        <v>2036.5992698669434</v>
      </c>
      <c r="H26" s="312">
        <v>0</v>
      </c>
      <c r="I26" s="312">
        <v>105831.65972803533</v>
      </c>
      <c r="J26" s="312">
        <v>2390.0671117305756</v>
      </c>
      <c r="K26" s="312">
        <v>0</v>
      </c>
      <c r="L26" s="312">
        <v>16402.546855336946</v>
      </c>
      <c r="M26" s="312">
        <v>1387.5271005034447</v>
      </c>
      <c r="N26" s="312">
        <v>0</v>
      </c>
      <c r="O26" s="312">
        <v>47505.77671702065</v>
      </c>
      <c r="P26" s="312">
        <v>509.32354855537415</v>
      </c>
      <c r="Q26" s="312">
        <v>21371.050236076117</v>
      </c>
      <c r="R26" s="312">
        <v>598.83215999603271</v>
      </c>
      <c r="S26" s="312">
        <v>0</v>
      </c>
      <c r="T26" s="312">
        <v>27891.40659527816</v>
      </c>
      <c r="U26" s="312">
        <v>1595.1996117830276</v>
      </c>
      <c r="V26" s="312">
        <v>0</v>
      </c>
      <c r="W26" s="312">
        <v>129775.27807286724</v>
      </c>
      <c r="X26" s="312">
        <v>5896.6381503859157</v>
      </c>
      <c r="Y26" s="312">
        <v>0</v>
      </c>
      <c r="Z26" s="312">
        <v>221396.19322860241</v>
      </c>
      <c r="AA26" s="313">
        <v>85724.277005349257</v>
      </c>
      <c r="AB26" s="314">
        <v>0</v>
      </c>
      <c r="AC26" s="314">
        <v>33775.578600034118</v>
      </c>
      <c r="AD26" s="314">
        <v>18068.443101674318</v>
      </c>
      <c r="AE26" s="314">
        <v>108221.72683976591</v>
      </c>
      <c r="AF26" s="314">
        <v>17790.073955840391</v>
      </c>
      <c r="AG26" s="314">
        <v>48015.100265576024</v>
      </c>
      <c r="AH26" s="314">
        <v>21969.882396072149</v>
      </c>
      <c r="AI26" s="314">
        <v>29486.606207061188</v>
      </c>
      <c r="AJ26" s="315">
        <v>135671.91622325315</v>
      </c>
    </row>
    <row r="27" spans="1:36" x14ac:dyDescent="0.25">
      <c r="A27">
        <v>1950</v>
      </c>
      <c r="B27" s="311">
        <v>34286.005364045501</v>
      </c>
      <c r="C27" s="312">
        <v>1026.0025346279144</v>
      </c>
      <c r="D27" s="312">
        <v>53772.865539550781</v>
      </c>
      <c r="E27" s="312">
        <v>0</v>
      </c>
      <c r="F27" s="312">
        <v>16217.276028670371</v>
      </c>
      <c r="G27" s="312">
        <v>2036.5992698669434</v>
      </c>
      <c r="H27" s="312">
        <v>0</v>
      </c>
      <c r="I27" s="312">
        <v>112185.96634538472</v>
      </c>
      <c r="J27" s="312">
        <v>2434.0240323543549</v>
      </c>
      <c r="K27" s="312">
        <v>0</v>
      </c>
      <c r="L27" s="312">
        <v>16744.710959881555</v>
      </c>
      <c r="M27" s="312">
        <v>1359.4136896133423</v>
      </c>
      <c r="N27" s="312">
        <v>0</v>
      </c>
      <c r="O27" s="312">
        <v>32561.05912256099</v>
      </c>
      <c r="P27" s="312">
        <v>330.66846084594727</v>
      </c>
      <c r="Q27" s="312">
        <v>11380.228502623737</v>
      </c>
      <c r="R27" s="312">
        <v>598.83215999603271</v>
      </c>
      <c r="S27" s="312">
        <v>0</v>
      </c>
      <c r="T27" s="312">
        <v>21581.732684647664</v>
      </c>
      <c r="U27" s="312">
        <v>1526.1593708693981</v>
      </c>
      <c r="V27" s="312">
        <v>0</v>
      </c>
      <c r="W27" s="312">
        <v>142198.59493123338</v>
      </c>
      <c r="X27" s="312">
        <v>5700.6438421466055</v>
      </c>
      <c r="Y27" s="312">
        <v>0</v>
      </c>
      <c r="Z27" s="312">
        <v>225796.41400623322</v>
      </c>
      <c r="AA27" s="313">
        <v>77897.175232853231</v>
      </c>
      <c r="AB27" s="314">
        <v>0</v>
      </c>
      <c r="AC27" s="314">
        <v>35312.007898673415</v>
      </c>
      <c r="AD27" s="314">
        <v>18253.875298537314</v>
      </c>
      <c r="AE27" s="314">
        <v>114619.99037773907</v>
      </c>
      <c r="AF27" s="314">
        <v>18104.124649494897</v>
      </c>
      <c r="AG27" s="314">
        <v>32891.727583406937</v>
      </c>
      <c r="AH27" s="314">
        <v>11979.06066261977</v>
      </c>
      <c r="AI27" s="314">
        <v>23107.892055517063</v>
      </c>
      <c r="AJ27" s="315">
        <v>147899.23877338</v>
      </c>
    </row>
    <row r="28" spans="1:36" x14ac:dyDescent="0.25">
      <c r="A28">
        <v>1951</v>
      </c>
      <c r="B28" s="311">
        <v>31397.317469358444</v>
      </c>
      <c r="C28" s="312">
        <v>1026.0025346279144</v>
      </c>
      <c r="D28" s="312">
        <v>39996.90576171875</v>
      </c>
      <c r="E28" s="312">
        <v>0</v>
      </c>
      <c r="F28" s="312">
        <v>15088.39638299495</v>
      </c>
      <c r="G28" s="312">
        <v>2036.5992698669434</v>
      </c>
      <c r="H28" s="312">
        <v>0</v>
      </c>
      <c r="I28" s="312">
        <v>90062.285757407546</v>
      </c>
      <c r="J28" s="312">
        <v>1843.1478631496429</v>
      </c>
      <c r="K28" s="312">
        <v>0</v>
      </c>
      <c r="L28" s="312">
        <v>16919.395514190193</v>
      </c>
      <c r="M28" s="312">
        <v>1271.371789932251</v>
      </c>
      <c r="N28" s="312">
        <v>0</v>
      </c>
      <c r="O28" s="312">
        <v>22545.062150879279</v>
      </c>
      <c r="P28" s="312">
        <v>282.93470501899719</v>
      </c>
      <c r="Q28" s="312">
        <v>10050.207042343915</v>
      </c>
      <c r="R28" s="312">
        <v>598.83215999603271</v>
      </c>
      <c r="S28" s="312">
        <v>0</v>
      </c>
      <c r="T28" s="312">
        <v>15297.760889601632</v>
      </c>
      <c r="U28" s="312">
        <v>1428.4499570913613</v>
      </c>
      <c r="V28" s="312">
        <v>0</v>
      </c>
      <c r="W28" s="312">
        <v>128899.95932574912</v>
      </c>
      <c r="X28" s="312">
        <v>5123.8288842255315</v>
      </c>
      <c r="Y28" s="312">
        <v>0</v>
      </c>
      <c r="Z28" s="312">
        <v>201529.7941827774</v>
      </c>
      <c r="AA28" s="313">
        <v>67506.005972802755</v>
      </c>
      <c r="AB28" s="314">
        <v>0</v>
      </c>
      <c r="AC28" s="314">
        <v>32423.320003986359</v>
      </c>
      <c r="AD28" s="314">
        <v>17124.995652861893</v>
      </c>
      <c r="AE28" s="314">
        <v>91905.433620557189</v>
      </c>
      <c r="AF28" s="314">
        <v>18190.767304122444</v>
      </c>
      <c r="AG28" s="314">
        <v>22827.996855898276</v>
      </c>
      <c r="AH28" s="314">
        <v>10649.039202339947</v>
      </c>
      <c r="AI28" s="314">
        <v>16726.210846692993</v>
      </c>
      <c r="AJ28" s="315">
        <v>134023.78820997465</v>
      </c>
    </row>
    <row r="29" spans="1:36" x14ac:dyDescent="0.25">
      <c r="A29">
        <v>1952</v>
      </c>
      <c r="B29" s="311">
        <v>35943.856153957546</v>
      </c>
      <c r="C29" s="312">
        <v>1026.0025346279144</v>
      </c>
      <c r="D29" s="312">
        <v>155028.49816894531</v>
      </c>
      <c r="E29" s="312">
        <v>0</v>
      </c>
      <c r="F29" s="312">
        <v>17467.8857229352</v>
      </c>
      <c r="G29" s="312">
        <v>2036.5992698669434</v>
      </c>
      <c r="H29" s="312">
        <v>0</v>
      </c>
      <c r="I29" s="312">
        <v>106960.06698708609</v>
      </c>
      <c r="J29" s="312">
        <v>2554.6039235591888</v>
      </c>
      <c r="K29" s="312">
        <v>0</v>
      </c>
      <c r="L29" s="312">
        <v>16328.205286249537</v>
      </c>
      <c r="M29" s="312">
        <v>1301.4240398406982</v>
      </c>
      <c r="N29" s="312">
        <v>0</v>
      </c>
      <c r="O29" s="312">
        <v>47462.88419009604</v>
      </c>
      <c r="P29" s="312">
        <v>518.25602221488953</v>
      </c>
      <c r="Q29" s="312">
        <v>19561.840960398316</v>
      </c>
      <c r="R29" s="312">
        <v>598.83215999603271</v>
      </c>
      <c r="S29" s="312">
        <v>0</v>
      </c>
      <c r="T29" s="312">
        <v>27353.59922587909</v>
      </c>
      <c r="U29" s="312">
        <v>1594.0267531313002</v>
      </c>
      <c r="V29" s="312">
        <v>0</v>
      </c>
      <c r="W29" s="312">
        <v>145404.9322125052</v>
      </c>
      <c r="X29" s="312">
        <v>5701.0801081098616</v>
      </c>
      <c r="Y29" s="312">
        <v>0</v>
      </c>
      <c r="Z29" s="312">
        <v>248878.65685224533</v>
      </c>
      <c r="AA29" s="313">
        <v>97772.644531630271</v>
      </c>
      <c r="AB29" s="314">
        <v>0</v>
      </c>
      <c r="AC29" s="314">
        <v>36969.85868858546</v>
      </c>
      <c r="AD29" s="314">
        <v>19504.484992802143</v>
      </c>
      <c r="AE29" s="314">
        <v>109514.67091064528</v>
      </c>
      <c r="AF29" s="314">
        <v>17629.629326090235</v>
      </c>
      <c r="AG29" s="314">
        <v>47981.140212310929</v>
      </c>
      <c r="AH29" s="314">
        <v>20160.673120394349</v>
      </c>
      <c r="AI29" s="314">
        <v>28947.62597901039</v>
      </c>
      <c r="AJ29" s="315">
        <v>151106.01232061506</v>
      </c>
    </row>
    <row r="30" spans="1:36" x14ac:dyDescent="0.25">
      <c r="A30">
        <v>1953</v>
      </c>
      <c r="B30" s="311">
        <v>32551.4857949242</v>
      </c>
      <c r="C30" s="312">
        <v>1026.0025346279144</v>
      </c>
      <c r="D30" s="312">
        <v>58468.0283203125</v>
      </c>
      <c r="E30" s="312">
        <v>0</v>
      </c>
      <c r="F30" s="312">
        <v>15702.739633738995</v>
      </c>
      <c r="G30" s="312">
        <v>2036.5992698669434</v>
      </c>
      <c r="H30" s="312">
        <v>0</v>
      </c>
      <c r="I30" s="312">
        <v>103725.82967723161</v>
      </c>
      <c r="J30" s="312">
        <v>2566.3179681301117</v>
      </c>
      <c r="K30" s="312">
        <v>0</v>
      </c>
      <c r="L30" s="312">
        <v>15818.895608104765</v>
      </c>
      <c r="M30" s="312">
        <v>1322.5819845199585</v>
      </c>
      <c r="N30" s="312">
        <v>0</v>
      </c>
      <c r="O30" s="312">
        <v>32937.018242469509</v>
      </c>
      <c r="P30" s="312">
        <v>326.69489049911499</v>
      </c>
      <c r="Q30" s="312">
        <v>11708.845556557178</v>
      </c>
      <c r="R30" s="312">
        <v>598.83215999603271</v>
      </c>
      <c r="S30" s="312">
        <v>0</v>
      </c>
      <c r="T30" s="312">
        <v>18019.518108469176</v>
      </c>
      <c r="U30" s="312">
        <v>1444.792984707281</v>
      </c>
      <c r="V30" s="312">
        <v>0</v>
      </c>
      <c r="W30" s="312">
        <v>130922.96669820293</v>
      </c>
      <c r="X30" s="312">
        <v>5716.637038756955</v>
      </c>
      <c r="Y30" s="312">
        <v>0</v>
      </c>
      <c r="Z30" s="312">
        <v>225266.81286621094</v>
      </c>
      <c r="AA30" s="313">
        <v>88627.209129251045</v>
      </c>
      <c r="AB30" s="314">
        <v>0</v>
      </c>
      <c r="AC30" s="314">
        <v>33577.488329552114</v>
      </c>
      <c r="AD30" s="314">
        <v>17739.338903605938</v>
      </c>
      <c r="AE30" s="314">
        <v>106292.14764536172</v>
      </c>
      <c r="AF30" s="314">
        <v>17141.477592624724</v>
      </c>
      <c r="AG30" s="314">
        <v>33263.713132968624</v>
      </c>
      <c r="AH30" s="314">
        <v>12307.677716553211</v>
      </c>
      <c r="AI30" s="314">
        <v>19464.311093176457</v>
      </c>
      <c r="AJ30" s="315">
        <v>136639.60373695989</v>
      </c>
    </row>
    <row r="31" spans="1:36" x14ac:dyDescent="0.25">
      <c r="A31">
        <v>1954</v>
      </c>
      <c r="B31" s="311">
        <v>32824.006477668881</v>
      </c>
      <c r="C31" s="312">
        <v>1026.0025346279144</v>
      </c>
      <c r="D31" s="312">
        <v>49191.261489868164</v>
      </c>
      <c r="E31" s="312">
        <v>0</v>
      </c>
      <c r="F31" s="312">
        <v>16567.288561552763</v>
      </c>
      <c r="G31" s="312">
        <v>2036.5992698669434</v>
      </c>
      <c r="H31" s="312">
        <v>0</v>
      </c>
      <c r="I31" s="312">
        <v>101547.74578996003</v>
      </c>
      <c r="J31" s="312">
        <v>2424.1690671443939</v>
      </c>
      <c r="K31" s="312">
        <v>0</v>
      </c>
      <c r="L31" s="312">
        <v>15727.846177928132</v>
      </c>
      <c r="M31" s="312">
        <v>1422.4178252220154</v>
      </c>
      <c r="N31" s="312">
        <v>0</v>
      </c>
      <c r="O31" s="312">
        <v>31936.325594289672</v>
      </c>
      <c r="P31" s="312">
        <v>313.34165453910828</v>
      </c>
      <c r="Q31" s="312">
        <v>9660.2490800768137</v>
      </c>
      <c r="R31" s="312">
        <v>598.83215999603271</v>
      </c>
      <c r="S31" s="312">
        <v>0</v>
      </c>
      <c r="T31" s="312">
        <v>18524.517532934995</v>
      </c>
      <c r="U31" s="312">
        <v>1427.507182598114</v>
      </c>
      <c r="V31" s="312">
        <v>0</v>
      </c>
      <c r="W31" s="312">
        <v>134729.36569738731</v>
      </c>
      <c r="X31" s="312">
        <v>5678.9337385669351</v>
      </c>
      <c r="Y31" s="312">
        <v>0</v>
      </c>
      <c r="Z31" s="312">
        <v>240840.89907646179</v>
      </c>
      <c r="AA31" s="313">
        <v>100432.59964050754</v>
      </c>
      <c r="AB31" s="314">
        <v>0</v>
      </c>
      <c r="AC31" s="314">
        <v>33850.009012296796</v>
      </c>
      <c r="AD31" s="314">
        <v>18603.887831419706</v>
      </c>
      <c r="AE31" s="314">
        <v>103971.91485710442</v>
      </c>
      <c r="AF31" s="314">
        <v>17150.264003150147</v>
      </c>
      <c r="AG31" s="314">
        <v>32249.66724882878</v>
      </c>
      <c r="AH31" s="314">
        <v>10259.081240072846</v>
      </c>
      <c r="AI31" s="314">
        <v>19952.024715533109</v>
      </c>
      <c r="AJ31" s="315">
        <v>140408.29943595425</v>
      </c>
    </row>
    <row r="32" spans="1:36" x14ac:dyDescent="0.25">
      <c r="A32">
        <v>1955</v>
      </c>
      <c r="B32" s="311">
        <v>32342.375977270305</v>
      </c>
      <c r="C32" s="312">
        <v>1026.0025346279144</v>
      </c>
      <c r="D32" s="312">
        <v>46107.563781738281</v>
      </c>
      <c r="E32" s="312">
        <v>0</v>
      </c>
      <c r="F32" s="312">
        <v>15898.799339320511</v>
      </c>
      <c r="G32" s="312">
        <v>2036.5992698669434</v>
      </c>
      <c r="H32" s="312">
        <v>0</v>
      </c>
      <c r="I32" s="312">
        <v>102773.6952781938</v>
      </c>
      <c r="J32" s="312">
        <v>2632.1887032985687</v>
      </c>
      <c r="K32" s="312">
        <v>0</v>
      </c>
      <c r="L32" s="312">
        <v>16060.473211891953</v>
      </c>
      <c r="M32" s="312">
        <v>1307.7977366447449</v>
      </c>
      <c r="N32" s="312">
        <v>0</v>
      </c>
      <c r="O32" s="312">
        <v>30005.861730037701</v>
      </c>
      <c r="P32" s="312">
        <v>313.48513579368591</v>
      </c>
      <c r="Q32" s="312">
        <v>11210.242236450315</v>
      </c>
      <c r="R32" s="312">
        <v>598.83215999603271</v>
      </c>
      <c r="S32" s="312">
        <v>0</v>
      </c>
      <c r="T32" s="312">
        <v>20425.746935859697</v>
      </c>
      <c r="U32" s="312">
        <v>1479.4955325722694</v>
      </c>
      <c r="V32" s="312">
        <v>0</v>
      </c>
      <c r="W32" s="312">
        <v>117431.23736867651</v>
      </c>
      <c r="X32" s="312">
        <v>5635.5598104481687</v>
      </c>
      <c r="Y32" s="312">
        <v>0</v>
      </c>
      <c r="Z32" s="312">
        <v>215498.89399719238</v>
      </c>
      <c r="AA32" s="313">
        <v>92432.096818067716</v>
      </c>
      <c r="AB32" s="314">
        <v>0</v>
      </c>
      <c r="AC32" s="314">
        <v>33368.37851189822</v>
      </c>
      <c r="AD32" s="314">
        <v>17935.398609187454</v>
      </c>
      <c r="AE32" s="314">
        <v>105405.88398149237</v>
      </c>
      <c r="AF32" s="314">
        <v>17368.270948536698</v>
      </c>
      <c r="AG32" s="314">
        <v>30319.346865831387</v>
      </c>
      <c r="AH32" s="314">
        <v>11809.074396446347</v>
      </c>
      <c r="AI32" s="314">
        <v>21905.242468431967</v>
      </c>
      <c r="AJ32" s="315">
        <v>123066.79717912467</v>
      </c>
    </row>
    <row r="33" spans="1:36" x14ac:dyDescent="0.25">
      <c r="A33">
        <v>1956</v>
      </c>
      <c r="B33" s="311">
        <v>32405.807645309716</v>
      </c>
      <c r="C33" s="312">
        <v>1026.0025346279144</v>
      </c>
      <c r="D33" s="312">
        <v>56676.412353515625</v>
      </c>
      <c r="E33" s="312">
        <v>0</v>
      </c>
      <c r="F33" s="312">
        <v>15621.842332586646</v>
      </c>
      <c r="G33" s="312">
        <v>2036.5992698669434</v>
      </c>
      <c r="H33" s="312">
        <v>0</v>
      </c>
      <c r="I33" s="312">
        <v>114726.01238071918</v>
      </c>
      <c r="J33" s="312">
        <v>2701.0620763301849</v>
      </c>
      <c r="K33" s="312">
        <v>0</v>
      </c>
      <c r="L33" s="312">
        <v>18232.526757344596</v>
      </c>
      <c r="M33" s="312">
        <v>1371.3970828056335</v>
      </c>
      <c r="N33" s="312">
        <v>0</v>
      </c>
      <c r="O33" s="312">
        <v>27144.276443822757</v>
      </c>
      <c r="P33" s="312">
        <v>303.62273526191711</v>
      </c>
      <c r="Q33" s="312">
        <v>11010.946844130754</v>
      </c>
      <c r="R33" s="312">
        <v>598.83215999603271</v>
      </c>
      <c r="S33" s="312">
        <v>0</v>
      </c>
      <c r="T33" s="312">
        <v>18290.563703574171</v>
      </c>
      <c r="U33" s="312">
        <v>1474.134828209877</v>
      </c>
      <c r="V33" s="312">
        <v>0</v>
      </c>
      <c r="W33" s="312">
        <v>114090.26567527994</v>
      </c>
      <c r="X33" s="312">
        <v>5542.4217932387837</v>
      </c>
      <c r="Y33" s="312">
        <v>0</v>
      </c>
      <c r="Z33" s="312">
        <v>211346.36829090118</v>
      </c>
      <c r="AA33" s="313">
        <v>91713.680822382463</v>
      </c>
      <c r="AB33" s="314">
        <v>0</v>
      </c>
      <c r="AC33" s="314">
        <v>33431.810179937631</v>
      </c>
      <c r="AD33" s="314">
        <v>17658.441602453589</v>
      </c>
      <c r="AE33" s="314">
        <v>117427.07445704937</v>
      </c>
      <c r="AF33" s="314">
        <v>19603.92384015023</v>
      </c>
      <c r="AG33" s="314">
        <v>27447.899179084674</v>
      </c>
      <c r="AH33" s="314">
        <v>11609.779004126787</v>
      </c>
      <c r="AI33" s="314">
        <v>19764.698531784048</v>
      </c>
      <c r="AJ33" s="315">
        <v>119632.68746851872</v>
      </c>
    </row>
    <row r="34" spans="1:36" x14ac:dyDescent="0.25">
      <c r="A34">
        <v>1957</v>
      </c>
      <c r="B34" s="311">
        <v>27357.338185831904</v>
      </c>
      <c r="C34" s="312">
        <v>1026.0025346279144</v>
      </c>
      <c r="D34" s="312">
        <v>157969.27038574219</v>
      </c>
      <c r="E34" s="312">
        <v>0</v>
      </c>
      <c r="F34" s="312">
        <v>13413.913911610842</v>
      </c>
      <c r="G34" s="312">
        <v>2036.5992698669434</v>
      </c>
      <c r="H34" s="312">
        <v>0</v>
      </c>
      <c r="I34" s="312">
        <v>82791.560609638691</v>
      </c>
      <c r="J34" s="312">
        <v>2515.613171339035</v>
      </c>
      <c r="K34" s="312">
        <v>0</v>
      </c>
      <c r="L34" s="312">
        <v>12869.110400743779</v>
      </c>
      <c r="M34" s="312">
        <v>1363.3774552345276</v>
      </c>
      <c r="N34" s="312">
        <v>0</v>
      </c>
      <c r="O34" s="312">
        <v>38001.08438181736</v>
      </c>
      <c r="P34" s="312">
        <v>430.12261247634888</v>
      </c>
      <c r="Q34" s="312">
        <v>19396.470980316401</v>
      </c>
      <c r="R34" s="312">
        <v>598.83215999603271</v>
      </c>
      <c r="S34" s="312">
        <v>0</v>
      </c>
      <c r="T34" s="312">
        <v>22129.144607469068</v>
      </c>
      <c r="U34" s="312">
        <v>1569.5145806670189</v>
      </c>
      <c r="V34" s="312">
        <v>0</v>
      </c>
      <c r="W34" s="312">
        <v>97710.700722340189</v>
      </c>
      <c r="X34" s="312">
        <v>5784.680172637105</v>
      </c>
      <c r="Y34" s="312">
        <v>0</v>
      </c>
      <c r="Z34" s="312">
        <v>221849.88265037537</v>
      </c>
      <c r="AA34" s="313">
        <v>118354.50175539807</v>
      </c>
      <c r="AB34" s="314">
        <v>0</v>
      </c>
      <c r="AC34" s="314">
        <v>28383.340720459819</v>
      </c>
      <c r="AD34" s="314">
        <v>15450.513181477785</v>
      </c>
      <c r="AE34" s="314">
        <v>85307.173780977726</v>
      </c>
      <c r="AF34" s="314">
        <v>14232.487855978306</v>
      </c>
      <c r="AG34" s="314">
        <v>38431.206994293709</v>
      </c>
      <c r="AH34" s="314">
        <v>19995.303140312433</v>
      </c>
      <c r="AI34" s="314">
        <v>23698.659188136087</v>
      </c>
      <c r="AJ34" s="315">
        <v>103495.38089497729</v>
      </c>
    </row>
    <row r="35" spans="1:36" x14ac:dyDescent="0.25">
      <c r="A35">
        <v>1958</v>
      </c>
      <c r="B35" s="311">
        <v>34975.945260182023</v>
      </c>
      <c r="C35" s="312">
        <v>1026.0025346279144</v>
      </c>
      <c r="D35" s="312">
        <v>114682.65545654297</v>
      </c>
      <c r="E35" s="312">
        <v>0</v>
      </c>
      <c r="F35" s="312">
        <v>17211.469055905938</v>
      </c>
      <c r="G35" s="312">
        <v>2036.5992698669434</v>
      </c>
      <c r="H35" s="312">
        <v>0</v>
      </c>
      <c r="I35" s="312">
        <v>113167.66614298522</v>
      </c>
      <c r="J35" s="312">
        <v>2474.2047364711761</v>
      </c>
      <c r="K35" s="312">
        <v>0</v>
      </c>
      <c r="L35" s="312">
        <v>18232.686761252568</v>
      </c>
      <c r="M35" s="312">
        <v>1367.6555404663086</v>
      </c>
      <c r="N35" s="312">
        <v>0</v>
      </c>
      <c r="O35" s="312">
        <v>51156.390819339533</v>
      </c>
      <c r="P35" s="312">
        <v>472.9890251159668</v>
      </c>
      <c r="Q35" s="312">
        <v>16882.486840639263</v>
      </c>
      <c r="R35" s="312">
        <v>598.83215999603271</v>
      </c>
      <c r="S35" s="312">
        <v>0</v>
      </c>
      <c r="T35" s="312">
        <v>28483.292743652688</v>
      </c>
      <c r="U35" s="312">
        <v>1573.0601358413696</v>
      </c>
      <c r="V35" s="312">
        <v>0</v>
      </c>
      <c r="W35" s="312">
        <v>154367.14215357945</v>
      </c>
      <c r="X35" s="312">
        <v>5828.4267360717058</v>
      </c>
      <c r="Y35" s="312">
        <v>0</v>
      </c>
      <c r="Z35" s="312">
        <v>221959.72789573669</v>
      </c>
      <c r="AA35" s="313">
        <v>61764.159006085538</v>
      </c>
      <c r="AB35" s="314">
        <v>0</v>
      </c>
      <c r="AC35" s="314">
        <v>36001.947794809937</v>
      </c>
      <c r="AD35" s="314">
        <v>19248.068325772882</v>
      </c>
      <c r="AE35" s="314">
        <v>115641.8708794564</v>
      </c>
      <c r="AF35" s="314">
        <v>19600.342301718876</v>
      </c>
      <c r="AG35" s="314">
        <v>51629.3798444555</v>
      </c>
      <c r="AH35" s="314">
        <v>17481.319000635296</v>
      </c>
      <c r="AI35" s="314">
        <v>30056.352879494058</v>
      </c>
      <c r="AJ35" s="315">
        <v>160195.56888965116</v>
      </c>
    </row>
    <row r="36" spans="1:36" x14ac:dyDescent="0.25">
      <c r="A36">
        <v>1959</v>
      </c>
      <c r="B36" s="311">
        <v>29126.427161946893</v>
      </c>
      <c r="C36" s="312">
        <v>1026.0025346279144</v>
      </c>
      <c r="D36" s="312">
        <v>36245.572387695313</v>
      </c>
      <c r="E36" s="312">
        <v>0</v>
      </c>
      <c r="F36" s="312">
        <v>13969.66473415494</v>
      </c>
      <c r="G36" s="312">
        <v>2036.5992698669434</v>
      </c>
      <c r="H36" s="312">
        <v>0</v>
      </c>
      <c r="I36" s="312">
        <v>102632.08080206811</v>
      </c>
      <c r="J36" s="312">
        <v>2181.3717725276947</v>
      </c>
      <c r="K36" s="312">
        <v>0</v>
      </c>
      <c r="L36" s="312">
        <v>15624.306823872028</v>
      </c>
      <c r="M36" s="312">
        <v>1175.4560527801514</v>
      </c>
      <c r="N36" s="312">
        <v>0</v>
      </c>
      <c r="O36" s="312">
        <v>21512.436892120615</v>
      </c>
      <c r="P36" s="312">
        <v>283.36485433578491</v>
      </c>
      <c r="Q36" s="312">
        <v>8141.9567873813212</v>
      </c>
      <c r="R36" s="312">
        <v>598.83215999603271</v>
      </c>
      <c r="S36" s="312">
        <v>0</v>
      </c>
      <c r="T36" s="312">
        <v>13376.539253206551</v>
      </c>
      <c r="U36" s="312">
        <v>1381.6297413706779</v>
      </c>
      <c r="V36" s="312">
        <v>0</v>
      </c>
      <c r="W36" s="312">
        <v>129094.38124749406</v>
      </c>
      <c r="X36" s="312">
        <v>5475.8954146504402</v>
      </c>
      <c r="Y36" s="312">
        <v>0</v>
      </c>
      <c r="Z36" s="312">
        <v>212893.71466958523</v>
      </c>
      <c r="AA36" s="313">
        <v>78323.438007440724</v>
      </c>
      <c r="AB36" s="314">
        <v>0</v>
      </c>
      <c r="AC36" s="314">
        <v>30152.429696574807</v>
      </c>
      <c r="AD36" s="314">
        <v>16006.264004021883</v>
      </c>
      <c r="AE36" s="314">
        <v>104813.45257459581</v>
      </c>
      <c r="AF36" s="314">
        <v>16799.762876652181</v>
      </c>
      <c r="AG36" s="314">
        <v>21795.8017464564</v>
      </c>
      <c r="AH36" s="314">
        <v>8740.7889473773539</v>
      </c>
      <c r="AI36" s="314">
        <v>14758.168994577229</v>
      </c>
      <c r="AJ36" s="315">
        <v>134570.27666214452</v>
      </c>
    </row>
    <row r="37" spans="1:36" x14ac:dyDescent="0.25">
      <c r="A37">
        <v>1960</v>
      </c>
      <c r="B37" s="311">
        <v>33759.28538697958</v>
      </c>
      <c r="C37" s="312">
        <v>1026.0025346279144</v>
      </c>
      <c r="D37" s="312">
        <v>101742.96533203125</v>
      </c>
      <c r="E37" s="312">
        <v>0</v>
      </c>
      <c r="F37" s="312">
        <v>16334.205378994346</v>
      </c>
      <c r="G37" s="312">
        <v>2036.5992698669434</v>
      </c>
      <c r="H37" s="312">
        <v>0</v>
      </c>
      <c r="I37" s="312">
        <v>108355.36908553541</v>
      </c>
      <c r="J37" s="312">
        <v>2363.5196740627289</v>
      </c>
      <c r="K37" s="312">
        <v>0</v>
      </c>
      <c r="L37" s="312">
        <v>17173.073143713173</v>
      </c>
      <c r="M37" s="312">
        <v>1379.0741891860962</v>
      </c>
      <c r="N37" s="312">
        <v>0</v>
      </c>
      <c r="O37" s="312">
        <v>35367.749925701399</v>
      </c>
      <c r="P37" s="312">
        <v>352.55170226097107</v>
      </c>
      <c r="Q37" s="312">
        <v>14600.691522046924</v>
      </c>
      <c r="R37" s="312">
        <v>598.83215999603271</v>
      </c>
      <c r="S37" s="312">
        <v>0</v>
      </c>
      <c r="T37" s="312">
        <v>26442.372104785965</v>
      </c>
      <c r="U37" s="312">
        <v>1588.210255920887</v>
      </c>
      <c r="V37" s="312">
        <v>0</v>
      </c>
      <c r="W37" s="312">
        <v>148230.53396255121</v>
      </c>
      <c r="X37" s="312">
        <v>5443.4723812458151</v>
      </c>
      <c r="Y37" s="312">
        <v>0</v>
      </c>
      <c r="Z37" s="312">
        <v>216480.86566162109</v>
      </c>
      <c r="AA37" s="313">
        <v>62806.859317824063</v>
      </c>
      <c r="AB37" s="314">
        <v>0</v>
      </c>
      <c r="AC37" s="314">
        <v>34785.287921607494</v>
      </c>
      <c r="AD37" s="314">
        <v>18370.804648861289</v>
      </c>
      <c r="AE37" s="314">
        <v>110718.88875959814</v>
      </c>
      <c r="AF37" s="314">
        <v>18552.147332899269</v>
      </c>
      <c r="AG37" s="314">
        <v>35720.30162796237</v>
      </c>
      <c r="AH37" s="314">
        <v>15199.523682042956</v>
      </c>
      <c r="AI37" s="314">
        <v>28030.582360706852</v>
      </c>
      <c r="AJ37" s="315">
        <v>153674.00634379702</v>
      </c>
    </row>
    <row r="38" spans="1:36" x14ac:dyDescent="0.25">
      <c r="A38">
        <v>1961</v>
      </c>
      <c r="B38" s="311">
        <v>30749.347981505096</v>
      </c>
      <c r="C38" s="312">
        <v>1026.0025346279144</v>
      </c>
      <c r="D38" s="312">
        <v>71889.613693237305</v>
      </c>
      <c r="E38" s="312">
        <v>0</v>
      </c>
      <c r="F38" s="312">
        <v>15128.98440952599</v>
      </c>
      <c r="G38" s="312">
        <v>2036.5992698669434</v>
      </c>
      <c r="H38" s="312">
        <v>0</v>
      </c>
      <c r="I38" s="312">
        <v>101581.21374835074</v>
      </c>
      <c r="J38" s="312">
        <v>2483.8496205806732</v>
      </c>
      <c r="K38" s="312">
        <v>0</v>
      </c>
      <c r="L38" s="312">
        <v>15770.750673763454</v>
      </c>
      <c r="M38" s="312">
        <v>1380.1715097427368</v>
      </c>
      <c r="N38" s="312">
        <v>0</v>
      </c>
      <c r="O38" s="312">
        <v>32640.176850123778</v>
      </c>
      <c r="P38" s="312">
        <v>293.17856025695801</v>
      </c>
      <c r="Q38" s="312">
        <v>15644.20481492579</v>
      </c>
      <c r="R38" s="312">
        <v>598.83215999603271</v>
      </c>
      <c r="S38" s="312">
        <v>0</v>
      </c>
      <c r="T38" s="312">
        <v>23259.681597694384</v>
      </c>
      <c r="U38" s="312">
        <v>1513.8165047168732</v>
      </c>
      <c r="V38" s="312">
        <v>0</v>
      </c>
      <c r="W38" s="312">
        <v>135370.83012341306</v>
      </c>
      <c r="X38" s="312">
        <v>5401.3159805538853</v>
      </c>
      <c r="Y38" s="312">
        <v>0</v>
      </c>
      <c r="Z38" s="312">
        <v>255672.63536930084</v>
      </c>
      <c r="AA38" s="313">
        <v>114900.48926533389</v>
      </c>
      <c r="AB38" s="314">
        <v>0</v>
      </c>
      <c r="AC38" s="314">
        <v>31775.35051613301</v>
      </c>
      <c r="AD38" s="314">
        <v>17165.583679392934</v>
      </c>
      <c r="AE38" s="314">
        <v>104065.06336893141</v>
      </c>
      <c r="AF38" s="314">
        <v>17150.922183506191</v>
      </c>
      <c r="AG38" s="314">
        <v>32933.35541038074</v>
      </c>
      <c r="AH38" s="314">
        <v>16243.036974921823</v>
      </c>
      <c r="AI38" s="314">
        <v>24773.498102411257</v>
      </c>
      <c r="AJ38" s="315">
        <v>140772.14610396695</v>
      </c>
    </row>
    <row r="39" spans="1:36" x14ac:dyDescent="0.25">
      <c r="A39">
        <v>1962</v>
      </c>
      <c r="B39" s="311">
        <v>33842.050223484635</v>
      </c>
      <c r="C39" s="312">
        <v>1026.0025346279144</v>
      </c>
      <c r="D39" s="312">
        <v>96137.953765869141</v>
      </c>
      <c r="E39" s="312">
        <v>0</v>
      </c>
      <c r="F39" s="312">
        <v>16666.76443195343</v>
      </c>
      <c r="G39" s="312">
        <v>2036.5992698669434</v>
      </c>
      <c r="H39" s="312">
        <v>0</v>
      </c>
      <c r="I39" s="312">
        <v>109661.43880003691</v>
      </c>
      <c r="J39" s="312">
        <v>2259.530088186264</v>
      </c>
      <c r="K39" s="312">
        <v>0</v>
      </c>
      <c r="L39" s="312">
        <v>17026.678660467267</v>
      </c>
      <c r="M39" s="312">
        <v>1385.7694554328918</v>
      </c>
      <c r="N39" s="312">
        <v>0</v>
      </c>
      <c r="O39" s="312">
        <v>34110.4794750125</v>
      </c>
      <c r="P39" s="312">
        <v>339.00571370124817</v>
      </c>
      <c r="Q39" s="312">
        <v>14265.200619138777</v>
      </c>
      <c r="R39" s="312">
        <v>598.83215999603271</v>
      </c>
      <c r="S39" s="312">
        <v>0</v>
      </c>
      <c r="T39" s="312">
        <v>25192.583299323545</v>
      </c>
      <c r="U39" s="312">
        <v>1556.220622241497</v>
      </c>
      <c r="V39" s="312">
        <v>0</v>
      </c>
      <c r="W39" s="312">
        <v>137692.85538301215</v>
      </c>
      <c r="X39" s="312">
        <v>5449.6475036814809</v>
      </c>
      <c r="Y39" s="312">
        <v>0</v>
      </c>
      <c r="Z39" s="312">
        <v>210731.67543363571</v>
      </c>
      <c r="AA39" s="313">
        <v>67589.172546942078</v>
      </c>
      <c r="AB39" s="314">
        <v>0</v>
      </c>
      <c r="AC39" s="314">
        <v>34868.05275811255</v>
      </c>
      <c r="AD39" s="314">
        <v>18703.363701820374</v>
      </c>
      <c r="AE39" s="314">
        <v>111920.96888822317</v>
      </c>
      <c r="AF39" s="314">
        <v>18412.448115900159</v>
      </c>
      <c r="AG39" s="314">
        <v>34449.485188713748</v>
      </c>
      <c r="AH39" s="314">
        <v>14864.03277913481</v>
      </c>
      <c r="AI39" s="314">
        <v>26748.803921565042</v>
      </c>
      <c r="AJ39" s="315">
        <v>143142.50288669363</v>
      </c>
    </row>
    <row r="40" spans="1:36" x14ac:dyDescent="0.25">
      <c r="A40">
        <v>1963</v>
      </c>
      <c r="B40" s="311">
        <v>31530.187563896179</v>
      </c>
      <c r="C40" s="312">
        <v>1026.0025346279144</v>
      </c>
      <c r="D40" s="312">
        <v>42910.715103149414</v>
      </c>
      <c r="E40" s="312">
        <v>0</v>
      </c>
      <c r="F40" s="312">
        <v>15815.032400101423</v>
      </c>
      <c r="G40" s="312">
        <v>2036.5992698669434</v>
      </c>
      <c r="H40" s="312">
        <v>0</v>
      </c>
      <c r="I40" s="312">
        <v>102056.82483176701</v>
      </c>
      <c r="J40" s="312">
        <v>2370.7293241024017</v>
      </c>
      <c r="K40" s="312">
        <v>0</v>
      </c>
      <c r="L40" s="312">
        <v>16197.153622806076</v>
      </c>
      <c r="M40" s="312">
        <v>1360.4503207206726</v>
      </c>
      <c r="N40" s="312">
        <v>0</v>
      </c>
      <c r="O40" s="312">
        <v>27349.719536131695</v>
      </c>
      <c r="P40" s="312">
        <v>297.23484969139099</v>
      </c>
      <c r="Q40" s="312">
        <v>11039.338425010443</v>
      </c>
      <c r="R40" s="312">
        <v>598.83215999603271</v>
      </c>
      <c r="S40" s="312">
        <v>0</v>
      </c>
      <c r="T40" s="312">
        <v>18498.474949396776</v>
      </c>
      <c r="U40" s="312">
        <v>1436.0682723747002</v>
      </c>
      <c r="V40" s="312">
        <v>0</v>
      </c>
      <c r="W40" s="312">
        <v>133169.66434032813</v>
      </c>
      <c r="X40" s="312">
        <v>5403.6943594208051</v>
      </c>
      <c r="Y40" s="312">
        <v>0</v>
      </c>
      <c r="Z40" s="312">
        <v>206590.76850557327</v>
      </c>
      <c r="AA40" s="313">
        <v>68017.40980582434</v>
      </c>
      <c r="AB40" s="314">
        <v>0</v>
      </c>
      <c r="AC40" s="314">
        <v>32556.190098524094</v>
      </c>
      <c r="AD40" s="314">
        <v>17851.631669968367</v>
      </c>
      <c r="AE40" s="314">
        <v>104427.55415586941</v>
      </c>
      <c r="AF40" s="314">
        <v>17557.603943526748</v>
      </c>
      <c r="AG40" s="314">
        <v>27646.954385823086</v>
      </c>
      <c r="AH40" s="314">
        <v>11638.170585006475</v>
      </c>
      <c r="AI40" s="314">
        <v>19934.543221771477</v>
      </c>
      <c r="AJ40" s="315">
        <v>138573.35869974893</v>
      </c>
    </row>
    <row r="41" spans="1:36" x14ac:dyDescent="0.25">
      <c r="A41">
        <v>1964</v>
      </c>
      <c r="B41" s="311">
        <v>34959.862106569111</v>
      </c>
      <c r="C41" s="312">
        <v>1026.0025346279144</v>
      </c>
      <c r="D41" s="312">
        <v>54616.380432128906</v>
      </c>
      <c r="E41" s="312">
        <v>0</v>
      </c>
      <c r="F41" s="312">
        <v>15979.494484096766</v>
      </c>
      <c r="G41" s="312">
        <v>2036.5992698669434</v>
      </c>
      <c r="H41" s="312">
        <v>0</v>
      </c>
      <c r="I41" s="312">
        <v>103000.88325978816</v>
      </c>
      <c r="J41" s="312">
        <v>2202.0653455257416</v>
      </c>
      <c r="K41" s="312">
        <v>0</v>
      </c>
      <c r="L41" s="312">
        <v>17126.579574741412</v>
      </c>
      <c r="M41" s="312">
        <v>1326.5622525215149</v>
      </c>
      <c r="N41" s="312">
        <v>0</v>
      </c>
      <c r="O41" s="312">
        <v>24091.023422099803</v>
      </c>
      <c r="P41" s="312">
        <v>267.43048429489136</v>
      </c>
      <c r="Q41" s="312">
        <v>13347.473749727011</v>
      </c>
      <c r="R41" s="312">
        <v>598.83215999603271</v>
      </c>
      <c r="S41" s="312">
        <v>0</v>
      </c>
      <c r="T41" s="312">
        <v>21625.013426214085</v>
      </c>
      <c r="U41" s="312">
        <v>1458.0702669894854</v>
      </c>
      <c r="V41" s="312">
        <v>0</v>
      </c>
      <c r="W41" s="312">
        <v>111098.35056470676</v>
      </c>
      <c r="X41" s="312">
        <v>5242.9200390612359</v>
      </c>
      <c r="Y41" s="312">
        <v>0</v>
      </c>
      <c r="Z41" s="312">
        <v>206358.84523962438</v>
      </c>
      <c r="AA41" s="313">
        <v>90017.574635856377</v>
      </c>
      <c r="AB41" s="314">
        <v>0</v>
      </c>
      <c r="AC41" s="314">
        <v>35985.864641197026</v>
      </c>
      <c r="AD41" s="314">
        <v>18016.093753963709</v>
      </c>
      <c r="AE41" s="314">
        <v>105202.9486053139</v>
      </c>
      <c r="AF41" s="314">
        <v>18453.141827262927</v>
      </c>
      <c r="AG41" s="314">
        <v>24358.453906394694</v>
      </c>
      <c r="AH41" s="314">
        <v>13946.305909723043</v>
      </c>
      <c r="AI41" s="314">
        <v>23083.083693203571</v>
      </c>
      <c r="AJ41" s="315">
        <v>116341.270603768</v>
      </c>
    </row>
    <row r="42" spans="1:36" x14ac:dyDescent="0.25">
      <c r="A42">
        <v>1965</v>
      </c>
      <c r="B42" s="311">
        <v>35846.488690197468</v>
      </c>
      <c r="C42" s="312">
        <v>1026.0025346279144</v>
      </c>
      <c r="D42" s="312">
        <v>143532.74061584473</v>
      </c>
      <c r="E42" s="312">
        <v>0</v>
      </c>
      <c r="F42" s="312">
        <v>14952.056076958776</v>
      </c>
      <c r="G42" s="312">
        <v>2036.5992698669434</v>
      </c>
      <c r="H42" s="312">
        <v>0</v>
      </c>
      <c r="I42" s="312">
        <v>103114.07918465137</v>
      </c>
      <c r="J42" s="312">
        <v>2648.6520230770111</v>
      </c>
      <c r="K42" s="312">
        <v>0</v>
      </c>
      <c r="L42" s="312">
        <v>15211.897103108458</v>
      </c>
      <c r="M42" s="312">
        <v>1344.3224596977234</v>
      </c>
      <c r="N42" s="312">
        <v>0</v>
      </c>
      <c r="O42" s="312">
        <v>41241.056261251601</v>
      </c>
      <c r="P42" s="312">
        <v>318.11277675628662</v>
      </c>
      <c r="Q42" s="312">
        <v>20051.339646920562</v>
      </c>
      <c r="R42" s="312">
        <v>598.83215999603271</v>
      </c>
      <c r="S42" s="312">
        <v>0</v>
      </c>
      <c r="T42" s="312">
        <v>24235.249196380006</v>
      </c>
      <c r="U42" s="312">
        <v>1576.0339366197586</v>
      </c>
      <c r="V42" s="312">
        <v>0</v>
      </c>
      <c r="W42" s="312">
        <v>104997.31663843959</v>
      </c>
      <c r="X42" s="312">
        <v>5748.5890097618103</v>
      </c>
      <c r="Y42" s="312">
        <v>0</v>
      </c>
      <c r="Z42" s="312">
        <v>240105.43230438232</v>
      </c>
      <c r="AA42" s="313">
        <v>129359.52665618091</v>
      </c>
      <c r="AB42" s="314">
        <v>0</v>
      </c>
      <c r="AC42" s="314">
        <v>36872.491224825382</v>
      </c>
      <c r="AD42" s="314">
        <v>16988.655346825719</v>
      </c>
      <c r="AE42" s="314">
        <v>105762.73120772839</v>
      </c>
      <c r="AF42" s="314">
        <v>16556.219562806182</v>
      </c>
      <c r="AG42" s="314">
        <v>41559.169038007887</v>
      </c>
      <c r="AH42" s="314">
        <v>20650.171806916595</v>
      </c>
      <c r="AI42" s="314">
        <v>25811.283132999764</v>
      </c>
      <c r="AJ42" s="315">
        <v>110745.9056482014</v>
      </c>
    </row>
    <row r="43" spans="1:36" x14ac:dyDescent="0.25">
      <c r="A43">
        <v>1966</v>
      </c>
      <c r="B43" s="311">
        <v>37568.75128698349</v>
      </c>
      <c r="C43" s="312">
        <v>1026.0025346279144</v>
      </c>
      <c r="D43" s="312">
        <v>87768.272521972656</v>
      </c>
      <c r="E43" s="312">
        <v>0</v>
      </c>
      <c r="F43" s="312">
        <v>17362.744509041309</v>
      </c>
      <c r="G43" s="312">
        <v>2036.5992698669434</v>
      </c>
      <c r="H43" s="312">
        <v>0</v>
      </c>
      <c r="I43" s="312">
        <v>113649.84353904799</v>
      </c>
      <c r="J43" s="312">
        <v>2653.3912599086761</v>
      </c>
      <c r="K43" s="312">
        <v>0</v>
      </c>
      <c r="L43" s="312">
        <v>17675.571376651522</v>
      </c>
      <c r="M43" s="312">
        <v>1392.3019318580627</v>
      </c>
      <c r="N43" s="312">
        <v>0</v>
      </c>
      <c r="O43" s="312">
        <v>42446.593457879055</v>
      </c>
      <c r="P43" s="312">
        <v>375.74047517776489</v>
      </c>
      <c r="Q43" s="312">
        <v>14722.323054287583</v>
      </c>
      <c r="R43" s="312">
        <v>598.83215999603271</v>
      </c>
      <c r="S43" s="312">
        <v>0</v>
      </c>
      <c r="T43" s="312">
        <v>24696.942460611092</v>
      </c>
      <c r="U43" s="312">
        <v>1515.8528835873985</v>
      </c>
      <c r="V43" s="312">
        <v>0</v>
      </c>
      <c r="W43" s="312">
        <v>150470.49067461834</v>
      </c>
      <c r="X43" s="312">
        <v>5631.5411239029872</v>
      </c>
      <c r="Y43" s="312">
        <v>0</v>
      </c>
      <c r="Z43" s="312">
        <v>192137.37558543682</v>
      </c>
      <c r="AA43" s="313">
        <v>36035.343786915495</v>
      </c>
      <c r="AB43" s="314">
        <v>0</v>
      </c>
      <c r="AC43" s="314">
        <v>38594.753821611404</v>
      </c>
      <c r="AD43" s="314">
        <v>19399.343778908253</v>
      </c>
      <c r="AE43" s="314">
        <v>116303.23479895666</v>
      </c>
      <c r="AF43" s="314">
        <v>19067.873308509585</v>
      </c>
      <c r="AG43" s="314">
        <v>42822.33393305682</v>
      </c>
      <c r="AH43" s="314">
        <v>15321.155214283615</v>
      </c>
      <c r="AI43" s="314">
        <v>26212.79534419849</v>
      </c>
      <c r="AJ43" s="315">
        <v>156102.03179852132</v>
      </c>
    </row>
    <row r="44" spans="1:36" x14ac:dyDescent="0.25">
      <c r="A44">
        <v>1967</v>
      </c>
      <c r="B44" s="311">
        <v>31687.223015204072</v>
      </c>
      <c r="C44" s="312">
        <v>1026.0025346279144</v>
      </c>
      <c r="D44" s="312">
        <v>66750.247802734375</v>
      </c>
      <c r="E44" s="312">
        <v>0</v>
      </c>
      <c r="F44" s="312">
        <v>14525.841252490878</v>
      </c>
      <c r="G44" s="312">
        <v>2036.5992698669434</v>
      </c>
      <c r="H44" s="312">
        <v>0</v>
      </c>
      <c r="I44" s="312">
        <v>101892.96390044689</v>
      </c>
      <c r="J44" s="312">
        <v>2455.6116483211517</v>
      </c>
      <c r="K44" s="312">
        <v>0</v>
      </c>
      <c r="L44" s="312">
        <v>16180.664101675149</v>
      </c>
      <c r="M44" s="312">
        <v>1334.5336737632751</v>
      </c>
      <c r="N44" s="312">
        <v>0</v>
      </c>
      <c r="O44" s="312">
        <v>32428.521810239625</v>
      </c>
      <c r="P44" s="312">
        <v>279.71633386611938</v>
      </c>
      <c r="Q44" s="312">
        <v>12217.200193241239</v>
      </c>
      <c r="R44" s="312">
        <v>598.83215999603271</v>
      </c>
      <c r="S44" s="312">
        <v>0</v>
      </c>
      <c r="T44" s="312">
        <v>18892.181306639315</v>
      </c>
      <c r="U44" s="312">
        <v>1421.7917159795761</v>
      </c>
      <c r="V44" s="312">
        <v>0</v>
      </c>
      <c r="W44" s="312">
        <v>124389.34408653124</v>
      </c>
      <c r="X44" s="312">
        <v>5359.1497383802935</v>
      </c>
      <c r="Y44" s="312">
        <v>0</v>
      </c>
      <c r="Z44" s="312">
        <v>215328.78787088394</v>
      </c>
      <c r="AA44" s="313">
        <v>85580.294045972405</v>
      </c>
      <c r="AB44" s="314">
        <v>0</v>
      </c>
      <c r="AC44" s="314">
        <v>32713.225549831986</v>
      </c>
      <c r="AD44" s="314">
        <v>16562.440522357821</v>
      </c>
      <c r="AE44" s="314">
        <v>104348.57554876804</v>
      </c>
      <c r="AF44" s="314">
        <v>17515.197775438424</v>
      </c>
      <c r="AG44" s="314">
        <v>32708.238144105744</v>
      </c>
      <c r="AH44" s="314">
        <v>12816.032353237271</v>
      </c>
      <c r="AI44" s="314">
        <v>20313.973022618891</v>
      </c>
      <c r="AJ44" s="315">
        <v>129748.49382491154</v>
      </c>
    </row>
    <row r="45" spans="1:36" x14ac:dyDescent="0.25">
      <c r="A45">
        <v>1968</v>
      </c>
      <c r="B45" s="311">
        <v>34560.841717749834</v>
      </c>
      <c r="C45" s="312">
        <v>1026.0025346279144</v>
      </c>
      <c r="D45" s="312">
        <v>84623.095092773438</v>
      </c>
      <c r="E45" s="312">
        <v>0</v>
      </c>
      <c r="F45" s="312">
        <v>16135.560477878898</v>
      </c>
      <c r="G45" s="312">
        <v>2036.5992698669434</v>
      </c>
      <c r="H45" s="312">
        <v>0</v>
      </c>
      <c r="I45" s="312">
        <v>106987.95010814071</v>
      </c>
      <c r="J45" s="312">
        <v>2529.4488332271576</v>
      </c>
      <c r="K45" s="312">
        <v>0</v>
      </c>
      <c r="L45" s="312">
        <v>17222.235710874185</v>
      </c>
      <c r="M45" s="312">
        <v>1281.8706030845642</v>
      </c>
      <c r="N45" s="312">
        <v>0</v>
      </c>
      <c r="O45" s="312">
        <v>35978.223377479691</v>
      </c>
      <c r="P45" s="312">
        <v>282.12049269676208</v>
      </c>
      <c r="Q45" s="312">
        <v>18313.488672539592</v>
      </c>
      <c r="R45" s="312">
        <v>598.83215999603271</v>
      </c>
      <c r="S45" s="312">
        <v>0</v>
      </c>
      <c r="T45" s="312">
        <v>27008.783729239927</v>
      </c>
      <c r="U45" s="312">
        <v>1578.910937012638</v>
      </c>
      <c r="V45" s="312">
        <v>0</v>
      </c>
      <c r="W45" s="312">
        <v>122032.46293586835</v>
      </c>
      <c r="X45" s="312">
        <v>5410.0378453359008</v>
      </c>
      <c r="Y45" s="312">
        <v>0</v>
      </c>
      <c r="Z45" s="312">
        <v>226500.1316202879</v>
      </c>
      <c r="AA45" s="313">
        <v>99057.630839083649</v>
      </c>
      <c r="AB45" s="314">
        <v>0</v>
      </c>
      <c r="AC45" s="314">
        <v>35586.844252377748</v>
      </c>
      <c r="AD45" s="314">
        <v>18172.159747745842</v>
      </c>
      <c r="AE45" s="314">
        <v>109517.39894136786</v>
      </c>
      <c r="AF45" s="314">
        <v>18504.10631395875</v>
      </c>
      <c r="AG45" s="314">
        <v>36260.343870176453</v>
      </c>
      <c r="AH45" s="314">
        <v>18912.320832535625</v>
      </c>
      <c r="AI45" s="314">
        <v>28587.694666252566</v>
      </c>
      <c r="AJ45" s="315">
        <v>127442.50078120425</v>
      </c>
    </row>
    <row r="46" spans="1:36" x14ac:dyDescent="0.25">
      <c r="A46">
        <v>1969</v>
      </c>
      <c r="B46" s="311">
        <v>29870.960145168006</v>
      </c>
      <c r="C46" s="312">
        <v>1026.0025346279144</v>
      </c>
      <c r="D46" s="312">
        <v>117387.23657226563</v>
      </c>
      <c r="E46" s="312">
        <v>0</v>
      </c>
      <c r="F46" s="312">
        <v>14800.226827248931</v>
      </c>
      <c r="G46" s="312">
        <v>2036.5992698669434</v>
      </c>
      <c r="H46" s="312">
        <v>0</v>
      </c>
      <c r="I46" s="312">
        <v>95237.421062856913</v>
      </c>
      <c r="J46" s="312">
        <v>2397.3189542293549</v>
      </c>
      <c r="K46" s="312">
        <v>0</v>
      </c>
      <c r="L46" s="312">
        <v>15744.678675718611</v>
      </c>
      <c r="M46" s="312">
        <v>1368.1098251342773</v>
      </c>
      <c r="N46" s="312">
        <v>0</v>
      </c>
      <c r="O46" s="312">
        <v>43538.423692292054</v>
      </c>
      <c r="P46" s="312">
        <v>367.20778131484985</v>
      </c>
      <c r="Q46" s="312">
        <v>19674.585597217083</v>
      </c>
      <c r="R46" s="312">
        <v>598.83215999603271</v>
      </c>
      <c r="S46" s="312">
        <v>0</v>
      </c>
      <c r="T46" s="312">
        <v>27681.552842646466</v>
      </c>
      <c r="U46" s="312">
        <v>1581.8637102842331</v>
      </c>
      <c r="V46" s="312">
        <v>0</v>
      </c>
      <c r="W46" s="312">
        <v>133181.57528177247</v>
      </c>
      <c r="X46" s="312">
        <v>5591.2270271853195</v>
      </c>
      <c r="Y46" s="312">
        <v>0</v>
      </c>
      <c r="Z46" s="312">
        <v>256162.06614875793</v>
      </c>
      <c r="AA46" s="313">
        <v>117389.26383980014</v>
      </c>
      <c r="AB46" s="314">
        <v>0</v>
      </c>
      <c r="AC46" s="314">
        <v>30896.962679795921</v>
      </c>
      <c r="AD46" s="314">
        <v>16836.826097115874</v>
      </c>
      <c r="AE46" s="314">
        <v>97634.740017086267</v>
      </c>
      <c r="AF46" s="314">
        <v>17112.78850085289</v>
      </c>
      <c r="AG46" s="314">
        <v>43905.631473606903</v>
      </c>
      <c r="AH46" s="314">
        <v>20273.417757213116</v>
      </c>
      <c r="AI46" s="314">
        <v>29263.416552930699</v>
      </c>
      <c r="AJ46" s="315">
        <v>138772.80230895779</v>
      </c>
    </row>
    <row r="47" spans="1:36" x14ac:dyDescent="0.25">
      <c r="A47">
        <v>1970</v>
      </c>
      <c r="B47" s="311">
        <v>28152.061004668474</v>
      </c>
      <c r="C47" s="312">
        <v>1026.0025346279144</v>
      </c>
      <c r="D47" s="312">
        <v>80171.122483491898</v>
      </c>
      <c r="E47" s="312">
        <v>0</v>
      </c>
      <c r="F47" s="312">
        <v>13909.451530009508</v>
      </c>
      <c r="G47" s="312">
        <v>2036.5992698669434</v>
      </c>
      <c r="H47" s="312">
        <v>0</v>
      </c>
      <c r="I47" s="312">
        <v>101896.72399277985</v>
      </c>
      <c r="J47" s="312">
        <v>2436.685024023056</v>
      </c>
      <c r="K47" s="312">
        <v>0</v>
      </c>
      <c r="L47" s="312">
        <v>15751.293638393287</v>
      </c>
      <c r="M47" s="312">
        <v>1376.2565293312073</v>
      </c>
      <c r="N47" s="312">
        <v>0</v>
      </c>
      <c r="O47" s="312">
        <v>44226.549510678728</v>
      </c>
      <c r="P47" s="312">
        <v>329.66480350494385</v>
      </c>
      <c r="Q47" s="312">
        <v>15503.716050311923</v>
      </c>
      <c r="R47" s="312">
        <v>598.83215999603271</v>
      </c>
      <c r="S47" s="312">
        <v>0</v>
      </c>
      <c r="T47" s="312">
        <v>26772.302173368262</v>
      </c>
      <c r="U47" s="312">
        <v>1453.3174948692322</v>
      </c>
      <c r="V47" s="312">
        <v>0</v>
      </c>
      <c r="W47" s="312">
        <v>124886.67521046444</v>
      </c>
      <c r="X47" s="312">
        <v>5569.2497825026512</v>
      </c>
      <c r="Y47" s="312">
        <v>0</v>
      </c>
      <c r="Z47" s="312">
        <v>206200.7319226265</v>
      </c>
      <c r="AA47" s="313">
        <v>75744.806929659404</v>
      </c>
      <c r="AB47" s="314">
        <v>0</v>
      </c>
      <c r="AC47" s="314">
        <v>29178.063539296389</v>
      </c>
      <c r="AD47" s="314">
        <v>15946.050799876451</v>
      </c>
      <c r="AE47" s="314">
        <v>104333.40901680291</v>
      </c>
      <c r="AF47" s="314">
        <v>17127.550167724494</v>
      </c>
      <c r="AG47" s="314">
        <v>44556.214314183671</v>
      </c>
      <c r="AH47" s="314">
        <v>16102.548210307956</v>
      </c>
      <c r="AI47" s="314">
        <v>28225.619668237494</v>
      </c>
      <c r="AJ47" s="315">
        <v>130455.92499296709</v>
      </c>
    </row>
    <row r="48" spans="1:36" x14ac:dyDescent="0.25">
      <c r="A48">
        <v>1971</v>
      </c>
      <c r="B48" s="311">
        <v>29968.270899653435</v>
      </c>
      <c r="C48" s="312">
        <v>1026.0025346279144</v>
      </c>
      <c r="D48" s="312">
        <v>45783.0703125</v>
      </c>
      <c r="E48" s="312">
        <v>0</v>
      </c>
      <c r="F48" s="312">
        <v>14750.519942641258</v>
      </c>
      <c r="G48" s="312">
        <v>2036.5992698669434</v>
      </c>
      <c r="H48" s="312">
        <v>0</v>
      </c>
      <c r="I48" s="312">
        <v>102898.13907066733</v>
      </c>
      <c r="J48" s="312">
        <v>2294.8896367549896</v>
      </c>
      <c r="K48" s="312">
        <v>0</v>
      </c>
      <c r="L48" s="312">
        <v>16144.195183590044</v>
      </c>
      <c r="M48" s="312">
        <v>1331.7065773010254</v>
      </c>
      <c r="N48" s="312">
        <v>0</v>
      </c>
      <c r="O48" s="312">
        <v>34386.770392640014</v>
      </c>
      <c r="P48" s="312">
        <v>303.36001968383789</v>
      </c>
      <c r="Q48" s="312">
        <v>13889.142258904874</v>
      </c>
      <c r="R48" s="312">
        <v>598.83215999603271</v>
      </c>
      <c r="S48" s="312">
        <v>0</v>
      </c>
      <c r="T48" s="312">
        <v>25320.811310134457</v>
      </c>
      <c r="U48" s="312">
        <v>1519.2572796621148</v>
      </c>
      <c r="V48" s="312">
        <v>0</v>
      </c>
      <c r="W48" s="312">
        <v>125327.73513400897</v>
      </c>
      <c r="X48" s="312">
        <v>5842.043161115761</v>
      </c>
      <c r="Y48" s="312">
        <v>0</v>
      </c>
      <c r="Z48" s="312">
        <v>207111.20185446739</v>
      </c>
      <c r="AA48" s="313">
        <v>75941.423559342671</v>
      </c>
      <c r="AB48" s="314">
        <v>0</v>
      </c>
      <c r="AC48" s="314">
        <v>30994.273434281349</v>
      </c>
      <c r="AD48" s="314">
        <v>16787.119212508202</v>
      </c>
      <c r="AE48" s="314">
        <v>105193.02870742232</v>
      </c>
      <c r="AF48" s="314">
        <v>17475.901760891069</v>
      </c>
      <c r="AG48" s="314">
        <v>34690.130412323851</v>
      </c>
      <c r="AH48" s="314">
        <v>14487.974418900907</v>
      </c>
      <c r="AI48" s="314">
        <v>26840.06858979657</v>
      </c>
      <c r="AJ48" s="315">
        <v>131169.77829512474</v>
      </c>
    </row>
    <row r="49" spans="1:36" x14ac:dyDescent="0.25">
      <c r="A49">
        <v>1972</v>
      </c>
      <c r="B49" s="311">
        <v>28959.136633958668</v>
      </c>
      <c r="C49" s="312">
        <v>1026.0025346279144</v>
      </c>
      <c r="D49" s="312">
        <v>47512.08748626709</v>
      </c>
      <c r="E49" s="312">
        <v>0</v>
      </c>
      <c r="F49" s="312">
        <v>14524.992597967386</v>
      </c>
      <c r="G49" s="312">
        <v>2036.5992698669434</v>
      </c>
      <c r="H49" s="312">
        <v>0</v>
      </c>
      <c r="I49" s="312">
        <v>103085.1865092814</v>
      </c>
      <c r="J49" s="312">
        <v>2154.4930741786957</v>
      </c>
      <c r="K49" s="312">
        <v>0</v>
      </c>
      <c r="L49" s="312">
        <v>17311.585790008307</v>
      </c>
      <c r="M49" s="312">
        <v>1347.1212892532349</v>
      </c>
      <c r="N49" s="312">
        <v>0</v>
      </c>
      <c r="O49" s="312">
        <v>26104.948731450811</v>
      </c>
      <c r="P49" s="312">
        <v>291.31498432159424</v>
      </c>
      <c r="Q49" s="312">
        <v>10668.882056046277</v>
      </c>
      <c r="R49" s="312">
        <v>598.83215999603271</v>
      </c>
      <c r="S49" s="312">
        <v>0</v>
      </c>
      <c r="T49" s="312">
        <v>16526.373257077859</v>
      </c>
      <c r="U49" s="312">
        <v>1375.1648360490799</v>
      </c>
      <c r="V49" s="312">
        <v>0</v>
      </c>
      <c r="W49" s="312">
        <v>140406.56675468729</v>
      </c>
      <c r="X49" s="312">
        <v>5366.0709318489935</v>
      </c>
      <c r="Y49" s="312">
        <v>0</v>
      </c>
      <c r="Z49" s="312">
        <v>203495.78237521648</v>
      </c>
      <c r="AA49" s="313">
        <v>57723.1446886802</v>
      </c>
      <c r="AB49" s="314">
        <v>0</v>
      </c>
      <c r="AC49" s="314">
        <v>29985.139168586582</v>
      </c>
      <c r="AD49" s="314">
        <v>16561.59186783433</v>
      </c>
      <c r="AE49" s="314">
        <v>105239.67958346009</v>
      </c>
      <c r="AF49" s="314">
        <v>18658.707079261541</v>
      </c>
      <c r="AG49" s="314">
        <v>26396.263715772406</v>
      </c>
      <c r="AH49" s="314">
        <v>11267.71421604231</v>
      </c>
      <c r="AI49" s="314">
        <v>17901.538093126939</v>
      </c>
      <c r="AJ49" s="315">
        <v>145772.63768653627</v>
      </c>
    </row>
    <row r="50" spans="1:36" x14ac:dyDescent="0.25">
      <c r="A50">
        <v>1973</v>
      </c>
      <c r="B50" s="311">
        <v>32108.014996483922</v>
      </c>
      <c r="C50" s="312">
        <v>1026.0025346279144</v>
      </c>
      <c r="D50" s="312">
        <v>150796.97979736328</v>
      </c>
      <c r="E50" s="312">
        <v>0</v>
      </c>
      <c r="F50" s="312">
        <v>15736.575765907764</v>
      </c>
      <c r="G50" s="312">
        <v>2036.5992698669434</v>
      </c>
      <c r="H50" s="312">
        <v>0</v>
      </c>
      <c r="I50" s="312">
        <v>100805.77758122981</v>
      </c>
      <c r="J50" s="312">
        <v>2622.007741689682</v>
      </c>
      <c r="K50" s="312">
        <v>0</v>
      </c>
      <c r="L50" s="312">
        <v>16676.212428420749</v>
      </c>
      <c r="M50" s="312">
        <v>1347.8015170097351</v>
      </c>
      <c r="N50" s="312">
        <v>0</v>
      </c>
      <c r="O50" s="312">
        <v>46213.245385034461</v>
      </c>
      <c r="P50" s="312">
        <v>499.77720880508423</v>
      </c>
      <c r="Q50" s="312">
        <v>20791.402812924236</v>
      </c>
      <c r="R50" s="312">
        <v>598.83215999603271</v>
      </c>
      <c r="S50" s="312">
        <v>0</v>
      </c>
      <c r="T50" s="312">
        <v>27079.812564208733</v>
      </c>
      <c r="U50" s="312">
        <v>1598.365511059761</v>
      </c>
      <c r="V50" s="312">
        <v>0</v>
      </c>
      <c r="W50" s="312">
        <v>121226.89363225146</v>
      </c>
      <c r="X50" s="312">
        <v>6054.2960319519043</v>
      </c>
      <c r="Y50" s="312">
        <v>0</v>
      </c>
      <c r="Z50" s="312">
        <v>194350.9814043045</v>
      </c>
      <c r="AA50" s="313">
        <v>67069.791740101136</v>
      </c>
      <c r="AB50" s="314">
        <v>0</v>
      </c>
      <c r="AC50" s="314">
        <v>33134.017531111836</v>
      </c>
      <c r="AD50" s="314">
        <v>17773.175035774708</v>
      </c>
      <c r="AE50" s="314">
        <v>103427.78532291949</v>
      </c>
      <c r="AF50" s="314">
        <v>18024.013945430484</v>
      </c>
      <c r="AG50" s="314">
        <v>46713.022593839545</v>
      </c>
      <c r="AH50" s="314">
        <v>21390.234972920269</v>
      </c>
      <c r="AI50" s="314">
        <v>28678.178075268494</v>
      </c>
      <c r="AJ50" s="315">
        <v>127281.18966420337</v>
      </c>
    </row>
    <row r="51" spans="1:36" x14ac:dyDescent="0.25">
      <c r="A51">
        <v>1974</v>
      </c>
      <c r="B51" s="311">
        <v>32314.672408401966</v>
      </c>
      <c r="C51" s="312">
        <v>1026.0025346279144</v>
      </c>
      <c r="D51" s="312">
        <v>40279.934093475342</v>
      </c>
      <c r="E51" s="312">
        <v>0</v>
      </c>
      <c r="F51" s="312">
        <v>15462.811552643776</v>
      </c>
      <c r="G51" s="312">
        <v>2036.5992698669434</v>
      </c>
      <c r="H51" s="312">
        <v>0</v>
      </c>
      <c r="I51" s="312">
        <v>104489.4451072365</v>
      </c>
      <c r="J51" s="312">
        <v>2409.9614465236664</v>
      </c>
      <c r="K51" s="312">
        <v>0</v>
      </c>
      <c r="L51" s="312">
        <v>17338.054353497922</v>
      </c>
      <c r="M51" s="312">
        <v>1360.4285321235657</v>
      </c>
      <c r="N51" s="312">
        <v>0</v>
      </c>
      <c r="O51" s="312">
        <v>30344.521925954596</v>
      </c>
      <c r="P51" s="312">
        <v>323.53977632522583</v>
      </c>
      <c r="Q51" s="312">
        <v>9579.7517871744931</v>
      </c>
      <c r="R51" s="312">
        <v>598.83215999603271</v>
      </c>
      <c r="S51" s="312">
        <v>0</v>
      </c>
      <c r="T51" s="312">
        <v>18324.275071739779</v>
      </c>
      <c r="U51" s="312">
        <v>1418.8511742353439</v>
      </c>
      <c r="V51" s="312">
        <v>0</v>
      </c>
      <c r="W51" s="312">
        <v>148773.97719586239</v>
      </c>
      <c r="X51" s="312">
        <v>5290.403453667237</v>
      </c>
      <c r="Y51" s="312">
        <v>0</v>
      </c>
      <c r="Z51" s="312">
        <v>212606.75881898403</v>
      </c>
      <c r="AA51" s="313">
        <v>58542.378169454401</v>
      </c>
      <c r="AB51" s="314">
        <v>0</v>
      </c>
      <c r="AC51" s="314">
        <v>33340.674943029881</v>
      </c>
      <c r="AD51" s="314">
        <v>17499.410822510719</v>
      </c>
      <c r="AE51" s="314">
        <v>106899.40655376017</v>
      </c>
      <c r="AF51" s="314">
        <v>18698.482885621488</v>
      </c>
      <c r="AG51" s="314">
        <v>30668.061702279821</v>
      </c>
      <c r="AH51" s="314">
        <v>10178.583947170526</v>
      </c>
      <c r="AI51" s="314">
        <v>19743.126245975123</v>
      </c>
      <c r="AJ51" s="315">
        <v>154064.38064952963</v>
      </c>
    </row>
    <row r="52" spans="1:36" x14ac:dyDescent="0.25">
      <c r="A52">
        <v>1975</v>
      </c>
      <c r="B52" s="311">
        <v>33939.48683860153</v>
      </c>
      <c r="C52" s="312">
        <v>1026.0025346279144</v>
      </c>
      <c r="D52" s="312">
        <v>140442.57757568359</v>
      </c>
      <c r="E52" s="312">
        <v>0</v>
      </c>
      <c r="F52" s="312">
        <v>16464.602327659726</v>
      </c>
      <c r="G52" s="312">
        <v>2036.5992698669434</v>
      </c>
      <c r="H52" s="312">
        <v>0</v>
      </c>
      <c r="I52" s="312">
        <v>106835.48205305636</v>
      </c>
      <c r="J52" s="312">
        <v>2605.0797650814056</v>
      </c>
      <c r="K52" s="312">
        <v>0</v>
      </c>
      <c r="L52" s="312">
        <v>17700.164730645705</v>
      </c>
      <c r="M52" s="312">
        <v>1392.1547365188599</v>
      </c>
      <c r="N52" s="312">
        <v>0</v>
      </c>
      <c r="O52" s="312">
        <v>49327.010736568351</v>
      </c>
      <c r="P52" s="312">
        <v>470.41834115982056</v>
      </c>
      <c r="Q52" s="312">
        <v>22074.900729071349</v>
      </c>
      <c r="R52" s="312">
        <v>598.83215999603271</v>
      </c>
      <c r="S52" s="312">
        <v>0</v>
      </c>
      <c r="T52" s="312">
        <v>28503.567354803767</v>
      </c>
      <c r="U52" s="312">
        <v>1588.2209770679474</v>
      </c>
      <c r="V52" s="312">
        <v>0</v>
      </c>
      <c r="W52" s="312">
        <v>123258.50775696679</v>
      </c>
      <c r="X52" s="312">
        <v>5406.5516634359956</v>
      </c>
      <c r="Y52" s="312">
        <v>0</v>
      </c>
      <c r="Z52" s="312">
        <v>242635.86738777161</v>
      </c>
      <c r="AA52" s="313">
        <v>113970.80796736882</v>
      </c>
      <c r="AB52" s="314">
        <v>0</v>
      </c>
      <c r="AC52" s="314">
        <v>34965.489373229444</v>
      </c>
      <c r="AD52" s="314">
        <v>18501.20159752667</v>
      </c>
      <c r="AE52" s="314">
        <v>109440.56181813776</v>
      </c>
      <c r="AF52" s="314">
        <v>19092.319467164565</v>
      </c>
      <c r="AG52" s="314">
        <v>49797.429077728171</v>
      </c>
      <c r="AH52" s="314">
        <v>22673.732889067382</v>
      </c>
      <c r="AI52" s="314">
        <v>30091.788331871714</v>
      </c>
      <c r="AJ52" s="315">
        <v>128665.05942040279</v>
      </c>
    </row>
    <row r="53" spans="1:36" x14ac:dyDescent="0.25">
      <c r="A53">
        <v>1976</v>
      </c>
      <c r="B53" s="311">
        <v>32272.699624016881</v>
      </c>
      <c r="C53" s="312">
        <v>1026.0025346279144</v>
      </c>
      <c r="D53" s="312">
        <v>74668.012512207031</v>
      </c>
      <c r="E53" s="312">
        <v>0</v>
      </c>
      <c r="F53" s="312">
        <v>15847.775936208665</v>
      </c>
      <c r="G53" s="312">
        <v>2036.5992698669434</v>
      </c>
      <c r="H53" s="312">
        <v>0</v>
      </c>
      <c r="I53" s="312">
        <v>99038.239971056581</v>
      </c>
      <c r="J53" s="312">
        <v>2606.5198438167572</v>
      </c>
      <c r="K53" s="312">
        <v>0</v>
      </c>
      <c r="L53" s="312">
        <v>16774.593496486552</v>
      </c>
      <c r="M53" s="312">
        <v>1262.1614189147949</v>
      </c>
      <c r="N53" s="312">
        <v>0</v>
      </c>
      <c r="O53" s="312">
        <v>39506.195093207512</v>
      </c>
      <c r="P53" s="312">
        <v>388.27916288375854</v>
      </c>
      <c r="Q53" s="312">
        <v>13462.662733092904</v>
      </c>
      <c r="R53" s="312">
        <v>598.83215999603271</v>
      </c>
      <c r="S53" s="312">
        <v>0</v>
      </c>
      <c r="T53" s="312">
        <v>24579.507238521801</v>
      </c>
      <c r="U53" s="312">
        <v>1502.1950793893318</v>
      </c>
      <c r="V53" s="312">
        <v>0</v>
      </c>
      <c r="W53" s="312">
        <v>125321.50252712115</v>
      </c>
      <c r="X53" s="312">
        <v>5118.8121231942059</v>
      </c>
      <c r="Y53" s="312">
        <v>0</v>
      </c>
      <c r="Z53" s="312">
        <v>221127.03445386887</v>
      </c>
      <c r="AA53" s="313">
        <v>90686.719803553511</v>
      </c>
      <c r="AB53" s="314">
        <v>0</v>
      </c>
      <c r="AC53" s="314">
        <v>33298.702158644795</v>
      </c>
      <c r="AD53" s="314">
        <v>17884.375206075609</v>
      </c>
      <c r="AE53" s="314">
        <v>101644.75981487334</v>
      </c>
      <c r="AF53" s="314">
        <v>18036.754915401347</v>
      </c>
      <c r="AG53" s="314">
        <v>39894.474256091271</v>
      </c>
      <c r="AH53" s="314">
        <v>14061.494893088937</v>
      </c>
      <c r="AI53" s="314">
        <v>26081.702317911131</v>
      </c>
      <c r="AJ53" s="315">
        <v>130440.31465031535</v>
      </c>
    </row>
    <row r="54" spans="1:36" x14ac:dyDescent="0.25">
      <c r="A54">
        <v>1977</v>
      </c>
      <c r="B54" s="311">
        <v>29248.180569700897</v>
      </c>
      <c r="C54" s="312">
        <v>1026.0025346279144</v>
      </c>
      <c r="D54" s="312">
        <v>11956.477355957031</v>
      </c>
      <c r="E54" s="312">
        <v>0</v>
      </c>
      <c r="F54" s="312">
        <v>14361.647783756256</v>
      </c>
      <c r="G54" s="312">
        <v>2036.5992698669434</v>
      </c>
      <c r="H54" s="312">
        <v>0</v>
      </c>
      <c r="I54" s="312">
        <v>86863.337793305516</v>
      </c>
      <c r="J54" s="312">
        <v>1929.7062470912933</v>
      </c>
      <c r="K54" s="312">
        <v>0</v>
      </c>
      <c r="L54" s="312">
        <v>18972.278492756173</v>
      </c>
      <c r="M54" s="312">
        <v>1248.9770970344543</v>
      </c>
      <c r="N54" s="312">
        <v>0</v>
      </c>
      <c r="O54" s="312">
        <v>16760.236751301658</v>
      </c>
      <c r="P54" s="312">
        <v>283.90742826461792</v>
      </c>
      <c r="Q54" s="312">
        <v>6132.9705138765275</v>
      </c>
      <c r="R54" s="312">
        <v>598.83215999603271</v>
      </c>
      <c r="S54" s="312">
        <v>0</v>
      </c>
      <c r="T54" s="312">
        <v>9085.2957893103357</v>
      </c>
      <c r="U54" s="312">
        <v>1382.8556032180786</v>
      </c>
      <c r="V54" s="312">
        <v>0</v>
      </c>
      <c r="W54" s="312">
        <v>125665.86132155701</v>
      </c>
      <c r="X54" s="312">
        <v>4611.0848365724087</v>
      </c>
      <c r="Y54" s="312">
        <v>0</v>
      </c>
      <c r="Z54" s="312">
        <v>197216.21497511864</v>
      </c>
      <c r="AA54" s="313">
        <v>66939.268816989221</v>
      </c>
      <c r="AB54" s="314">
        <v>0</v>
      </c>
      <c r="AC54" s="314">
        <v>30274.183104328811</v>
      </c>
      <c r="AD54" s="314">
        <v>16398.247053623199</v>
      </c>
      <c r="AE54" s="314">
        <v>88793.04404039681</v>
      </c>
      <c r="AF54" s="314">
        <v>20221.255589790628</v>
      </c>
      <c r="AG54" s="314">
        <v>17044.144179566276</v>
      </c>
      <c r="AH54" s="314">
        <v>6731.8026738725603</v>
      </c>
      <c r="AI54" s="314">
        <v>10468.151392528414</v>
      </c>
      <c r="AJ54" s="315">
        <v>130276.94615812942</v>
      </c>
    </row>
    <row r="55" spans="1:36" x14ac:dyDescent="0.25">
      <c r="A55">
        <v>1978</v>
      </c>
      <c r="B55" s="311">
        <v>32664.267494857311</v>
      </c>
      <c r="C55" s="312">
        <v>1026.0025346279144</v>
      </c>
      <c r="D55" s="312">
        <v>94725.125732421875</v>
      </c>
      <c r="E55" s="312">
        <v>0</v>
      </c>
      <c r="F55" s="312">
        <v>15757.657014206052</v>
      </c>
      <c r="G55" s="312">
        <v>2036.5992698669434</v>
      </c>
      <c r="H55" s="312">
        <v>0</v>
      </c>
      <c r="I55" s="312">
        <v>108352.70168494433</v>
      </c>
      <c r="J55" s="312">
        <v>2627.6490609645844</v>
      </c>
      <c r="K55" s="312">
        <v>0</v>
      </c>
      <c r="L55" s="312">
        <v>17675.036001138331</v>
      </c>
      <c r="M55" s="312">
        <v>1281.6547131538391</v>
      </c>
      <c r="N55" s="312">
        <v>0</v>
      </c>
      <c r="O55" s="312">
        <v>29880.872695176375</v>
      </c>
      <c r="P55" s="312">
        <v>360.53236293792725</v>
      </c>
      <c r="Q55" s="312">
        <v>15376.096411794424</v>
      </c>
      <c r="R55" s="312">
        <v>598.83215999603271</v>
      </c>
      <c r="S55" s="312">
        <v>0</v>
      </c>
      <c r="T55" s="312">
        <v>24388.532510861383</v>
      </c>
      <c r="U55" s="312">
        <v>1573.6128660890322</v>
      </c>
      <c r="V55" s="312">
        <v>0</v>
      </c>
      <c r="W55" s="312">
        <v>130800.39705032825</v>
      </c>
      <c r="X55" s="312">
        <v>5294.4705147699988</v>
      </c>
      <c r="Y55" s="312">
        <v>0</v>
      </c>
      <c r="Z55" s="312">
        <v>223214.94013214111</v>
      </c>
      <c r="AA55" s="313">
        <v>87120.072567042866</v>
      </c>
      <c r="AB55" s="314">
        <v>0</v>
      </c>
      <c r="AC55" s="314">
        <v>33690.270029485226</v>
      </c>
      <c r="AD55" s="314">
        <v>17794.256284072995</v>
      </c>
      <c r="AE55" s="314">
        <v>110980.35074590892</v>
      </c>
      <c r="AF55" s="314">
        <v>18956.69071429217</v>
      </c>
      <c r="AG55" s="314">
        <v>30241.405058114302</v>
      </c>
      <c r="AH55" s="314">
        <v>15974.928571790457</v>
      </c>
      <c r="AI55" s="314">
        <v>25962.145376950415</v>
      </c>
      <c r="AJ55" s="315">
        <v>136094.86756509825</v>
      </c>
    </row>
    <row r="56" spans="1:36" x14ac:dyDescent="0.25">
      <c r="A56">
        <v>1979</v>
      </c>
      <c r="B56" s="311">
        <v>34818.433326393366</v>
      </c>
      <c r="C56" s="312">
        <v>1026.0025346279144</v>
      </c>
      <c r="D56" s="312">
        <v>153056.35571289063</v>
      </c>
      <c r="E56" s="312">
        <v>0</v>
      </c>
      <c r="F56" s="312">
        <v>17041.523613594472</v>
      </c>
      <c r="G56" s="312">
        <v>2036.5992698669434</v>
      </c>
      <c r="H56" s="312">
        <v>0</v>
      </c>
      <c r="I56" s="312">
        <v>114979.39627410471</v>
      </c>
      <c r="J56" s="312">
        <v>2543.4883592128754</v>
      </c>
      <c r="K56" s="312">
        <v>0</v>
      </c>
      <c r="L56" s="312">
        <v>18588.886675922662</v>
      </c>
      <c r="M56" s="312">
        <v>1053.0147466734052</v>
      </c>
      <c r="N56" s="312">
        <v>0</v>
      </c>
      <c r="O56" s="312">
        <v>51768.329105703611</v>
      </c>
      <c r="P56" s="312">
        <v>518.88225340843201</v>
      </c>
      <c r="Q56" s="312">
        <v>21943.668578594923</v>
      </c>
      <c r="R56" s="312">
        <v>598.83215999603271</v>
      </c>
      <c r="S56" s="312">
        <v>0</v>
      </c>
      <c r="T56" s="312">
        <v>27984.907677471267</v>
      </c>
      <c r="U56" s="312">
        <v>1587.4947115739178</v>
      </c>
      <c r="V56" s="312">
        <v>0</v>
      </c>
      <c r="W56" s="312">
        <v>133376.12924043433</v>
      </c>
      <c r="X56" s="312">
        <v>5574.691083804606</v>
      </c>
      <c r="Y56" s="312">
        <v>0</v>
      </c>
      <c r="Z56" s="312">
        <v>235127.42077720165</v>
      </c>
      <c r="AA56" s="313">
        <v>96176.600452962724</v>
      </c>
      <c r="AB56" s="314">
        <v>0</v>
      </c>
      <c r="AC56" s="314">
        <v>35844.43586102128</v>
      </c>
      <c r="AD56" s="314">
        <v>19078.122883461416</v>
      </c>
      <c r="AE56" s="314">
        <v>117522.88463331759</v>
      </c>
      <c r="AF56" s="314">
        <v>19641.901422596067</v>
      </c>
      <c r="AG56" s="314">
        <v>52287.211359112043</v>
      </c>
      <c r="AH56" s="314">
        <v>22542.500738590956</v>
      </c>
      <c r="AI56" s="314">
        <v>29572.402389045186</v>
      </c>
      <c r="AJ56" s="315">
        <v>138950.82032423894</v>
      </c>
    </row>
    <row r="57" spans="1:36" x14ac:dyDescent="0.25">
      <c r="A57">
        <v>1980</v>
      </c>
      <c r="B57" s="311">
        <v>34649.475097376853</v>
      </c>
      <c r="C57" s="312">
        <v>1026.0025346279144</v>
      </c>
      <c r="D57" s="312">
        <v>131129.88012695313</v>
      </c>
      <c r="E57" s="312">
        <v>0</v>
      </c>
      <c r="F57" s="312">
        <v>17090.547840058804</v>
      </c>
      <c r="G57" s="312">
        <v>2036.5992698669434</v>
      </c>
      <c r="H57" s="312">
        <v>0</v>
      </c>
      <c r="I57" s="312">
        <v>108351.33420047164</v>
      </c>
      <c r="J57" s="312">
        <v>2602.7840573787689</v>
      </c>
      <c r="K57" s="312">
        <v>0</v>
      </c>
      <c r="L57" s="312">
        <v>18161.660935111347</v>
      </c>
      <c r="M57" s="312">
        <v>1277.0373687744141</v>
      </c>
      <c r="N57" s="312">
        <v>0</v>
      </c>
      <c r="O57" s="312">
        <v>50710.173060326357</v>
      </c>
      <c r="P57" s="312">
        <v>433.62366819381714</v>
      </c>
      <c r="Q57" s="312">
        <v>22249.933236964047</v>
      </c>
      <c r="R57" s="312">
        <v>598.83215999603271</v>
      </c>
      <c r="S57" s="312">
        <v>0</v>
      </c>
      <c r="T57" s="312">
        <v>29745.069352358209</v>
      </c>
      <c r="U57" s="312">
        <v>1567.4386417418718</v>
      </c>
      <c r="V57" s="312">
        <v>0</v>
      </c>
      <c r="W57" s="312">
        <v>136225.51781489298</v>
      </c>
      <c r="X57" s="312">
        <v>5801.8749884203207</v>
      </c>
      <c r="Y57" s="312">
        <v>0</v>
      </c>
      <c r="Z57" s="312">
        <v>252202.05038642883</v>
      </c>
      <c r="AA57" s="313">
        <v>110174.65758311554</v>
      </c>
      <c r="AB57" s="314">
        <v>0</v>
      </c>
      <c r="AC57" s="314">
        <v>35675.477632004768</v>
      </c>
      <c r="AD57" s="314">
        <v>19127.147109925747</v>
      </c>
      <c r="AE57" s="314">
        <v>110954.11825785041</v>
      </c>
      <c r="AF57" s="314">
        <v>19438.698303885762</v>
      </c>
      <c r="AG57" s="314">
        <v>51143.796728520174</v>
      </c>
      <c r="AH57" s="314">
        <v>22848.76539696008</v>
      </c>
      <c r="AI57" s="314">
        <v>31312.50799410008</v>
      </c>
      <c r="AJ57" s="315">
        <v>142027.3928033133</v>
      </c>
    </row>
    <row r="58" spans="1:36" x14ac:dyDescent="0.25">
      <c r="A58">
        <v>1981</v>
      </c>
      <c r="B58" s="311">
        <v>29347.777820531279</v>
      </c>
      <c r="C58" s="312">
        <v>1026.0025346279144</v>
      </c>
      <c r="D58" s="312">
        <v>51567.463470458984</v>
      </c>
      <c r="E58" s="312">
        <v>0</v>
      </c>
      <c r="F58" s="312">
        <v>14468.325735732913</v>
      </c>
      <c r="G58" s="312">
        <v>2036.5992698669434</v>
      </c>
      <c r="H58" s="312">
        <v>0</v>
      </c>
      <c r="I58" s="312">
        <v>107958.16680561006</v>
      </c>
      <c r="J58" s="312">
        <v>2512.8880517482758</v>
      </c>
      <c r="K58" s="312">
        <v>0</v>
      </c>
      <c r="L58" s="312">
        <v>16433.830582052462</v>
      </c>
      <c r="M58" s="312">
        <v>1309.692943572998</v>
      </c>
      <c r="N58" s="312">
        <v>0</v>
      </c>
      <c r="O58" s="312">
        <v>37337.216328157563</v>
      </c>
      <c r="P58" s="312">
        <v>308.57198524475098</v>
      </c>
      <c r="Q58" s="312">
        <v>13682.542457818985</v>
      </c>
      <c r="R58" s="312">
        <v>598.83215999603271</v>
      </c>
      <c r="S58" s="312">
        <v>0</v>
      </c>
      <c r="T58" s="312">
        <v>22188.659361987935</v>
      </c>
      <c r="U58" s="312">
        <v>1454.2074184417725</v>
      </c>
      <c r="V58" s="312">
        <v>0</v>
      </c>
      <c r="W58" s="312">
        <v>124571.48228280588</v>
      </c>
      <c r="X58" s="312">
        <v>5498.9465467855334</v>
      </c>
      <c r="Y58" s="312">
        <v>0</v>
      </c>
      <c r="Z58" s="312">
        <v>246454.71502113342</v>
      </c>
      <c r="AA58" s="313">
        <v>116384.28619154201</v>
      </c>
      <c r="AB58" s="314">
        <v>0</v>
      </c>
      <c r="AC58" s="314">
        <v>30373.780355159193</v>
      </c>
      <c r="AD58" s="314">
        <v>16504.925005599856</v>
      </c>
      <c r="AE58" s="314">
        <v>110471.05485735834</v>
      </c>
      <c r="AF58" s="314">
        <v>17743.52352562546</v>
      </c>
      <c r="AG58" s="314">
        <v>37645.788313402314</v>
      </c>
      <c r="AH58" s="314">
        <v>14281.374617815018</v>
      </c>
      <c r="AI58" s="314">
        <v>23642.866780429707</v>
      </c>
      <c r="AJ58" s="315">
        <v>130070.42882959142</v>
      </c>
    </row>
    <row r="59" spans="1:36" x14ac:dyDescent="0.25">
      <c r="A59">
        <v>1982</v>
      </c>
      <c r="B59" s="311">
        <v>32442.42116086185</v>
      </c>
      <c r="C59" s="312">
        <v>1026.0025346279144</v>
      </c>
      <c r="D59" s="312">
        <v>161148.5643529892</v>
      </c>
      <c r="E59" s="312">
        <v>0</v>
      </c>
      <c r="F59" s="312">
        <v>15367.266431674361</v>
      </c>
      <c r="G59" s="312">
        <v>2036.5992698669434</v>
      </c>
      <c r="H59" s="312">
        <v>0</v>
      </c>
      <c r="I59" s="312">
        <v>96190.885259121656</v>
      </c>
      <c r="J59" s="312">
        <v>2579.5759885311127</v>
      </c>
      <c r="K59" s="312">
        <v>0</v>
      </c>
      <c r="L59" s="312">
        <v>16344.997176893052</v>
      </c>
      <c r="M59" s="312">
        <v>1254.8664417266846</v>
      </c>
      <c r="N59" s="312">
        <v>0</v>
      </c>
      <c r="O59" s="312">
        <v>44744.215245990534</v>
      </c>
      <c r="P59" s="312">
        <v>398.5383129119873</v>
      </c>
      <c r="Q59" s="312">
        <v>19354.069732189178</v>
      </c>
      <c r="R59" s="312">
        <v>598.83215999603271</v>
      </c>
      <c r="S59" s="312">
        <v>0</v>
      </c>
      <c r="T59" s="312">
        <v>27530.755962084608</v>
      </c>
      <c r="U59" s="312">
        <v>1572.7816178798676</v>
      </c>
      <c r="V59" s="312">
        <v>0</v>
      </c>
      <c r="W59" s="312">
        <v>114816.82646870955</v>
      </c>
      <c r="X59" s="312">
        <v>5826.7592900693417</v>
      </c>
      <c r="Y59" s="312">
        <v>0</v>
      </c>
      <c r="Z59" s="312">
        <v>193716.12626743317</v>
      </c>
      <c r="AA59" s="313">
        <v>73072.540508654274</v>
      </c>
      <c r="AB59" s="314">
        <v>0</v>
      </c>
      <c r="AC59" s="314">
        <v>33468.423695489764</v>
      </c>
      <c r="AD59" s="314">
        <v>17403.865701541305</v>
      </c>
      <c r="AE59" s="314">
        <v>98770.461247652769</v>
      </c>
      <c r="AF59" s="314">
        <v>17599.863618619736</v>
      </c>
      <c r="AG59" s="314">
        <v>45142.753558902521</v>
      </c>
      <c r="AH59" s="314">
        <v>19952.901892185211</v>
      </c>
      <c r="AI59" s="314">
        <v>29103.537579964475</v>
      </c>
      <c r="AJ59" s="315">
        <v>120643.58575877889</v>
      </c>
    </row>
    <row r="60" spans="1:36" x14ac:dyDescent="0.25">
      <c r="A60">
        <v>1983</v>
      </c>
      <c r="B60" s="311">
        <v>33038.07901391387</v>
      </c>
      <c r="C60" s="312">
        <v>1026.0025346279144</v>
      </c>
      <c r="D60" s="312">
        <v>136650.19689941406</v>
      </c>
      <c r="E60" s="312">
        <v>0</v>
      </c>
      <c r="F60" s="312">
        <v>15965.106910675764</v>
      </c>
      <c r="G60" s="312">
        <v>2036.5992698669434</v>
      </c>
      <c r="H60" s="312">
        <v>0</v>
      </c>
      <c r="I60" s="312">
        <v>115012.58096146584</v>
      </c>
      <c r="J60" s="312">
        <v>2564.4656407833099</v>
      </c>
      <c r="K60" s="312">
        <v>0</v>
      </c>
      <c r="L60" s="312">
        <v>18089.224687099446</v>
      </c>
      <c r="M60" s="312">
        <v>1304.7546677589417</v>
      </c>
      <c r="N60" s="312">
        <v>0</v>
      </c>
      <c r="O60" s="312">
        <v>49548.372269807835</v>
      </c>
      <c r="P60" s="312">
        <v>407.93087911605835</v>
      </c>
      <c r="Q60" s="312">
        <v>22734.619184385985</v>
      </c>
      <c r="R60" s="312">
        <v>598.83215999603271</v>
      </c>
      <c r="S60" s="312">
        <v>0</v>
      </c>
      <c r="T60" s="312">
        <v>28152.334409296142</v>
      </c>
      <c r="U60" s="312">
        <v>1584.9426574707031</v>
      </c>
      <c r="V60" s="312">
        <v>0</v>
      </c>
      <c r="W60" s="312">
        <v>113989.70832902535</v>
      </c>
      <c r="X60" s="312">
        <v>6094.1022396683693</v>
      </c>
      <c r="Y60" s="312">
        <v>0</v>
      </c>
      <c r="Z60" s="312">
        <v>189667.6123085022</v>
      </c>
      <c r="AA60" s="313">
        <v>69583.801739808478</v>
      </c>
      <c r="AB60" s="314">
        <v>0</v>
      </c>
      <c r="AC60" s="314">
        <v>34064.081548541784</v>
      </c>
      <c r="AD60" s="314">
        <v>18001.706180542707</v>
      </c>
      <c r="AE60" s="314">
        <v>117577.04660224915</v>
      </c>
      <c r="AF60" s="314">
        <v>19393.979354858388</v>
      </c>
      <c r="AG60" s="314">
        <v>49956.303148923893</v>
      </c>
      <c r="AH60" s="314">
        <v>23333.451344382018</v>
      </c>
      <c r="AI60" s="314">
        <v>29737.277066766845</v>
      </c>
      <c r="AJ60" s="315">
        <v>120083.81056869372</v>
      </c>
    </row>
    <row r="61" spans="1:36" x14ac:dyDescent="0.25">
      <c r="A61">
        <v>1984</v>
      </c>
      <c r="B61" s="311">
        <v>31282.484937444329</v>
      </c>
      <c r="C61" s="312">
        <v>1026.0025346279144</v>
      </c>
      <c r="D61" s="312">
        <v>132012.37954711914</v>
      </c>
      <c r="E61" s="312">
        <v>0</v>
      </c>
      <c r="F61" s="312">
        <v>16050.427155897021</v>
      </c>
      <c r="G61" s="312">
        <v>2036.5992698669434</v>
      </c>
      <c r="H61" s="312">
        <v>0</v>
      </c>
      <c r="I61" s="312">
        <v>111683.23632229865</v>
      </c>
      <c r="J61" s="312">
        <v>2608.8271157741547</v>
      </c>
      <c r="K61" s="312">
        <v>0</v>
      </c>
      <c r="L61" s="312">
        <v>17460.84858407823</v>
      </c>
      <c r="M61" s="312">
        <v>1310.8137335777283</v>
      </c>
      <c r="N61" s="312">
        <v>0</v>
      </c>
      <c r="O61" s="312">
        <v>47721.968711657901</v>
      </c>
      <c r="P61" s="312">
        <v>420.77869844436646</v>
      </c>
      <c r="Q61" s="312">
        <v>18537.862465493381</v>
      </c>
      <c r="R61" s="312">
        <v>598.83215999603271</v>
      </c>
      <c r="S61" s="312">
        <v>0</v>
      </c>
      <c r="T61" s="312">
        <v>26724.534374929593</v>
      </c>
      <c r="U61" s="312">
        <v>1564.0246445090634</v>
      </c>
      <c r="V61" s="312">
        <v>0</v>
      </c>
      <c r="W61" s="312">
        <v>114868.51575903936</v>
      </c>
      <c r="X61" s="312">
        <v>5909.2078681588173</v>
      </c>
      <c r="Y61" s="312">
        <v>0</v>
      </c>
      <c r="Z61" s="312">
        <v>210806.35505843163</v>
      </c>
      <c r="AA61" s="313">
        <v>90028.631431233443</v>
      </c>
      <c r="AB61" s="314">
        <v>0</v>
      </c>
      <c r="AC61" s="314">
        <v>32308.487472072244</v>
      </c>
      <c r="AD61" s="314">
        <v>18087.026425763965</v>
      </c>
      <c r="AE61" s="314">
        <v>114292.0634380728</v>
      </c>
      <c r="AF61" s="314">
        <v>18771.662317655959</v>
      </c>
      <c r="AG61" s="314">
        <v>48142.747410102267</v>
      </c>
      <c r="AH61" s="314">
        <v>19136.694625489414</v>
      </c>
      <c r="AI61" s="314">
        <v>28288.559019438657</v>
      </c>
      <c r="AJ61" s="315">
        <v>120777.72362719818</v>
      </c>
    </row>
    <row r="62" spans="1:36" x14ac:dyDescent="0.25">
      <c r="A62">
        <v>1985</v>
      </c>
      <c r="B62" s="311">
        <v>31450.961072705686</v>
      </c>
      <c r="C62" s="312">
        <v>1026.0025346279144</v>
      </c>
      <c r="D62" s="312">
        <v>191640.84257507324</v>
      </c>
      <c r="E62" s="312">
        <v>0</v>
      </c>
      <c r="F62" s="312">
        <v>15109.031175419688</v>
      </c>
      <c r="G62" s="312">
        <v>2036.5992698669434</v>
      </c>
      <c r="H62" s="312">
        <v>0</v>
      </c>
      <c r="I62" s="312">
        <v>114132.16916112602</v>
      </c>
      <c r="J62" s="312">
        <v>2400.1704461574554</v>
      </c>
      <c r="K62" s="312">
        <v>0</v>
      </c>
      <c r="L62" s="312">
        <v>18204.939930424098</v>
      </c>
      <c r="M62" s="312">
        <v>1397.5919589996338</v>
      </c>
      <c r="N62" s="312">
        <v>0</v>
      </c>
      <c r="O62" s="312">
        <v>50792.279975323458</v>
      </c>
      <c r="P62" s="312">
        <v>530.79295539855957</v>
      </c>
      <c r="Q62" s="312">
        <v>21689.595151588321</v>
      </c>
      <c r="R62" s="312">
        <v>598.83215999603271</v>
      </c>
      <c r="S62" s="312">
        <v>0</v>
      </c>
      <c r="T62" s="312">
        <v>27401.482122644411</v>
      </c>
      <c r="U62" s="312">
        <v>1581.6503635644913</v>
      </c>
      <c r="V62" s="312">
        <v>0</v>
      </c>
      <c r="W62" s="312">
        <v>124064.32102989004</v>
      </c>
      <c r="X62" s="312">
        <v>5839.2801697254181</v>
      </c>
      <c r="Y62" s="312">
        <v>0</v>
      </c>
      <c r="Z62" s="312">
        <v>190549.91597175598</v>
      </c>
      <c r="AA62" s="313">
        <v>60646.314772140526</v>
      </c>
      <c r="AB62" s="314">
        <v>0</v>
      </c>
      <c r="AC62" s="314">
        <v>32476.963607333601</v>
      </c>
      <c r="AD62" s="314">
        <v>17145.630445286632</v>
      </c>
      <c r="AE62" s="314">
        <v>116532.33960728347</v>
      </c>
      <c r="AF62" s="314">
        <v>19602.531889423732</v>
      </c>
      <c r="AG62" s="314">
        <v>51323.072930722017</v>
      </c>
      <c r="AH62" s="314">
        <v>22288.427311584353</v>
      </c>
      <c r="AI62" s="314">
        <v>28983.132486208902</v>
      </c>
      <c r="AJ62" s="315">
        <v>129903.60119961546</v>
      </c>
    </row>
    <row r="63" spans="1:36" x14ac:dyDescent="0.25">
      <c r="A63">
        <v>1986</v>
      </c>
      <c r="B63" s="311">
        <v>28256.971133649349</v>
      </c>
      <c r="C63" s="312">
        <v>1026.0025346279144</v>
      </c>
      <c r="D63" s="312">
        <v>135953.30113601685</v>
      </c>
      <c r="E63" s="312">
        <v>0</v>
      </c>
      <c r="F63" s="312">
        <v>14142.019212886691</v>
      </c>
      <c r="G63" s="312">
        <v>2036.5992698669434</v>
      </c>
      <c r="H63" s="312">
        <v>0</v>
      </c>
      <c r="I63" s="312">
        <v>89773.38476318866</v>
      </c>
      <c r="J63" s="312">
        <v>2395.484922170639</v>
      </c>
      <c r="K63" s="312">
        <v>0</v>
      </c>
      <c r="L63" s="312">
        <v>15067.868537843218</v>
      </c>
      <c r="M63" s="312">
        <v>1366.6908497810364</v>
      </c>
      <c r="N63" s="312">
        <v>0</v>
      </c>
      <c r="O63" s="312">
        <v>40980.75665616848</v>
      </c>
      <c r="P63" s="312">
        <v>515.34848260879517</v>
      </c>
      <c r="Q63" s="312">
        <v>18869.148969702423</v>
      </c>
      <c r="R63" s="312">
        <v>598.83215999603271</v>
      </c>
      <c r="S63" s="312">
        <v>0</v>
      </c>
      <c r="T63" s="312">
        <v>25102.681163876878</v>
      </c>
      <c r="U63" s="312">
        <v>1574.1122695207596</v>
      </c>
      <c r="V63" s="312">
        <v>0</v>
      </c>
      <c r="W63" s="312">
        <v>105992.9262762998</v>
      </c>
      <c r="X63" s="312">
        <v>5943.595062670649</v>
      </c>
      <c r="Y63" s="312">
        <v>0</v>
      </c>
      <c r="Z63" s="312">
        <v>187832.17130088806</v>
      </c>
      <c r="AA63" s="313">
        <v>75895.649961917617</v>
      </c>
      <c r="AB63" s="314">
        <v>0</v>
      </c>
      <c r="AC63" s="314">
        <v>29282.973668277264</v>
      </c>
      <c r="AD63" s="314">
        <v>16178.618482753634</v>
      </c>
      <c r="AE63" s="314">
        <v>92168.869685359299</v>
      </c>
      <c r="AF63" s="314">
        <v>16434.559387624256</v>
      </c>
      <c r="AG63" s="314">
        <v>41496.105138777275</v>
      </c>
      <c r="AH63" s="314">
        <v>19467.981129698455</v>
      </c>
      <c r="AI63" s="314">
        <v>26676.793433397637</v>
      </c>
      <c r="AJ63" s="315">
        <v>111936.52133897044</v>
      </c>
    </row>
    <row r="64" spans="1:36" x14ac:dyDescent="0.25">
      <c r="A64">
        <v>1987</v>
      </c>
      <c r="B64" s="311">
        <v>32293.075099043548</v>
      </c>
      <c r="C64" s="312">
        <v>1026.0025346279144</v>
      </c>
      <c r="D64" s="312">
        <v>74416.019515991211</v>
      </c>
      <c r="E64" s="312">
        <v>0</v>
      </c>
      <c r="F64" s="312">
        <v>16254.585354760289</v>
      </c>
      <c r="G64" s="312">
        <v>2036.5992698669434</v>
      </c>
      <c r="H64" s="312">
        <v>0</v>
      </c>
      <c r="I64" s="312">
        <v>103097.6161525175</v>
      </c>
      <c r="J64" s="312">
        <v>2354.0672128200531</v>
      </c>
      <c r="K64" s="312">
        <v>0</v>
      </c>
      <c r="L64" s="312">
        <v>17476.846191778768</v>
      </c>
      <c r="M64" s="312">
        <v>1364.4884910583496</v>
      </c>
      <c r="N64" s="312">
        <v>0</v>
      </c>
      <c r="O64" s="312">
        <v>46738.631541876573</v>
      </c>
      <c r="P64" s="312">
        <v>530.74375677108765</v>
      </c>
      <c r="Q64" s="312">
        <v>21794.299299731851</v>
      </c>
      <c r="R64" s="312">
        <v>598.83215999603271</v>
      </c>
      <c r="S64" s="312">
        <v>0</v>
      </c>
      <c r="T64" s="312">
        <v>27225.888953920083</v>
      </c>
      <c r="U64" s="312">
        <v>1574.7186695337296</v>
      </c>
      <c r="V64" s="312">
        <v>0</v>
      </c>
      <c r="W64" s="312">
        <v>122786.38562608107</v>
      </c>
      <c r="X64" s="312">
        <v>5954.7716854810715</v>
      </c>
      <c r="Y64" s="312">
        <v>0</v>
      </c>
      <c r="Z64" s="312">
        <v>194907.67035710812</v>
      </c>
      <c r="AA64" s="313">
        <v>66166.513045545973</v>
      </c>
      <c r="AB64" s="314">
        <v>0</v>
      </c>
      <c r="AC64" s="314">
        <v>33319.077633671463</v>
      </c>
      <c r="AD64" s="314">
        <v>18291.184624627233</v>
      </c>
      <c r="AE64" s="314">
        <v>105451.68336533755</v>
      </c>
      <c r="AF64" s="314">
        <v>18841.334682837118</v>
      </c>
      <c r="AG64" s="314">
        <v>47269.375298647661</v>
      </c>
      <c r="AH64" s="314">
        <v>22393.131459727883</v>
      </c>
      <c r="AI64" s="314">
        <v>28800.607623453812</v>
      </c>
      <c r="AJ64" s="315">
        <v>128741.15731156214</v>
      </c>
    </row>
    <row r="65" spans="1:36" x14ac:dyDescent="0.25">
      <c r="A65">
        <v>1988</v>
      </c>
      <c r="B65" s="311">
        <v>32136.464514963329</v>
      </c>
      <c r="C65" s="312">
        <v>1026.0025346279144</v>
      </c>
      <c r="D65" s="312">
        <v>60055.489227294922</v>
      </c>
      <c r="E65" s="312">
        <v>0</v>
      </c>
      <c r="F65" s="312">
        <v>15976.881240855902</v>
      </c>
      <c r="G65" s="312">
        <v>2036.5992698669434</v>
      </c>
      <c r="H65" s="312">
        <v>0</v>
      </c>
      <c r="I65" s="312">
        <v>106148.46707419679</v>
      </c>
      <c r="J65" s="312">
        <v>2389.4415280818939</v>
      </c>
      <c r="K65" s="312">
        <v>0</v>
      </c>
      <c r="L65" s="312">
        <v>18797.600632235408</v>
      </c>
      <c r="M65" s="312">
        <v>1385.8992519378662</v>
      </c>
      <c r="N65" s="312">
        <v>0</v>
      </c>
      <c r="O65" s="312">
        <v>43716.758535696645</v>
      </c>
      <c r="P65" s="312">
        <v>340.94512009620667</v>
      </c>
      <c r="Q65" s="312">
        <v>19178.630270108581</v>
      </c>
      <c r="R65" s="312">
        <v>598.83215999603271</v>
      </c>
      <c r="S65" s="312">
        <v>0</v>
      </c>
      <c r="T65" s="312">
        <v>25477.225751533733</v>
      </c>
      <c r="U65" s="312">
        <v>1555.7891196981259</v>
      </c>
      <c r="V65" s="312">
        <v>0</v>
      </c>
      <c r="W65" s="312">
        <v>117163.91494465216</v>
      </c>
      <c r="X65" s="312">
        <v>5766.3554458767176</v>
      </c>
      <c r="Y65" s="312">
        <v>0</v>
      </c>
      <c r="Z65" s="312">
        <v>189478.57684993744</v>
      </c>
      <c r="AA65" s="313">
        <v>66548.306459408559</v>
      </c>
      <c r="AB65" s="314">
        <v>0</v>
      </c>
      <c r="AC65" s="314">
        <v>33162.467049591243</v>
      </c>
      <c r="AD65" s="314">
        <v>18013.480510722846</v>
      </c>
      <c r="AE65" s="314">
        <v>108537.90860227868</v>
      </c>
      <c r="AF65" s="314">
        <v>20183.499884173274</v>
      </c>
      <c r="AG65" s="314">
        <v>44057.703655792851</v>
      </c>
      <c r="AH65" s="314">
        <v>19777.462430104613</v>
      </c>
      <c r="AI65" s="314">
        <v>27033.014871231859</v>
      </c>
      <c r="AJ65" s="315">
        <v>122930.27039052888</v>
      </c>
    </row>
    <row r="66" spans="1:36" x14ac:dyDescent="0.25">
      <c r="A66">
        <v>1989</v>
      </c>
      <c r="B66" s="311">
        <v>33670.659942824394</v>
      </c>
      <c r="C66" s="312">
        <v>1026.0025346279144</v>
      </c>
      <c r="D66" s="312">
        <v>66110.755737304688</v>
      </c>
      <c r="E66" s="312">
        <v>0</v>
      </c>
      <c r="F66" s="312">
        <v>16448.197522863746</v>
      </c>
      <c r="G66" s="312">
        <v>2036.5992698669434</v>
      </c>
      <c r="H66" s="312">
        <v>0</v>
      </c>
      <c r="I66" s="312">
        <v>108548.43208256364</v>
      </c>
      <c r="J66" s="312">
        <v>1731.9133241176605</v>
      </c>
      <c r="K66" s="312">
        <v>0</v>
      </c>
      <c r="L66" s="312">
        <v>20393.801340766244</v>
      </c>
      <c r="M66" s="312">
        <v>1394.1528329849243</v>
      </c>
      <c r="N66" s="312">
        <v>0</v>
      </c>
      <c r="O66" s="312">
        <v>33616.244752897401</v>
      </c>
      <c r="P66" s="312">
        <v>366.49237990379333</v>
      </c>
      <c r="Q66" s="312">
        <v>12671.576250717044</v>
      </c>
      <c r="R66" s="312">
        <v>598.83215999603271</v>
      </c>
      <c r="S66" s="312">
        <v>0</v>
      </c>
      <c r="T66" s="312">
        <v>21921.016569390522</v>
      </c>
      <c r="U66" s="312">
        <v>1501.054706454277</v>
      </c>
      <c r="V66" s="312">
        <v>0</v>
      </c>
      <c r="W66" s="312">
        <v>143254.77110135899</v>
      </c>
      <c r="X66" s="312">
        <v>5500.6703393608914</v>
      </c>
      <c r="Y66" s="312">
        <v>0</v>
      </c>
      <c r="Z66" s="312">
        <v>186427.57899856567</v>
      </c>
      <c r="AA66" s="313">
        <v>37672.137557845796</v>
      </c>
      <c r="AB66" s="314">
        <v>0</v>
      </c>
      <c r="AC66" s="314">
        <v>34696.662477452308</v>
      </c>
      <c r="AD66" s="314">
        <v>18484.796792730689</v>
      </c>
      <c r="AE66" s="314">
        <v>110280.3454066813</v>
      </c>
      <c r="AF66" s="314">
        <v>21787.954173751168</v>
      </c>
      <c r="AG66" s="314">
        <v>33982.737132801194</v>
      </c>
      <c r="AH66" s="314">
        <v>13270.408410713077</v>
      </c>
      <c r="AI66" s="314">
        <v>23422.071275844799</v>
      </c>
      <c r="AJ66" s="315">
        <v>148755.44144071988</v>
      </c>
    </row>
    <row r="67" spans="1:36" x14ac:dyDescent="0.25">
      <c r="A67">
        <v>1990</v>
      </c>
      <c r="B67" s="311">
        <v>30562.329971387982</v>
      </c>
      <c r="C67" s="312">
        <v>1026.0025346279144</v>
      </c>
      <c r="D67" s="312">
        <v>68981.821533203125</v>
      </c>
      <c r="E67" s="312">
        <v>0</v>
      </c>
      <c r="F67" s="312">
        <v>15215.450620874763</v>
      </c>
      <c r="G67" s="312">
        <v>2036.5992698669434</v>
      </c>
      <c r="H67" s="312">
        <v>0</v>
      </c>
      <c r="I67" s="312">
        <v>97613.246448606253</v>
      </c>
      <c r="J67" s="312">
        <v>2132.9404618740082</v>
      </c>
      <c r="K67" s="312">
        <v>0</v>
      </c>
      <c r="L67" s="312">
        <v>17084.847532734268</v>
      </c>
      <c r="M67" s="312">
        <v>1436.1444606781006</v>
      </c>
      <c r="N67" s="312">
        <v>0</v>
      </c>
      <c r="O67" s="312">
        <v>34214.299594967146</v>
      </c>
      <c r="P67" s="312">
        <v>288.74829077720642</v>
      </c>
      <c r="Q67" s="312">
        <v>11856.981076702476</v>
      </c>
      <c r="R67" s="312">
        <v>598.83215999603271</v>
      </c>
      <c r="S67" s="312">
        <v>0</v>
      </c>
      <c r="T67" s="312">
        <v>18488.123267748953</v>
      </c>
      <c r="U67" s="312">
        <v>1400.3382620252669</v>
      </c>
      <c r="V67" s="312">
        <v>0</v>
      </c>
      <c r="W67" s="312">
        <v>115628.55252334817</v>
      </c>
      <c r="X67" s="312">
        <v>5484.871378025854</v>
      </c>
      <c r="Y67" s="312">
        <v>0</v>
      </c>
      <c r="Z67" s="312">
        <v>230290.84494149685</v>
      </c>
      <c r="AA67" s="313">
        <v>109177.42104012282</v>
      </c>
      <c r="AB67" s="314">
        <v>0</v>
      </c>
      <c r="AC67" s="314">
        <v>31588.332506015897</v>
      </c>
      <c r="AD67" s="314">
        <v>17252.049890741706</v>
      </c>
      <c r="AE67" s="314">
        <v>99746.186910480261</v>
      </c>
      <c r="AF67" s="314">
        <v>18520.991993412368</v>
      </c>
      <c r="AG67" s="314">
        <v>34503.047885744352</v>
      </c>
      <c r="AH67" s="314">
        <v>12455.813236698508</v>
      </c>
      <c r="AI67" s="314">
        <v>19888.46152977422</v>
      </c>
      <c r="AJ67" s="315">
        <v>121113.42390137403</v>
      </c>
    </row>
    <row r="68" spans="1:36" x14ac:dyDescent="0.25">
      <c r="A68">
        <v>1991</v>
      </c>
      <c r="B68" s="311">
        <v>29874.590659990907</v>
      </c>
      <c r="C68" s="312">
        <v>1026.0025346279144</v>
      </c>
      <c r="D68" s="312">
        <v>117437.73883056641</v>
      </c>
      <c r="E68" s="312">
        <v>0</v>
      </c>
      <c r="F68" s="312">
        <v>14863.587761357427</v>
      </c>
      <c r="G68" s="312">
        <v>2036.5992698669434</v>
      </c>
      <c r="H68" s="312">
        <v>0</v>
      </c>
      <c r="I68" s="312">
        <v>106365.59532566369</v>
      </c>
      <c r="J68" s="312">
        <v>2486.1808469295502</v>
      </c>
      <c r="K68" s="312">
        <v>0</v>
      </c>
      <c r="L68" s="312">
        <v>19005.588353522104</v>
      </c>
      <c r="M68" s="312">
        <v>1393.4346914291382</v>
      </c>
      <c r="N68" s="312">
        <v>0</v>
      </c>
      <c r="O68" s="312">
        <v>40674.193793682833</v>
      </c>
      <c r="P68" s="312">
        <v>363.56249809265137</v>
      </c>
      <c r="Q68" s="312">
        <v>16571.399551846087</v>
      </c>
      <c r="R68" s="312">
        <v>598.83215999603271</v>
      </c>
      <c r="S68" s="312">
        <v>0</v>
      </c>
      <c r="T68" s="312">
        <v>26870.58637458794</v>
      </c>
      <c r="U68" s="312">
        <v>1517.9874196476646</v>
      </c>
      <c r="V68" s="312">
        <v>0</v>
      </c>
      <c r="W68" s="312">
        <v>126457.51164976104</v>
      </c>
      <c r="X68" s="312">
        <v>5744.862716598218</v>
      </c>
      <c r="Y68" s="312">
        <v>0</v>
      </c>
      <c r="Z68" s="312">
        <v>199350.48925304413</v>
      </c>
      <c r="AA68" s="313">
        <v>67148.114886684867</v>
      </c>
      <c r="AB68" s="314">
        <v>0</v>
      </c>
      <c r="AC68" s="314">
        <v>30900.593194618821</v>
      </c>
      <c r="AD68" s="314">
        <v>16900.18703122437</v>
      </c>
      <c r="AE68" s="314">
        <v>108851.77617259324</v>
      </c>
      <c r="AF68" s="314">
        <v>20399.023044951242</v>
      </c>
      <c r="AG68" s="314">
        <v>41037.756291775484</v>
      </c>
      <c r="AH68" s="314">
        <v>17170.23171184212</v>
      </c>
      <c r="AI68" s="314">
        <v>28388.573794235603</v>
      </c>
      <c r="AJ68" s="315">
        <v>132202.37436635926</v>
      </c>
    </row>
    <row r="69" spans="1:36" x14ac:dyDescent="0.25">
      <c r="A69">
        <v>1992</v>
      </c>
      <c r="B69" s="311">
        <v>28091.588534541428</v>
      </c>
      <c r="C69" s="312">
        <v>1026.0025346279144</v>
      </c>
      <c r="D69" s="312">
        <v>117054.44799804688</v>
      </c>
      <c r="E69" s="312">
        <v>0</v>
      </c>
      <c r="F69" s="312">
        <v>14082.045574307442</v>
      </c>
      <c r="G69" s="312">
        <v>2036.5992698669434</v>
      </c>
      <c r="H69" s="312">
        <v>0</v>
      </c>
      <c r="I69" s="312">
        <v>101647.26104444265</v>
      </c>
      <c r="J69" s="312">
        <v>2256.827716588974</v>
      </c>
      <c r="K69" s="312">
        <v>0</v>
      </c>
      <c r="L69" s="312">
        <v>17212.850763142094</v>
      </c>
      <c r="M69" s="312">
        <v>1415.0184035301208</v>
      </c>
      <c r="N69" s="312">
        <v>0</v>
      </c>
      <c r="O69" s="312">
        <v>40387.572102038641</v>
      </c>
      <c r="P69" s="312">
        <v>417.97858285903931</v>
      </c>
      <c r="Q69" s="312">
        <v>17006.667536079884</v>
      </c>
      <c r="R69" s="312">
        <v>598.83215999603271</v>
      </c>
      <c r="S69" s="312">
        <v>0</v>
      </c>
      <c r="T69" s="312">
        <v>24435.69680596851</v>
      </c>
      <c r="U69" s="312">
        <v>1590.2554891109467</v>
      </c>
      <c r="V69" s="312">
        <v>0</v>
      </c>
      <c r="W69" s="312">
        <v>112591.44940887734</v>
      </c>
      <c r="X69" s="312">
        <v>5904.539648078382</v>
      </c>
      <c r="Y69" s="312">
        <v>0</v>
      </c>
      <c r="Z69" s="312">
        <v>206443.73423230648</v>
      </c>
      <c r="AA69" s="313">
        <v>87947.745175350763</v>
      </c>
      <c r="AB69" s="314">
        <v>0</v>
      </c>
      <c r="AC69" s="314">
        <v>29117.591069169343</v>
      </c>
      <c r="AD69" s="314">
        <v>16118.644844174385</v>
      </c>
      <c r="AE69" s="314">
        <v>103904.08876103163</v>
      </c>
      <c r="AF69" s="314">
        <v>18627.869166672215</v>
      </c>
      <c r="AG69" s="314">
        <v>40805.55068489768</v>
      </c>
      <c r="AH69" s="314">
        <v>17605.499696075916</v>
      </c>
      <c r="AI69" s="314">
        <v>26025.952295079456</v>
      </c>
      <c r="AJ69" s="315">
        <v>118495.98905695572</v>
      </c>
    </row>
    <row r="70" spans="1:36" x14ac:dyDescent="0.25">
      <c r="A70">
        <v>1993</v>
      </c>
      <c r="B70" s="311">
        <v>32103.136144503951</v>
      </c>
      <c r="C70" s="312">
        <v>1026.0025346279144</v>
      </c>
      <c r="D70" s="312">
        <v>152973.38549804688</v>
      </c>
      <c r="E70" s="312">
        <v>0</v>
      </c>
      <c r="F70" s="312">
        <v>15988.784241110086</v>
      </c>
      <c r="G70" s="312">
        <v>2036.5992698669434</v>
      </c>
      <c r="H70" s="312">
        <v>0</v>
      </c>
      <c r="I70" s="312">
        <v>105791.10222697258</v>
      </c>
      <c r="J70" s="312">
        <v>2418.065530538559</v>
      </c>
      <c r="K70" s="312">
        <v>0</v>
      </c>
      <c r="L70" s="312">
        <v>17761.893258839827</v>
      </c>
      <c r="M70" s="312">
        <v>1409.339928150177</v>
      </c>
      <c r="N70" s="312">
        <v>0</v>
      </c>
      <c r="O70" s="312">
        <v>46448.059832675834</v>
      </c>
      <c r="P70" s="312">
        <v>510.01865291595459</v>
      </c>
      <c r="Q70" s="312">
        <v>23194.015044294298</v>
      </c>
      <c r="R70" s="312">
        <v>598.83215999603271</v>
      </c>
      <c r="S70" s="312">
        <v>0</v>
      </c>
      <c r="T70" s="312">
        <v>27480.71040251814</v>
      </c>
      <c r="U70" s="312">
        <v>1587.6284905076027</v>
      </c>
      <c r="V70" s="312">
        <v>0</v>
      </c>
      <c r="W70" s="312">
        <v>127148.83836561783</v>
      </c>
      <c r="X70" s="312">
        <v>5949.4723663202703</v>
      </c>
      <c r="Y70" s="312">
        <v>0</v>
      </c>
      <c r="Z70" s="312">
        <v>184771.15517747402</v>
      </c>
      <c r="AA70" s="313">
        <v>51672.84444553592</v>
      </c>
      <c r="AB70" s="314">
        <v>0</v>
      </c>
      <c r="AC70" s="314">
        <v>33129.138679131866</v>
      </c>
      <c r="AD70" s="314">
        <v>18025.38351097703</v>
      </c>
      <c r="AE70" s="314">
        <v>108209.16775751114</v>
      </c>
      <c r="AF70" s="314">
        <v>19171.233186990004</v>
      </c>
      <c r="AG70" s="314">
        <v>46958.078485591788</v>
      </c>
      <c r="AH70" s="314">
        <v>23792.84720429033</v>
      </c>
      <c r="AI70" s="314">
        <v>29068.338893025742</v>
      </c>
      <c r="AJ70" s="315">
        <v>133098.31073193811</v>
      </c>
    </row>
    <row r="71" spans="1:36" x14ac:dyDescent="0.25">
      <c r="A71">
        <v>1994</v>
      </c>
      <c r="B71" s="311">
        <v>31375.235254570842</v>
      </c>
      <c r="C71" s="312">
        <v>1026.0025346279144</v>
      </c>
      <c r="D71" s="312">
        <v>118496.70453643799</v>
      </c>
      <c r="E71" s="312">
        <v>0</v>
      </c>
      <c r="F71" s="312">
        <v>15648.641727104783</v>
      </c>
      <c r="G71" s="312">
        <v>2036.5992698669434</v>
      </c>
      <c r="H71" s="312">
        <v>0</v>
      </c>
      <c r="I71" s="312">
        <v>106382.87576417997</v>
      </c>
      <c r="J71" s="312">
        <v>2574.2442357540131</v>
      </c>
      <c r="K71" s="312">
        <v>0</v>
      </c>
      <c r="L71" s="312">
        <v>18496.048557460301</v>
      </c>
      <c r="M71" s="312">
        <v>1402.7864398956299</v>
      </c>
      <c r="N71" s="312">
        <v>0</v>
      </c>
      <c r="O71" s="312">
        <v>37563.936682796557</v>
      </c>
      <c r="P71" s="312">
        <v>342.99559569358826</v>
      </c>
      <c r="Q71" s="312">
        <v>15423.816070884466</v>
      </c>
      <c r="R71" s="312">
        <v>598.83215999603271</v>
      </c>
      <c r="S71" s="312">
        <v>0</v>
      </c>
      <c r="T71" s="312">
        <v>26521.261521556044</v>
      </c>
      <c r="U71" s="312">
        <v>1544.743540763855</v>
      </c>
      <c r="V71" s="312">
        <v>0</v>
      </c>
      <c r="W71" s="312">
        <v>153351.90552360163</v>
      </c>
      <c r="X71" s="312">
        <v>5712.1269104927778</v>
      </c>
      <c r="Y71" s="312">
        <v>0</v>
      </c>
      <c r="Z71" s="312">
        <v>217992.42529058456</v>
      </c>
      <c r="AA71" s="313">
        <v>58928.392856490158</v>
      </c>
      <c r="AB71" s="314">
        <v>0</v>
      </c>
      <c r="AC71" s="314">
        <v>32401.237789198756</v>
      </c>
      <c r="AD71" s="314">
        <v>17685.240996971726</v>
      </c>
      <c r="AE71" s="314">
        <v>108957.11999993399</v>
      </c>
      <c r="AF71" s="314">
        <v>19898.834997355931</v>
      </c>
      <c r="AG71" s="314">
        <v>37906.932278490145</v>
      </c>
      <c r="AH71" s="314">
        <v>16022.648230880499</v>
      </c>
      <c r="AI71" s="314">
        <v>28066.005062319899</v>
      </c>
      <c r="AJ71" s="315">
        <v>159064.03243409441</v>
      </c>
    </row>
    <row r="72" spans="1:36" x14ac:dyDescent="0.25">
      <c r="A72">
        <v>1995</v>
      </c>
      <c r="B72" s="311">
        <v>28506.971692956984</v>
      </c>
      <c r="C72" s="312">
        <v>1026.0025346279144</v>
      </c>
      <c r="D72" s="312">
        <v>105102.31011962891</v>
      </c>
      <c r="E72" s="312">
        <v>0</v>
      </c>
      <c r="F72" s="312">
        <v>14542.535258993506</v>
      </c>
      <c r="G72" s="312">
        <v>2036.5992698669434</v>
      </c>
      <c r="H72" s="312">
        <v>0</v>
      </c>
      <c r="I72" s="312">
        <v>101072.72577896714</v>
      </c>
      <c r="J72" s="312">
        <v>2557.2651059627533</v>
      </c>
      <c r="K72" s="312">
        <v>0</v>
      </c>
      <c r="L72" s="312">
        <v>17458.889293119286</v>
      </c>
      <c r="M72" s="312">
        <v>1359.8109498023987</v>
      </c>
      <c r="N72" s="312">
        <v>0</v>
      </c>
      <c r="O72" s="312">
        <v>45967.858518718262</v>
      </c>
      <c r="P72" s="312">
        <v>483.46467566490173</v>
      </c>
      <c r="Q72" s="312">
        <v>22057.724539775401</v>
      </c>
      <c r="R72" s="312">
        <v>598.83215999603271</v>
      </c>
      <c r="S72" s="312">
        <v>0</v>
      </c>
      <c r="T72" s="312">
        <v>27571.409571572767</v>
      </c>
      <c r="U72" s="312">
        <v>1604.4047881960869</v>
      </c>
      <c r="V72" s="312">
        <v>0</v>
      </c>
      <c r="W72" s="312">
        <v>115514.61933257028</v>
      </c>
      <c r="X72" s="312">
        <v>6071.0040401907072</v>
      </c>
      <c r="Y72" s="312">
        <v>0</v>
      </c>
      <c r="Z72" s="312">
        <v>204038.33221387863</v>
      </c>
      <c r="AA72" s="313">
        <v>82452.708841117652</v>
      </c>
      <c r="AB72" s="314">
        <v>0</v>
      </c>
      <c r="AC72" s="314">
        <v>29532.974227584898</v>
      </c>
      <c r="AD72" s="314">
        <v>16579.13452886045</v>
      </c>
      <c r="AE72" s="314">
        <v>103629.9908849299</v>
      </c>
      <c r="AF72" s="314">
        <v>18818.700242921685</v>
      </c>
      <c r="AG72" s="314">
        <v>46451.323194383163</v>
      </c>
      <c r="AH72" s="314">
        <v>22656.556699771434</v>
      </c>
      <c r="AI72" s="314">
        <v>29175.814359768854</v>
      </c>
      <c r="AJ72" s="315">
        <v>121585.62337276098</v>
      </c>
    </row>
    <row r="73" spans="1:36" x14ac:dyDescent="0.25">
      <c r="A73">
        <v>1996</v>
      </c>
      <c r="B73" s="311">
        <v>29779.537081614137</v>
      </c>
      <c r="C73" s="312">
        <v>1026.0025346279144</v>
      </c>
      <c r="D73" s="312">
        <v>48240.947612762451</v>
      </c>
      <c r="E73" s="312">
        <v>0</v>
      </c>
      <c r="F73" s="312">
        <v>15250.292549237609</v>
      </c>
      <c r="G73" s="312">
        <v>2036.5992698669434</v>
      </c>
      <c r="H73" s="312">
        <v>0</v>
      </c>
      <c r="I73" s="312">
        <v>101112.80448815972</v>
      </c>
      <c r="J73" s="312">
        <v>2350.2871720790863</v>
      </c>
      <c r="K73" s="312">
        <v>0</v>
      </c>
      <c r="L73" s="312">
        <v>19141.341357752659</v>
      </c>
      <c r="M73" s="312">
        <v>1372.9785013198853</v>
      </c>
      <c r="N73" s="312">
        <v>0</v>
      </c>
      <c r="O73" s="312">
        <v>26328.391579805389</v>
      </c>
      <c r="P73" s="312">
        <v>291.16730356216431</v>
      </c>
      <c r="Q73" s="312">
        <v>11528.445808507502</v>
      </c>
      <c r="R73" s="312">
        <v>598.83215999603271</v>
      </c>
      <c r="S73" s="312">
        <v>0</v>
      </c>
      <c r="T73" s="312">
        <v>20441.731213669853</v>
      </c>
      <c r="U73" s="312">
        <v>1411.4547866978992</v>
      </c>
      <c r="V73" s="312">
        <v>0</v>
      </c>
      <c r="W73" s="312">
        <v>147990.34096606792</v>
      </c>
      <c r="X73" s="312">
        <v>5370.1847173767164</v>
      </c>
      <c r="Y73" s="312">
        <v>0</v>
      </c>
      <c r="Z73" s="312">
        <v>249572.9455909729</v>
      </c>
      <c r="AA73" s="313">
        <v>96212.419907528267</v>
      </c>
      <c r="AB73" s="314">
        <v>0</v>
      </c>
      <c r="AC73" s="314">
        <v>30805.539616242051</v>
      </c>
      <c r="AD73" s="314">
        <v>17286.891819104552</v>
      </c>
      <c r="AE73" s="314">
        <v>103463.0916602388</v>
      </c>
      <c r="AF73" s="314">
        <v>20514.319859072544</v>
      </c>
      <c r="AG73" s="314">
        <v>26619.558883367554</v>
      </c>
      <c r="AH73" s="314">
        <v>12127.277968503535</v>
      </c>
      <c r="AI73" s="314">
        <v>21853.18600036775</v>
      </c>
      <c r="AJ73" s="315">
        <v>153360.52568344463</v>
      </c>
    </row>
    <row r="74" spans="1:36" x14ac:dyDescent="0.25">
      <c r="A74">
        <v>1997</v>
      </c>
      <c r="B74" s="311">
        <v>25159.440965354443</v>
      </c>
      <c r="C74" s="312">
        <v>1026.0025346279144</v>
      </c>
      <c r="D74" s="312">
        <v>141869.90014648438</v>
      </c>
      <c r="E74" s="312">
        <v>0</v>
      </c>
      <c r="F74" s="312">
        <v>12714.264801204205</v>
      </c>
      <c r="G74" s="312">
        <v>2036.5992698669434</v>
      </c>
      <c r="H74" s="312">
        <v>0</v>
      </c>
      <c r="I74" s="312">
        <v>103246.6772287339</v>
      </c>
      <c r="J74" s="312">
        <v>2686.1228730678558</v>
      </c>
      <c r="K74" s="312">
        <v>0</v>
      </c>
      <c r="L74" s="312">
        <v>16778.773258469981</v>
      </c>
      <c r="M74" s="312">
        <v>1388.1358737945557</v>
      </c>
      <c r="N74" s="312">
        <v>0</v>
      </c>
      <c r="O74" s="312">
        <v>44856.933479888816</v>
      </c>
      <c r="P74" s="312">
        <v>488.73036551475525</v>
      </c>
      <c r="Q74" s="312">
        <v>22530.197339996696</v>
      </c>
      <c r="R74" s="312">
        <v>598.83215999603271</v>
      </c>
      <c r="S74" s="312">
        <v>0</v>
      </c>
      <c r="T74" s="312">
        <v>28531.910783588515</v>
      </c>
      <c r="U74" s="312">
        <v>1581.50599193573</v>
      </c>
      <c r="V74" s="312">
        <v>0</v>
      </c>
      <c r="W74" s="312">
        <v>134823.82695226715</v>
      </c>
      <c r="X74" s="312">
        <v>5891.855215626575</v>
      </c>
      <c r="Y74" s="312">
        <v>0</v>
      </c>
      <c r="Z74" s="312">
        <v>199579.09180855751</v>
      </c>
      <c r="AA74" s="313">
        <v>58863.409640663791</v>
      </c>
      <c r="AB74" s="314">
        <v>0</v>
      </c>
      <c r="AC74" s="314">
        <v>26185.443499982357</v>
      </c>
      <c r="AD74" s="314">
        <v>14750.864071071148</v>
      </c>
      <c r="AE74" s="314">
        <v>105932.80010180175</v>
      </c>
      <c r="AF74" s="314">
        <v>18166.909132264536</v>
      </c>
      <c r="AG74" s="314">
        <v>45345.663845403571</v>
      </c>
      <c r="AH74" s="314">
        <v>23129.029499992728</v>
      </c>
      <c r="AI74" s="314">
        <v>30113.416775524245</v>
      </c>
      <c r="AJ74" s="315">
        <v>140715.68216789371</v>
      </c>
    </row>
    <row r="75" spans="1:36" x14ac:dyDescent="0.25">
      <c r="A75">
        <v>1998</v>
      </c>
      <c r="B75" s="311">
        <v>33177.189328059554</v>
      </c>
      <c r="C75" s="312">
        <v>1026.0025346279144</v>
      </c>
      <c r="D75" s="312">
        <v>97067.112983703613</v>
      </c>
      <c r="E75" s="312">
        <v>0</v>
      </c>
      <c r="F75" s="312">
        <v>16562.881358131766</v>
      </c>
      <c r="G75" s="312">
        <v>2036.5992698669434</v>
      </c>
      <c r="H75" s="312">
        <v>0</v>
      </c>
      <c r="I75" s="312">
        <v>104485.38600818813</v>
      </c>
      <c r="J75" s="312">
        <v>2481.1306512355804</v>
      </c>
      <c r="K75" s="312">
        <v>0</v>
      </c>
      <c r="L75" s="312">
        <v>18279.750435873866</v>
      </c>
      <c r="M75" s="312">
        <v>1393.2385935783386</v>
      </c>
      <c r="N75" s="312">
        <v>0</v>
      </c>
      <c r="O75" s="312">
        <v>42203.480178008307</v>
      </c>
      <c r="P75" s="312">
        <v>351.52508592605591</v>
      </c>
      <c r="Q75" s="312">
        <v>17572.224156752229</v>
      </c>
      <c r="R75" s="312">
        <v>598.83215999603271</v>
      </c>
      <c r="S75" s="312">
        <v>0</v>
      </c>
      <c r="T75" s="312">
        <v>25636.360704823957</v>
      </c>
      <c r="U75" s="312">
        <v>1551.1450569629669</v>
      </c>
      <c r="V75" s="312">
        <v>0</v>
      </c>
      <c r="W75" s="312">
        <v>148079.24838319764</v>
      </c>
      <c r="X75" s="312">
        <v>5794.8287901207805</v>
      </c>
      <c r="Y75" s="312">
        <v>0</v>
      </c>
      <c r="Z75" s="312">
        <v>208180.59205627441</v>
      </c>
      <c r="AA75" s="313">
        <v>54306.514882955991</v>
      </c>
      <c r="AB75" s="314">
        <v>0</v>
      </c>
      <c r="AC75" s="314">
        <v>34203.191862687469</v>
      </c>
      <c r="AD75" s="314">
        <v>18599.48062799871</v>
      </c>
      <c r="AE75" s="314">
        <v>106966.51665942371</v>
      </c>
      <c r="AF75" s="314">
        <v>19672.989029452205</v>
      </c>
      <c r="AG75" s="314">
        <v>42555.005263934363</v>
      </c>
      <c r="AH75" s="314">
        <v>18171.056316748261</v>
      </c>
      <c r="AI75" s="314">
        <v>27187.505761786924</v>
      </c>
      <c r="AJ75" s="315">
        <v>153874.07717331842</v>
      </c>
    </row>
    <row r="76" spans="1:36" x14ac:dyDescent="0.25">
      <c r="A76">
        <v>1999</v>
      </c>
      <c r="B76" s="311">
        <v>32964.874221034348</v>
      </c>
      <c r="C76" s="312">
        <v>1026.0025346279144</v>
      </c>
      <c r="D76" s="312">
        <v>102844.95849609375</v>
      </c>
      <c r="E76" s="312">
        <v>0</v>
      </c>
      <c r="F76" s="312">
        <v>16529.314782619476</v>
      </c>
      <c r="G76" s="312">
        <v>2036.5992698669434</v>
      </c>
      <c r="H76" s="312">
        <v>0</v>
      </c>
      <c r="I76" s="312">
        <v>99040.928057104349</v>
      </c>
      <c r="J76" s="312">
        <v>2608.828635931015</v>
      </c>
      <c r="K76" s="312">
        <v>0</v>
      </c>
      <c r="L76" s="312">
        <v>15897.635473400343</v>
      </c>
      <c r="M76" s="312">
        <v>1421.9062471389771</v>
      </c>
      <c r="N76" s="312">
        <v>0</v>
      </c>
      <c r="O76" s="312">
        <v>42588.623615293283</v>
      </c>
      <c r="P76" s="312">
        <v>388.57774639129639</v>
      </c>
      <c r="Q76" s="312">
        <v>19445.735156543553</v>
      </c>
      <c r="R76" s="312">
        <v>598.83215999603271</v>
      </c>
      <c r="S76" s="312">
        <v>0</v>
      </c>
      <c r="T76" s="312">
        <v>28572.256326377021</v>
      </c>
      <c r="U76" s="312">
        <v>1582.4154861569405</v>
      </c>
      <c r="V76" s="312">
        <v>0</v>
      </c>
      <c r="W76" s="312">
        <v>133632.7145545219</v>
      </c>
      <c r="X76" s="312">
        <v>5803.2621471136808</v>
      </c>
      <c r="Y76" s="312">
        <v>0</v>
      </c>
      <c r="Z76" s="312">
        <v>218006.16120147705</v>
      </c>
      <c r="AA76" s="313">
        <v>78570.184499841474</v>
      </c>
      <c r="AB76" s="314">
        <v>0</v>
      </c>
      <c r="AC76" s="314">
        <v>33990.876755662262</v>
      </c>
      <c r="AD76" s="314">
        <v>18565.91405248642</v>
      </c>
      <c r="AE76" s="314">
        <v>101649.75669303536</v>
      </c>
      <c r="AF76" s="314">
        <v>17319.541720539321</v>
      </c>
      <c r="AG76" s="314">
        <v>42977.20136168458</v>
      </c>
      <c r="AH76" s="314">
        <v>20044.567316539586</v>
      </c>
      <c r="AI76" s="314">
        <v>30154.671812533961</v>
      </c>
      <c r="AJ76" s="315">
        <v>139435.97670163558</v>
      </c>
    </row>
    <row r="77" spans="1:36" x14ac:dyDescent="0.25">
      <c r="A77">
        <v>2000</v>
      </c>
      <c r="B77" s="311">
        <v>29344.583369780332</v>
      </c>
      <c r="C77" s="312">
        <v>1026.0025346279144</v>
      </c>
      <c r="D77" s="312">
        <v>36166.211456298828</v>
      </c>
      <c r="E77" s="312">
        <v>0</v>
      </c>
      <c r="F77" s="312">
        <v>15188.556368738413</v>
      </c>
      <c r="G77" s="312">
        <v>2036.5992698669434</v>
      </c>
      <c r="H77" s="312">
        <v>0</v>
      </c>
      <c r="I77" s="312">
        <v>103112.69490233064</v>
      </c>
      <c r="J77" s="312">
        <v>2382.4728620052338</v>
      </c>
      <c r="K77" s="312">
        <v>0</v>
      </c>
      <c r="L77" s="312">
        <v>18819.408040262751</v>
      </c>
      <c r="M77" s="312">
        <v>1411.2530813217163</v>
      </c>
      <c r="N77" s="312">
        <v>0</v>
      </c>
      <c r="O77" s="312">
        <v>31979.584313808456</v>
      </c>
      <c r="P77" s="312">
        <v>323.67598628997803</v>
      </c>
      <c r="Q77" s="312">
        <v>13817.336681306362</v>
      </c>
      <c r="R77" s="312">
        <v>598.83215999603271</v>
      </c>
      <c r="S77" s="312">
        <v>0</v>
      </c>
      <c r="T77" s="312">
        <v>23653.961953699218</v>
      </c>
      <c r="U77" s="312">
        <v>1505.6788748502731</v>
      </c>
      <c r="V77" s="312">
        <v>0</v>
      </c>
      <c r="W77" s="312">
        <v>163350.64299086825</v>
      </c>
      <c r="X77" s="312">
        <v>5191.6899812221527</v>
      </c>
      <c r="Y77" s="312">
        <v>0</v>
      </c>
      <c r="Z77" s="312">
        <v>217884.83100879192</v>
      </c>
      <c r="AA77" s="313">
        <v>49342.498036701523</v>
      </c>
      <c r="AB77" s="314">
        <v>0</v>
      </c>
      <c r="AC77" s="314">
        <v>30370.585904408246</v>
      </c>
      <c r="AD77" s="314">
        <v>17225.155638605356</v>
      </c>
      <c r="AE77" s="314">
        <v>105495.16776433587</v>
      </c>
      <c r="AF77" s="314">
        <v>20230.661121584468</v>
      </c>
      <c r="AG77" s="314">
        <v>32303.260300098435</v>
      </c>
      <c r="AH77" s="314">
        <v>14416.168841302395</v>
      </c>
      <c r="AI77" s="314">
        <v>25159.640828549491</v>
      </c>
      <c r="AJ77" s="315">
        <v>168542.3329720904</v>
      </c>
    </row>
    <row r="78" spans="1:36" x14ac:dyDescent="0.25">
      <c r="A78">
        <v>2001</v>
      </c>
      <c r="B78" s="311">
        <v>33777.548021025956</v>
      </c>
      <c r="C78" s="312">
        <v>1026.0025346279144</v>
      </c>
      <c r="D78" s="312">
        <v>100318.58647155762</v>
      </c>
      <c r="E78" s="312">
        <v>0</v>
      </c>
      <c r="F78" s="312">
        <v>17078.43208155036</v>
      </c>
      <c r="G78" s="312">
        <v>2036.5992698669434</v>
      </c>
      <c r="H78" s="312">
        <v>0</v>
      </c>
      <c r="I78" s="312">
        <v>110053.79519414157</v>
      </c>
      <c r="J78" s="312">
        <v>2675.7520997524261</v>
      </c>
      <c r="K78" s="312">
        <v>0</v>
      </c>
      <c r="L78" s="312">
        <v>20484.744205974028</v>
      </c>
      <c r="M78" s="312">
        <v>1389.206042766571</v>
      </c>
      <c r="N78" s="312">
        <v>0</v>
      </c>
      <c r="O78" s="312">
        <v>43369.20257565238</v>
      </c>
      <c r="P78" s="312">
        <v>441.15729832649231</v>
      </c>
      <c r="Q78" s="312">
        <v>16257.600159466267</v>
      </c>
      <c r="R78" s="312">
        <v>598.83215999603271</v>
      </c>
      <c r="S78" s="312">
        <v>0</v>
      </c>
      <c r="T78" s="312">
        <v>25370.646662449559</v>
      </c>
      <c r="U78" s="312">
        <v>1517.2668788451713</v>
      </c>
      <c r="V78" s="312">
        <v>0</v>
      </c>
      <c r="W78" s="312">
        <v>156871.8580951576</v>
      </c>
      <c r="X78" s="312">
        <v>5422.8628231664115</v>
      </c>
      <c r="Y78" s="312">
        <v>0</v>
      </c>
      <c r="Z78" s="312">
        <v>229907.88041687012</v>
      </c>
      <c r="AA78" s="313">
        <v>67613.159498546098</v>
      </c>
      <c r="AB78" s="314">
        <v>0</v>
      </c>
      <c r="AC78" s="314">
        <v>34803.55055565387</v>
      </c>
      <c r="AD78" s="314">
        <v>19115.031351417303</v>
      </c>
      <c r="AE78" s="314">
        <v>112729.54729389399</v>
      </c>
      <c r="AF78" s="314">
        <v>21873.950248740599</v>
      </c>
      <c r="AG78" s="314">
        <v>43810.359873978872</v>
      </c>
      <c r="AH78" s="314">
        <v>16856.432319462299</v>
      </c>
      <c r="AI78" s="314">
        <v>26887.913541294729</v>
      </c>
      <c r="AJ78" s="315">
        <v>162294.72091832402</v>
      </c>
    </row>
    <row r="79" spans="1:36" x14ac:dyDescent="0.25">
      <c r="A79">
        <v>2002</v>
      </c>
      <c r="B79" s="311">
        <v>26964.0081907399</v>
      </c>
      <c r="C79" s="312">
        <v>1026.0025346279144</v>
      </c>
      <c r="D79" s="312">
        <v>3234.6556396484375</v>
      </c>
      <c r="E79" s="312">
        <v>0</v>
      </c>
      <c r="F79" s="312">
        <v>11024.693001762033</v>
      </c>
      <c r="G79" s="312">
        <v>2036.5992698669434</v>
      </c>
      <c r="H79" s="312">
        <v>0</v>
      </c>
      <c r="I79" s="312">
        <v>80389.895578101277</v>
      </c>
      <c r="J79" s="312">
        <v>1638.1048314571381</v>
      </c>
      <c r="K79" s="312">
        <v>0</v>
      </c>
      <c r="L79" s="312">
        <v>20280.902608476583</v>
      </c>
      <c r="M79" s="312">
        <v>1351.6636481285095</v>
      </c>
      <c r="N79" s="312">
        <v>0</v>
      </c>
      <c r="O79" s="312">
        <v>11701.721521845311</v>
      </c>
      <c r="P79" s="312">
        <v>283.38596367835999</v>
      </c>
      <c r="Q79" s="312">
        <v>5104.6303098872304</v>
      </c>
      <c r="R79" s="312">
        <v>598.83215999603271</v>
      </c>
      <c r="S79" s="312">
        <v>0</v>
      </c>
      <c r="T79" s="312">
        <v>7585.0531404879694</v>
      </c>
      <c r="U79" s="312">
        <v>1384.9693204106006</v>
      </c>
      <c r="V79" s="312">
        <v>0</v>
      </c>
      <c r="W79" s="312">
        <v>79882.678049693015</v>
      </c>
      <c r="X79" s="312">
        <v>4547.4637647284562</v>
      </c>
      <c r="Y79" s="312">
        <v>0</v>
      </c>
      <c r="Z79" s="312">
        <v>130283.96319517493</v>
      </c>
      <c r="AA79" s="313">
        <v>45853.821380753463</v>
      </c>
      <c r="AB79" s="314">
        <v>0</v>
      </c>
      <c r="AC79" s="314">
        <v>27990.010725367814</v>
      </c>
      <c r="AD79" s="314">
        <v>13061.292271628976</v>
      </c>
      <c r="AE79" s="314">
        <v>82028.000409558415</v>
      </c>
      <c r="AF79" s="314">
        <v>21632.566256605092</v>
      </c>
      <c r="AG79" s="314">
        <v>11985.107485523671</v>
      </c>
      <c r="AH79" s="314">
        <v>5703.4624698832631</v>
      </c>
      <c r="AI79" s="314">
        <v>8970.02246089857</v>
      </c>
      <c r="AJ79" s="315">
        <v>84430.141814421469</v>
      </c>
    </row>
    <row r="80" spans="1:36" x14ac:dyDescent="0.25">
      <c r="A80">
        <v>2003</v>
      </c>
      <c r="B80" s="311">
        <v>31585.439941242337</v>
      </c>
      <c r="C80" s="312">
        <v>1026.0025346279144</v>
      </c>
      <c r="D80" s="312">
        <v>52572.441284179688</v>
      </c>
      <c r="E80" s="312">
        <v>0</v>
      </c>
      <c r="F80" s="312">
        <v>14781.691949039698</v>
      </c>
      <c r="G80" s="312">
        <v>2036.5992698669434</v>
      </c>
      <c r="H80" s="312">
        <v>0</v>
      </c>
      <c r="I80" s="312">
        <v>92405.76457285881</v>
      </c>
      <c r="J80" s="312">
        <v>1630.7999751567841</v>
      </c>
      <c r="K80" s="312">
        <v>0</v>
      </c>
      <c r="L80" s="312">
        <v>19394.248131901011</v>
      </c>
      <c r="M80" s="312">
        <v>1362.6126961708069</v>
      </c>
      <c r="N80" s="312">
        <v>0</v>
      </c>
      <c r="O80" s="312">
        <v>25875.657834496797</v>
      </c>
      <c r="P80" s="312">
        <v>288.09121346473694</v>
      </c>
      <c r="Q80" s="312">
        <v>12372.079201120883</v>
      </c>
      <c r="R80" s="312">
        <v>598.83215999603271</v>
      </c>
      <c r="S80" s="312">
        <v>0</v>
      </c>
      <c r="T80" s="312">
        <v>19320.535671932324</v>
      </c>
      <c r="U80" s="312">
        <v>1424.2903785641929</v>
      </c>
      <c r="V80" s="312">
        <v>0</v>
      </c>
      <c r="W80" s="312">
        <v>109219.60343900383</v>
      </c>
      <c r="X80" s="312">
        <v>4971.0676205158234</v>
      </c>
      <c r="Y80" s="312">
        <v>0</v>
      </c>
      <c r="Z80" s="312">
        <v>199370.26995080709</v>
      </c>
      <c r="AA80" s="313">
        <v>85179.598891287445</v>
      </c>
      <c r="AB80" s="314">
        <v>0</v>
      </c>
      <c r="AC80" s="314">
        <v>32611.442475870252</v>
      </c>
      <c r="AD80" s="314">
        <v>16818.291218906641</v>
      </c>
      <c r="AE80" s="314">
        <v>94036.564548015594</v>
      </c>
      <c r="AF80" s="314">
        <v>20756.860828071818</v>
      </c>
      <c r="AG80" s="314">
        <v>26163.749047961534</v>
      </c>
      <c r="AH80" s="314">
        <v>12970.911361116916</v>
      </c>
      <c r="AI80" s="314">
        <v>20744.826050496518</v>
      </c>
      <c r="AJ80" s="315">
        <v>114190.67105951965</v>
      </c>
    </row>
    <row r="81" spans="1:36" x14ac:dyDescent="0.25">
      <c r="A81">
        <v>2004</v>
      </c>
      <c r="B81" s="311">
        <v>31459.278848335147</v>
      </c>
      <c r="C81" s="312">
        <v>1026.0025346279144</v>
      </c>
      <c r="D81" s="312">
        <v>76055.975341796875</v>
      </c>
      <c r="E81" s="312">
        <v>0</v>
      </c>
      <c r="F81" s="312">
        <v>15241.384085401893</v>
      </c>
      <c r="G81" s="312">
        <v>2036.5992698669434</v>
      </c>
      <c r="H81" s="312">
        <v>0</v>
      </c>
      <c r="I81" s="312">
        <v>106508.48886989057</v>
      </c>
      <c r="J81" s="312">
        <v>2490.0431497097015</v>
      </c>
      <c r="K81" s="312">
        <v>0</v>
      </c>
      <c r="L81" s="312">
        <v>18309.763495400541</v>
      </c>
      <c r="M81" s="312">
        <v>1412.5928068161011</v>
      </c>
      <c r="N81" s="312">
        <v>0</v>
      </c>
      <c r="O81" s="312">
        <v>36574.474019209374</v>
      </c>
      <c r="P81" s="312">
        <v>350.8755931854248</v>
      </c>
      <c r="Q81" s="312">
        <v>12691.453418567777</v>
      </c>
      <c r="R81" s="312">
        <v>598.83215999603271</v>
      </c>
      <c r="S81" s="312">
        <v>0</v>
      </c>
      <c r="T81" s="312">
        <v>24291.983118274809</v>
      </c>
      <c r="U81" s="312">
        <v>1512.3626504540443</v>
      </c>
      <c r="V81" s="312">
        <v>0</v>
      </c>
      <c r="W81" s="312">
        <v>120953.99038215324</v>
      </c>
      <c r="X81" s="312">
        <v>5414.614354464793</v>
      </c>
      <c r="Y81" s="312">
        <v>0</v>
      </c>
      <c r="Z81" s="312">
        <v>245619.79559373856</v>
      </c>
      <c r="AA81" s="313">
        <v>119251.19085712053</v>
      </c>
      <c r="AB81" s="314">
        <v>0</v>
      </c>
      <c r="AC81" s="314">
        <v>32485.281382963061</v>
      </c>
      <c r="AD81" s="314">
        <v>17277.983355268836</v>
      </c>
      <c r="AE81" s="314">
        <v>108998.53201960027</v>
      </c>
      <c r="AF81" s="314">
        <v>19722.356302216642</v>
      </c>
      <c r="AG81" s="314">
        <v>36925.349612394799</v>
      </c>
      <c r="AH81" s="314">
        <v>13290.285578563809</v>
      </c>
      <c r="AI81" s="314">
        <v>25804.345768728854</v>
      </c>
      <c r="AJ81" s="315">
        <v>126368.60473661803</v>
      </c>
    </row>
    <row r="82" spans="1:36" x14ac:dyDescent="0.25">
      <c r="A82">
        <v>2005</v>
      </c>
      <c r="B82" s="311">
        <v>34705.665779799223</v>
      </c>
      <c r="C82" s="312">
        <v>1026.0025346279144</v>
      </c>
      <c r="D82" s="312">
        <v>106948.22332763672</v>
      </c>
      <c r="E82" s="312">
        <v>0</v>
      </c>
      <c r="F82" s="312">
        <v>17310.619971886277</v>
      </c>
      <c r="G82" s="312">
        <v>2036.5992698669434</v>
      </c>
      <c r="H82" s="312">
        <v>0</v>
      </c>
      <c r="I82" s="312">
        <v>106589.08177943528</v>
      </c>
      <c r="J82" s="312">
        <v>2428.0296285152435</v>
      </c>
      <c r="K82" s="312">
        <v>0</v>
      </c>
      <c r="L82" s="312">
        <v>18769.203691616654</v>
      </c>
      <c r="M82" s="312">
        <v>1422.3165097236633</v>
      </c>
      <c r="N82" s="312">
        <v>0</v>
      </c>
      <c r="O82" s="312">
        <v>49216.352149574537</v>
      </c>
      <c r="P82" s="312">
        <v>544.84344577789307</v>
      </c>
      <c r="Q82" s="312">
        <v>19702.658020853996</v>
      </c>
      <c r="R82" s="312">
        <v>598.83215999603271</v>
      </c>
      <c r="S82" s="312">
        <v>0</v>
      </c>
      <c r="T82" s="312">
        <v>28338.14821075611</v>
      </c>
      <c r="U82" s="312">
        <v>1597.1844631433487</v>
      </c>
      <c r="V82" s="312">
        <v>0</v>
      </c>
      <c r="W82" s="312">
        <v>137898.75641984091</v>
      </c>
      <c r="X82" s="312">
        <v>5846.7669621066789</v>
      </c>
      <c r="Y82" s="312">
        <v>0</v>
      </c>
      <c r="Z82" s="312">
        <v>201277.04602241516</v>
      </c>
      <c r="AA82" s="313">
        <v>57531.52264046757</v>
      </c>
      <c r="AB82" s="314">
        <v>0</v>
      </c>
      <c r="AC82" s="314">
        <v>35731.668314427137</v>
      </c>
      <c r="AD82" s="314">
        <v>19347.219241753221</v>
      </c>
      <c r="AE82" s="314">
        <v>109017.11140795052</v>
      </c>
      <c r="AF82" s="314">
        <v>20191.520201340318</v>
      </c>
      <c r="AG82" s="314">
        <v>49761.19559535243</v>
      </c>
      <c r="AH82" s="314">
        <v>20301.490180850029</v>
      </c>
      <c r="AI82" s="314">
        <v>29935.332673899458</v>
      </c>
      <c r="AJ82" s="315">
        <v>143745.5233819476</v>
      </c>
    </row>
    <row r="83" spans="1:36" x14ac:dyDescent="0.25">
      <c r="A83">
        <v>2006</v>
      </c>
      <c r="B83" s="311">
        <v>26892.104374498129</v>
      </c>
      <c r="C83" s="312">
        <v>1026.0025346279144</v>
      </c>
      <c r="D83" s="312">
        <v>59986.444580078125</v>
      </c>
      <c r="E83" s="312">
        <v>0</v>
      </c>
      <c r="F83" s="312">
        <v>13236.249928593636</v>
      </c>
      <c r="G83" s="312">
        <v>2036.5992698669434</v>
      </c>
      <c r="H83" s="312">
        <v>0</v>
      </c>
      <c r="I83" s="312">
        <v>97777.8410429582</v>
      </c>
      <c r="J83" s="312">
        <v>2190.8357312679291</v>
      </c>
      <c r="K83" s="312">
        <v>0</v>
      </c>
      <c r="L83" s="312">
        <v>17667.845848649737</v>
      </c>
      <c r="M83" s="312">
        <v>1426.5519766807556</v>
      </c>
      <c r="N83" s="312">
        <v>0</v>
      </c>
      <c r="O83" s="312">
        <v>36140.171056015868</v>
      </c>
      <c r="P83" s="312">
        <v>333.02450108528137</v>
      </c>
      <c r="Q83" s="312">
        <v>11371.097733090632</v>
      </c>
      <c r="R83" s="312">
        <v>598.83215999603271</v>
      </c>
      <c r="S83" s="312">
        <v>0</v>
      </c>
      <c r="T83" s="312">
        <v>19254.810362733529</v>
      </c>
      <c r="U83" s="312">
        <v>1386.8336003422737</v>
      </c>
      <c r="V83" s="312">
        <v>0</v>
      </c>
      <c r="W83" s="312">
        <v>139720.50074604497</v>
      </c>
      <c r="X83" s="312">
        <v>5485.2871244246926</v>
      </c>
      <c r="Y83" s="312">
        <v>0</v>
      </c>
      <c r="Z83" s="312">
        <v>264037.38139343262</v>
      </c>
      <c r="AA83" s="313">
        <v>118831.59352296295</v>
      </c>
      <c r="AB83" s="314">
        <v>0</v>
      </c>
      <c r="AC83" s="314">
        <v>27918.106909126043</v>
      </c>
      <c r="AD83" s="314">
        <v>15272.849198460579</v>
      </c>
      <c r="AE83" s="314">
        <v>99968.676774226129</v>
      </c>
      <c r="AF83" s="314">
        <v>19094.397825330492</v>
      </c>
      <c r="AG83" s="314">
        <v>36473.195557101149</v>
      </c>
      <c r="AH83" s="314">
        <v>11969.929893086664</v>
      </c>
      <c r="AI83" s="314">
        <v>20641.643963075803</v>
      </c>
      <c r="AJ83" s="315">
        <v>145205.78787046968</v>
      </c>
    </row>
    <row r="84" spans="1:36" x14ac:dyDescent="0.25">
      <c r="A84">
        <v>2007</v>
      </c>
      <c r="B84" s="311">
        <v>32083.032539010048</v>
      </c>
      <c r="C84" s="312">
        <v>1026.0025346279144</v>
      </c>
      <c r="D84" s="312">
        <v>96758.552978515625</v>
      </c>
      <c r="E84" s="312">
        <v>0</v>
      </c>
      <c r="F84" s="312">
        <v>15841.813684478402</v>
      </c>
      <c r="G84" s="312">
        <v>2036.5992698669434</v>
      </c>
      <c r="H84" s="312">
        <v>0</v>
      </c>
      <c r="I84" s="312">
        <v>104663.71859885007</v>
      </c>
      <c r="J84" s="312">
        <v>2561.2755105495453</v>
      </c>
      <c r="K84" s="312">
        <v>0</v>
      </c>
      <c r="L84" s="312">
        <v>19207.54189334064</v>
      </c>
      <c r="M84" s="312">
        <v>1416.033796787262</v>
      </c>
      <c r="N84" s="312">
        <v>0</v>
      </c>
      <c r="O84" s="312">
        <v>43189.303810565252</v>
      </c>
      <c r="P84" s="312">
        <v>425.02103614807129</v>
      </c>
      <c r="Q84" s="312">
        <v>13857.634303599596</v>
      </c>
      <c r="R84" s="312">
        <v>598.83215999603271</v>
      </c>
      <c r="S84" s="312">
        <v>0</v>
      </c>
      <c r="T84" s="312">
        <v>24818.198987962307</v>
      </c>
      <c r="U84" s="312">
        <v>1514.4769573284157</v>
      </c>
      <c r="V84" s="312">
        <v>0</v>
      </c>
      <c r="W84" s="312">
        <v>141257.03249118075</v>
      </c>
      <c r="X84" s="312">
        <v>5690.5539253322095</v>
      </c>
      <c r="Y84" s="312">
        <v>0</v>
      </c>
      <c r="Z84" s="312">
        <v>201517.66971969604</v>
      </c>
      <c r="AA84" s="313">
        <v>54570.083303183084</v>
      </c>
      <c r="AB84" s="314">
        <v>0</v>
      </c>
      <c r="AC84" s="314">
        <v>33109.035073637962</v>
      </c>
      <c r="AD84" s="314">
        <v>17878.412954345345</v>
      </c>
      <c r="AE84" s="314">
        <v>107224.99410939962</v>
      </c>
      <c r="AF84" s="314">
        <v>20623.575690127902</v>
      </c>
      <c r="AG84" s="314">
        <v>43614.324846713323</v>
      </c>
      <c r="AH84" s="314">
        <v>14456.466463595629</v>
      </c>
      <c r="AI84" s="314">
        <v>26332.675945290721</v>
      </c>
      <c r="AJ84" s="315">
        <v>146947.58641651296</v>
      </c>
    </row>
    <row r="85" spans="1:36" x14ac:dyDescent="0.25">
      <c r="A85">
        <v>2008</v>
      </c>
      <c r="B85" s="311">
        <v>33378.825506225228</v>
      </c>
      <c r="C85" s="312">
        <v>1026.0025346279144</v>
      </c>
      <c r="D85" s="312">
        <v>129360.86596679688</v>
      </c>
      <c r="E85" s="312">
        <v>0</v>
      </c>
      <c r="F85" s="312">
        <v>16555.219167292118</v>
      </c>
      <c r="G85" s="312">
        <v>2036.5992698669434</v>
      </c>
      <c r="H85" s="312">
        <v>0</v>
      </c>
      <c r="I85" s="312">
        <v>111252.5134780854</v>
      </c>
      <c r="J85" s="312">
        <v>2318.7293984889984</v>
      </c>
      <c r="K85" s="312">
        <v>0</v>
      </c>
      <c r="L85" s="312">
        <v>18740.911564283084</v>
      </c>
      <c r="M85" s="312">
        <v>1412.0403499603271</v>
      </c>
      <c r="N85" s="312">
        <v>0</v>
      </c>
      <c r="O85" s="312">
        <v>44964.894185288329</v>
      </c>
      <c r="P85" s="312">
        <v>445.30504512786865</v>
      </c>
      <c r="Q85" s="312">
        <v>17076.383311137557</v>
      </c>
      <c r="R85" s="312">
        <v>598.83215999603271</v>
      </c>
      <c r="S85" s="312">
        <v>0</v>
      </c>
      <c r="T85" s="312">
        <v>28452.602227799223</v>
      </c>
      <c r="U85" s="312">
        <v>1583.6902306559405</v>
      </c>
      <c r="V85" s="312">
        <v>0</v>
      </c>
      <c r="W85" s="312">
        <v>135675.48817108915</v>
      </c>
      <c r="X85" s="312">
        <v>5859.8621201835376</v>
      </c>
      <c r="Y85" s="312">
        <v>0</v>
      </c>
      <c r="Z85" s="312">
        <v>198992.18550491333</v>
      </c>
      <c r="AA85" s="313">
        <v>57456.835213640647</v>
      </c>
      <c r="AB85" s="314">
        <v>0</v>
      </c>
      <c r="AC85" s="314">
        <v>34404.828040853143</v>
      </c>
      <c r="AD85" s="314">
        <v>18591.818437159061</v>
      </c>
      <c r="AE85" s="314">
        <v>113571.2428765744</v>
      </c>
      <c r="AF85" s="314">
        <v>20152.951914243411</v>
      </c>
      <c r="AG85" s="314">
        <v>45410.199230416198</v>
      </c>
      <c r="AH85" s="314">
        <v>17675.21547113359</v>
      </c>
      <c r="AI85" s="314">
        <v>30036.292458455166</v>
      </c>
      <c r="AJ85" s="315">
        <v>141535.35029127268</v>
      </c>
    </row>
    <row r="86" spans="1:36" x14ac:dyDescent="0.25">
      <c r="A86">
        <v>2009</v>
      </c>
      <c r="B86" s="311">
        <v>30725.939101696014</v>
      </c>
      <c r="C86" s="312">
        <v>1026.0025346279144</v>
      </c>
      <c r="D86" s="312">
        <v>82542.131469726563</v>
      </c>
      <c r="E86" s="312">
        <v>0</v>
      </c>
      <c r="F86" s="312">
        <v>14606.617819294333</v>
      </c>
      <c r="G86" s="312">
        <v>2036.5992698669434</v>
      </c>
      <c r="H86" s="312">
        <v>0</v>
      </c>
      <c r="I86" s="312">
        <v>104630.80676944554</v>
      </c>
      <c r="J86" s="312">
        <v>2669.7703874111176</v>
      </c>
      <c r="K86" s="312">
        <v>0</v>
      </c>
      <c r="L86" s="312">
        <v>17856.210318066172</v>
      </c>
      <c r="M86" s="312">
        <v>1430.852249622345</v>
      </c>
      <c r="N86" s="312">
        <v>0</v>
      </c>
      <c r="O86" s="312">
        <v>33340.714469304759</v>
      </c>
      <c r="P86" s="312">
        <v>414.27928733825684</v>
      </c>
      <c r="Q86" s="312">
        <v>14244.025078341365</v>
      </c>
      <c r="R86" s="312">
        <v>598.83215999603271</v>
      </c>
      <c r="S86" s="312">
        <v>0</v>
      </c>
      <c r="T86" s="312">
        <v>22469.61312803589</v>
      </c>
      <c r="U86" s="312">
        <v>1510.1296254992485</v>
      </c>
      <c r="V86" s="312">
        <v>0</v>
      </c>
      <c r="W86" s="312">
        <v>141146.91952011333</v>
      </c>
      <c r="X86" s="312">
        <v>5792.4695515632629</v>
      </c>
      <c r="Y86" s="312">
        <v>0</v>
      </c>
      <c r="Z86" s="312">
        <v>232946.2184753418</v>
      </c>
      <c r="AA86" s="313">
        <v>86006.829403665208</v>
      </c>
      <c r="AB86" s="314">
        <v>0</v>
      </c>
      <c r="AC86" s="314">
        <v>31751.941636323929</v>
      </c>
      <c r="AD86" s="314">
        <v>16643.217089161277</v>
      </c>
      <c r="AE86" s="314">
        <v>107300.57715685666</v>
      </c>
      <c r="AF86" s="314">
        <v>19287.062567688517</v>
      </c>
      <c r="AG86" s="314">
        <v>33754.993756643016</v>
      </c>
      <c r="AH86" s="314">
        <v>14842.857238337398</v>
      </c>
      <c r="AI86" s="314">
        <v>23979.742753535138</v>
      </c>
      <c r="AJ86" s="315">
        <v>146939.38907167659</v>
      </c>
    </row>
    <row r="87" spans="1:36" x14ac:dyDescent="0.25">
      <c r="A87">
        <v>2010</v>
      </c>
      <c r="B87" s="311">
        <v>32922.027227371931</v>
      </c>
      <c r="C87" s="312">
        <v>1026.0025346279144</v>
      </c>
      <c r="D87" s="312">
        <v>83031.094848632813</v>
      </c>
      <c r="E87" s="312">
        <v>0</v>
      </c>
      <c r="F87" s="312">
        <v>15864.970588542521</v>
      </c>
      <c r="G87" s="312">
        <v>2036.5992698669434</v>
      </c>
      <c r="H87" s="312">
        <v>0</v>
      </c>
      <c r="I87" s="312">
        <v>105360.42239324749</v>
      </c>
      <c r="J87" s="312">
        <v>2550.0876233577728</v>
      </c>
      <c r="K87" s="312">
        <v>0</v>
      </c>
      <c r="L87" s="312">
        <v>17678.082465201613</v>
      </c>
      <c r="M87" s="312">
        <v>1407.6486639976501</v>
      </c>
      <c r="N87" s="312">
        <v>0</v>
      </c>
      <c r="O87" s="312">
        <v>32988.825523136635</v>
      </c>
      <c r="P87" s="312">
        <v>334.8253014087677</v>
      </c>
      <c r="Q87" s="312">
        <v>14464.764993004501</v>
      </c>
      <c r="R87" s="312">
        <v>598.83215999603271</v>
      </c>
      <c r="S87" s="312">
        <v>0</v>
      </c>
      <c r="T87" s="312">
        <v>24658.972791932152</v>
      </c>
      <c r="U87" s="312">
        <v>1511.119145065546</v>
      </c>
      <c r="V87" s="312">
        <v>0</v>
      </c>
      <c r="W87" s="312">
        <v>135488.68310279743</v>
      </c>
      <c r="X87" s="312">
        <v>5836.8219375610352</v>
      </c>
      <c r="Y87" s="312">
        <v>0</v>
      </c>
      <c r="Z87" s="312">
        <v>240864.36229419708</v>
      </c>
      <c r="AA87" s="313">
        <v>99538.857253838622</v>
      </c>
      <c r="AB87" s="314">
        <v>0</v>
      </c>
      <c r="AC87" s="314">
        <v>33948.029761999846</v>
      </c>
      <c r="AD87" s="314">
        <v>17901.569858409464</v>
      </c>
      <c r="AE87" s="314">
        <v>107910.51001660526</v>
      </c>
      <c r="AF87" s="314">
        <v>19085.731129199263</v>
      </c>
      <c r="AG87" s="314">
        <v>33323.650824545402</v>
      </c>
      <c r="AH87" s="314">
        <v>15063.597153000534</v>
      </c>
      <c r="AI87" s="314">
        <v>26170.091936997698</v>
      </c>
      <c r="AJ87" s="315">
        <v>141325.50504035846</v>
      </c>
    </row>
    <row r="88" spans="1:36" x14ac:dyDescent="0.25">
      <c r="A88">
        <v>2011</v>
      </c>
      <c r="B88" s="311">
        <v>31788.936209842563</v>
      </c>
      <c r="C88" s="312">
        <v>1026.0025346279144</v>
      </c>
      <c r="D88" s="312">
        <v>76828.638427734375</v>
      </c>
      <c r="E88" s="312">
        <v>0</v>
      </c>
      <c r="F88" s="312">
        <v>15198.787290260196</v>
      </c>
      <c r="G88" s="312">
        <v>2036.5992698669434</v>
      </c>
      <c r="H88" s="312">
        <v>0</v>
      </c>
      <c r="I88" s="312">
        <v>103310.264991045</v>
      </c>
      <c r="J88" s="312">
        <v>2495.3539884090424</v>
      </c>
      <c r="K88" s="312">
        <v>0</v>
      </c>
      <c r="L88" s="312">
        <v>18195.077438250177</v>
      </c>
      <c r="M88" s="312">
        <v>1374.6366958618164</v>
      </c>
      <c r="N88" s="312">
        <v>0</v>
      </c>
      <c r="O88" s="312">
        <v>35772.402531264801</v>
      </c>
      <c r="P88" s="312">
        <v>357.85462975502014</v>
      </c>
      <c r="Q88" s="312">
        <v>14833.825332716107</v>
      </c>
      <c r="R88" s="312">
        <v>598.83215999603271</v>
      </c>
      <c r="S88" s="312">
        <v>0</v>
      </c>
      <c r="T88" s="312">
        <v>25922.933139606939</v>
      </c>
      <c r="U88" s="312">
        <v>1573.0218700613934</v>
      </c>
      <c r="V88" s="312">
        <v>0</v>
      </c>
      <c r="W88" s="312">
        <v>139863.5116554682</v>
      </c>
      <c r="X88" s="312">
        <v>5515.8249931335449</v>
      </c>
      <c r="Y88" s="312">
        <v>0</v>
      </c>
      <c r="Z88" s="312">
        <v>237612.81143569946</v>
      </c>
      <c r="AA88" s="313">
        <v>92233.474787097715</v>
      </c>
      <c r="AB88" s="314">
        <v>0</v>
      </c>
      <c r="AC88" s="314">
        <v>32814.938744470477</v>
      </c>
      <c r="AD88" s="314">
        <v>17235.386560127139</v>
      </c>
      <c r="AE88" s="314">
        <v>105805.61897945404</v>
      </c>
      <c r="AF88" s="314">
        <v>19569.714134111993</v>
      </c>
      <c r="AG88" s="314">
        <v>36130.257161019821</v>
      </c>
      <c r="AH88" s="314">
        <v>15432.65749271214</v>
      </c>
      <c r="AI88" s="314">
        <v>27495.955009668334</v>
      </c>
      <c r="AJ88" s="315">
        <v>145379.33664860175</v>
      </c>
    </row>
    <row r="89" spans="1:36" x14ac:dyDescent="0.25">
      <c r="A89">
        <v>2012</v>
      </c>
      <c r="B89" s="311">
        <v>29802.803409129381</v>
      </c>
      <c r="C89" s="312">
        <v>1026.0025346279144</v>
      </c>
      <c r="D89" s="312">
        <v>39591.030895233154</v>
      </c>
      <c r="E89" s="312">
        <v>0</v>
      </c>
      <c r="F89" s="312">
        <v>14775.95776630193</v>
      </c>
      <c r="G89" s="312">
        <v>2036.5992698669434</v>
      </c>
      <c r="H89" s="312">
        <v>0</v>
      </c>
      <c r="I89" s="312">
        <v>82109.541924476624</v>
      </c>
      <c r="J89" s="312">
        <v>1393.3668954372406</v>
      </c>
      <c r="K89" s="312">
        <v>0</v>
      </c>
      <c r="L89" s="312">
        <v>20058.208545982834</v>
      </c>
      <c r="M89" s="312">
        <v>1425.6986212730408</v>
      </c>
      <c r="N89" s="312">
        <v>0</v>
      </c>
      <c r="O89" s="312">
        <v>26597.091481348947</v>
      </c>
      <c r="P89" s="312">
        <v>368.27211546897888</v>
      </c>
      <c r="Q89" s="312">
        <v>9270.8409530669451</v>
      </c>
      <c r="R89" s="312">
        <v>598.83215999603271</v>
      </c>
      <c r="S89" s="312">
        <v>0</v>
      </c>
      <c r="T89" s="312">
        <v>15491.004563805835</v>
      </c>
      <c r="U89" s="312">
        <v>1439.8868078589439</v>
      </c>
      <c r="V89" s="312">
        <v>0</v>
      </c>
      <c r="W89" s="312">
        <v>144553.37821376667</v>
      </c>
      <c r="X89" s="312">
        <v>5023.9206251949072</v>
      </c>
      <c r="Y89" s="312">
        <v>0</v>
      </c>
      <c r="Z89" s="312">
        <v>205520.30726623535</v>
      </c>
      <c r="AA89" s="313">
        <v>55943.008427273773</v>
      </c>
      <c r="AB89" s="314">
        <v>0</v>
      </c>
      <c r="AC89" s="314">
        <v>30828.805943757296</v>
      </c>
      <c r="AD89" s="314">
        <v>16812.557036168873</v>
      </c>
      <c r="AE89" s="314">
        <v>83502.908819913864</v>
      </c>
      <c r="AF89" s="314">
        <v>21483.907167255875</v>
      </c>
      <c r="AG89" s="314">
        <v>26965.363596817926</v>
      </c>
      <c r="AH89" s="314">
        <v>9869.6731130629778</v>
      </c>
      <c r="AI89" s="314">
        <v>16930.89137166478</v>
      </c>
      <c r="AJ89" s="315">
        <v>149577.29883896158</v>
      </c>
    </row>
    <row r="90" spans="1:36" ht="15.75" thickBot="1" x14ac:dyDescent="0.3">
      <c r="A90">
        <v>2013</v>
      </c>
      <c r="B90" s="316"/>
      <c r="C90" s="317"/>
      <c r="D90" s="317"/>
      <c r="E90" s="317"/>
      <c r="F90" s="317"/>
      <c r="G90" s="317"/>
      <c r="H90" s="317"/>
      <c r="I90" s="317"/>
      <c r="J90" s="317"/>
      <c r="K90" s="317"/>
      <c r="L90" s="317"/>
      <c r="M90" s="317"/>
      <c r="N90" s="317"/>
      <c r="O90" s="317"/>
      <c r="P90" s="317"/>
      <c r="Q90" s="317"/>
      <c r="R90" s="317"/>
      <c r="S90" s="317"/>
      <c r="T90" s="317"/>
      <c r="U90" s="317"/>
      <c r="V90" s="317"/>
      <c r="W90" s="317"/>
      <c r="X90" s="317"/>
      <c r="Y90" s="317"/>
      <c r="Z90" s="317"/>
      <c r="AA90" s="318"/>
      <c r="AB90" s="319"/>
      <c r="AC90" s="319"/>
      <c r="AD90" s="319"/>
      <c r="AE90" s="319"/>
      <c r="AF90" s="319"/>
      <c r="AG90" s="319"/>
      <c r="AH90" s="319"/>
      <c r="AI90" s="319"/>
      <c r="AJ90" s="320"/>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E0289-2F9D-474B-8D19-2A96C8EA0934}">
  <sheetPr codeName="Sheet17">
    <tabColor theme="0" tint="-0.499984740745262"/>
  </sheetPr>
  <dimension ref="A1:AK97"/>
  <sheetViews>
    <sheetView zoomScale="55" zoomScaleNormal="55" workbookViewId="0">
      <selection activeCell="AE64" sqref="A1:AJ90"/>
    </sheetView>
  </sheetViews>
  <sheetFormatPr defaultRowHeight="15" x14ac:dyDescent="0.25"/>
  <cols>
    <col min="1" max="1" width="13" style="494" bestFit="1" customWidth="1" collapsed="1"/>
    <col min="2" max="3" width="9.28515625" style="494" bestFit="1" customWidth="1" collapsed="1"/>
    <col min="4" max="4" width="9.7109375" style="494" bestFit="1" customWidth="1" collapsed="1"/>
    <col min="5" max="8" width="9.28515625" style="494" bestFit="1" customWidth="1" collapsed="1"/>
    <col min="9" max="9" width="9.7109375" style="494" bestFit="1" customWidth="1" collapsed="1"/>
    <col min="10" max="22" width="9.28515625" style="494" bestFit="1" customWidth="1" collapsed="1"/>
    <col min="23" max="23" width="9.7109375" style="494" bestFit="1" customWidth="1" collapsed="1"/>
    <col min="24" max="25" width="9.28515625" style="494" bestFit="1" customWidth="1" collapsed="1"/>
    <col min="26" max="26" width="9.7109375" style="494" bestFit="1" customWidth="1" collapsed="1"/>
    <col min="27" max="36" width="12.7109375" style="494" customWidth="1" collapsed="1"/>
    <col min="37" max="16384" width="9.140625" style="494"/>
  </cols>
  <sheetData>
    <row r="1" spans="1:37" x14ac:dyDescent="0.25">
      <c r="A1" s="521" t="s">
        <v>309</v>
      </c>
      <c r="B1" s="522">
        <f>AVERAGE(B$6:B$90)</f>
        <v>31721.659133970916</v>
      </c>
      <c r="C1" s="522">
        <f t="shared" ref="C1:AJ1" si="0">AVERAGE(C$6:C$90)</f>
        <v>1026.0025346279144</v>
      </c>
      <c r="D1" s="522">
        <f t="shared" si="0"/>
        <v>91094.454309920475</v>
      </c>
      <c r="E1" s="522">
        <f t="shared" si="0"/>
        <v>2810.7051087617874</v>
      </c>
      <c r="F1" s="522">
        <f t="shared" si="0"/>
        <v>15451.932363936085</v>
      </c>
      <c r="G1" s="522">
        <f t="shared" si="0"/>
        <v>2036.5992698669434</v>
      </c>
      <c r="H1" s="522">
        <f t="shared" si="0"/>
        <v>2838.8627778291702</v>
      </c>
      <c r="I1" s="522">
        <f t="shared" si="0"/>
        <v>102587.94621147659</v>
      </c>
      <c r="J1" s="522">
        <f t="shared" si="0"/>
        <v>2375.9726961340225</v>
      </c>
      <c r="K1" s="522">
        <f t="shared" si="0"/>
        <v>19102.188742637634</v>
      </c>
      <c r="L1" s="522">
        <f t="shared" si="0"/>
        <v>17169.393423271405</v>
      </c>
      <c r="M1" s="522">
        <f t="shared" si="0"/>
        <v>1349.6109746138432</v>
      </c>
      <c r="N1" s="522">
        <f t="shared" si="0"/>
        <v>1326.6977829933167</v>
      </c>
      <c r="O1" s="522">
        <f t="shared" si="0"/>
        <v>38002.69709933205</v>
      </c>
      <c r="P1" s="522">
        <f t="shared" si="0"/>
        <v>379.72302230766843</v>
      </c>
      <c r="Q1" s="522">
        <f t="shared" si="0"/>
        <v>15617.75496055535</v>
      </c>
      <c r="R1" s="522">
        <f t="shared" si="0"/>
        <v>598.83215999603271</v>
      </c>
      <c r="S1" s="522">
        <f t="shared" si="0"/>
        <v>0</v>
      </c>
      <c r="T1" s="522">
        <f t="shared" si="0"/>
        <v>15945.950641851503</v>
      </c>
      <c r="U1" s="522">
        <f t="shared" si="0"/>
        <v>1462.2704996096129</v>
      </c>
      <c r="V1" s="522">
        <f t="shared" si="0"/>
        <v>11945.651914360267</v>
      </c>
      <c r="W1" s="522">
        <f t="shared" si="0"/>
        <v>130621.67155166905</v>
      </c>
      <c r="X1" s="522">
        <f t="shared" si="0"/>
        <v>5631.4798803242938</v>
      </c>
      <c r="Y1" s="522">
        <f t="shared" si="0"/>
        <v>212.11356273293495</v>
      </c>
      <c r="Z1" s="522">
        <f t="shared" si="0"/>
        <v>214663.79801429046</v>
      </c>
      <c r="AA1" s="522">
        <f t="shared" si="0"/>
        <v>78198.533019564318</v>
      </c>
      <c r="AB1" s="522">
        <f t="shared" si="0"/>
        <v>24751.756629228592</v>
      </c>
      <c r="AC1" s="522">
        <f t="shared" si="0"/>
        <v>32747.66166859883</v>
      </c>
      <c r="AD1" s="522">
        <f t="shared" si="0"/>
        <v>17488.531633803028</v>
      </c>
      <c r="AE1" s="522">
        <f t="shared" si="0"/>
        <v>104963.91890761061</v>
      </c>
      <c r="AF1" s="522">
        <f t="shared" si="0"/>
        <v>18519.004397885245</v>
      </c>
      <c r="AG1" s="522">
        <f t="shared" si="0"/>
        <v>38382.42012163972</v>
      </c>
      <c r="AH1" s="522">
        <f t="shared" si="0"/>
        <v>16216.587120551383</v>
      </c>
      <c r="AI1" s="522">
        <f t="shared" si="0"/>
        <v>17408.221141461116</v>
      </c>
      <c r="AJ1" s="522">
        <f t="shared" si="0"/>
        <v>136253.15143199329</v>
      </c>
    </row>
    <row r="2" spans="1:37" x14ac:dyDescent="0.25">
      <c r="A2" s="523" t="s">
        <v>310</v>
      </c>
      <c r="B2" s="524">
        <f>MIN(B$6:B$90)</f>
        <v>25159.440965354443</v>
      </c>
      <c r="C2" s="524">
        <f t="shared" ref="C2:AJ2" si="1">MIN(C$6:C$90)</f>
        <v>1026.0025346279144</v>
      </c>
      <c r="D2" s="524">
        <f t="shared" si="1"/>
        <v>3234.6556396484375</v>
      </c>
      <c r="E2" s="524">
        <f t="shared" si="1"/>
        <v>2810.7051087617874</v>
      </c>
      <c r="F2" s="524">
        <f t="shared" si="1"/>
        <v>9919.1260161325336</v>
      </c>
      <c r="G2" s="524">
        <f t="shared" si="1"/>
        <v>2036.5992698669434</v>
      </c>
      <c r="H2" s="524">
        <f t="shared" si="1"/>
        <v>2838.8627778291702</v>
      </c>
      <c r="I2" s="524">
        <f t="shared" si="1"/>
        <v>71471.089888095856</v>
      </c>
      <c r="J2" s="524">
        <f t="shared" si="1"/>
        <v>1317.3781144618988</v>
      </c>
      <c r="K2" s="524">
        <f t="shared" si="1"/>
        <v>17935.719019889832</v>
      </c>
      <c r="L2" s="524">
        <f t="shared" si="1"/>
        <v>12869.110400743779</v>
      </c>
      <c r="M2" s="524">
        <f t="shared" si="1"/>
        <v>912.17925810813904</v>
      </c>
      <c r="N2" s="524">
        <f t="shared" si="1"/>
        <v>1326.6977829933167</v>
      </c>
      <c r="O2" s="524">
        <f t="shared" si="1"/>
        <v>11704.532083502263</v>
      </c>
      <c r="P2" s="524">
        <f t="shared" si="1"/>
        <v>267.43048429489136</v>
      </c>
      <c r="Q2" s="524">
        <f t="shared" si="1"/>
        <v>5104.6303098872304</v>
      </c>
      <c r="R2" s="524">
        <f t="shared" si="1"/>
        <v>598.83215999603271</v>
      </c>
      <c r="S2" s="524">
        <f t="shared" si="1"/>
        <v>0</v>
      </c>
      <c r="T2" s="524">
        <f t="shared" si="1"/>
        <v>4420.8252652295678</v>
      </c>
      <c r="U2" s="524">
        <f t="shared" si="1"/>
        <v>1353.1931121349335</v>
      </c>
      <c r="V2" s="524">
        <f t="shared" si="1"/>
        <v>3064.0313931107521</v>
      </c>
      <c r="W2" s="524">
        <f t="shared" si="1"/>
        <v>79697.911122927573</v>
      </c>
      <c r="X2" s="524">
        <f t="shared" si="1"/>
        <v>4547.4637647284562</v>
      </c>
      <c r="Y2" s="524">
        <f t="shared" si="1"/>
        <v>212.11356273293495</v>
      </c>
      <c r="Z2" s="524">
        <f t="shared" si="1"/>
        <v>130283.96319517493</v>
      </c>
      <c r="AA2" s="524">
        <f t="shared" si="1"/>
        <v>35823.23022418256</v>
      </c>
      <c r="AB2" s="524">
        <f t="shared" si="1"/>
        <v>23585.286906480789</v>
      </c>
      <c r="AC2" s="524">
        <f t="shared" si="1"/>
        <v>26185.443499982357</v>
      </c>
      <c r="AD2" s="524">
        <f t="shared" si="1"/>
        <v>11955.725285999477</v>
      </c>
      <c r="AE2" s="524">
        <f t="shared" si="1"/>
        <v>72955.914783716202</v>
      </c>
      <c r="AF2" s="524">
        <f t="shared" si="1"/>
        <v>14232.487855978306</v>
      </c>
      <c r="AG2" s="524">
        <f t="shared" si="1"/>
        <v>11987.918047180623</v>
      </c>
      <c r="AH2" s="524">
        <f t="shared" si="1"/>
        <v>5703.4624698832631</v>
      </c>
      <c r="AI2" s="524">
        <f t="shared" si="1"/>
        <v>5804.9668499975278</v>
      </c>
      <c r="AJ2" s="524">
        <f t="shared" si="1"/>
        <v>84245.374887656028</v>
      </c>
    </row>
    <row r="3" spans="1:37" ht="15.75" thickBot="1" x14ac:dyDescent="0.3">
      <c r="A3" s="525" t="s">
        <v>311</v>
      </c>
      <c r="B3" s="526">
        <f>MAX(B$6:B$90)</f>
        <v>37568.151311397552</v>
      </c>
      <c r="C3" s="526">
        <f t="shared" ref="C3:AJ3" si="2">MAX(C$6:C$90)</f>
        <v>1026.0025346279144</v>
      </c>
      <c r="D3" s="526">
        <f t="shared" si="2"/>
        <v>191640.84257507324</v>
      </c>
      <c r="E3" s="526">
        <f t="shared" si="2"/>
        <v>2810.7051087617874</v>
      </c>
      <c r="F3" s="526">
        <f t="shared" si="2"/>
        <v>17467.8857229352</v>
      </c>
      <c r="G3" s="526">
        <f t="shared" si="2"/>
        <v>2036.5992698669434</v>
      </c>
      <c r="H3" s="526">
        <f t="shared" si="2"/>
        <v>2838.8627778291702</v>
      </c>
      <c r="I3" s="526">
        <f t="shared" si="2"/>
        <v>115008.02590584755</v>
      </c>
      <c r="J3" s="526">
        <f t="shared" si="2"/>
        <v>2696.029901266098</v>
      </c>
      <c r="K3" s="526">
        <f t="shared" si="2"/>
        <v>19116.242594718933</v>
      </c>
      <c r="L3" s="526">
        <f t="shared" si="2"/>
        <v>20482.824206374571</v>
      </c>
      <c r="M3" s="526">
        <f t="shared" si="2"/>
        <v>1438.5394735336304</v>
      </c>
      <c r="N3" s="526">
        <f t="shared" si="2"/>
        <v>1326.6977829933167</v>
      </c>
      <c r="O3" s="526">
        <f t="shared" si="2"/>
        <v>51768.329088537474</v>
      </c>
      <c r="P3" s="526">
        <f t="shared" si="2"/>
        <v>544.84344577789307</v>
      </c>
      <c r="Q3" s="526">
        <f t="shared" si="2"/>
        <v>23194.015044294298</v>
      </c>
      <c r="R3" s="526">
        <f t="shared" si="2"/>
        <v>598.83215999603271</v>
      </c>
      <c r="S3" s="526">
        <f t="shared" si="2"/>
        <v>0</v>
      </c>
      <c r="T3" s="526">
        <f t="shared" si="2"/>
        <v>26657.148342332031</v>
      </c>
      <c r="U3" s="526">
        <f t="shared" si="2"/>
        <v>1583.6459755762935</v>
      </c>
      <c r="V3" s="526">
        <f t="shared" si="2"/>
        <v>17656.200043678284</v>
      </c>
      <c r="W3" s="526">
        <f t="shared" si="2"/>
        <v>163350.64299086825</v>
      </c>
      <c r="X3" s="526">
        <f t="shared" si="2"/>
        <v>6094.1022396683693</v>
      </c>
      <c r="Y3" s="526">
        <f t="shared" si="2"/>
        <v>212.11356273293495</v>
      </c>
      <c r="Z3" s="526">
        <f t="shared" si="2"/>
        <v>264037.38139343262</v>
      </c>
      <c r="AA3" s="526">
        <f t="shared" si="2"/>
        <v>129147.41309344798</v>
      </c>
      <c r="AB3" s="526">
        <f t="shared" si="2"/>
        <v>24765.810481309891</v>
      </c>
      <c r="AC3" s="526">
        <f t="shared" si="2"/>
        <v>38594.153846025467</v>
      </c>
      <c r="AD3" s="526">
        <f t="shared" si="2"/>
        <v>19504.484992802143</v>
      </c>
      <c r="AE3" s="526">
        <f t="shared" si="2"/>
        <v>117572.51014709473</v>
      </c>
      <c r="AF3" s="526">
        <f t="shared" si="2"/>
        <v>21872.030249141142</v>
      </c>
      <c r="AG3" s="526">
        <f t="shared" si="2"/>
        <v>52287.211341945906</v>
      </c>
      <c r="AH3" s="526">
        <f t="shared" si="2"/>
        <v>23792.84720429033</v>
      </c>
      <c r="AI3" s="526">
        <f t="shared" si="2"/>
        <v>28213.801593901942</v>
      </c>
      <c r="AJ3" s="526">
        <f t="shared" si="2"/>
        <v>168542.3329720904</v>
      </c>
    </row>
    <row r="4" spans="1:37" x14ac:dyDescent="0.25">
      <c r="A4" s="527"/>
      <c r="B4" s="527"/>
      <c r="C4" s="527"/>
      <c r="D4" s="527"/>
      <c r="E4" s="527"/>
      <c r="F4" s="527"/>
      <c r="G4" s="527"/>
      <c r="H4" s="527"/>
      <c r="I4" s="527"/>
      <c r="J4" s="527"/>
      <c r="K4" s="527"/>
      <c r="L4" s="527"/>
      <c r="M4" s="527"/>
      <c r="N4" s="527"/>
      <c r="O4" s="527"/>
      <c r="P4" s="527"/>
      <c r="Q4" s="527"/>
      <c r="R4" s="527"/>
      <c r="S4" s="527"/>
      <c r="T4" s="527"/>
      <c r="U4" s="527"/>
      <c r="V4" s="527"/>
      <c r="W4" s="527"/>
      <c r="X4" s="527"/>
      <c r="Y4" s="527"/>
      <c r="Z4" s="527"/>
      <c r="AA4" s="528" t="s">
        <v>312</v>
      </c>
      <c r="AB4" s="529"/>
      <c r="AC4" s="530"/>
      <c r="AD4" s="530"/>
      <c r="AE4" s="530"/>
      <c r="AF4" s="530"/>
      <c r="AG4" s="530"/>
      <c r="AH4" s="530"/>
      <c r="AI4" s="530"/>
      <c r="AJ4" s="531"/>
    </row>
    <row r="5" spans="1:37" ht="105.75" thickBot="1" x14ac:dyDescent="0.3">
      <c r="A5" s="532" t="s">
        <v>313</v>
      </c>
      <c r="B5" s="527" t="s">
        <v>314</v>
      </c>
      <c r="C5" s="527" t="s">
        <v>315</v>
      </c>
      <c r="D5" s="527" t="s">
        <v>316</v>
      </c>
      <c r="E5" s="527" t="s">
        <v>317</v>
      </c>
      <c r="F5" s="527" t="s">
        <v>318</v>
      </c>
      <c r="G5" s="527" t="s">
        <v>319</v>
      </c>
      <c r="H5" s="527" t="s">
        <v>320</v>
      </c>
      <c r="I5" s="527" t="s">
        <v>321</v>
      </c>
      <c r="J5" s="527" t="s">
        <v>322</v>
      </c>
      <c r="K5" s="527" t="s">
        <v>323</v>
      </c>
      <c r="L5" s="527" t="s">
        <v>324</v>
      </c>
      <c r="M5" s="527" t="s">
        <v>325</v>
      </c>
      <c r="N5" s="527" t="s">
        <v>326</v>
      </c>
      <c r="O5" s="527" t="s">
        <v>327</v>
      </c>
      <c r="P5" s="527" t="s">
        <v>328</v>
      </c>
      <c r="Q5" s="527" t="s">
        <v>329</v>
      </c>
      <c r="R5" s="527" t="s">
        <v>330</v>
      </c>
      <c r="S5" s="527" t="s">
        <v>331</v>
      </c>
      <c r="T5" s="527" t="s">
        <v>332</v>
      </c>
      <c r="U5" s="527" t="s">
        <v>333</v>
      </c>
      <c r="V5" s="527" t="s">
        <v>334</v>
      </c>
      <c r="W5" s="527" t="s">
        <v>125</v>
      </c>
      <c r="X5" s="527" t="s">
        <v>335</v>
      </c>
      <c r="Y5" s="527" t="s">
        <v>336</v>
      </c>
      <c r="Z5" s="527" t="s">
        <v>337</v>
      </c>
      <c r="AA5" s="533" t="s">
        <v>177</v>
      </c>
      <c r="AB5" s="534" t="s">
        <v>338</v>
      </c>
      <c r="AC5" s="534" t="s">
        <v>339</v>
      </c>
      <c r="AD5" s="534" t="s">
        <v>340</v>
      </c>
      <c r="AE5" s="534" t="s">
        <v>341</v>
      </c>
      <c r="AF5" s="534" t="s">
        <v>342</v>
      </c>
      <c r="AG5" s="534" t="s">
        <v>343</v>
      </c>
      <c r="AH5" s="534" t="s">
        <v>344</v>
      </c>
      <c r="AI5" s="534" t="s">
        <v>345</v>
      </c>
      <c r="AJ5" s="535" t="s">
        <v>346</v>
      </c>
    </row>
    <row r="6" spans="1:37" x14ac:dyDescent="0.25">
      <c r="A6" s="494">
        <v>1929</v>
      </c>
      <c r="B6" s="536">
        <v>32943.122581966221</v>
      </c>
      <c r="C6" s="537">
        <v>1026.0025346279144</v>
      </c>
      <c r="D6" s="537">
        <v>147150.1963596344</v>
      </c>
      <c r="E6" s="537">
        <v>2810.7051087617874</v>
      </c>
      <c r="F6" s="537">
        <v>16247.769269451499</v>
      </c>
      <c r="G6" s="537">
        <v>2036.5992698669434</v>
      </c>
      <c r="H6" s="537">
        <v>2838.8627778291702</v>
      </c>
      <c r="I6" s="537">
        <v>100289.63148786128</v>
      </c>
      <c r="J6" s="537">
        <v>2650.5328900814056</v>
      </c>
      <c r="K6" s="537">
        <v>19116.242594718933</v>
      </c>
      <c r="L6" s="537">
        <v>15475.654380455608</v>
      </c>
      <c r="M6" s="537">
        <v>1352.5338892936707</v>
      </c>
      <c r="N6" s="537">
        <v>1326.6977829933167</v>
      </c>
      <c r="O6" s="537">
        <v>44999.643507136483</v>
      </c>
      <c r="P6" s="537">
        <v>374.25252342224121</v>
      </c>
      <c r="Q6" s="537">
        <v>18813.154565809295</v>
      </c>
      <c r="R6" s="537">
        <v>598.83215999603271</v>
      </c>
      <c r="S6" s="537">
        <v>0</v>
      </c>
      <c r="T6" s="537">
        <v>20891.560157893673</v>
      </c>
      <c r="U6" s="537">
        <v>1497.7056555151939</v>
      </c>
      <c r="V6" s="537">
        <v>15758.559514045715</v>
      </c>
      <c r="W6" s="537">
        <v>127698.42142096504</v>
      </c>
      <c r="X6" s="537">
        <v>5875.3226467370987</v>
      </c>
      <c r="Y6" s="537">
        <v>212.11356273293495</v>
      </c>
      <c r="Z6" s="537">
        <v>208895.09327602386</v>
      </c>
      <c r="AA6" s="538">
        <v>75109.235645588793</v>
      </c>
      <c r="AB6" s="539">
        <v>24765.810481309891</v>
      </c>
      <c r="AC6" s="539">
        <v>33969.125116594136</v>
      </c>
      <c r="AD6" s="539">
        <v>18284.368539318442</v>
      </c>
      <c r="AE6" s="539">
        <v>102940.16437794268</v>
      </c>
      <c r="AF6" s="539">
        <v>16828.188269749277</v>
      </c>
      <c r="AG6" s="539">
        <v>45373.896030558724</v>
      </c>
      <c r="AH6" s="539">
        <v>19411.986725805327</v>
      </c>
      <c r="AI6" s="539">
        <v>22389.265813408867</v>
      </c>
      <c r="AJ6" s="540">
        <v>133573.74406770215</v>
      </c>
      <c r="AK6" s="541"/>
    </row>
    <row r="7" spans="1:37" x14ac:dyDescent="0.25">
      <c r="A7" s="494">
        <v>1930</v>
      </c>
      <c r="B7" s="542">
        <v>31682.82786526531</v>
      </c>
      <c r="C7" s="541">
        <v>1026.0025346279144</v>
      </c>
      <c r="D7" s="541">
        <v>71485.592948913574</v>
      </c>
      <c r="E7" s="541">
        <v>2810.7051087617874</v>
      </c>
      <c r="F7" s="541">
        <v>15842.428258892614</v>
      </c>
      <c r="G7" s="541">
        <v>2036.5992698669434</v>
      </c>
      <c r="H7" s="541">
        <v>2838.8627778291702</v>
      </c>
      <c r="I7" s="541">
        <v>102453.03227811307</v>
      </c>
      <c r="J7" s="541">
        <v>1952.746833562851</v>
      </c>
      <c r="K7" s="541">
        <v>19116.242594718933</v>
      </c>
      <c r="L7" s="541">
        <v>15997.548434443779</v>
      </c>
      <c r="M7" s="541">
        <v>1406.2581839561462</v>
      </c>
      <c r="N7" s="541">
        <v>1326.6977829933167</v>
      </c>
      <c r="O7" s="541">
        <v>39408.06304758646</v>
      </c>
      <c r="P7" s="541">
        <v>338.22071814537048</v>
      </c>
      <c r="Q7" s="541">
        <v>14077.670300109312</v>
      </c>
      <c r="R7" s="541">
        <v>598.83215999603271</v>
      </c>
      <c r="S7" s="541">
        <v>0</v>
      </c>
      <c r="T7" s="541">
        <v>13318.905240083113</v>
      </c>
      <c r="U7" s="541">
        <v>1436.6377691073042</v>
      </c>
      <c r="V7" s="541">
        <v>12123.480282783508</v>
      </c>
      <c r="W7" s="541">
        <v>134896.07023844466</v>
      </c>
      <c r="X7" s="541">
        <v>5771.3805716149509</v>
      </c>
      <c r="Y7" s="541">
        <v>212.11356273293495</v>
      </c>
      <c r="Z7" s="541">
        <v>202969.3631567955</v>
      </c>
      <c r="AA7" s="543">
        <v>62089.798784002953</v>
      </c>
      <c r="AB7" s="544">
        <v>24765.810481309891</v>
      </c>
      <c r="AC7" s="544">
        <v>32708.830399893224</v>
      </c>
      <c r="AD7" s="544">
        <v>17879.027528759558</v>
      </c>
      <c r="AE7" s="544">
        <v>104405.77911167592</v>
      </c>
      <c r="AF7" s="544">
        <v>17403.806618399925</v>
      </c>
      <c r="AG7" s="544">
        <v>39746.28376573183</v>
      </c>
      <c r="AH7" s="544">
        <v>14676.502460105345</v>
      </c>
      <c r="AI7" s="544">
        <v>14755.543009190418</v>
      </c>
      <c r="AJ7" s="545">
        <v>140667.45081005961</v>
      </c>
      <c r="AK7" s="541"/>
    </row>
    <row r="8" spans="1:37" x14ac:dyDescent="0.25">
      <c r="A8" s="494">
        <v>1931</v>
      </c>
      <c r="B8" s="542">
        <v>31476.705325834453</v>
      </c>
      <c r="C8" s="541">
        <v>1026.0025346279144</v>
      </c>
      <c r="D8" s="541">
        <v>48527.629333496094</v>
      </c>
      <c r="E8" s="541">
        <v>2810.7051087617874</v>
      </c>
      <c r="F8" s="541">
        <v>15605.476575061679</v>
      </c>
      <c r="G8" s="541">
        <v>2036.5992698669434</v>
      </c>
      <c r="H8" s="541">
        <v>2838.8627778291702</v>
      </c>
      <c r="I8" s="541">
        <v>104024.03864276409</v>
      </c>
      <c r="J8" s="541">
        <v>2110.2709577083588</v>
      </c>
      <c r="K8" s="541">
        <v>19116.242594718933</v>
      </c>
      <c r="L8" s="541">
        <v>16577.461978040614</v>
      </c>
      <c r="M8" s="541">
        <v>1255.5566754341125</v>
      </c>
      <c r="N8" s="541">
        <v>1326.6977829933167</v>
      </c>
      <c r="O8" s="541">
        <v>28006.309250956845</v>
      </c>
      <c r="P8" s="541">
        <v>269.15010619163513</v>
      </c>
      <c r="Q8" s="541">
        <v>11080.349627077579</v>
      </c>
      <c r="R8" s="541">
        <v>598.83215999603271</v>
      </c>
      <c r="S8" s="541">
        <v>0</v>
      </c>
      <c r="T8" s="541">
        <v>7889.910753321722</v>
      </c>
      <c r="U8" s="541">
        <v>1381.3535134399422</v>
      </c>
      <c r="V8" s="541">
        <v>9875.3438539505005</v>
      </c>
      <c r="W8" s="541">
        <v>145593.18835562811</v>
      </c>
      <c r="X8" s="541">
        <v>5511.4449573159218</v>
      </c>
      <c r="Y8" s="541">
        <v>212.11356273293495</v>
      </c>
      <c r="Z8" s="541">
        <v>210846.3484992981</v>
      </c>
      <c r="AA8" s="543">
        <v>59529.601623621129</v>
      </c>
      <c r="AB8" s="544">
        <v>24765.810481309891</v>
      </c>
      <c r="AC8" s="544">
        <v>32502.707860462368</v>
      </c>
      <c r="AD8" s="544">
        <v>17642.075844928622</v>
      </c>
      <c r="AE8" s="544">
        <v>106134.30960047245</v>
      </c>
      <c r="AF8" s="544">
        <v>17833.018653474726</v>
      </c>
      <c r="AG8" s="544">
        <v>28275.45935714848</v>
      </c>
      <c r="AH8" s="544">
        <v>11679.181787073612</v>
      </c>
      <c r="AI8" s="544">
        <v>9271.2642667616637</v>
      </c>
      <c r="AJ8" s="545">
        <v>151104.63331294403</v>
      </c>
      <c r="AK8" s="541"/>
    </row>
    <row r="9" spans="1:37" x14ac:dyDescent="0.25">
      <c r="A9" s="494">
        <v>1932</v>
      </c>
      <c r="B9" s="542">
        <v>32693.232559446245</v>
      </c>
      <c r="C9" s="541">
        <v>1026.0025346279144</v>
      </c>
      <c r="D9" s="541">
        <v>147290.98083496094</v>
      </c>
      <c r="E9" s="541">
        <v>2810.7051087617874</v>
      </c>
      <c r="F9" s="541">
        <v>16309.233678504825</v>
      </c>
      <c r="G9" s="541">
        <v>2036.5992698669434</v>
      </c>
      <c r="H9" s="541">
        <v>2838.8627778291702</v>
      </c>
      <c r="I9" s="541">
        <v>102694.11407230049</v>
      </c>
      <c r="J9" s="541">
        <v>2490.8101155757904</v>
      </c>
      <c r="K9" s="541">
        <v>19116.242594718933</v>
      </c>
      <c r="L9" s="541">
        <v>16066.636273548005</v>
      </c>
      <c r="M9" s="541">
        <v>1262.1092133522034</v>
      </c>
      <c r="N9" s="541">
        <v>1326.6977829933167</v>
      </c>
      <c r="O9" s="541">
        <v>46284.786156548638</v>
      </c>
      <c r="P9" s="541">
        <v>477.05621123313904</v>
      </c>
      <c r="Q9" s="541">
        <v>18969.902119606733</v>
      </c>
      <c r="R9" s="541">
        <v>598.83215999603271</v>
      </c>
      <c r="S9" s="541">
        <v>0</v>
      </c>
      <c r="T9" s="541">
        <v>18220.159848289564</v>
      </c>
      <c r="U9" s="541">
        <v>1513.7115696668625</v>
      </c>
      <c r="V9" s="541">
        <v>14896.743636131287</v>
      </c>
      <c r="W9" s="541">
        <v>131165.10689868373</v>
      </c>
      <c r="X9" s="541">
        <v>5803.322064705193</v>
      </c>
      <c r="Y9" s="541">
        <v>212.11356273293495</v>
      </c>
      <c r="Z9" s="541">
        <v>208476.78211736679</v>
      </c>
      <c r="AA9" s="543">
        <v>71296.239591244928</v>
      </c>
      <c r="AB9" s="544">
        <v>24765.810481309891</v>
      </c>
      <c r="AC9" s="544">
        <v>33719.23509407416</v>
      </c>
      <c r="AD9" s="544">
        <v>18345.832948371768</v>
      </c>
      <c r="AE9" s="544">
        <v>105184.92418787628</v>
      </c>
      <c r="AF9" s="544">
        <v>17328.74548690021</v>
      </c>
      <c r="AG9" s="544">
        <v>46761.842367781777</v>
      </c>
      <c r="AH9" s="544">
        <v>19568.734279602766</v>
      </c>
      <c r="AI9" s="544">
        <v>19733.871417956427</v>
      </c>
      <c r="AJ9" s="545">
        <v>136968.42896338893</v>
      </c>
      <c r="AK9" s="541"/>
    </row>
    <row r="10" spans="1:37" x14ac:dyDescent="0.25">
      <c r="A10" s="494">
        <v>1933</v>
      </c>
      <c r="B10" s="542">
        <v>31357.614051319659</v>
      </c>
      <c r="C10" s="541">
        <v>1026.0025346279144</v>
      </c>
      <c r="D10" s="541">
        <v>62729.004089355469</v>
      </c>
      <c r="E10" s="541">
        <v>2810.7051087617874</v>
      </c>
      <c r="F10" s="541">
        <v>15470.284036979079</v>
      </c>
      <c r="G10" s="541">
        <v>2036.5992698669434</v>
      </c>
      <c r="H10" s="541">
        <v>2838.8627778291702</v>
      </c>
      <c r="I10" s="541">
        <v>105166.69848337024</v>
      </c>
      <c r="J10" s="541">
        <v>2547.8643777370453</v>
      </c>
      <c r="K10" s="541">
        <v>19116.242594718933</v>
      </c>
      <c r="L10" s="541">
        <v>16457.402533628036</v>
      </c>
      <c r="M10" s="541">
        <v>1331.428768157959</v>
      </c>
      <c r="N10" s="541">
        <v>1326.6977829933167</v>
      </c>
      <c r="O10" s="541">
        <v>39881.425014896769</v>
      </c>
      <c r="P10" s="541">
        <v>298.93194317817688</v>
      </c>
      <c r="Q10" s="541">
        <v>13373.807915760204</v>
      </c>
      <c r="R10" s="541">
        <v>598.83215999603271</v>
      </c>
      <c r="S10" s="541">
        <v>0</v>
      </c>
      <c r="T10" s="541">
        <v>12902.469747884199</v>
      </c>
      <c r="U10" s="541">
        <v>1398.2889706492424</v>
      </c>
      <c r="V10" s="541">
        <v>12346.516634941101</v>
      </c>
      <c r="W10" s="541">
        <v>139521.58915901528</v>
      </c>
      <c r="X10" s="541">
        <v>5454.6922612058652</v>
      </c>
      <c r="Y10" s="541">
        <v>212.11356273293495</v>
      </c>
      <c r="Z10" s="541">
        <v>217446.5963640213</v>
      </c>
      <c r="AA10" s="543">
        <v>72258.201381067222</v>
      </c>
      <c r="AB10" s="544">
        <v>24765.810481309891</v>
      </c>
      <c r="AC10" s="544">
        <v>32383.616585947573</v>
      </c>
      <c r="AD10" s="544">
        <v>17506.883306846023</v>
      </c>
      <c r="AE10" s="544">
        <v>107714.56286110729</v>
      </c>
      <c r="AF10" s="544">
        <v>17788.831301785995</v>
      </c>
      <c r="AG10" s="544">
        <v>40180.356958074946</v>
      </c>
      <c r="AH10" s="544">
        <v>13972.640075756237</v>
      </c>
      <c r="AI10" s="544">
        <v>14300.758718533441</v>
      </c>
      <c r="AJ10" s="545">
        <v>144976.28142022114</v>
      </c>
      <c r="AK10" s="541"/>
    </row>
    <row r="11" spans="1:37" x14ac:dyDescent="0.25">
      <c r="A11" s="494">
        <v>1934</v>
      </c>
      <c r="B11" s="542">
        <v>29728.536326192319</v>
      </c>
      <c r="C11" s="541">
        <v>1026.0025346279144</v>
      </c>
      <c r="D11" s="541">
        <v>28070.748443603516</v>
      </c>
      <c r="E11" s="541">
        <v>2810.7051087617874</v>
      </c>
      <c r="F11" s="541">
        <v>12365.63606454432</v>
      </c>
      <c r="G11" s="541">
        <v>2036.5992698669434</v>
      </c>
      <c r="H11" s="541">
        <v>2838.8627778291702</v>
      </c>
      <c r="I11" s="541">
        <v>84891.66110842675</v>
      </c>
      <c r="J11" s="541">
        <v>1816.0579888820648</v>
      </c>
      <c r="K11" s="541">
        <v>19116.242594718933</v>
      </c>
      <c r="L11" s="541">
        <v>17258.453954152752</v>
      </c>
      <c r="M11" s="541">
        <v>1427.783721446991</v>
      </c>
      <c r="N11" s="541">
        <v>1326.6977829933167</v>
      </c>
      <c r="O11" s="541">
        <v>21901.251936536824</v>
      </c>
      <c r="P11" s="541">
        <v>278.65056848526001</v>
      </c>
      <c r="Q11" s="541">
        <v>9932.9716379698366</v>
      </c>
      <c r="R11" s="541">
        <v>598.83215999603271</v>
      </c>
      <c r="S11" s="541">
        <v>0</v>
      </c>
      <c r="T11" s="541">
        <v>7904.1310593628141</v>
      </c>
      <c r="U11" s="541">
        <v>1387.436940908432</v>
      </c>
      <c r="V11" s="541">
        <v>7272.1424112319946</v>
      </c>
      <c r="W11" s="541">
        <v>120330.23585987433</v>
      </c>
      <c r="X11" s="541">
        <v>5300.3226603375806</v>
      </c>
      <c r="Y11" s="541">
        <v>212.11356273293495</v>
      </c>
      <c r="Z11" s="541">
        <v>192391.66649317741</v>
      </c>
      <c r="AA11" s="543">
        <v>66548.994410232568</v>
      </c>
      <c r="AB11" s="544">
        <v>24765.810481309891</v>
      </c>
      <c r="AC11" s="544">
        <v>30754.538860820234</v>
      </c>
      <c r="AD11" s="544">
        <v>14402.235334411263</v>
      </c>
      <c r="AE11" s="544">
        <v>86707.719097308815</v>
      </c>
      <c r="AF11" s="544">
        <v>18686.237675599743</v>
      </c>
      <c r="AG11" s="544">
        <v>22179.902505022084</v>
      </c>
      <c r="AH11" s="544">
        <v>10531.803797965869</v>
      </c>
      <c r="AI11" s="544">
        <v>9291.568000271247</v>
      </c>
      <c r="AJ11" s="545">
        <v>125630.55852021191</v>
      </c>
      <c r="AK11" s="541"/>
    </row>
    <row r="12" spans="1:37" x14ac:dyDescent="0.25">
      <c r="A12" s="494">
        <v>1935</v>
      </c>
      <c r="B12" s="542">
        <v>32717.139403536916</v>
      </c>
      <c r="C12" s="541">
        <v>1026.0025346279144</v>
      </c>
      <c r="D12" s="541">
        <v>111978.22772216797</v>
      </c>
      <c r="E12" s="541">
        <v>2810.7051087617874</v>
      </c>
      <c r="F12" s="541">
        <v>16337.42050985992</v>
      </c>
      <c r="G12" s="541">
        <v>2036.5992698669434</v>
      </c>
      <c r="H12" s="541">
        <v>2838.8627778291702</v>
      </c>
      <c r="I12" s="541">
        <v>102249.29915971309</v>
      </c>
      <c r="J12" s="541">
        <v>2462.9890468120575</v>
      </c>
      <c r="K12" s="541">
        <v>19116.242594718933</v>
      </c>
      <c r="L12" s="541">
        <v>15794.583375334727</v>
      </c>
      <c r="M12" s="541">
        <v>1205.4692630767822</v>
      </c>
      <c r="N12" s="541">
        <v>1326.6977829933167</v>
      </c>
      <c r="O12" s="541">
        <v>46264.882456390638</v>
      </c>
      <c r="P12" s="541">
        <v>404.49994277954102</v>
      </c>
      <c r="Q12" s="541">
        <v>21271.398954620585</v>
      </c>
      <c r="R12" s="541">
        <v>598.83215999603271</v>
      </c>
      <c r="S12" s="541">
        <v>0</v>
      </c>
      <c r="T12" s="541">
        <v>23313.637082450019</v>
      </c>
      <c r="U12" s="541">
        <v>1568.0591882765293</v>
      </c>
      <c r="V12" s="541">
        <v>15053.875845909119</v>
      </c>
      <c r="W12" s="541">
        <v>131121.55878898842</v>
      </c>
      <c r="X12" s="541">
        <v>5766.5741074650223</v>
      </c>
      <c r="Y12" s="541">
        <v>212.11356273293495</v>
      </c>
      <c r="Z12" s="541">
        <v>247737.88262915611</v>
      </c>
      <c r="AA12" s="543">
        <v>110637.63616996973</v>
      </c>
      <c r="AB12" s="544">
        <v>24765.810481309891</v>
      </c>
      <c r="AC12" s="544">
        <v>33743.14193816483</v>
      </c>
      <c r="AD12" s="544">
        <v>18374.019779726863</v>
      </c>
      <c r="AE12" s="544">
        <v>104712.28820652515</v>
      </c>
      <c r="AF12" s="544">
        <v>17000.052638411507</v>
      </c>
      <c r="AG12" s="544">
        <v>46669.382399170179</v>
      </c>
      <c r="AH12" s="544">
        <v>21870.231114616618</v>
      </c>
      <c r="AI12" s="544">
        <v>24881.696270726548</v>
      </c>
      <c r="AJ12" s="545">
        <v>136888.13289645343</v>
      </c>
      <c r="AK12" s="541"/>
    </row>
    <row r="13" spans="1:37" x14ac:dyDescent="0.25">
      <c r="A13" s="494">
        <v>1936</v>
      </c>
      <c r="B13" s="542">
        <v>31050.518457889557</v>
      </c>
      <c r="C13" s="541">
        <v>1026.0025346279144</v>
      </c>
      <c r="D13" s="541">
        <v>98120.250854492188</v>
      </c>
      <c r="E13" s="541">
        <v>2810.7051087617874</v>
      </c>
      <c r="F13" s="541">
        <v>15161.554196551442</v>
      </c>
      <c r="G13" s="541">
        <v>2036.5992698669434</v>
      </c>
      <c r="H13" s="541">
        <v>2838.8627778291702</v>
      </c>
      <c r="I13" s="541">
        <v>103994.20503920317</v>
      </c>
      <c r="J13" s="541">
        <v>2151.5721833705902</v>
      </c>
      <c r="K13" s="541">
        <v>19116.242594718933</v>
      </c>
      <c r="L13" s="541">
        <v>16395.536453947407</v>
      </c>
      <c r="M13" s="541">
        <v>1429.7300157546997</v>
      </c>
      <c r="N13" s="541">
        <v>1326.6977829933167</v>
      </c>
      <c r="O13" s="541">
        <v>41265.229923082967</v>
      </c>
      <c r="P13" s="541">
        <v>379.50826406478882</v>
      </c>
      <c r="Q13" s="541">
        <v>14886.168405778706</v>
      </c>
      <c r="R13" s="541">
        <v>598.83215999603271</v>
      </c>
      <c r="S13" s="541">
        <v>0</v>
      </c>
      <c r="T13" s="541">
        <v>15437.95302490227</v>
      </c>
      <c r="U13" s="541">
        <v>1453.1673868894577</v>
      </c>
      <c r="V13" s="541">
        <v>10991.752844810486</v>
      </c>
      <c r="W13" s="541">
        <v>136360.40349865303</v>
      </c>
      <c r="X13" s="541">
        <v>5805.3481456786394</v>
      </c>
      <c r="Y13" s="541">
        <v>212.11356273293495</v>
      </c>
      <c r="Z13" s="541">
        <v>221296.78032398224</v>
      </c>
      <c r="AA13" s="543">
        <v>78918.915116917633</v>
      </c>
      <c r="AB13" s="544">
        <v>24765.810481309891</v>
      </c>
      <c r="AC13" s="544">
        <v>32076.520992517471</v>
      </c>
      <c r="AD13" s="544">
        <v>17198.153466418386</v>
      </c>
      <c r="AE13" s="544">
        <v>106145.77722257376</v>
      </c>
      <c r="AF13" s="544">
        <v>17825.266469702106</v>
      </c>
      <c r="AG13" s="544">
        <v>41644.738187147756</v>
      </c>
      <c r="AH13" s="544">
        <v>15485.000565774739</v>
      </c>
      <c r="AI13" s="544">
        <v>16891.12041179173</v>
      </c>
      <c r="AJ13" s="545">
        <v>142165.75164433167</v>
      </c>
      <c r="AK13" s="541"/>
    </row>
    <row r="14" spans="1:37" x14ac:dyDescent="0.25">
      <c r="A14" s="494">
        <v>1937</v>
      </c>
      <c r="B14" s="542">
        <v>32412.865982681513</v>
      </c>
      <c r="C14" s="541">
        <v>1026.0025346279144</v>
      </c>
      <c r="D14" s="541">
        <v>134110.35729980469</v>
      </c>
      <c r="E14" s="541">
        <v>2810.7051087617874</v>
      </c>
      <c r="F14" s="541">
        <v>15903.5967451334</v>
      </c>
      <c r="G14" s="541">
        <v>2036.5992698669434</v>
      </c>
      <c r="H14" s="541">
        <v>2838.8627778291702</v>
      </c>
      <c r="I14" s="541">
        <v>108563.38417986408</v>
      </c>
      <c r="J14" s="541">
        <v>2461.3829457759857</v>
      </c>
      <c r="K14" s="541">
        <v>19116.242594718933</v>
      </c>
      <c r="L14" s="541">
        <v>17120.973829902712</v>
      </c>
      <c r="M14" s="541">
        <v>1429.2977375984192</v>
      </c>
      <c r="N14" s="541">
        <v>1326.6977829933167</v>
      </c>
      <c r="O14" s="541">
        <v>40697.367724923868</v>
      </c>
      <c r="P14" s="541">
        <v>440.43092560768127</v>
      </c>
      <c r="Q14" s="541">
        <v>17894.430375106633</v>
      </c>
      <c r="R14" s="541">
        <v>598.83215999603271</v>
      </c>
      <c r="S14" s="541">
        <v>0</v>
      </c>
      <c r="T14" s="541">
        <v>16889.527537593618</v>
      </c>
      <c r="U14" s="541">
        <v>1502.9027718088491</v>
      </c>
      <c r="V14" s="541">
        <v>13258.551636695862</v>
      </c>
      <c r="W14" s="541">
        <v>137911.46531632886</v>
      </c>
      <c r="X14" s="541">
        <v>5795.372117947787</v>
      </c>
      <c r="Y14" s="541">
        <v>212.11356273293495</v>
      </c>
      <c r="Z14" s="541">
        <v>222134.37148737907</v>
      </c>
      <c r="AA14" s="543">
        <v>78215.420490369492</v>
      </c>
      <c r="AB14" s="544">
        <v>24765.810481309891</v>
      </c>
      <c r="AC14" s="544">
        <v>33438.868517309427</v>
      </c>
      <c r="AD14" s="544">
        <v>17940.196015000343</v>
      </c>
      <c r="AE14" s="544">
        <v>111024.76712564006</v>
      </c>
      <c r="AF14" s="544">
        <v>18550.271567501131</v>
      </c>
      <c r="AG14" s="544">
        <v>41137.798650531549</v>
      </c>
      <c r="AH14" s="544">
        <v>18493.262535102665</v>
      </c>
      <c r="AI14" s="544">
        <v>18392.430309402465</v>
      </c>
      <c r="AJ14" s="545">
        <v>143706.83743427665</v>
      </c>
      <c r="AK14" s="541"/>
    </row>
    <row r="15" spans="1:37" x14ac:dyDescent="0.25">
      <c r="A15" s="494">
        <v>1938</v>
      </c>
      <c r="B15" s="542">
        <v>31347.622138522565</v>
      </c>
      <c r="C15" s="541">
        <v>1026.0025346279144</v>
      </c>
      <c r="D15" s="541">
        <v>139154.48620605469</v>
      </c>
      <c r="E15" s="541">
        <v>2810.7051087617874</v>
      </c>
      <c r="F15" s="541">
        <v>15358.953510761261</v>
      </c>
      <c r="G15" s="541">
        <v>2036.5992698669434</v>
      </c>
      <c r="H15" s="541">
        <v>2838.8627778291702</v>
      </c>
      <c r="I15" s="541">
        <v>101710.50193709135</v>
      </c>
      <c r="J15" s="541">
        <v>2397.0118062496185</v>
      </c>
      <c r="K15" s="541">
        <v>19116.242594718933</v>
      </c>
      <c r="L15" s="541">
        <v>15745.683165520415</v>
      </c>
      <c r="M15" s="541">
        <v>1373.3481931686401</v>
      </c>
      <c r="N15" s="541">
        <v>1326.6977829933167</v>
      </c>
      <c r="O15" s="541">
        <v>46063.024790807147</v>
      </c>
      <c r="P15" s="541">
        <v>473.51040267944336</v>
      </c>
      <c r="Q15" s="541">
        <v>17249.416899606586</v>
      </c>
      <c r="R15" s="541">
        <v>598.83215999603271</v>
      </c>
      <c r="S15" s="541">
        <v>0</v>
      </c>
      <c r="T15" s="541">
        <v>18490.487174822018</v>
      </c>
      <c r="U15" s="541">
        <v>1521.6969308961525</v>
      </c>
      <c r="V15" s="541">
        <v>14570.047814369202</v>
      </c>
      <c r="W15" s="541">
        <v>127445.51945799931</v>
      </c>
      <c r="X15" s="541">
        <v>5873.0589877281418</v>
      </c>
      <c r="Y15" s="541">
        <v>212.11356273293495</v>
      </c>
      <c r="Z15" s="541">
        <v>223787.21753585339</v>
      </c>
      <c r="AA15" s="543">
        <v>90256.525527392994</v>
      </c>
      <c r="AB15" s="544">
        <v>24765.810481309891</v>
      </c>
      <c r="AC15" s="544">
        <v>32373.62467315048</v>
      </c>
      <c r="AD15" s="544">
        <v>17395.552780628204</v>
      </c>
      <c r="AE15" s="544">
        <v>104107.51374334097</v>
      </c>
      <c r="AF15" s="544">
        <v>17119.031358689055</v>
      </c>
      <c r="AG15" s="544">
        <v>46536.53519348659</v>
      </c>
      <c r="AH15" s="544">
        <v>17848.249059602618</v>
      </c>
      <c r="AI15" s="544">
        <v>20012.18410571817</v>
      </c>
      <c r="AJ15" s="545">
        <v>133318.57844572744</v>
      </c>
      <c r="AK15" s="541"/>
    </row>
    <row r="16" spans="1:37" x14ac:dyDescent="0.25">
      <c r="A16" s="494">
        <v>1939</v>
      </c>
      <c r="B16" s="542">
        <v>30374.677242174745</v>
      </c>
      <c r="C16" s="541">
        <v>1026.0025346279144</v>
      </c>
      <c r="D16" s="541">
        <v>72682.315063476563</v>
      </c>
      <c r="E16" s="541">
        <v>2810.7051087617874</v>
      </c>
      <c r="F16" s="541">
        <v>14669.635607719421</v>
      </c>
      <c r="G16" s="541">
        <v>2036.5992698669434</v>
      </c>
      <c r="H16" s="541">
        <v>2838.8627778291702</v>
      </c>
      <c r="I16" s="541">
        <v>105335.46915643662</v>
      </c>
      <c r="J16" s="541">
        <v>2433.4021337032318</v>
      </c>
      <c r="K16" s="541">
        <v>19116.242594718933</v>
      </c>
      <c r="L16" s="541">
        <v>16851.075934059914</v>
      </c>
      <c r="M16" s="541">
        <v>1403.132933139801</v>
      </c>
      <c r="N16" s="541">
        <v>1326.6977829933167</v>
      </c>
      <c r="O16" s="541">
        <v>35762.479442490716</v>
      </c>
      <c r="P16" s="541">
        <v>364.69755601882935</v>
      </c>
      <c r="Q16" s="541">
        <v>10119.823880417272</v>
      </c>
      <c r="R16" s="541">
        <v>598.83215999603271</v>
      </c>
      <c r="S16" s="541">
        <v>0</v>
      </c>
      <c r="T16" s="541">
        <v>10397.524234810733</v>
      </c>
      <c r="U16" s="541">
        <v>1415.9043029646259</v>
      </c>
      <c r="V16" s="541">
        <v>7240.6926755905151</v>
      </c>
      <c r="W16" s="541">
        <v>146037.35145572171</v>
      </c>
      <c r="X16" s="541">
        <v>5800.9555242955685</v>
      </c>
      <c r="Y16" s="541">
        <v>212.11356273293495</v>
      </c>
      <c r="Z16" s="541">
        <v>203431.54347598553</v>
      </c>
      <c r="AA16" s="543">
        <v>51381.12293323531</v>
      </c>
      <c r="AB16" s="544">
        <v>24765.810481309891</v>
      </c>
      <c r="AC16" s="544">
        <v>31400.679776802659</v>
      </c>
      <c r="AD16" s="544">
        <v>16706.234877586365</v>
      </c>
      <c r="AE16" s="544">
        <v>107768.87129013985</v>
      </c>
      <c r="AF16" s="544">
        <v>18254.208867199715</v>
      </c>
      <c r="AG16" s="544">
        <v>36127.176998509545</v>
      </c>
      <c r="AH16" s="544">
        <v>10718.656040413305</v>
      </c>
      <c r="AI16" s="544">
        <v>11813.428537775359</v>
      </c>
      <c r="AJ16" s="545">
        <v>151838.30698001728</v>
      </c>
      <c r="AK16" s="541"/>
    </row>
    <row r="17" spans="1:37" x14ac:dyDescent="0.25">
      <c r="A17" s="494">
        <v>1940</v>
      </c>
      <c r="B17" s="542">
        <v>30405.878153577447</v>
      </c>
      <c r="C17" s="541">
        <v>1026.0025346279144</v>
      </c>
      <c r="D17" s="541">
        <v>61261.331787109375</v>
      </c>
      <c r="E17" s="541">
        <v>2810.7051087617874</v>
      </c>
      <c r="F17" s="541">
        <v>14634.824818879366</v>
      </c>
      <c r="G17" s="541">
        <v>2036.5992698669434</v>
      </c>
      <c r="H17" s="541">
        <v>2838.8627778291702</v>
      </c>
      <c r="I17" s="541">
        <v>103161.08246788383</v>
      </c>
      <c r="J17" s="541">
        <v>2195.3055093288422</v>
      </c>
      <c r="K17" s="541">
        <v>19116.242594718933</v>
      </c>
      <c r="L17" s="541">
        <v>16539.587585002162</v>
      </c>
      <c r="M17" s="541">
        <v>1383.2634892463684</v>
      </c>
      <c r="N17" s="541">
        <v>1326.6977829933167</v>
      </c>
      <c r="O17" s="541">
        <v>25820.400998918787</v>
      </c>
      <c r="P17" s="541">
        <v>304.02299833297729</v>
      </c>
      <c r="Q17" s="541">
        <v>12505.363113299012</v>
      </c>
      <c r="R17" s="541">
        <v>598.83215999603271</v>
      </c>
      <c r="S17" s="541">
        <v>0</v>
      </c>
      <c r="T17" s="541">
        <v>13097.64510184236</v>
      </c>
      <c r="U17" s="541">
        <v>1427.7170102946402</v>
      </c>
      <c r="V17" s="541">
        <v>10779.196904182434</v>
      </c>
      <c r="W17" s="541">
        <v>140122.96889368043</v>
      </c>
      <c r="X17" s="541">
        <v>5783.2685486935079</v>
      </c>
      <c r="Y17" s="541">
        <v>212.11356273293495</v>
      </c>
      <c r="Z17" s="541">
        <v>236940.86011624336</v>
      </c>
      <c r="AA17" s="543">
        <v>90822.509111136489</v>
      </c>
      <c r="AB17" s="544">
        <v>24765.810481309891</v>
      </c>
      <c r="AC17" s="544">
        <v>31431.880688205361</v>
      </c>
      <c r="AD17" s="544">
        <v>16671.424088746309</v>
      </c>
      <c r="AE17" s="544">
        <v>105356.38797721267</v>
      </c>
      <c r="AF17" s="544">
        <v>17922.85107424853</v>
      </c>
      <c r="AG17" s="544">
        <v>26124.423997251764</v>
      </c>
      <c r="AH17" s="544">
        <v>13104.195273295045</v>
      </c>
      <c r="AI17" s="544">
        <v>14525.362112137</v>
      </c>
      <c r="AJ17" s="545">
        <v>145906.23744237394</v>
      </c>
      <c r="AK17" s="541"/>
    </row>
    <row r="18" spans="1:37" x14ac:dyDescent="0.25">
      <c r="A18" s="494">
        <v>1941</v>
      </c>
      <c r="B18" s="542">
        <v>31206.435624666512</v>
      </c>
      <c r="C18" s="541">
        <v>1026.0025346279144</v>
      </c>
      <c r="D18" s="541">
        <v>174052.20443725586</v>
      </c>
      <c r="E18" s="541">
        <v>2810.7051087617874</v>
      </c>
      <c r="F18" s="541">
        <v>15363.179380513728</v>
      </c>
      <c r="G18" s="541">
        <v>2036.5992698669434</v>
      </c>
      <c r="H18" s="541">
        <v>2838.8627778291702</v>
      </c>
      <c r="I18" s="541">
        <v>99464.53553648293</v>
      </c>
      <c r="J18" s="541">
        <v>2696.029901266098</v>
      </c>
      <c r="K18" s="541">
        <v>19116.242594718933</v>
      </c>
      <c r="L18" s="541">
        <v>15289.431476078913</v>
      </c>
      <c r="M18" s="541">
        <v>1391.8434882164001</v>
      </c>
      <c r="N18" s="541">
        <v>1326.6977829933167</v>
      </c>
      <c r="O18" s="541">
        <v>44993.028248576898</v>
      </c>
      <c r="P18" s="541">
        <v>491.40815997123718</v>
      </c>
      <c r="Q18" s="541">
        <v>22743.308371309191</v>
      </c>
      <c r="R18" s="541">
        <v>598.83215999603271</v>
      </c>
      <c r="S18" s="541">
        <v>0</v>
      </c>
      <c r="T18" s="541">
        <v>26583.626140549408</v>
      </c>
      <c r="U18" s="541">
        <v>1520.2035915715915</v>
      </c>
      <c r="V18" s="541">
        <v>17656.200043678284</v>
      </c>
      <c r="W18" s="541">
        <v>123661.31728747829</v>
      </c>
      <c r="X18" s="541">
        <v>5923.695550389335</v>
      </c>
      <c r="Y18" s="541">
        <v>212.11356273293495</v>
      </c>
      <c r="Z18" s="541">
        <v>196432.67501354218</v>
      </c>
      <c r="AA18" s="543">
        <v>66635.548612941609</v>
      </c>
      <c r="AB18" s="544">
        <v>24765.810481309891</v>
      </c>
      <c r="AC18" s="544">
        <v>32232.438159294426</v>
      </c>
      <c r="AD18" s="544">
        <v>17399.778650380671</v>
      </c>
      <c r="AE18" s="544">
        <v>102160.56543774903</v>
      </c>
      <c r="AF18" s="544">
        <v>16681.274964295313</v>
      </c>
      <c r="AG18" s="544">
        <v>45484.436408548136</v>
      </c>
      <c r="AH18" s="544">
        <v>23342.140531305224</v>
      </c>
      <c r="AI18" s="544">
        <v>28103.829732120998</v>
      </c>
      <c r="AJ18" s="545">
        <v>129585.01283786763</v>
      </c>
      <c r="AK18" s="541"/>
    </row>
    <row r="19" spans="1:37" x14ac:dyDescent="0.25">
      <c r="A19" s="494">
        <v>1942</v>
      </c>
      <c r="B19" s="542">
        <v>32597.227653935552</v>
      </c>
      <c r="C19" s="541">
        <v>1026.0025346279144</v>
      </c>
      <c r="D19" s="541">
        <v>84394.242469787598</v>
      </c>
      <c r="E19" s="541">
        <v>2810.7051087617874</v>
      </c>
      <c r="F19" s="541">
        <v>15797.90575915575</v>
      </c>
      <c r="G19" s="541">
        <v>2036.5992698669434</v>
      </c>
      <c r="H19" s="541">
        <v>2838.8627778291702</v>
      </c>
      <c r="I19" s="541">
        <v>105525.08542947099</v>
      </c>
      <c r="J19" s="541">
        <v>2340.2237832546234</v>
      </c>
      <c r="K19" s="541">
        <v>19116.242594718933</v>
      </c>
      <c r="L19" s="541">
        <v>16587.044126242396</v>
      </c>
      <c r="M19" s="541">
        <v>1438.5394735336304</v>
      </c>
      <c r="N19" s="541">
        <v>1326.6977829933167</v>
      </c>
      <c r="O19" s="541">
        <v>48036.574380560298</v>
      </c>
      <c r="P19" s="541">
        <v>536.64314937591553</v>
      </c>
      <c r="Q19" s="541">
        <v>16021.009150348604</v>
      </c>
      <c r="R19" s="541">
        <v>598.83215999603271</v>
      </c>
      <c r="S19" s="541">
        <v>0</v>
      </c>
      <c r="T19" s="541">
        <v>21853.137876832858</v>
      </c>
      <c r="U19" s="541">
        <v>1546.9785040766001</v>
      </c>
      <c r="V19" s="541">
        <v>13305.691897392273</v>
      </c>
      <c r="W19" s="541">
        <v>131219.13296079979</v>
      </c>
      <c r="X19" s="541">
        <v>5956.0490202382207</v>
      </c>
      <c r="Y19" s="541">
        <v>212.11356273293495</v>
      </c>
      <c r="Z19" s="541">
        <v>187064.6359872818</v>
      </c>
      <c r="AA19" s="543">
        <v>49677.340443510853</v>
      </c>
      <c r="AB19" s="544">
        <v>24765.810481309891</v>
      </c>
      <c r="AC19" s="544">
        <v>33623.230188563466</v>
      </c>
      <c r="AD19" s="544">
        <v>17834.505029022694</v>
      </c>
      <c r="AE19" s="544">
        <v>107865.30921272561</v>
      </c>
      <c r="AF19" s="544">
        <v>18025.583599776026</v>
      </c>
      <c r="AG19" s="544">
        <v>48573.217529936213</v>
      </c>
      <c r="AH19" s="544">
        <v>16619.841310344636</v>
      </c>
      <c r="AI19" s="544">
        <v>23400.116380909458</v>
      </c>
      <c r="AJ19" s="545">
        <v>137175.18198103801</v>
      </c>
      <c r="AK19" s="541"/>
    </row>
    <row r="20" spans="1:37" x14ac:dyDescent="0.25">
      <c r="A20" s="494">
        <v>1943</v>
      </c>
      <c r="B20" s="542">
        <v>32832.940780520439</v>
      </c>
      <c r="C20" s="541">
        <v>1026.0025346279144</v>
      </c>
      <c r="D20" s="541">
        <v>86204.664123535156</v>
      </c>
      <c r="E20" s="541">
        <v>2810.7051087617874</v>
      </c>
      <c r="F20" s="541">
        <v>15923.55750310421</v>
      </c>
      <c r="G20" s="541">
        <v>2036.5992698669434</v>
      </c>
      <c r="H20" s="541">
        <v>2838.8627778291702</v>
      </c>
      <c r="I20" s="541">
        <v>103417.68940995634</v>
      </c>
      <c r="J20" s="541">
        <v>2069.5491559505463</v>
      </c>
      <c r="K20" s="541">
        <v>19116.242594718933</v>
      </c>
      <c r="L20" s="541">
        <v>16152.142779625936</v>
      </c>
      <c r="M20" s="541">
        <v>1327.573691368103</v>
      </c>
      <c r="N20" s="541">
        <v>1326.6977829933167</v>
      </c>
      <c r="O20" s="541">
        <v>39185.36632291969</v>
      </c>
      <c r="P20" s="541">
        <v>353.72037434577942</v>
      </c>
      <c r="Q20" s="541">
        <v>15592.385706160218</v>
      </c>
      <c r="R20" s="541">
        <v>598.83215999603271</v>
      </c>
      <c r="S20" s="541">
        <v>0</v>
      </c>
      <c r="T20" s="541">
        <v>18262.277140209451</v>
      </c>
      <c r="U20" s="541">
        <v>1520.0195856690407</v>
      </c>
      <c r="V20" s="541">
        <v>12683.237570762634</v>
      </c>
      <c r="W20" s="541">
        <v>132756.965241078</v>
      </c>
      <c r="X20" s="541">
        <v>5886.5399483889341</v>
      </c>
      <c r="Y20" s="541">
        <v>212.11356273293495</v>
      </c>
      <c r="Z20" s="541">
        <v>209840.0395219326</v>
      </c>
      <c r="AA20" s="543">
        <v>70984.420769732737</v>
      </c>
      <c r="AB20" s="544">
        <v>24765.810481309891</v>
      </c>
      <c r="AC20" s="544">
        <v>33858.943315148354</v>
      </c>
      <c r="AD20" s="544">
        <v>17960.156772971153</v>
      </c>
      <c r="AE20" s="544">
        <v>105487.23856590688</v>
      </c>
      <c r="AF20" s="544">
        <v>17479.716470994041</v>
      </c>
      <c r="AG20" s="544">
        <v>39539.086697265469</v>
      </c>
      <c r="AH20" s="544">
        <v>16191.21786615625</v>
      </c>
      <c r="AI20" s="544">
        <v>19782.296725878492</v>
      </c>
      <c r="AJ20" s="545">
        <v>138643.50518946693</v>
      </c>
      <c r="AK20" s="541"/>
    </row>
    <row r="21" spans="1:37" x14ac:dyDescent="0.25">
      <c r="A21" s="494">
        <v>1944</v>
      </c>
      <c r="B21" s="542">
        <v>32652.725979708135</v>
      </c>
      <c r="C21" s="541">
        <v>1026.0025346279144</v>
      </c>
      <c r="D21" s="541">
        <v>115459.37182617188</v>
      </c>
      <c r="E21" s="541">
        <v>2810.7051087617874</v>
      </c>
      <c r="F21" s="541">
        <v>16109.570566866547</v>
      </c>
      <c r="G21" s="541">
        <v>2036.5992698669434</v>
      </c>
      <c r="H21" s="541">
        <v>2838.8627778291702</v>
      </c>
      <c r="I21" s="541">
        <v>105753.9943369329</v>
      </c>
      <c r="J21" s="541">
        <v>2633.796581029892</v>
      </c>
      <c r="K21" s="541">
        <v>19116.242594718933</v>
      </c>
      <c r="L21" s="541">
        <v>16404.109202884138</v>
      </c>
      <c r="M21" s="541">
        <v>1241.1229095458984</v>
      </c>
      <c r="N21" s="541">
        <v>1326.6977829933167</v>
      </c>
      <c r="O21" s="541">
        <v>47568.708298905272</v>
      </c>
      <c r="P21" s="541">
        <v>498.26240015029907</v>
      </c>
      <c r="Q21" s="541">
        <v>19609.060748584569</v>
      </c>
      <c r="R21" s="541">
        <v>598.83215999603271</v>
      </c>
      <c r="S21" s="541">
        <v>0</v>
      </c>
      <c r="T21" s="541">
        <v>23501.437343109326</v>
      </c>
      <c r="U21" s="541">
        <v>1555.7476612925529</v>
      </c>
      <c r="V21" s="541">
        <v>14882.97659778595</v>
      </c>
      <c r="W21" s="541">
        <v>128702.60688153251</v>
      </c>
      <c r="X21" s="541">
        <v>5894.1916200630367</v>
      </c>
      <c r="Y21" s="541">
        <v>212.11356273293495</v>
      </c>
      <c r="Z21" s="541">
        <v>210278.97888898849</v>
      </c>
      <c r="AA21" s="543">
        <v>75470.066824660011</v>
      </c>
      <c r="AB21" s="544">
        <v>24765.810481309891</v>
      </c>
      <c r="AC21" s="544">
        <v>33678.72851433605</v>
      </c>
      <c r="AD21" s="544">
        <v>18146.16983673349</v>
      </c>
      <c r="AE21" s="544">
        <v>108387.79091796279</v>
      </c>
      <c r="AF21" s="544">
        <v>17645.232112430036</v>
      </c>
      <c r="AG21" s="544">
        <v>48066.970699055571</v>
      </c>
      <c r="AH21" s="544">
        <v>20207.892908580601</v>
      </c>
      <c r="AI21" s="544">
        <v>25057.185004401879</v>
      </c>
      <c r="AJ21" s="545">
        <v>134596.79850159556</v>
      </c>
      <c r="AK21" s="541"/>
    </row>
    <row r="22" spans="1:37" x14ac:dyDescent="0.25">
      <c r="A22" s="494">
        <v>1945</v>
      </c>
      <c r="B22" s="542">
        <v>32521.773738659918</v>
      </c>
      <c r="C22" s="541">
        <v>1026.0025346279144</v>
      </c>
      <c r="D22" s="541">
        <v>103386.51266479492</v>
      </c>
      <c r="E22" s="541">
        <v>2810.7051087617874</v>
      </c>
      <c r="F22" s="541">
        <v>15749.177778422832</v>
      </c>
      <c r="G22" s="541">
        <v>2036.5992698669434</v>
      </c>
      <c r="H22" s="541">
        <v>2838.8627778291702</v>
      </c>
      <c r="I22" s="541">
        <v>106844.40237654746</v>
      </c>
      <c r="J22" s="541">
        <v>2630.0026128292084</v>
      </c>
      <c r="K22" s="541">
        <v>19116.242594718933</v>
      </c>
      <c r="L22" s="541">
        <v>16714.469623118639</v>
      </c>
      <c r="M22" s="541">
        <v>1324.7190070152283</v>
      </c>
      <c r="N22" s="541">
        <v>1326.6977829933167</v>
      </c>
      <c r="O22" s="541">
        <v>40098.270114412306</v>
      </c>
      <c r="P22" s="541">
        <v>344.87947225570679</v>
      </c>
      <c r="Q22" s="541">
        <v>15860.436730362475</v>
      </c>
      <c r="R22" s="541">
        <v>598.83215999603271</v>
      </c>
      <c r="S22" s="541">
        <v>0</v>
      </c>
      <c r="T22" s="541">
        <v>18361.335615592077</v>
      </c>
      <c r="U22" s="541">
        <v>1491.9496465677585</v>
      </c>
      <c r="V22" s="541">
        <v>12563.284537315369</v>
      </c>
      <c r="W22" s="541">
        <v>133702.10698354588</v>
      </c>
      <c r="X22" s="541">
        <v>5877.1961567403323</v>
      </c>
      <c r="Y22" s="541">
        <v>212.11356273293495</v>
      </c>
      <c r="Z22" s="541">
        <v>214999.11407411098</v>
      </c>
      <c r="AA22" s="543">
        <v>75207.697371091839</v>
      </c>
      <c r="AB22" s="544">
        <v>24765.810481309891</v>
      </c>
      <c r="AC22" s="544">
        <v>33547.776273287833</v>
      </c>
      <c r="AD22" s="544">
        <v>17785.777048289776</v>
      </c>
      <c r="AE22" s="544">
        <v>109474.40498937666</v>
      </c>
      <c r="AF22" s="544">
        <v>18039.188630133867</v>
      </c>
      <c r="AG22" s="544">
        <v>40443.149586668012</v>
      </c>
      <c r="AH22" s="544">
        <v>16459.268890358508</v>
      </c>
      <c r="AI22" s="544">
        <v>19853.285262159836</v>
      </c>
      <c r="AJ22" s="545">
        <v>139579.30314028621</v>
      </c>
      <c r="AK22" s="541"/>
    </row>
    <row r="23" spans="1:37" x14ac:dyDescent="0.25">
      <c r="A23" s="494">
        <v>1946</v>
      </c>
      <c r="B23" s="542">
        <v>31460.104874156415</v>
      </c>
      <c r="C23" s="541">
        <v>1026.0025346279144</v>
      </c>
      <c r="D23" s="541">
        <v>38596.943098068237</v>
      </c>
      <c r="E23" s="541">
        <v>2810.7051087617874</v>
      </c>
      <c r="F23" s="541">
        <v>15450.999692365527</v>
      </c>
      <c r="G23" s="541">
        <v>2036.5992698669434</v>
      </c>
      <c r="H23" s="541">
        <v>2838.8627778291702</v>
      </c>
      <c r="I23" s="541">
        <v>103170.33923593163</v>
      </c>
      <c r="J23" s="541">
        <v>2320.6165482997894</v>
      </c>
      <c r="K23" s="541">
        <v>19116.242594718933</v>
      </c>
      <c r="L23" s="541">
        <v>16121.631117480079</v>
      </c>
      <c r="M23" s="541">
        <v>1331.380717664957</v>
      </c>
      <c r="N23" s="541">
        <v>1326.6977829933167</v>
      </c>
      <c r="O23" s="541">
        <v>28694.642833753005</v>
      </c>
      <c r="P23" s="541">
        <v>293.4656355381012</v>
      </c>
      <c r="Q23" s="541">
        <v>12428.141948968172</v>
      </c>
      <c r="R23" s="541">
        <v>598.83215999603271</v>
      </c>
      <c r="S23" s="541">
        <v>0</v>
      </c>
      <c r="T23" s="541">
        <v>9614.9449519784011</v>
      </c>
      <c r="U23" s="541">
        <v>1383.8324329853058</v>
      </c>
      <c r="V23" s="541">
        <v>10261.149859428406</v>
      </c>
      <c r="W23" s="541">
        <v>137158.70985709474</v>
      </c>
      <c r="X23" s="541">
        <v>5849.1684772727685</v>
      </c>
      <c r="Y23" s="541">
        <v>212.11356273293495</v>
      </c>
      <c r="Z23" s="541">
        <v>225840.04540252686</v>
      </c>
      <c r="AA23" s="543">
        <v>82620.053505426404</v>
      </c>
      <c r="AB23" s="544">
        <v>24765.810481309891</v>
      </c>
      <c r="AC23" s="544">
        <v>32486.10740878433</v>
      </c>
      <c r="AD23" s="544">
        <v>17487.598962232471</v>
      </c>
      <c r="AE23" s="544">
        <v>105490.95578423142</v>
      </c>
      <c r="AF23" s="544">
        <v>17453.011835145036</v>
      </c>
      <c r="AG23" s="544">
        <v>28988.108469291106</v>
      </c>
      <c r="AH23" s="544">
        <v>13026.974108964205</v>
      </c>
      <c r="AI23" s="544">
        <v>10998.777384963707</v>
      </c>
      <c r="AJ23" s="545">
        <v>143007.8783343675</v>
      </c>
      <c r="AK23" s="541"/>
    </row>
    <row r="24" spans="1:37" x14ac:dyDescent="0.25">
      <c r="A24" s="494">
        <v>1947</v>
      </c>
      <c r="B24" s="542">
        <v>30124.213036805391</v>
      </c>
      <c r="C24" s="541">
        <v>1026.0025346279144</v>
      </c>
      <c r="D24" s="541">
        <v>69014.953369140625</v>
      </c>
      <c r="E24" s="541">
        <v>2810.7051087617874</v>
      </c>
      <c r="F24" s="541">
        <v>15042.340457072482</v>
      </c>
      <c r="G24" s="541">
        <v>2036.5992698669434</v>
      </c>
      <c r="H24" s="541">
        <v>2838.8627778291702</v>
      </c>
      <c r="I24" s="541">
        <v>101519.4093555063</v>
      </c>
      <c r="J24" s="541">
        <v>2614.0002934932709</v>
      </c>
      <c r="K24" s="541">
        <v>19116.242594718933</v>
      </c>
      <c r="L24" s="541">
        <v>15682.76271882652</v>
      </c>
      <c r="M24" s="541">
        <v>1333.2977938652039</v>
      </c>
      <c r="N24" s="541">
        <v>1326.6977829933167</v>
      </c>
      <c r="O24" s="541">
        <v>39537.457884340067</v>
      </c>
      <c r="P24" s="541">
        <v>335.24912881851196</v>
      </c>
      <c r="Q24" s="541">
        <v>16402.830129288137</v>
      </c>
      <c r="R24" s="541">
        <v>598.83215999603271</v>
      </c>
      <c r="S24" s="541">
        <v>0</v>
      </c>
      <c r="T24" s="541">
        <v>14687.592947090045</v>
      </c>
      <c r="U24" s="541">
        <v>1423.492450594902</v>
      </c>
      <c r="V24" s="541">
        <v>13311.805470466614</v>
      </c>
      <c r="W24" s="541">
        <v>128669.38480666622</v>
      </c>
      <c r="X24" s="541">
        <v>5859.2019937317018</v>
      </c>
      <c r="Y24" s="541">
        <v>212.11356273293495</v>
      </c>
      <c r="Z24" s="541">
        <v>210774.2971739769</v>
      </c>
      <c r="AA24" s="543">
        <v>76033.596810846037</v>
      </c>
      <c r="AB24" s="544">
        <v>24765.810481309891</v>
      </c>
      <c r="AC24" s="544">
        <v>31150.215571433306</v>
      </c>
      <c r="AD24" s="544">
        <v>17078.939726939425</v>
      </c>
      <c r="AE24" s="544">
        <v>104133.40964899957</v>
      </c>
      <c r="AF24" s="544">
        <v>17016.060512691722</v>
      </c>
      <c r="AG24" s="544">
        <v>39872.707013158579</v>
      </c>
      <c r="AH24" s="544">
        <v>17001.66228928417</v>
      </c>
      <c r="AI24" s="544">
        <v>16111.085397684947</v>
      </c>
      <c r="AJ24" s="545">
        <v>134528.58680039793</v>
      </c>
      <c r="AK24" s="541"/>
    </row>
    <row r="25" spans="1:37" x14ac:dyDescent="0.25">
      <c r="A25" s="494">
        <v>1948</v>
      </c>
      <c r="B25" s="542">
        <v>32879.89634180069</v>
      </c>
      <c r="C25" s="541">
        <v>1026.0025346279144</v>
      </c>
      <c r="D25" s="541">
        <v>105388.2919921875</v>
      </c>
      <c r="E25" s="541">
        <v>2810.7051087617874</v>
      </c>
      <c r="F25" s="541">
        <v>16015.982196085155</v>
      </c>
      <c r="G25" s="541">
        <v>2036.5992698669434</v>
      </c>
      <c r="H25" s="541">
        <v>2838.8627778291702</v>
      </c>
      <c r="I25" s="541">
        <v>108125.40277776867</v>
      </c>
      <c r="J25" s="541">
        <v>2471.3602826595306</v>
      </c>
      <c r="K25" s="541">
        <v>19116.242594718933</v>
      </c>
      <c r="L25" s="541">
        <v>16784.005723923448</v>
      </c>
      <c r="M25" s="541">
        <v>912.17925810813904</v>
      </c>
      <c r="N25" s="541">
        <v>1326.6977829933167</v>
      </c>
      <c r="O25" s="541">
        <v>48488.363657547612</v>
      </c>
      <c r="P25" s="541">
        <v>522.24778413772583</v>
      </c>
      <c r="Q25" s="541">
        <v>16372.408016383648</v>
      </c>
      <c r="R25" s="541">
        <v>598.83215999603271</v>
      </c>
      <c r="S25" s="541">
        <v>0</v>
      </c>
      <c r="T25" s="541">
        <v>17231.684719214216</v>
      </c>
      <c r="U25" s="541">
        <v>1494.3477475643158</v>
      </c>
      <c r="V25" s="541">
        <v>11607.478980064392</v>
      </c>
      <c r="W25" s="541">
        <v>135437.68881516502</v>
      </c>
      <c r="X25" s="541">
        <v>5901.4129563011229</v>
      </c>
      <c r="Y25" s="541">
        <v>212.11356273293495</v>
      </c>
      <c r="Z25" s="541">
        <v>197658.59954166412</v>
      </c>
      <c r="AA25" s="543">
        <v>56107.384207465046</v>
      </c>
      <c r="AB25" s="544">
        <v>24765.810481309891</v>
      </c>
      <c r="AC25" s="544">
        <v>33905.898876428604</v>
      </c>
      <c r="AD25" s="544">
        <v>18052.581465952098</v>
      </c>
      <c r="AE25" s="544">
        <v>110596.7630604282</v>
      </c>
      <c r="AF25" s="544">
        <v>17696.184982031587</v>
      </c>
      <c r="AG25" s="544">
        <v>49010.611441685338</v>
      </c>
      <c r="AH25" s="544">
        <v>16971.240176379681</v>
      </c>
      <c r="AI25" s="544">
        <v>18726.032466778532</v>
      </c>
      <c r="AJ25" s="545">
        <v>141339.10177146614</v>
      </c>
      <c r="AK25" s="541"/>
    </row>
    <row r="26" spans="1:37" x14ac:dyDescent="0.25">
      <c r="A26" s="494">
        <v>1949</v>
      </c>
      <c r="B26" s="542">
        <v>32749.576065406203</v>
      </c>
      <c r="C26" s="541">
        <v>1026.0025346279144</v>
      </c>
      <c r="D26" s="541">
        <v>123890.13906097412</v>
      </c>
      <c r="E26" s="541">
        <v>2810.7051087617874</v>
      </c>
      <c r="F26" s="541">
        <v>16031.843831807375</v>
      </c>
      <c r="G26" s="541">
        <v>2036.5992698669434</v>
      </c>
      <c r="H26" s="541">
        <v>2838.8627778291702</v>
      </c>
      <c r="I26" s="541">
        <v>105830.38067446649</v>
      </c>
      <c r="J26" s="541">
        <v>2390.0679204463959</v>
      </c>
      <c r="K26" s="541">
        <v>19116.242594718933</v>
      </c>
      <c r="L26" s="541">
        <v>16402.126856214327</v>
      </c>
      <c r="M26" s="541">
        <v>1387.5271005034447</v>
      </c>
      <c r="N26" s="541">
        <v>1326.6977829933167</v>
      </c>
      <c r="O26" s="541">
        <v>47505.776715113301</v>
      </c>
      <c r="P26" s="541">
        <v>509.32354855537415</v>
      </c>
      <c r="Q26" s="541">
        <v>21371.050236076117</v>
      </c>
      <c r="R26" s="541">
        <v>598.83215999603271</v>
      </c>
      <c r="S26" s="541">
        <v>0</v>
      </c>
      <c r="T26" s="541">
        <v>23766.938998460697</v>
      </c>
      <c r="U26" s="541">
        <v>1560.0318539691261</v>
      </c>
      <c r="V26" s="541">
        <v>15602.020581245422</v>
      </c>
      <c r="W26" s="541">
        <v>129775.27807286724</v>
      </c>
      <c r="X26" s="541">
        <v>5896.6381503859157</v>
      </c>
      <c r="Y26" s="541">
        <v>212.11356273293495</v>
      </c>
      <c r="Z26" s="541">
        <v>221396.19322860241</v>
      </c>
      <c r="AA26" s="543">
        <v>85512.163442616322</v>
      </c>
      <c r="AB26" s="544">
        <v>24765.810481309891</v>
      </c>
      <c r="AC26" s="544">
        <v>33775.578600034118</v>
      </c>
      <c r="AD26" s="544">
        <v>18068.443101674318</v>
      </c>
      <c r="AE26" s="544">
        <v>108220.44859491289</v>
      </c>
      <c r="AF26" s="544">
        <v>17789.653956717772</v>
      </c>
      <c r="AG26" s="544">
        <v>48015.100263668675</v>
      </c>
      <c r="AH26" s="544">
        <v>21969.882396072149</v>
      </c>
      <c r="AI26" s="544">
        <v>25326.970852429822</v>
      </c>
      <c r="AJ26" s="545">
        <v>135671.91622325315</v>
      </c>
      <c r="AK26" s="541"/>
    </row>
    <row r="27" spans="1:37" x14ac:dyDescent="0.25">
      <c r="A27" s="494">
        <v>1950</v>
      </c>
      <c r="B27" s="542">
        <v>34285.705353364348</v>
      </c>
      <c r="C27" s="541">
        <v>1026.0025346279144</v>
      </c>
      <c r="D27" s="541">
        <v>53772.865539550781</v>
      </c>
      <c r="E27" s="541">
        <v>2810.7051087617874</v>
      </c>
      <c r="F27" s="541">
        <v>16217.276028670371</v>
      </c>
      <c r="G27" s="541">
        <v>2036.5992698669434</v>
      </c>
      <c r="H27" s="541">
        <v>2838.8627778291702</v>
      </c>
      <c r="I27" s="541">
        <v>112078.99793364108</v>
      </c>
      <c r="J27" s="541">
        <v>2428.2700288295746</v>
      </c>
      <c r="K27" s="541">
        <v>19116.242594718933</v>
      </c>
      <c r="L27" s="541">
        <v>16743.510959118616</v>
      </c>
      <c r="M27" s="541">
        <v>1359.4136896133423</v>
      </c>
      <c r="N27" s="541">
        <v>1326.6977829933167</v>
      </c>
      <c r="O27" s="541">
        <v>32561.059121607315</v>
      </c>
      <c r="P27" s="541">
        <v>330.66846084594727</v>
      </c>
      <c r="Q27" s="541">
        <v>11380.228502623737</v>
      </c>
      <c r="R27" s="541">
        <v>598.83215999603271</v>
      </c>
      <c r="S27" s="541">
        <v>0</v>
      </c>
      <c r="T27" s="541">
        <v>11039.231351741479</v>
      </c>
      <c r="U27" s="541">
        <v>1427.7060898840427</v>
      </c>
      <c r="V27" s="541">
        <v>8538.3033170700073</v>
      </c>
      <c r="W27" s="541">
        <v>142198.59492837236</v>
      </c>
      <c r="X27" s="541">
        <v>5700.6438421466055</v>
      </c>
      <c r="Y27" s="541">
        <v>212.11356273293495</v>
      </c>
      <c r="Z27" s="541">
        <v>225796.41400623322</v>
      </c>
      <c r="AA27" s="543">
        <v>77685.061672981319</v>
      </c>
      <c r="AB27" s="544">
        <v>24765.810481309891</v>
      </c>
      <c r="AC27" s="544">
        <v>35311.707887992263</v>
      </c>
      <c r="AD27" s="544">
        <v>18253.875298537314</v>
      </c>
      <c r="AE27" s="544">
        <v>114507.26796247065</v>
      </c>
      <c r="AF27" s="544">
        <v>18102.924648731958</v>
      </c>
      <c r="AG27" s="544">
        <v>32891.727582453263</v>
      </c>
      <c r="AH27" s="544">
        <v>11979.06066261977</v>
      </c>
      <c r="AI27" s="544">
        <v>12466.937441625521</v>
      </c>
      <c r="AJ27" s="545">
        <v>147899.23877051898</v>
      </c>
      <c r="AK27" s="541"/>
    </row>
    <row r="28" spans="1:37" x14ac:dyDescent="0.25">
      <c r="A28" s="494">
        <v>1951</v>
      </c>
      <c r="B28" s="542">
        <v>31397.317469358444</v>
      </c>
      <c r="C28" s="541">
        <v>1026.0025346279144</v>
      </c>
      <c r="D28" s="541">
        <v>39996.90576171875</v>
      </c>
      <c r="E28" s="541">
        <v>2810.7051087617874</v>
      </c>
      <c r="F28" s="541">
        <v>15088.39638299495</v>
      </c>
      <c r="G28" s="541">
        <v>2036.5992698669434</v>
      </c>
      <c r="H28" s="541">
        <v>2838.8627778291702</v>
      </c>
      <c r="I28" s="541">
        <v>87977.871916919947</v>
      </c>
      <c r="J28" s="541">
        <v>1728.9732568264008</v>
      </c>
      <c r="K28" s="541">
        <v>19116.242594718933</v>
      </c>
      <c r="L28" s="541">
        <v>16919.275514304634</v>
      </c>
      <c r="M28" s="541">
        <v>1271.371789932251</v>
      </c>
      <c r="N28" s="541">
        <v>1326.6977829933167</v>
      </c>
      <c r="O28" s="541">
        <v>22544.345815821067</v>
      </c>
      <c r="P28" s="541">
        <v>282.93470501899719</v>
      </c>
      <c r="Q28" s="541">
        <v>10050.207042343915</v>
      </c>
      <c r="R28" s="541">
        <v>598.83215999603271</v>
      </c>
      <c r="S28" s="541">
        <v>0</v>
      </c>
      <c r="T28" s="541">
        <v>6760.3532597281783</v>
      </c>
      <c r="U28" s="541">
        <v>1381.8042982442598</v>
      </c>
      <c r="V28" s="541">
        <v>7750.5946841239929</v>
      </c>
      <c r="W28" s="541">
        <v>128885.95591147586</v>
      </c>
      <c r="X28" s="541">
        <v>5123.8288842255315</v>
      </c>
      <c r="Y28" s="541">
        <v>212.11356273293495</v>
      </c>
      <c r="Z28" s="541">
        <v>201529.7941827774</v>
      </c>
      <c r="AA28" s="543">
        <v>67307.895824343082</v>
      </c>
      <c r="AB28" s="544">
        <v>24765.810481309891</v>
      </c>
      <c r="AC28" s="544">
        <v>32423.320003986359</v>
      </c>
      <c r="AD28" s="544">
        <v>17124.995652861893</v>
      </c>
      <c r="AE28" s="544">
        <v>89706.845173746347</v>
      </c>
      <c r="AF28" s="544">
        <v>18190.647304236885</v>
      </c>
      <c r="AG28" s="544">
        <v>22827.280520840064</v>
      </c>
      <c r="AH28" s="544">
        <v>10649.039202339947</v>
      </c>
      <c r="AI28" s="544">
        <v>8142.1575579724376</v>
      </c>
      <c r="AJ28" s="545">
        <v>134009.78479570139</v>
      </c>
      <c r="AK28" s="541"/>
    </row>
    <row r="29" spans="1:37" x14ac:dyDescent="0.25">
      <c r="A29" s="494">
        <v>1952</v>
      </c>
      <c r="B29" s="542">
        <v>35943.856153957546</v>
      </c>
      <c r="C29" s="541">
        <v>1026.0025346279144</v>
      </c>
      <c r="D29" s="541">
        <v>155028.49816894531</v>
      </c>
      <c r="E29" s="541">
        <v>2810.7051087617874</v>
      </c>
      <c r="F29" s="541">
        <v>17467.8857229352</v>
      </c>
      <c r="G29" s="541">
        <v>2036.5992698669434</v>
      </c>
      <c r="H29" s="541">
        <v>2838.8627778291702</v>
      </c>
      <c r="I29" s="541">
        <v>106876.31756443158</v>
      </c>
      <c r="J29" s="541">
        <v>2562.5488212108612</v>
      </c>
      <c r="K29" s="541">
        <v>19116.242594718933</v>
      </c>
      <c r="L29" s="541">
        <v>16327.365285143274</v>
      </c>
      <c r="M29" s="541">
        <v>1301.4240398406982</v>
      </c>
      <c r="N29" s="541">
        <v>1326.6977829933167</v>
      </c>
      <c r="O29" s="541">
        <v>47462.756666256566</v>
      </c>
      <c r="P29" s="541">
        <v>518.25602221488953</v>
      </c>
      <c r="Q29" s="541">
        <v>19561.840960398316</v>
      </c>
      <c r="R29" s="541">
        <v>598.83215999603271</v>
      </c>
      <c r="S29" s="541">
        <v>0</v>
      </c>
      <c r="T29" s="541">
        <v>22426.789587594496</v>
      </c>
      <c r="U29" s="541">
        <v>1538.1952003240585</v>
      </c>
      <c r="V29" s="541">
        <v>13653.922734260559</v>
      </c>
      <c r="W29" s="541">
        <v>145404.93223491654</v>
      </c>
      <c r="X29" s="541">
        <v>5701.0801081098616</v>
      </c>
      <c r="Y29" s="541">
        <v>212.11356273293495</v>
      </c>
      <c r="Z29" s="541">
        <v>248878.65685224533</v>
      </c>
      <c r="AA29" s="543">
        <v>97560.530946485989</v>
      </c>
      <c r="AB29" s="544">
        <v>24765.810481309891</v>
      </c>
      <c r="AC29" s="544">
        <v>36969.85868858546</v>
      </c>
      <c r="AD29" s="544">
        <v>19504.484992802143</v>
      </c>
      <c r="AE29" s="544">
        <v>109438.86638564244</v>
      </c>
      <c r="AF29" s="544">
        <v>17628.789324983973</v>
      </c>
      <c r="AG29" s="544">
        <v>47981.012688471455</v>
      </c>
      <c r="AH29" s="544">
        <v>20160.673120394349</v>
      </c>
      <c r="AI29" s="544">
        <v>23964.984787918555</v>
      </c>
      <c r="AJ29" s="545">
        <v>151106.01234302641</v>
      </c>
      <c r="AK29" s="541"/>
    </row>
    <row r="30" spans="1:37" x14ac:dyDescent="0.25">
      <c r="A30" s="494">
        <v>1953</v>
      </c>
      <c r="B30" s="542">
        <v>32550.885788820684</v>
      </c>
      <c r="C30" s="541">
        <v>1026.0025346279144</v>
      </c>
      <c r="D30" s="541">
        <v>58468.0283203125</v>
      </c>
      <c r="E30" s="541">
        <v>2810.7051087617874</v>
      </c>
      <c r="F30" s="541">
        <v>15702.739633738995</v>
      </c>
      <c r="G30" s="541">
        <v>2036.5992698669434</v>
      </c>
      <c r="H30" s="541">
        <v>2838.8627778291702</v>
      </c>
      <c r="I30" s="541">
        <v>103408.25322274491</v>
      </c>
      <c r="J30" s="541">
        <v>2543.2552964687347</v>
      </c>
      <c r="K30" s="541">
        <v>19116.242594718933</v>
      </c>
      <c r="L30" s="541">
        <v>15818.715610660613</v>
      </c>
      <c r="M30" s="541">
        <v>1322.5819845199585</v>
      </c>
      <c r="N30" s="541">
        <v>1326.6977829933167</v>
      </c>
      <c r="O30" s="541">
        <v>32937.01824056216</v>
      </c>
      <c r="P30" s="541">
        <v>326.69489049911499</v>
      </c>
      <c r="Q30" s="541">
        <v>11708.845556557178</v>
      </c>
      <c r="R30" s="541">
        <v>598.83215999603271</v>
      </c>
      <c r="S30" s="541">
        <v>0</v>
      </c>
      <c r="T30" s="541">
        <v>9295.3481613416225</v>
      </c>
      <c r="U30" s="541">
        <v>1386.910815268755</v>
      </c>
      <c r="V30" s="541">
        <v>8315.2823674678802</v>
      </c>
      <c r="W30" s="541">
        <v>130908.19004777416</v>
      </c>
      <c r="X30" s="541">
        <v>5716.637038756955</v>
      </c>
      <c r="Y30" s="541">
        <v>212.11356273293495</v>
      </c>
      <c r="Z30" s="541">
        <v>225266.81286621094</v>
      </c>
      <c r="AA30" s="543">
        <v>88429.872216946882</v>
      </c>
      <c r="AB30" s="544">
        <v>24765.810481309891</v>
      </c>
      <c r="AC30" s="544">
        <v>33576.888323448598</v>
      </c>
      <c r="AD30" s="544">
        <v>17739.338903605938</v>
      </c>
      <c r="AE30" s="544">
        <v>105951.50851921365</v>
      </c>
      <c r="AF30" s="544">
        <v>17141.297595180571</v>
      </c>
      <c r="AG30" s="544">
        <v>33263.713131061275</v>
      </c>
      <c r="AH30" s="544">
        <v>12307.677716553211</v>
      </c>
      <c r="AI30" s="544">
        <v>10682.258976610377</v>
      </c>
      <c r="AJ30" s="545">
        <v>136624.82708653112</v>
      </c>
      <c r="AK30" s="541"/>
    </row>
    <row r="31" spans="1:37" x14ac:dyDescent="0.25">
      <c r="A31" s="494">
        <v>1954</v>
      </c>
      <c r="B31" s="542">
        <v>32824.006477668881</v>
      </c>
      <c r="C31" s="541">
        <v>1026.0025346279144</v>
      </c>
      <c r="D31" s="541">
        <v>49191.261489868164</v>
      </c>
      <c r="E31" s="541">
        <v>2810.7051087617874</v>
      </c>
      <c r="F31" s="541">
        <v>16567.288561552763</v>
      </c>
      <c r="G31" s="541">
        <v>2036.5992698669434</v>
      </c>
      <c r="H31" s="541">
        <v>2838.8627778291702</v>
      </c>
      <c r="I31" s="541">
        <v>101309.91823638976</v>
      </c>
      <c r="J31" s="541">
        <v>2386.6363618373871</v>
      </c>
      <c r="K31" s="541">
        <v>19116.242594718933</v>
      </c>
      <c r="L31" s="541">
        <v>15727.066177241486</v>
      </c>
      <c r="M31" s="541">
        <v>1422.4178252220154</v>
      </c>
      <c r="N31" s="541">
        <v>1326.6977829933167</v>
      </c>
      <c r="O31" s="541">
        <v>31936.325594289672</v>
      </c>
      <c r="P31" s="541">
        <v>313.34165453910828</v>
      </c>
      <c r="Q31" s="541">
        <v>9660.2490800768137</v>
      </c>
      <c r="R31" s="541">
        <v>598.83215999603271</v>
      </c>
      <c r="S31" s="541">
        <v>0</v>
      </c>
      <c r="T31" s="541">
        <v>10076.136350274906</v>
      </c>
      <c r="U31" s="541">
        <v>1404.1277987865105</v>
      </c>
      <c r="V31" s="541">
        <v>8716.5977029800415</v>
      </c>
      <c r="W31" s="541">
        <v>134729.36573171959</v>
      </c>
      <c r="X31" s="541">
        <v>5678.9337385669351</v>
      </c>
      <c r="Y31" s="541">
        <v>212.11356273293495</v>
      </c>
      <c r="Z31" s="541">
        <v>240840.89907646179</v>
      </c>
      <c r="AA31" s="543">
        <v>100220.48604344233</v>
      </c>
      <c r="AB31" s="544">
        <v>24765.810481309891</v>
      </c>
      <c r="AC31" s="544">
        <v>33850.009012296796</v>
      </c>
      <c r="AD31" s="544">
        <v>18603.887831419706</v>
      </c>
      <c r="AE31" s="544">
        <v>103696.55459822714</v>
      </c>
      <c r="AF31" s="544">
        <v>17149.484002463501</v>
      </c>
      <c r="AG31" s="544">
        <v>32249.66724882878</v>
      </c>
      <c r="AH31" s="544">
        <v>10259.081240072846</v>
      </c>
      <c r="AI31" s="544">
        <v>11480.264149061417</v>
      </c>
      <c r="AJ31" s="545">
        <v>140408.29947028653</v>
      </c>
      <c r="AK31" s="541"/>
    </row>
    <row r="32" spans="1:37" x14ac:dyDescent="0.25">
      <c r="A32" s="494">
        <v>1955</v>
      </c>
      <c r="B32" s="542">
        <v>32342.375977270305</v>
      </c>
      <c r="C32" s="541">
        <v>1026.0025346279144</v>
      </c>
      <c r="D32" s="541">
        <v>46107.563781738281</v>
      </c>
      <c r="E32" s="541">
        <v>2810.7051087617874</v>
      </c>
      <c r="F32" s="541">
        <v>15898.799339320511</v>
      </c>
      <c r="G32" s="541">
        <v>2036.5992698669434</v>
      </c>
      <c r="H32" s="541">
        <v>2838.8627778291702</v>
      </c>
      <c r="I32" s="541">
        <v>102468.80279185995</v>
      </c>
      <c r="J32" s="541">
        <v>2602.7169091701508</v>
      </c>
      <c r="K32" s="541">
        <v>19116.242594718933</v>
      </c>
      <c r="L32" s="541">
        <v>16059.633210785691</v>
      </c>
      <c r="M32" s="541">
        <v>1307.7977366447449</v>
      </c>
      <c r="N32" s="541">
        <v>1326.6977829933167</v>
      </c>
      <c r="O32" s="541">
        <v>30005.861730037701</v>
      </c>
      <c r="P32" s="541">
        <v>313.48513579368591</v>
      </c>
      <c r="Q32" s="541">
        <v>11210.242236450315</v>
      </c>
      <c r="R32" s="541">
        <v>598.83215999603271</v>
      </c>
      <c r="S32" s="541">
        <v>0</v>
      </c>
      <c r="T32" s="541">
        <v>9473.6668604769566</v>
      </c>
      <c r="U32" s="541">
        <v>1411.7931905369169</v>
      </c>
      <c r="V32" s="541">
        <v>10876.080883979797</v>
      </c>
      <c r="W32" s="541">
        <v>117427.52425679906</v>
      </c>
      <c r="X32" s="541">
        <v>5635.5598104481687</v>
      </c>
      <c r="Y32" s="541">
        <v>212.11356273293495</v>
      </c>
      <c r="Z32" s="541">
        <v>215498.89399719238</v>
      </c>
      <c r="AA32" s="543">
        <v>92223.696367212222</v>
      </c>
      <c r="AB32" s="544">
        <v>24765.810481309891</v>
      </c>
      <c r="AC32" s="544">
        <v>33368.37851189822</v>
      </c>
      <c r="AD32" s="544">
        <v>17935.398609187454</v>
      </c>
      <c r="AE32" s="544">
        <v>105071.51970103011</v>
      </c>
      <c r="AF32" s="544">
        <v>17367.430947430435</v>
      </c>
      <c r="AG32" s="544">
        <v>30319.346865831387</v>
      </c>
      <c r="AH32" s="544">
        <v>11809.074396446347</v>
      </c>
      <c r="AI32" s="544">
        <v>10885.460051013873</v>
      </c>
      <c r="AJ32" s="545">
        <v>123063.08406724723</v>
      </c>
      <c r="AK32" s="541"/>
    </row>
    <row r="33" spans="1:37" x14ac:dyDescent="0.25">
      <c r="A33" s="494">
        <v>1956</v>
      </c>
      <c r="B33" s="542">
        <v>32405.807645309716</v>
      </c>
      <c r="C33" s="541">
        <v>1026.0025346279144</v>
      </c>
      <c r="D33" s="541">
        <v>56676.412353515625</v>
      </c>
      <c r="E33" s="541">
        <v>2810.7051087617874</v>
      </c>
      <c r="F33" s="541">
        <v>15621.842332586646</v>
      </c>
      <c r="G33" s="541">
        <v>2036.5992698669434</v>
      </c>
      <c r="H33" s="541">
        <v>2838.8627778291702</v>
      </c>
      <c r="I33" s="541">
        <v>113647.51011633128</v>
      </c>
      <c r="J33" s="541">
        <v>2608.8834187984467</v>
      </c>
      <c r="K33" s="541">
        <v>19116.242594718933</v>
      </c>
      <c r="L33" s="541">
        <v>18232.466757401817</v>
      </c>
      <c r="M33" s="541">
        <v>1371.3970828056335</v>
      </c>
      <c r="N33" s="541">
        <v>1326.6977829933167</v>
      </c>
      <c r="O33" s="541">
        <v>27144.165951116458</v>
      </c>
      <c r="P33" s="541">
        <v>303.62273526191711</v>
      </c>
      <c r="Q33" s="541">
        <v>11010.946844130754</v>
      </c>
      <c r="R33" s="541">
        <v>598.83215999603271</v>
      </c>
      <c r="S33" s="541">
        <v>0</v>
      </c>
      <c r="T33" s="541">
        <v>10760.28426789621</v>
      </c>
      <c r="U33" s="541">
        <v>1420.9431223273277</v>
      </c>
      <c r="V33" s="541">
        <v>8135.2251586914063</v>
      </c>
      <c r="W33" s="541">
        <v>114084.41693088754</v>
      </c>
      <c r="X33" s="541">
        <v>5542.4217932387837</v>
      </c>
      <c r="Y33" s="541">
        <v>212.11356273293495</v>
      </c>
      <c r="Z33" s="541">
        <v>211346.36829090118</v>
      </c>
      <c r="AA33" s="543">
        <v>91507.416004041923</v>
      </c>
      <c r="AB33" s="544">
        <v>24765.810481309891</v>
      </c>
      <c r="AC33" s="544">
        <v>33431.810179937631</v>
      </c>
      <c r="AD33" s="544">
        <v>17658.441602453589</v>
      </c>
      <c r="AE33" s="544">
        <v>116256.39353512973</v>
      </c>
      <c r="AF33" s="544">
        <v>19603.86384020745</v>
      </c>
      <c r="AG33" s="544">
        <v>27447.788686378375</v>
      </c>
      <c r="AH33" s="544">
        <v>11609.779004126787</v>
      </c>
      <c r="AI33" s="544">
        <v>12181.227390223537</v>
      </c>
      <c r="AJ33" s="545">
        <v>119626.83872412633</v>
      </c>
      <c r="AK33" s="541"/>
    </row>
    <row r="34" spans="1:37" x14ac:dyDescent="0.25">
      <c r="A34" s="494">
        <v>1957</v>
      </c>
      <c r="B34" s="542">
        <v>27357.338185831904</v>
      </c>
      <c r="C34" s="541">
        <v>1026.0025346279144</v>
      </c>
      <c r="D34" s="541">
        <v>157969.27038574219</v>
      </c>
      <c r="E34" s="541">
        <v>2810.7051087617874</v>
      </c>
      <c r="F34" s="541">
        <v>13413.913911610842</v>
      </c>
      <c r="G34" s="541">
        <v>2036.5992698669434</v>
      </c>
      <c r="H34" s="541">
        <v>2838.8627778291702</v>
      </c>
      <c r="I34" s="541">
        <v>82659.740735501051</v>
      </c>
      <c r="J34" s="541">
        <v>2498.0162160396576</v>
      </c>
      <c r="K34" s="541">
        <v>19116.242594718933</v>
      </c>
      <c r="L34" s="541">
        <v>12869.110400743779</v>
      </c>
      <c r="M34" s="541">
        <v>1363.3774552345276</v>
      </c>
      <c r="N34" s="541">
        <v>1326.6977829933167</v>
      </c>
      <c r="O34" s="541">
        <v>38001.08438181736</v>
      </c>
      <c r="P34" s="541">
        <v>430.12261247634888</v>
      </c>
      <c r="Q34" s="541">
        <v>19396.470980316401</v>
      </c>
      <c r="R34" s="541">
        <v>598.83215999603271</v>
      </c>
      <c r="S34" s="541">
        <v>0</v>
      </c>
      <c r="T34" s="541">
        <v>21470.390010908621</v>
      </c>
      <c r="U34" s="541">
        <v>1583.6459755762935</v>
      </c>
      <c r="V34" s="541">
        <v>17425.663586616516</v>
      </c>
      <c r="W34" s="541">
        <v>97710.700722340189</v>
      </c>
      <c r="X34" s="541">
        <v>5784.680172637105</v>
      </c>
      <c r="Y34" s="541">
        <v>212.11356273293495</v>
      </c>
      <c r="Z34" s="541">
        <v>221849.88265037537</v>
      </c>
      <c r="AA34" s="543">
        <v>118142.38819266514</v>
      </c>
      <c r="AB34" s="544">
        <v>24765.810481309891</v>
      </c>
      <c r="AC34" s="544">
        <v>28383.340720459819</v>
      </c>
      <c r="AD34" s="544">
        <v>15450.513181477785</v>
      </c>
      <c r="AE34" s="544">
        <v>85157.756951540709</v>
      </c>
      <c r="AF34" s="544">
        <v>14232.487855978306</v>
      </c>
      <c r="AG34" s="544">
        <v>38431.206994293709</v>
      </c>
      <c r="AH34" s="544">
        <v>19995.303140312433</v>
      </c>
      <c r="AI34" s="544">
        <v>23054.035986484916</v>
      </c>
      <c r="AJ34" s="545">
        <v>103495.38089497729</v>
      </c>
      <c r="AK34" s="541"/>
    </row>
    <row r="35" spans="1:37" x14ac:dyDescent="0.25">
      <c r="A35" s="494">
        <v>1958</v>
      </c>
      <c r="B35" s="542">
        <v>34975.645249500871</v>
      </c>
      <c r="C35" s="541">
        <v>1026.0025346279144</v>
      </c>
      <c r="D35" s="541">
        <v>114682.65545654297</v>
      </c>
      <c r="E35" s="541">
        <v>2810.7051087617874</v>
      </c>
      <c r="F35" s="541">
        <v>17211.469055905938</v>
      </c>
      <c r="G35" s="541">
        <v>2036.5992698669434</v>
      </c>
      <c r="H35" s="541">
        <v>2838.8627778291702</v>
      </c>
      <c r="I35" s="541">
        <v>113163.85779730976</v>
      </c>
      <c r="J35" s="541">
        <v>2474.2328126430511</v>
      </c>
      <c r="K35" s="541">
        <v>19116.242594718933</v>
      </c>
      <c r="L35" s="541">
        <v>18232.20676027982</v>
      </c>
      <c r="M35" s="541">
        <v>1367.6555404663086</v>
      </c>
      <c r="N35" s="541">
        <v>1326.6977829933167</v>
      </c>
      <c r="O35" s="541">
        <v>51156.390819339533</v>
      </c>
      <c r="P35" s="541">
        <v>472.9890251159668</v>
      </c>
      <c r="Q35" s="541">
        <v>16882.486840639263</v>
      </c>
      <c r="R35" s="541">
        <v>598.83215999603271</v>
      </c>
      <c r="S35" s="541">
        <v>0</v>
      </c>
      <c r="T35" s="541">
        <v>21660.689084881917</v>
      </c>
      <c r="U35" s="541">
        <v>1515.6032690627253</v>
      </c>
      <c r="V35" s="541">
        <v>12421.686657905579</v>
      </c>
      <c r="W35" s="541">
        <v>154367.14214976475</v>
      </c>
      <c r="X35" s="541">
        <v>5828.4267360717058</v>
      </c>
      <c r="Y35" s="541">
        <v>212.11356273293495</v>
      </c>
      <c r="Z35" s="541">
        <v>221959.72789573669</v>
      </c>
      <c r="AA35" s="543">
        <v>61552.0454471673</v>
      </c>
      <c r="AB35" s="544">
        <v>24765.810481309891</v>
      </c>
      <c r="AC35" s="544">
        <v>36001.647784128785</v>
      </c>
      <c r="AD35" s="544">
        <v>19248.068325772882</v>
      </c>
      <c r="AE35" s="544">
        <v>115638.09060995281</v>
      </c>
      <c r="AF35" s="544">
        <v>19599.862300746128</v>
      </c>
      <c r="AG35" s="544">
        <v>51629.3798444555</v>
      </c>
      <c r="AH35" s="544">
        <v>17481.319000635296</v>
      </c>
      <c r="AI35" s="544">
        <v>23176.292353944642</v>
      </c>
      <c r="AJ35" s="545">
        <v>160195.56888583646</v>
      </c>
      <c r="AK35" s="541"/>
    </row>
    <row r="36" spans="1:37" x14ac:dyDescent="0.25">
      <c r="A36" s="494">
        <v>1959</v>
      </c>
      <c r="B36" s="542">
        <v>29126.36716248095</v>
      </c>
      <c r="C36" s="541">
        <v>1026.0025346279144</v>
      </c>
      <c r="D36" s="541">
        <v>36245.572387695313</v>
      </c>
      <c r="E36" s="541">
        <v>2810.7051087617874</v>
      </c>
      <c r="F36" s="541">
        <v>13969.66473415494</v>
      </c>
      <c r="G36" s="541">
        <v>2036.5992698669434</v>
      </c>
      <c r="H36" s="541">
        <v>2838.8627778291702</v>
      </c>
      <c r="I36" s="541">
        <v>102182.24745930731</v>
      </c>
      <c r="J36" s="541">
        <v>2126.3059251308441</v>
      </c>
      <c r="K36" s="541">
        <v>19116.242594718933</v>
      </c>
      <c r="L36" s="541">
        <v>15624.306823872028</v>
      </c>
      <c r="M36" s="541">
        <v>1175.4560527801514</v>
      </c>
      <c r="N36" s="541">
        <v>1326.6977829933167</v>
      </c>
      <c r="O36" s="541">
        <v>21510.987733452097</v>
      </c>
      <c r="P36" s="541">
        <v>283.36485433578491</v>
      </c>
      <c r="Q36" s="541">
        <v>8141.9567873813212</v>
      </c>
      <c r="R36" s="541">
        <v>598.83215999603271</v>
      </c>
      <c r="S36" s="541">
        <v>0</v>
      </c>
      <c r="T36" s="541">
        <v>5217.2766748991608</v>
      </c>
      <c r="U36" s="541">
        <v>1380.9769555926323</v>
      </c>
      <c r="V36" s="541">
        <v>7407.9379396438599</v>
      </c>
      <c r="W36" s="541">
        <v>129094.38120553239</v>
      </c>
      <c r="X36" s="541">
        <v>5475.8954146504402</v>
      </c>
      <c r="Y36" s="541">
        <v>212.11356273293495</v>
      </c>
      <c r="Z36" s="541">
        <v>212893.71466958523</v>
      </c>
      <c r="AA36" s="543">
        <v>78111.324486669459</v>
      </c>
      <c r="AB36" s="544">
        <v>24765.810481309891</v>
      </c>
      <c r="AC36" s="544">
        <v>30152.369697108865</v>
      </c>
      <c r="AD36" s="544">
        <v>16006.264004021883</v>
      </c>
      <c r="AE36" s="544">
        <v>104308.55338443816</v>
      </c>
      <c r="AF36" s="544">
        <v>16799.762876652181</v>
      </c>
      <c r="AG36" s="544">
        <v>21794.352587787882</v>
      </c>
      <c r="AH36" s="544">
        <v>8740.7889473773539</v>
      </c>
      <c r="AI36" s="544">
        <v>6598.253630491793</v>
      </c>
      <c r="AJ36" s="545">
        <v>134570.27662018285</v>
      </c>
      <c r="AK36" s="541"/>
    </row>
    <row r="37" spans="1:37" x14ac:dyDescent="0.25">
      <c r="A37" s="494">
        <v>1960</v>
      </c>
      <c r="B37" s="542">
        <v>33758.625381410122</v>
      </c>
      <c r="C37" s="541">
        <v>1026.0025346279144</v>
      </c>
      <c r="D37" s="541">
        <v>101742.96533203125</v>
      </c>
      <c r="E37" s="541">
        <v>2810.7051087617874</v>
      </c>
      <c r="F37" s="541">
        <v>16334.205378994346</v>
      </c>
      <c r="G37" s="541">
        <v>2036.5992698669434</v>
      </c>
      <c r="H37" s="541">
        <v>2838.8627778291702</v>
      </c>
      <c r="I37" s="541">
        <v>108193.52961089928</v>
      </c>
      <c r="J37" s="541">
        <v>2373.1802003383636</v>
      </c>
      <c r="K37" s="541">
        <v>19116.242594718933</v>
      </c>
      <c r="L37" s="541">
        <v>17173.013142339882</v>
      </c>
      <c r="M37" s="541">
        <v>1379.0741891860962</v>
      </c>
      <c r="N37" s="541">
        <v>1326.6977829933167</v>
      </c>
      <c r="O37" s="541">
        <v>35367.749925701399</v>
      </c>
      <c r="P37" s="541">
        <v>352.55170226097107</v>
      </c>
      <c r="Q37" s="541">
        <v>14600.691522046924</v>
      </c>
      <c r="R37" s="541">
        <v>598.83215999603271</v>
      </c>
      <c r="S37" s="541">
        <v>0</v>
      </c>
      <c r="T37" s="541">
        <v>18748.358072878793</v>
      </c>
      <c r="U37" s="541">
        <v>1521.3486390233181</v>
      </c>
      <c r="V37" s="541">
        <v>11104.052372932434</v>
      </c>
      <c r="W37" s="541">
        <v>148222.9838984643</v>
      </c>
      <c r="X37" s="541">
        <v>5443.4723812458151</v>
      </c>
      <c r="Y37" s="541">
        <v>212.11356273293495</v>
      </c>
      <c r="Z37" s="541">
        <v>216480.86566162109</v>
      </c>
      <c r="AA37" s="543">
        <v>62602.295819178042</v>
      </c>
      <c r="AB37" s="544">
        <v>24765.810481309891</v>
      </c>
      <c r="AC37" s="544">
        <v>34784.627916038036</v>
      </c>
      <c r="AD37" s="544">
        <v>18370.804648861289</v>
      </c>
      <c r="AE37" s="544">
        <v>110566.70981123764</v>
      </c>
      <c r="AF37" s="544">
        <v>18552.087331525978</v>
      </c>
      <c r="AG37" s="544">
        <v>35720.30162796237</v>
      </c>
      <c r="AH37" s="544">
        <v>15199.523682042956</v>
      </c>
      <c r="AI37" s="544">
        <v>20269.706711902112</v>
      </c>
      <c r="AJ37" s="545">
        <v>153666.45627971011</v>
      </c>
      <c r="AK37" s="541"/>
    </row>
    <row r="38" spans="1:37" x14ac:dyDescent="0.25">
      <c r="A38" s="494">
        <v>1961</v>
      </c>
      <c r="B38" s="542">
        <v>30749.22798448056</v>
      </c>
      <c r="C38" s="541">
        <v>1026.0025346279144</v>
      </c>
      <c r="D38" s="541">
        <v>71889.613693237305</v>
      </c>
      <c r="E38" s="541">
        <v>2810.7051087617874</v>
      </c>
      <c r="F38" s="541">
        <v>15128.98440952599</v>
      </c>
      <c r="G38" s="541">
        <v>2036.5992698669434</v>
      </c>
      <c r="H38" s="541">
        <v>2838.8627778291702</v>
      </c>
      <c r="I38" s="541">
        <v>101554.08679379523</v>
      </c>
      <c r="J38" s="541">
        <v>2472.733104467392</v>
      </c>
      <c r="K38" s="541">
        <v>19116.242594718933</v>
      </c>
      <c r="L38" s="541">
        <v>15770.570674411952</v>
      </c>
      <c r="M38" s="541">
        <v>1380.1715097427368</v>
      </c>
      <c r="N38" s="541">
        <v>1326.6977829933167</v>
      </c>
      <c r="O38" s="541">
        <v>32640.176850123778</v>
      </c>
      <c r="P38" s="541">
        <v>293.17856025695801</v>
      </c>
      <c r="Q38" s="541">
        <v>15644.20481492579</v>
      </c>
      <c r="R38" s="541">
        <v>598.83215999603271</v>
      </c>
      <c r="S38" s="541">
        <v>0</v>
      </c>
      <c r="T38" s="541">
        <v>13027.311045491026</v>
      </c>
      <c r="U38" s="541">
        <v>1435.9494752287865</v>
      </c>
      <c r="V38" s="541">
        <v>11586.666974067688</v>
      </c>
      <c r="W38" s="541">
        <v>135370.83024166868</v>
      </c>
      <c r="X38" s="541">
        <v>5401.3159805538853</v>
      </c>
      <c r="Y38" s="541">
        <v>212.11356273293495</v>
      </c>
      <c r="Z38" s="541">
        <v>255672.63536930084</v>
      </c>
      <c r="AA38" s="543">
        <v>114688.37558434534</v>
      </c>
      <c r="AB38" s="544">
        <v>24765.810481309891</v>
      </c>
      <c r="AC38" s="544">
        <v>31775.230519108474</v>
      </c>
      <c r="AD38" s="544">
        <v>17165.583679392934</v>
      </c>
      <c r="AE38" s="544">
        <v>104026.81989826262</v>
      </c>
      <c r="AF38" s="544">
        <v>17150.742184154689</v>
      </c>
      <c r="AG38" s="544">
        <v>32933.35541038074</v>
      </c>
      <c r="AH38" s="544">
        <v>16243.036974921823</v>
      </c>
      <c r="AI38" s="544">
        <v>14463.260520719812</v>
      </c>
      <c r="AJ38" s="545">
        <v>140772.14622222257</v>
      </c>
      <c r="AK38" s="541"/>
    </row>
    <row r="39" spans="1:37" x14ac:dyDescent="0.25">
      <c r="A39" s="494">
        <v>1962</v>
      </c>
      <c r="B39" s="542">
        <v>33841.750220432878</v>
      </c>
      <c r="C39" s="541">
        <v>1026.0025346279144</v>
      </c>
      <c r="D39" s="541">
        <v>96137.953765869141</v>
      </c>
      <c r="E39" s="541">
        <v>2810.7051087617874</v>
      </c>
      <c r="F39" s="541">
        <v>16666.76443195343</v>
      </c>
      <c r="G39" s="541">
        <v>2036.5992698669434</v>
      </c>
      <c r="H39" s="541">
        <v>2838.8627778291702</v>
      </c>
      <c r="I39" s="541">
        <v>109097.29241359234</v>
      </c>
      <c r="J39" s="541">
        <v>2256.3404939174652</v>
      </c>
      <c r="K39" s="541">
        <v>19116.242594718933</v>
      </c>
      <c r="L39" s="541">
        <v>17026.498659089208</v>
      </c>
      <c r="M39" s="541">
        <v>1385.7694554328918</v>
      </c>
      <c r="N39" s="541">
        <v>1326.6977829933167</v>
      </c>
      <c r="O39" s="541">
        <v>34110.4794750125</v>
      </c>
      <c r="P39" s="541">
        <v>339.00571370124817</v>
      </c>
      <c r="Q39" s="541">
        <v>14265.200619138777</v>
      </c>
      <c r="R39" s="541">
        <v>598.83215999603271</v>
      </c>
      <c r="S39" s="541">
        <v>0</v>
      </c>
      <c r="T39" s="541">
        <v>14673.212002659217</v>
      </c>
      <c r="U39" s="541">
        <v>1437.8885340120464</v>
      </c>
      <c r="V39" s="541">
        <v>10833.813507556915</v>
      </c>
      <c r="W39" s="541">
        <v>137689.01850137458</v>
      </c>
      <c r="X39" s="541">
        <v>5449.6475036814809</v>
      </c>
      <c r="Y39" s="541">
        <v>212.11356273293495</v>
      </c>
      <c r="Z39" s="541">
        <v>210731.67543363571</v>
      </c>
      <c r="AA39" s="543">
        <v>67380.895865846716</v>
      </c>
      <c r="AB39" s="544">
        <v>24765.810481309891</v>
      </c>
      <c r="AC39" s="544">
        <v>34867.752755060792</v>
      </c>
      <c r="AD39" s="544">
        <v>18703.363701820374</v>
      </c>
      <c r="AE39" s="544">
        <v>111353.6329075098</v>
      </c>
      <c r="AF39" s="544">
        <v>18412.268114522099</v>
      </c>
      <c r="AG39" s="544">
        <v>34449.485188713748</v>
      </c>
      <c r="AH39" s="544">
        <v>14864.03277913481</v>
      </c>
      <c r="AI39" s="544">
        <v>16111.100536671263</v>
      </c>
      <c r="AJ39" s="545">
        <v>143138.66600505606</v>
      </c>
      <c r="AK39" s="541"/>
    </row>
    <row r="40" spans="1:37" x14ac:dyDescent="0.25">
      <c r="A40" s="494">
        <v>1963</v>
      </c>
      <c r="B40" s="542">
        <v>31530.187563896179</v>
      </c>
      <c r="C40" s="541">
        <v>1026.0025346279144</v>
      </c>
      <c r="D40" s="541">
        <v>42910.715103149414</v>
      </c>
      <c r="E40" s="541">
        <v>2810.7051087617874</v>
      </c>
      <c r="F40" s="541">
        <v>15815.032400101423</v>
      </c>
      <c r="G40" s="541">
        <v>2036.5992698669434</v>
      </c>
      <c r="H40" s="541">
        <v>2838.8627778291702</v>
      </c>
      <c r="I40" s="541">
        <v>101639.33189398237</v>
      </c>
      <c r="J40" s="541">
        <v>2361.7754743099213</v>
      </c>
      <c r="K40" s="541">
        <v>19116.242594718933</v>
      </c>
      <c r="L40" s="541">
        <v>16196.553621947769</v>
      </c>
      <c r="M40" s="541">
        <v>1360.4503207206726</v>
      </c>
      <c r="N40" s="541">
        <v>1326.6977829933167</v>
      </c>
      <c r="O40" s="541">
        <v>27349.719536131695</v>
      </c>
      <c r="P40" s="541">
        <v>297.23484969139099</v>
      </c>
      <c r="Q40" s="541">
        <v>11039.338425010443</v>
      </c>
      <c r="R40" s="541">
        <v>598.83215999603271</v>
      </c>
      <c r="S40" s="541">
        <v>0</v>
      </c>
      <c r="T40" s="541">
        <v>11024.686499603913</v>
      </c>
      <c r="U40" s="541">
        <v>1423.1451075971127</v>
      </c>
      <c r="V40" s="541">
        <v>8364.9141054153442</v>
      </c>
      <c r="W40" s="541">
        <v>133161.01313156978</v>
      </c>
      <c r="X40" s="541">
        <v>5403.6943594208051</v>
      </c>
      <c r="Y40" s="541">
        <v>212.11356273293495</v>
      </c>
      <c r="Z40" s="541">
        <v>206590.76850557327</v>
      </c>
      <c r="AA40" s="543">
        <v>67813.947451849759</v>
      </c>
      <c r="AB40" s="544">
        <v>24765.810481309891</v>
      </c>
      <c r="AC40" s="544">
        <v>32556.190098524094</v>
      </c>
      <c r="AD40" s="544">
        <v>17851.631669968367</v>
      </c>
      <c r="AE40" s="544">
        <v>104001.10736829229</v>
      </c>
      <c r="AF40" s="544">
        <v>17557.003942668442</v>
      </c>
      <c r="AG40" s="544">
        <v>27646.954385823086</v>
      </c>
      <c r="AH40" s="544">
        <v>11638.170585006475</v>
      </c>
      <c r="AI40" s="544">
        <v>12447.831607201026</v>
      </c>
      <c r="AJ40" s="545">
        <v>138564.70749099058</v>
      </c>
      <c r="AK40" s="541"/>
    </row>
    <row r="41" spans="1:37" x14ac:dyDescent="0.25">
      <c r="A41" s="494">
        <v>1964</v>
      </c>
      <c r="B41" s="542">
        <v>34959.862106569111</v>
      </c>
      <c r="C41" s="541">
        <v>1026.0025346279144</v>
      </c>
      <c r="D41" s="541">
        <v>54616.380432128906</v>
      </c>
      <c r="E41" s="541">
        <v>2810.7051087617874</v>
      </c>
      <c r="F41" s="541">
        <v>15979.494484096766</v>
      </c>
      <c r="G41" s="541">
        <v>2036.5992698669434</v>
      </c>
      <c r="H41" s="541">
        <v>2838.8627778291702</v>
      </c>
      <c r="I41" s="541">
        <v>101638.59579022229</v>
      </c>
      <c r="J41" s="541">
        <v>2166.6441113948822</v>
      </c>
      <c r="K41" s="541">
        <v>19116.242594718933</v>
      </c>
      <c r="L41" s="541">
        <v>17125.739578403522</v>
      </c>
      <c r="M41" s="541">
        <v>1326.5622525215149</v>
      </c>
      <c r="N41" s="541">
        <v>1326.6977829933167</v>
      </c>
      <c r="O41" s="541">
        <v>24091.023422099803</v>
      </c>
      <c r="P41" s="541">
        <v>267.43048429489136</v>
      </c>
      <c r="Q41" s="541">
        <v>13347.473749727011</v>
      </c>
      <c r="R41" s="541">
        <v>598.83215999603271</v>
      </c>
      <c r="S41" s="541">
        <v>0</v>
      </c>
      <c r="T41" s="541">
        <v>10909.181837835238</v>
      </c>
      <c r="U41" s="541">
        <v>1392.7702518999577</v>
      </c>
      <c r="V41" s="541">
        <v>10091.796875953674</v>
      </c>
      <c r="W41" s="541">
        <v>111098.35054181858</v>
      </c>
      <c r="X41" s="541">
        <v>5242.9200390612359</v>
      </c>
      <c r="Y41" s="541">
        <v>212.11356273293495</v>
      </c>
      <c r="Z41" s="541">
        <v>206358.84523962438</v>
      </c>
      <c r="AA41" s="543">
        <v>89805.461096011626</v>
      </c>
      <c r="AB41" s="544">
        <v>24765.810481309891</v>
      </c>
      <c r="AC41" s="544">
        <v>35985.864641197026</v>
      </c>
      <c r="AD41" s="544">
        <v>18016.093753963709</v>
      </c>
      <c r="AE41" s="544">
        <v>103805.23990161717</v>
      </c>
      <c r="AF41" s="544">
        <v>18452.301830925036</v>
      </c>
      <c r="AG41" s="544">
        <v>24358.453906394694</v>
      </c>
      <c r="AH41" s="544">
        <v>13946.305909723043</v>
      </c>
      <c r="AI41" s="544">
        <v>12301.952089735196</v>
      </c>
      <c r="AJ41" s="545">
        <v>116341.27058087982</v>
      </c>
      <c r="AK41" s="541"/>
    </row>
    <row r="42" spans="1:37" x14ac:dyDescent="0.25">
      <c r="A42" s="494">
        <v>1965</v>
      </c>
      <c r="B42" s="542">
        <v>35846.368672192097</v>
      </c>
      <c r="C42" s="541">
        <v>1026.0025346279144</v>
      </c>
      <c r="D42" s="541">
        <v>143532.74061584473</v>
      </c>
      <c r="E42" s="541">
        <v>2810.7051087617874</v>
      </c>
      <c r="F42" s="541">
        <v>14952.056076958776</v>
      </c>
      <c r="G42" s="541">
        <v>2036.5992698669434</v>
      </c>
      <c r="H42" s="541">
        <v>2838.8627778291702</v>
      </c>
      <c r="I42" s="541">
        <v>103113.30942165852</v>
      </c>
      <c r="J42" s="541">
        <v>2641.7379815578461</v>
      </c>
      <c r="K42" s="541">
        <v>19116.242594718933</v>
      </c>
      <c r="L42" s="541">
        <v>15211.297102726989</v>
      </c>
      <c r="M42" s="541">
        <v>1344.3224596977234</v>
      </c>
      <c r="N42" s="541">
        <v>1326.6977829933167</v>
      </c>
      <c r="O42" s="541">
        <v>41241.056261251601</v>
      </c>
      <c r="P42" s="541">
        <v>318.11277675628662</v>
      </c>
      <c r="Q42" s="541">
        <v>20051.339646920562</v>
      </c>
      <c r="R42" s="541">
        <v>598.83215999603271</v>
      </c>
      <c r="S42" s="541">
        <v>0</v>
      </c>
      <c r="T42" s="541">
        <v>21916.606464814322</v>
      </c>
      <c r="U42" s="541">
        <v>1571.9742879245805</v>
      </c>
      <c r="V42" s="541">
        <v>17239.281411170959</v>
      </c>
      <c r="W42" s="541">
        <v>104997.31663843959</v>
      </c>
      <c r="X42" s="541">
        <v>5748.5890097618103</v>
      </c>
      <c r="Y42" s="541">
        <v>212.11356273293495</v>
      </c>
      <c r="Z42" s="541">
        <v>240105.43230438232</v>
      </c>
      <c r="AA42" s="543">
        <v>129147.41309344798</v>
      </c>
      <c r="AB42" s="544">
        <v>24765.810481309891</v>
      </c>
      <c r="AC42" s="544">
        <v>36872.371206820011</v>
      </c>
      <c r="AD42" s="544">
        <v>16988.655346825719</v>
      </c>
      <c r="AE42" s="544">
        <v>105755.04740321636</v>
      </c>
      <c r="AF42" s="544">
        <v>16555.619562424712</v>
      </c>
      <c r="AG42" s="544">
        <v>41559.169038007887</v>
      </c>
      <c r="AH42" s="544">
        <v>20650.171806916595</v>
      </c>
      <c r="AI42" s="544">
        <v>23488.580752738904</v>
      </c>
      <c r="AJ42" s="545">
        <v>110745.9056482014</v>
      </c>
      <c r="AK42" s="541"/>
    </row>
    <row r="43" spans="1:37" x14ac:dyDescent="0.25">
      <c r="A43" s="494">
        <v>1966</v>
      </c>
      <c r="B43" s="542">
        <v>37568.151311397552</v>
      </c>
      <c r="C43" s="541">
        <v>1026.0025346279144</v>
      </c>
      <c r="D43" s="541">
        <v>87768.272521972656</v>
      </c>
      <c r="E43" s="541">
        <v>2810.7051087617874</v>
      </c>
      <c r="F43" s="541">
        <v>17362.744509041309</v>
      </c>
      <c r="G43" s="541">
        <v>2036.5992698669434</v>
      </c>
      <c r="H43" s="541">
        <v>2838.8627778291702</v>
      </c>
      <c r="I43" s="541">
        <v>113555.80522208288</v>
      </c>
      <c r="J43" s="541">
        <v>2646.8207185268402</v>
      </c>
      <c r="K43" s="541">
        <v>19116.242594718933</v>
      </c>
      <c r="L43" s="541">
        <v>17675.331380695101</v>
      </c>
      <c r="M43" s="541">
        <v>1392.3019318580627</v>
      </c>
      <c r="N43" s="541">
        <v>1326.6977829933167</v>
      </c>
      <c r="O43" s="541">
        <v>42446.593457879055</v>
      </c>
      <c r="P43" s="541">
        <v>375.74047517776489</v>
      </c>
      <c r="Q43" s="541">
        <v>14722.323054287583</v>
      </c>
      <c r="R43" s="541">
        <v>598.83215999603271</v>
      </c>
      <c r="S43" s="541">
        <v>0</v>
      </c>
      <c r="T43" s="541">
        <v>15944.430327699409</v>
      </c>
      <c r="U43" s="541">
        <v>1449.4838941693306</v>
      </c>
      <c r="V43" s="541">
        <v>10810.212825775146</v>
      </c>
      <c r="W43" s="541">
        <v>150470.49067461834</v>
      </c>
      <c r="X43" s="541">
        <v>5631.5411239029872</v>
      </c>
      <c r="Y43" s="541">
        <v>212.11356273293495</v>
      </c>
      <c r="Z43" s="541">
        <v>192137.37558543682</v>
      </c>
      <c r="AA43" s="543">
        <v>35823.23022418256</v>
      </c>
      <c r="AB43" s="544">
        <v>24765.810481309891</v>
      </c>
      <c r="AC43" s="544">
        <v>38594.153846025467</v>
      </c>
      <c r="AD43" s="544">
        <v>19399.343778908253</v>
      </c>
      <c r="AE43" s="544">
        <v>116202.62594060972</v>
      </c>
      <c r="AF43" s="544">
        <v>19067.633312553164</v>
      </c>
      <c r="AG43" s="544">
        <v>42822.33393305682</v>
      </c>
      <c r="AH43" s="544">
        <v>15321.155214283615</v>
      </c>
      <c r="AI43" s="544">
        <v>17393.914221868741</v>
      </c>
      <c r="AJ43" s="545">
        <v>156102.03179852132</v>
      </c>
      <c r="AK43" s="541"/>
    </row>
    <row r="44" spans="1:37" x14ac:dyDescent="0.25">
      <c r="A44" s="494">
        <v>1967</v>
      </c>
      <c r="B44" s="542">
        <v>31686.862961187959</v>
      </c>
      <c r="C44" s="541">
        <v>1026.0025346279144</v>
      </c>
      <c r="D44" s="541">
        <v>66750.247802734375</v>
      </c>
      <c r="E44" s="541">
        <v>2810.7051087617874</v>
      </c>
      <c r="F44" s="541">
        <v>14525.841252490878</v>
      </c>
      <c r="G44" s="541">
        <v>2036.5992698669434</v>
      </c>
      <c r="H44" s="541">
        <v>2838.8627778291702</v>
      </c>
      <c r="I44" s="541">
        <v>101795.7415252924</v>
      </c>
      <c r="J44" s="541">
        <v>2454.0069634914398</v>
      </c>
      <c r="K44" s="541">
        <v>19116.242594718933</v>
      </c>
      <c r="L44" s="541">
        <v>16179.824101522561</v>
      </c>
      <c r="M44" s="541">
        <v>1334.5336737632751</v>
      </c>
      <c r="N44" s="541">
        <v>1326.6977829933167</v>
      </c>
      <c r="O44" s="541">
        <v>32428.521812146973</v>
      </c>
      <c r="P44" s="541">
        <v>279.71633386611938</v>
      </c>
      <c r="Q44" s="541">
        <v>12217.200193241239</v>
      </c>
      <c r="R44" s="541">
        <v>598.83215999603271</v>
      </c>
      <c r="S44" s="541">
        <v>0</v>
      </c>
      <c r="T44" s="541">
        <v>9483.3890823152669</v>
      </c>
      <c r="U44" s="541">
        <v>1388.3039614178776</v>
      </c>
      <c r="V44" s="541">
        <v>9854.772985458374</v>
      </c>
      <c r="W44" s="541">
        <v>124389.34408653124</v>
      </c>
      <c r="X44" s="541">
        <v>5359.1497383802935</v>
      </c>
      <c r="Y44" s="541">
        <v>212.11356273293495</v>
      </c>
      <c r="Z44" s="541">
        <v>215328.78787088394</v>
      </c>
      <c r="AA44" s="543">
        <v>85368.18048323947</v>
      </c>
      <c r="AB44" s="544">
        <v>24765.810481309891</v>
      </c>
      <c r="AC44" s="544">
        <v>32712.865495815873</v>
      </c>
      <c r="AD44" s="544">
        <v>16562.440522357821</v>
      </c>
      <c r="AE44" s="544">
        <v>104249.74848878384</v>
      </c>
      <c r="AF44" s="544">
        <v>17514.357775285836</v>
      </c>
      <c r="AG44" s="544">
        <v>32708.238146013093</v>
      </c>
      <c r="AH44" s="544">
        <v>12816.032353237271</v>
      </c>
      <c r="AI44" s="544">
        <v>10871.693043733145</v>
      </c>
      <c r="AJ44" s="545">
        <v>129748.49382491154</v>
      </c>
      <c r="AK44" s="541"/>
    </row>
    <row r="45" spans="1:37" x14ac:dyDescent="0.25">
      <c r="A45" s="494">
        <v>1968</v>
      </c>
      <c r="B45" s="542">
        <v>34560.241704016924</v>
      </c>
      <c r="C45" s="541">
        <v>1026.0025346279144</v>
      </c>
      <c r="D45" s="541">
        <v>84623.095092773438</v>
      </c>
      <c r="E45" s="541">
        <v>2810.7051087617874</v>
      </c>
      <c r="F45" s="541">
        <v>16135.560477878898</v>
      </c>
      <c r="G45" s="541">
        <v>2036.5992698669434</v>
      </c>
      <c r="H45" s="541">
        <v>2838.8627778291702</v>
      </c>
      <c r="I45" s="541">
        <v>106983.93912896514</v>
      </c>
      <c r="J45" s="541">
        <v>2528.0301320552826</v>
      </c>
      <c r="K45" s="541">
        <v>19116.242594718933</v>
      </c>
      <c r="L45" s="541">
        <v>17221.875707402811</v>
      </c>
      <c r="M45" s="541">
        <v>1281.8706030845642</v>
      </c>
      <c r="N45" s="541">
        <v>1326.6977829933167</v>
      </c>
      <c r="O45" s="541">
        <v>35978.223360313554</v>
      </c>
      <c r="P45" s="541">
        <v>282.12049269676208</v>
      </c>
      <c r="Q45" s="541">
        <v>18313.488672539592</v>
      </c>
      <c r="R45" s="541">
        <v>598.83215999603271</v>
      </c>
      <c r="S45" s="541">
        <v>0</v>
      </c>
      <c r="T45" s="541">
        <v>18819.472222829238</v>
      </c>
      <c r="U45" s="541">
        <v>1490.3383675813675</v>
      </c>
      <c r="V45" s="541">
        <v>13552.42827129364</v>
      </c>
      <c r="W45" s="541">
        <v>122032.46293586835</v>
      </c>
      <c r="X45" s="541">
        <v>5410.0378453359008</v>
      </c>
      <c r="Y45" s="541">
        <v>212.11356273293495</v>
      </c>
      <c r="Z45" s="541">
        <v>226500.1316202879</v>
      </c>
      <c r="AA45" s="543">
        <v>98845.517276350714</v>
      </c>
      <c r="AB45" s="544">
        <v>24765.810481309891</v>
      </c>
      <c r="AC45" s="544">
        <v>35586.244238644838</v>
      </c>
      <c r="AD45" s="544">
        <v>18172.159747745842</v>
      </c>
      <c r="AE45" s="544">
        <v>109511.96926102042</v>
      </c>
      <c r="AF45" s="544">
        <v>18503.746310487375</v>
      </c>
      <c r="AG45" s="544">
        <v>36260.343853010316</v>
      </c>
      <c r="AH45" s="544">
        <v>18912.320832535625</v>
      </c>
      <c r="AI45" s="544">
        <v>20309.810590410605</v>
      </c>
      <c r="AJ45" s="545">
        <v>127442.50078120425</v>
      </c>
      <c r="AK45" s="541"/>
    </row>
    <row r="46" spans="1:37" x14ac:dyDescent="0.25">
      <c r="A46" s="494">
        <v>1969</v>
      </c>
      <c r="B46" s="542">
        <v>29870.540133647621</v>
      </c>
      <c r="C46" s="541">
        <v>1026.0025346279144</v>
      </c>
      <c r="D46" s="541">
        <v>117387.23657226563</v>
      </c>
      <c r="E46" s="541">
        <v>2810.7051087617874</v>
      </c>
      <c r="F46" s="541">
        <v>14800.226827248931</v>
      </c>
      <c r="G46" s="541">
        <v>2036.5992698669434</v>
      </c>
      <c r="H46" s="541">
        <v>2838.8627778291702</v>
      </c>
      <c r="I46" s="541">
        <v>95233.045182973146</v>
      </c>
      <c r="J46" s="541">
        <v>2397.33522772789</v>
      </c>
      <c r="K46" s="541">
        <v>19116.242594718933</v>
      </c>
      <c r="L46" s="541">
        <v>15744.438654966658</v>
      </c>
      <c r="M46" s="541">
        <v>1368.1098251342773</v>
      </c>
      <c r="N46" s="541">
        <v>1326.6977829933167</v>
      </c>
      <c r="O46" s="541">
        <v>43538.423692292054</v>
      </c>
      <c r="P46" s="541">
        <v>367.20778131484985</v>
      </c>
      <c r="Q46" s="541">
        <v>19674.585597217083</v>
      </c>
      <c r="R46" s="541">
        <v>598.83215999603271</v>
      </c>
      <c r="S46" s="541">
        <v>0</v>
      </c>
      <c r="T46" s="541">
        <v>18187.302203739062</v>
      </c>
      <c r="U46" s="541">
        <v>1504.6878689717705</v>
      </c>
      <c r="V46" s="541">
        <v>15615.632664680481</v>
      </c>
      <c r="W46" s="541">
        <v>133181.57528177247</v>
      </c>
      <c r="X46" s="541">
        <v>5591.2270271853195</v>
      </c>
      <c r="Y46" s="541">
        <v>212.11356273293495</v>
      </c>
      <c r="Z46" s="541">
        <v>256162.06614875793</v>
      </c>
      <c r="AA46" s="543">
        <v>117177.15027706721</v>
      </c>
      <c r="AB46" s="544">
        <v>24765.810481309891</v>
      </c>
      <c r="AC46" s="544">
        <v>30896.542668275535</v>
      </c>
      <c r="AD46" s="544">
        <v>16836.826097115874</v>
      </c>
      <c r="AE46" s="544">
        <v>97630.380410701036</v>
      </c>
      <c r="AF46" s="544">
        <v>17112.548480100937</v>
      </c>
      <c r="AG46" s="544">
        <v>43905.631473606903</v>
      </c>
      <c r="AH46" s="544">
        <v>20273.417757213116</v>
      </c>
      <c r="AI46" s="544">
        <v>19691.990072710832</v>
      </c>
      <c r="AJ46" s="545">
        <v>138772.80230895779</v>
      </c>
      <c r="AK46" s="541"/>
    </row>
    <row r="47" spans="1:37" x14ac:dyDescent="0.25">
      <c r="A47" s="494">
        <v>1970</v>
      </c>
      <c r="B47" s="542">
        <v>28151.461044341326</v>
      </c>
      <c r="C47" s="541">
        <v>1026.0025346279144</v>
      </c>
      <c r="D47" s="541">
        <v>80171.122483491898</v>
      </c>
      <c r="E47" s="541">
        <v>2810.7051087617874</v>
      </c>
      <c r="F47" s="541">
        <v>13909.451530009508</v>
      </c>
      <c r="G47" s="541">
        <v>2036.5992698669434</v>
      </c>
      <c r="H47" s="541">
        <v>2838.8627778291702</v>
      </c>
      <c r="I47" s="541">
        <v>100921.8668550998</v>
      </c>
      <c r="J47" s="541">
        <v>2376.8262364864349</v>
      </c>
      <c r="K47" s="541">
        <v>19116.242594718933</v>
      </c>
      <c r="L47" s="541">
        <v>15751.173635646704</v>
      </c>
      <c r="M47" s="541">
        <v>1376.2565293312073</v>
      </c>
      <c r="N47" s="541">
        <v>1326.6977829933167</v>
      </c>
      <c r="O47" s="541">
        <v>44226.549510678728</v>
      </c>
      <c r="P47" s="541">
        <v>329.66480350494385</v>
      </c>
      <c r="Q47" s="541">
        <v>15503.716050311923</v>
      </c>
      <c r="R47" s="541">
        <v>598.83215999603271</v>
      </c>
      <c r="S47" s="541">
        <v>0</v>
      </c>
      <c r="T47" s="541">
        <v>14716.137461963817</v>
      </c>
      <c r="U47" s="541">
        <v>1379.0204287801726</v>
      </c>
      <c r="V47" s="541">
        <v>13195.320412635803</v>
      </c>
      <c r="W47" s="541">
        <v>124886.67524479672</v>
      </c>
      <c r="X47" s="541">
        <v>5569.2497825026512</v>
      </c>
      <c r="Y47" s="541">
        <v>212.11356273293495</v>
      </c>
      <c r="Z47" s="541">
        <v>206200.7319226265</v>
      </c>
      <c r="AA47" s="543">
        <v>75532.693332594194</v>
      </c>
      <c r="AB47" s="544">
        <v>24765.810481309891</v>
      </c>
      <c r="AC47" s="544">
        <v>29177.46357896924</v>
      </c>
      <c r="AD47" s="544">
        <v>15946.050799876451</v>
      </c>
      <c r="AE47" s="544">
        <v>103298.69309158623</v>
      </c>
      <c r="AF47" s="544">
        <v>17127.430164977912</v>
      </c>
      <c r="AG47" s="544">
        <v>44556.214314183671</v>
      </c>
      <c r="AH47" s="544">
        <v>16102.548210307956</v>
      </c>
      <c r="AI47" s="544">
        <v>16095.157890743991</v>
      </c>
      <c r="AJ47" s="545">
        <v>130455.92502729937</v>
      </c>
      <c r="AK47" s="541"/>
    </row>
    <row r="48" spans="1:37" x14ac:dyDescent="0.25">
      <c r="A48" s="494">
        <v>1971</v>
      </c>
      <c r="B48" s="542">
        <v>29967.910879969597</v>
      </c>
      <c r="C48" s="541">
        <v>1026.0025346279144</v>
      </c>
      <c r="D48" s="541">
        <v>45783.0703125</v>
      </c>
      <c r="E48" s="541">
        <v>2810.7051087617874</v>
      </c>
      <c r="F48" s="541">
        <v>14750.519942641258</v>
      </c>
      <c r="G48" s="541">
        <v>2036.5992698669434</v>
      </c>
      <c r="H48" s="541">
        <v>2838.8627778291702</v>
      </c>
      <c r="I48" s="541">
        <v>102780.18254506215</v>
      </c>
      <c r="J48" s="541">
        <v>2291.3252675533295</v>
      </c>
      <c r="K48" s="541">
        <v>19116.242594718933</v>
      </c>
      <c r="L48" s="541">
        <v>16144.195183590044</v>
      </c>
      <c r="M48" s="541">
        <v>1331.7065773010254</v>
      </c>
      <c r="N48" s="541">
        <v>1326.6977829933167</v>
      </c>
      <c r="O48" s="541">
        <v>34386.770392640014</v>
      </c>
      <c r="P48" s="541">
        <v>303.36001968383789</v>
      </c>
      <c r="Q48" s="541">
        <v>13889.142258904874</v>
      </c>
      <c r="R48" s="541">
        <v>598.83215999603271</v>
      </c>
      <c r="S48" s="541">
        <v>0</v>
      </c>
      <c r="T48" s="541">
        <v>14330.51057212241</v>
      </c>
      <c r="U48" s="541">
        <v>1428.8591300845146</v>
      </c>
      <c r="V48" s="541">
        <v>11747.252390861511</v>
      </c>
      <c r="W48" s="541">
        <v>125327.73513019427</v>
      </c>
      <c r="X48" s="541">
        <v>5842.043161115761</v>
      </c>
      <c r="Y48" s="541">
        <v>212.11356273293495</v>
      </c>
      <c r="Z48" s="541">
        <v>207111.20185446739</v>
      </c>
      <c r="AA48" s="543">
        <v>75729.310000424433</v>
      </c>
      <c r="AB48" s="544">
        <v>24765.810481309891</v>
      </c>
      <c r="AC48" s="544">
        <v>30993.913414597511</v>
      </c>
      <c r="AD48" s="544">
        <v>16787.119212508202</v>
      </c>
      <c r="AE48" s="544">
        <v>105071.50781261548</v>
      </c>
      <c r="AF48" s="544">
        <v>17475.901760891069</v>
      </c>
      <c r="AG48" s="544">
        <v>34690.130412323851</v>
      </c>
      <c r="AH48" s="544">
        <v>14487.974418900907</v>
      </c>
      <c r="AI48" s="544">
        <v>15759.369702206925</v>
      </c>
      <c r="AJ48" s="545">
        <v>131169.77829131004</v>
      </c>
      <c r="AK48" s="541"/>
    </row>
    <row r="49" spans="1:37" x14ac:dyDescent="0.25">
      <c r="A49" s="494">
        <v>1972</v>
      </c>
      <c r="B49" s="542">
        <v>28959.076632585377</v>
      </c>
      <c r="C49" s="541">
        <v>1026.0025346279144</v>
      </c>
      <c r="D49" s="541">
        <v>47512.08748626709</v>
      </c>
      <c r="E49" s="541">
        <v>2810.7051087617874</v>
      </c>
      <c r="F49" s="541">
        <v>14524.992597967386</v>
      </c>
      <c r="G49" s="541">
        <v>2036.5992698669434</v>
      </c>
      <c r="H49" s="541">
        <v>2838.8627778291702</v>
      </c>
      <c r="I49" s="541">
        <v>103038.31285062432</v>
      </c>
      <c r="J49" s="541">
        <v>2146.1474950313568</v>
      </c>
      <c r="K49" s="541">
        <v>19116.242594718933</v>
      </c>
      <c r="L49" s="541">
        <v>17311.585790008307</v>
      </c>
      <c r="M49" s="541">
        <v>1347.1212892532349</v>
      </c>
      <c r="N49" s="541">
        <v>1326.6977829933167</v>
      </c>
      <c r="O49" s="541">
        <v>26104.948727636114</v>
      </c>
      <c r="P49" s="541">
        <v>291.31498432159424</v>
      </c>
      <c r="Q49" s="541">
        <v>10668.882056046277</v>
      </c>
      <c r="R49" s="541">
        <v>598.83215999603271</v>
      </c>
      <c r="S49" s="541">
        <v>0</v>
      </c>
      <c r="T49" s="541">
        <v>8331.7644957155735</v>
      </c>
      <c r="U49" s="541">
        <v>1353.1931121349335</v>
      </c>
      <c r="V49" s="541">
        <v>8836.2280311584473</v>
      </c>
      <c r="W49" s="541">
        <v>140402.17323814676</v>
      </c>
      <c r="X49" s="541">
        <v>5366.0709318489935</v>
      </c>
      <c r="Y49" s="541">
        <v>212.11356273293495</v>
      </c>
      <c r="Z49" s="541">
        <v>203495.78237521648</v>
      </c>
      <c r="AA49" s="543">
        <v>57515.424642487793</v>
      </c>
      <c r="AB49" s="544">
        <v>24765.810481309891</v>
      </c>
      <c r="AC49" s="544">
        <v>29985.079167213291</v>
      </c>
      <c r="AD49" s="544">
        <v>16561.59186783433</v>
      </c>
      <c r="AE49" s="544">
        <v>105184.46034565568</v>
      </c>
      <c r="AF49" s="544">
        <v>18658.707079261541</v>
      </c>
      <c r="AG49" s="544">
        <v>26396.263711957708</v>
      </c>
      <c r="AH49" s="544">
        <v>11267.71421604231</v>
      </c>
      <c r="AI49" s="544">
        <v>9684.957607850507</v>
      </c>
      <c r="AJ49" s="545">
        <v>145768.24416999574</v>
      </c>
      <c r="AK49" s="541"/>
    </row>
    <row r="50" spans="1:37" x14ac:dyDescent="0.25">
      <c r="A50" s="494">
        <v>1973</v>
      </c>
      <c r="B50" s="542">
        <v>32108.014996483922</v>
      </c>
      <c r="C50" s="541">
        <v>1026.0025346279144</v>
      </c>
      <c r="D50" s="541">
        <v>150796.97979736328</v>
      </c>
      <c r="E50" s="541">
        <v>2810.7051087617874</v>
      </c>
      <c r="F50" s="541">
        <v>15736.575765907764</v>
      </c>
      <c r="G50" s="541">
        <v>2036.5992698669434</v>
      </c>
      <c r="H50" s="541">
        <v>2838.8627778291702</v>
      </c>
      <c r="I50" s="541">
        <v>100808.38901187479</v>
      </c>
      <c r="J50" s="541">
        <v>2622.0049874782562</v>
      </c>
      <c r="K50" s="541">
        <v>19116.242594718933</v>
      </c>
      <c r="L50" s="541">
        <v>16675.612427562442</v>
      </c>
      <c r="M50" s="541">
        <v>1347.8015170097351</v>
      </c>
      <c r="N50" s="541">
        <v>1326.6977829933167</v>
      </c>
      <c r="O50" s="541">
        <v>46213.245385034461</v>
      </c>
      <c r="P50" s="541">
        <v>499.77720880508423</v>
      </c>
      <c r="Q50" s="541">
        <v>20791.402812924236</v>
      </c>
      <c r="R50" s="541">
        <v>598.83215999603271</v>
      </c>
      <c r="S50" s="541">
        <v>0</v>
      </c>
      <c r="T50" s="541">
        <v>24543.977572198884</v>
      </c>
      <c r="U50" s="541">
        <v>1572.5964852571487</v>
      </c>
      <c r="V50" s="541">
        <v>15842.156903266907</v>
      </c>
      <c r="W50" s="541">
        <v>121226.89363225146</v>
      </c>
      <c r="X50" s="541">
        <v>6054.2960319519043</v>
      </c>
      <c r="Y50" s="541">
        <v>212.11356273293495</v>
      </c>
      <c r="Z50" s="541">
        <v>194350.9814043045</v>
      </c>
      <c r="AA50" s="543">
        <v>66857.678177368201</v>
      </c>
      <c r="AB50" s="544">
        <v>24765.810481309891</v>
      </c>
      <c r="AC50" s="544">
        <v>33134.017531111836</v>
      </c>
      <c r="AD50" s="544">
        <v>17773.175035774708</v>
      </c>
      <c r="AE50" s="544">
        <v>103430.39399935305</v>
      </c>
      <c r="AF50" s="544">
        <v>18023.413944572178</v>
      </c>
      <c r="AG50" s="544">
        <v>46713.022593839545</v>
      </c>
      <c r="AH50" s="544">
        <v>21390.234972920269</v>
      </c>
      <c r="AI50" s="544">
        <v>26116.574057456033</v>
      </c>
      <c r="AJ50" s="545">
        <v>127281.18966420337</v>
      </c>
      <c r="AK50" s="541"/>
    </row>
    <row r="51" spans="1:37" x14ac:dyDescent="0.25">
      <c r="A51" s="494">
        <v>1974</v>
      </c>
      <c r="B51" s="542">
        <v>32314.612410843372</v>
      </c>
      <c r="C51" s="541">
        <v>1026.0025346279144</v>
      </c>
      <c r="D51" s="541">
        <v>40279.934093475342</v>
      </c>
      <c r="E51" s="541">
        <v>2810.7051087617874</v>
      </c>
      <c r="F51" s="541">
        <v>15462.811552643776</v>
      </c>
      <c r="G51" s="541">
        <v>2036.5992698669434</v>
      </c>
      <c r="H51" s="541">
        <v>2838.8627778291702</v>
      </c>
      <c r="I51" s="541">
        <v>103588.40484564006</v>
      </c>
      <c r="J51" s="541">
        <v>2373.4899613857269</v>
      </c>
      <c r="K51" s="541">
        <v>19116.242594718933</v>
      </c>
      <c r="L51" s="541">
        <v>17338.054353497922</v>
      </c>
      <c r="M51" s="541">
        <v>1360.4285321235657</v>
      </c>
      <c r="N51" s="541">
        <v>1326.6977829933167</v>
      </c>
      <c r="O51" s="541">
        <v>30344.521927861944</v>
      </c>
      <c r="P51" s="541">
        <v>323.53977632522583</v>
      </c>
      <c r="Q51" s="541">
        <v>9579.7517871744931</v>
      </c>
      <c r="R51" s="541">
        <v>598.83215999603271</v>
      </c>
      <c r="S51" s="541">
        <v>0</v>
      </c>
      <c r="T51" s="541">
        <v>8467.5039081656196</v>
      </c>
      <c r="U51" s="541">
        <v>1385.7892159932842</v>
      </c>
      <c r="V51" s="541">
        <v>6907.3946990966797</v>
      </c>
      <c r="W51" s="541">
        <v>148773.97719586239</v>
      </c>
      <c r="X51" s="541">
        <v>5290.403453667237</v>
      </c>
      <c r="Y51" s="541">
        <v>212.11356273293495</v>
      </c>
      <c r="Z51" s="541">
        <v>212606.75881898403</v>
      </c>
      <c r="AA51" s="543">
        <v>58330.264606721466</v>
      </c>
      <c r="AB51" s="544">
        <v>24765.810481309891</v>
      </c>
      <c r="AC51" s="544">
        <v>33340.614945471287</v>
      </c>
      <c r="AD51" s="544">
        <v>17499.410822510719</v>
      </c>
      <c r="AE51" s="544">
        <v>105961.89480702579</v>
      </c>
      <c r="AF51" s="544">
        <v>18698.482885621488</v>
      </c>
      <c r="AG51" s="544">
        <v>30668.06170418717</v>
      </c>
      <c r="AH51" s="544">
        <v>10178.583947170526</v>
      </c>
      <c r="AI51" s="544">
        <v>9853.2931241589031</v>
      </c>
      <c r="AJ51" s="545">
        <v>154064.38064952963</v>
      </c>
      <c r="AK51" s="541"/>
    </row>
    <row r="52" spans="1:37" x14ac:dyDescent="0.25">
      <c r="A52" s="494">
        <v>1975</v>
      </c>
      <c r="B52" s="542">
        <v>33939.48683860153</v>
      </c>
      <c r="C52" s="541">
        <v>1026.0025346279144</v>
      </c>
      <c r="D52" s="541">
        <v>140442.57757568359</v>
      </c>
      <c r="E52" s="541">
        <v>2810.7051087617874</v>
      </c>
      <c r="F52" s="541">
        <v>16464.602327659726</v>
      </c>
      <c r="G52" s="541">
        <v>2036.5992698669434</v>
      </c>
      <c r="H52" s="541">
        <v>2838.8627778291702</v>
      </c>
      <c r="I52" s="541">
        <v>106796.9945128113</v>
      </c>
      <c r="J52" s="541">
        <v>2598.5521600246429</v>
      </c>
      <c r="K52" s="541">
        <v>19116.242594718933</v>
      </c>
      <c r="L52" s="541">
        <v>17700.164730645705</v>
      </c>
      <c r="M52" s="541">
        <v>1392.1547365188599</v>
      </c>
      <c r="N52" s="541">
        <v>1326.6977829933167</v>
      </c>
      <c r="O52" s="541">
        <v>49327.010736568351</v>
      </c>
      <c r="P52" s="541">
        <v>470.41834115982056</v>
      </c>
      <c r="Q52" s="541">
        <v>22074.900729071349</v>
      </c>
      <c r="R52" s="541">
        <v>598.83215999603271</v>
      </c>
      <c r="S52" s="541">
        <v>0</v>
      </c>
      <c r="T52" s="541">
        <v>26657.148342332031</v>
      </c>
      <c r="U52" s="541">
        <v>1556.6532515699107</v>
      </c>
      <c r="V52" s="541">
        <v>15913.491417884827</v>
      </c>
      <c r="W52" s="541">
        <v>123258.50775124475</v>
      </c>
      <c r="X52" s="541">
        <v>5406.5516634359956</v>
      </c>
      <c r="Y52" s="541">
        <v>212.11356273293495</v>
      </c>
      <c r="Z52" s="541">
        <v>242635.86738777161</v>
      </c>
      <c r="AA52" s="543">
        <v>113758.69441035793</v>
      </c>
      <c r="AB52" s="544">
        <v>24765.810481309891</v>
      </c>
      <c r="AC52" s="544">
        <v>34965.489373229444</v>
      </c>
      <c r="AD52" s="544">
        <v>18501.20159752667</v>
      </c>
      <c r="AE52" s="544">
        <v>109395.54667283595</v>
      </c>
      <c r="AF52" s="544">
        <v>19092.319467164565</v>
      </c>
      <c r="AG52" s="544">
        <v>49797.429077728171</v>
      </c>
      <c r="AH52" s="544">
        <v>22673.732889067382</v>
      </c>
      <c r="AI52" s="544">
        <v>28213.801593901942</v>
      </c>
      <c r="AJ52" s="545">
        <v>128665.05941468074</v>
      </c>
      <c r="AK52" s="541"/>
    </row>
    <row r="53" spans="1:37" x14ac:dyDescent="0.25">
      <c r="A53" s="494">
        <v>1976</v>
      </c>
      <c r="B53" s="542">
        <v>32271.799607232213</v>
      </c>
      <c r="C53" s="541">
        <v>1026.0025346279144</v>
      </c>
      <c r="D53" s="541">
        <v>74668.012512207031</v>
      </c>
      <c r="E53" s="541">
        <v>2810.7051087617874</v>
      </c>
      <c r="F53" s="541">
        <v>15847.775936208665</v>
      </c>
      <c r="G53" s="541">
        <v>2036.5992698669434</v>
      </c>
      <c r="H53" s="541">
        <v>2838.8627778291702</v>
      </c>
      <c r="I53" s="541">
        <v>99038.2399174124</v>
      </c>
      <c r="J53" s="541">
        <v>2606.5198438167572</v>
      </c>
      <c r="K53" s="541">
        <v>19116.242594718933</v>
      </c>
      <c r="L53" s="541">
        <v>16774.593496486552</v>
      </c>
      <c r="M53" s="541">
        <v>1262.1614189147949</v>
      </c>
      <c r="N53" s="541">
        <v>1326.6977829933167</v>
      </c>
      <c r="O53" s="541">
        <v>39506.195093207512</v>
      </c>
      <c r="P53" s="541">
        <v>388.27916288375854</v>
      </c>
      <c r="Q53" s="541">
        <v>13462.662733092904</v>
      </c>
      <c r="R53" s="541">
        <v>598.83215999603271</v>
      </c>
      <c r="S53" s="541">
        <v>0</v>
      </c>
      <c r="T53" s="541">
        <v>12727.703257718013</v>
      </c>
      <c r="U53" s="541">
        <v>1415.5440880656242</v>
      </c>
      <c r="V53" s="541">
        <v>10966.615132331848</v>
      </c>
      <c r="W53" s="541">
        <v>125321.5025957857</v>
      </c>
      <c r="X53" s="541">
        <v>5118.8121231942059</v>
      </c>
      <c r="Y53" s="541">
        <v>212.11356273293495</v>
      </c>
      <c r="Z53" s="541">
        <v>221127.03445386887</v>
      </c>
      <c r="AA53" s="543">
        <v>90474.606172156025</v>
      </c>
      <c r="AB53" s="544">
        <v>24765.810481309891</v>
      </c>
      <c r="AC53" s="544">
        <v>33297.802141860127</v>
      </c>
      <c r="AD53" s="544">
        <v>17884.375206075609</v>
      </c>
      <c r="AE53" s="544">
        <v>101644.75976122916</v>
      </c>
      <c r="AF53" s="544">
        <v>18036.754915401347</v>
      </c>
      <c r="AG53" s="544">
        <v>39894.474256091271</v>
      </c>
      <c r="AH53" s="544">
        <v>14061.494893088937</v>
      </c>
      <c r="AI53" s="544">
        <v>14143.247345783637</v>
      </c>
      <c r="AJ53" s="545">
        <v>130440.31471897991</v>
      </c>
      <c r="AK53" s="541"/>
    </row>
    <row r="54" spans="1:37" x14ac:dyDescent="0.25">
      <c r="A54" s="494">
        <v>1977</v>
      </c>
      <c r="B54" s="542">
        <v>29248.120573095977</v>
      </c>
      <c r="C54" s="541">
        <v>1026.0025346279144</v>
      </c>
      <c r="D54" s="541">
        <v>11956.477355957031</v>
      </c>
      <c r="E54" s="541">
        <v>2810.7051087617874</v>
      </c>
      <c r="F54" s="541">
        <v>14361.647783756256</v>
      </c>
      <c r="G54" s="541">
        <v>2036.5992698669434</v>
      </c>
      <c r="H54" s="541">
        <v>2838.8627778291702</v>
      </c>
      <c r="I54" s="541">
        <v>84104.795855864882</v>
      </c>
      <c r="J54" s="541">
        <v>1822.4736440181732</v>
      </c>
      <c r="K54" s="541">
        <v>19116.242594718933</v>
      </c>
      <c r="L54" s="541">
        <v>18972.278492756173</v>
      </c>
      <c r="M54" s="541">
        <v>1248.9770970344543</v>
      </c>
      <c r="N54" s="541">
        <v>1326.6977829933167</v>
      </c>
      <c r="O54" s="541">
        <v>16747.635945065391</v>
      </c>
      <c r="P54" s="541">
        <v>283.90742826461792</v>
      </c>
      <c r="Q54" s="541">
        <v>6132.9705138765275</v>
      </c>
      <c r="R54" s="541">
        <v>598.83215999603271</v>
      </c>
      <c r="S54" s="541">
        <v>0</v>
      </c>
      <c r="T54" s="541">
        <v>4535.9121962659801</v>
      </c>
      <c r="U54" s="541">
        <v>1382.1353635957498</v>
      </c>
      <c r="V54" s="541">
        <v>4082.4014501571655</v>
      </c>
      <c r="W54" s="541">
        <v>125656.29801665588</v>
      </c>
      <c r="X54" s="541">
        <v>4611.0848365724087</v>
      </c>
      <c r="Y54" s="541">
        <v>212.11356273293495</v>
      </c>
      <c r="Z54" s="541">
        <v>197216.21497511864</v>
      </c>
      <c r="AA54" s="543">
        <v>66736.718559157409</v>
      </c>
      <c r="AB54" s="544">
        <v>24765.810481309891</v>
      </c>
      <c r="AC54" s="544">
        <v>30274.123107723892</v>
      </c>
      <c r="AD54" s="544">
        <v>16398.247053623199</v>
      </c>
      <c r="AE54" s="544">
        <v>85927.269499883056</v>
      </c>
      <c r="AF54" s="544">
        <v>20221.255589790628</v>
      </c>
      <c r="AG54" s="544">
        <v>17031.543373330009</v>
      </c>
      <c r="AH54" s="544">
        <v>6731.8026738725603</v>
      </c>
      <c r="AI54" s="544">
        <v>5918.0475598617304</v>
      </c>
      <c r="AJ54" s="545">
        <v>130267.38285322829</v>
      </c>
      <c r="AK54" s="541"/>
    </row>
    <row r="55" spans="1:37" x14ac:dyDescent="0.25">
      <c r="A55" s="494">
        <v>1978</v>
      </c>
      <c r="B55" s="542">
        <v>32663.967499434948</v>
      </c>
      <c r="C55" s="541">
        <v>1026.0025346279144</v>
      </c>
      <c r="D55" s="541">
        <v>94725.125732421875</v>
      </c>
      <c r="E55" s="541">
        <v>2810.7051087617874</v>
      </c>
      <c r="F55" s="541">
        <v>15757.657014206052</v>
      </c>
      <c r="G55" s="541">
        <v>2036.5992698669434</v>
      </c>
      <c r="H55" s="541">
        <v>2838.8627778291702</v>
      </c>
      <c r="I55" s="541">
        <v>107554.99094175547</v>
      </c>
      <c r="J55" s="541">
        <v>2598.9155948162079</v>
      </c>
      <c r="K55" s="541">
        <v>19116.242594718933</v>
      </c>
      <c r="L55" s="541">
        <v>17675.036001138331</v>
      </c>
      <c r="M55" s="541">
        <v>1281.6547131538391</v>
      </c>
      <c r="N55" s="541">
        <v>1326.6977829933167</v>
      </c>
      <c r="O55" s="541">
        <v>29880.79686471678</v>
      </c>
      <c r="P55" s="541">
        <v>360.53236293792725</v>
      </c>
      <c r="Q55" s="541">
        <v>15376.096411794424</v>
      </c>
      <c r="R55" s="541">
        <v>598.83215999603271</v>
      </c>
      <c r="S55" s="541">
        <v>0</v>
      </c>
      <c r="T55" s="541">
        <v>19007.437615180388</v>
      </c>
      <c r="U55" s="541">
        <v>1517.900700993674</v>
      </c>
      <c r="V55" s="541">
        <v>11504.302476882935</v>
      </c>
      <c r="W55" s="541">
        <v>130792.08832687854</v>
      </c>
      <c r="X55" s="541">
        <v>5294.4705147699988</v>
      </c>
      <c r="Y55" s="541">
        <v>212.11356273293495</v>
      </c>
      <c r="Z55" s="541">
        <v>223214.94013214111</v>
      </c>
      <c r="AA55" s="543">
        <v>86916.267727759638</v>
      </c>
      <c r="AB55" s="544">
        <v>24765.810481309891</v>
      </c>
      <c r="AC55" s="544">
        <v>33689.970034062862</v>
      </c>
      <c r="AD55" s="544">
        <v>17794.256284072995</v>
      </c>
      <c r="AE55" s="544">
        <v>110153.90653657168</v>
      </c>
      <c r="AF55" s="544">
        <v>18956.69071429217</v>
      </c>
      <c r="AG55" s="544">
        <v>30241.329227654707</v>
      </c>
      <c r="AH55" s="544">
        <v>15974.928571790457</v>
      </c>
      <c r="AI55" s="544">
        <v>20525.338316174064</v>
      </c>
      <c r="AJ55" s="545">
        <v>136086.55884164854</v>
      </c>
      <c r="AK55" s="541"/>
    </row>
    <row r="56" spans="1:37" x14ac:dyDescent="0.25">
      <c r="A56" s="494">
        <v>1979</v>
      </c>
      <c r="B56" s="542">
        <v>34818.433326393366</v>
      </c>
      <c r="C56" s="541">
        <v>1026.0025346279144</v>
      </c>
      <c r="D56" s="541">
        <v>153056.35571289063</v>
      </c>
      <c r="E56" s="541">
        <v>2810.7051087617874</v>
      </c>
      <c r="F56" s="541">
        <v>17041.523613594472</v>
      </c>
      <c r="G56" s="541">
        <v>2036.5992698669434</v>
      </c>
      <c r="H56" s="541">
        <v>2838.8627778291702</v>
      </c>
      <c r="I56" s="541">
        <v>114947.24525035918</v>
      </c>
      <c r="J56" s="541">
        <v>2546.4172914028168</v>
      </c>
      <c r="K56" s="541">
        <v>19116.242594718933</v>
      </c>
      <c r="L56" s="541">
        <v>18588.346675483972</v>
      </c>
      <c r="M56" s="541">
        <v>1053.0147466734052</v>
      </c>
      <c r="N56" s="541">
        <v>1326.6977829933167</v>
      </c>
      <c r="O56" s="541">
        <v>51768.329088537474</v>
      </c>
      <c r="P56" s="541">
        <v>518.88225340843201</v>
      </c>
      <c r="Q56" s="541">
        <v>21943.668578594923</v>
      </c>
      <c r="R56" s="541">
        <v>598.83215999603271</v>
      </c>
      <c r="S56" s="541">
        <v>0</v>
      </c>
      <c r="T56" s="541">
        <v>23909.199002336638</v>
      </c>
      <c r="U56" s="541">
        <v>1528.2040997990548</v>
      </c>
      <c r="V56" s="541">
        <v>14958.229292869568</v>
      </c>
      <c r="W56" s="541">
        <v>133356.65783659712</v>
      </c>
      <c r="X56" s="541">
        <v>5574.691083804606</v>
      </c>
      <c r="Y56" s="541">
        <v>212.11356273293495</v>
      </c>
      <c r="Z56" s="541">
        <v>235127.42077720165</v>
      </c>
      <c r="AA56" s="543">
        <v>95983.958294066993</v>
      </c>
      <c r="AB56" s="544">
        <v>24765.810481309891</v>
      </c>
      <c r="AC56" s="544">
        <v>35844.43586102128</v>
      </c>
      <c r="AD56" s="544">
        <v>19078.122883461416</v>
      </c>
      <c r="AE56" s="544">
        <v>117493.66254176199</v>
      </c>
      <c r="AF56" s="544">
        <v>19641.361422157377</v>
      </c>
      <c r="AG56" s="544">
        <v>52287.211341945906</v>
      </c>
      <c r="AH56" s="544">
        <v>22542.500738590956</v>
      </c>
      <c r="AI56" s="544">
        <v>25437.403102135693</v>
      </c>
      <c r="AJ56" s="545">
        <v>138931.34892040174</v>
      </c>
      <c r="AK56" s="541"/>
    </row>
    <row r="57" spans="1:37" x14ac:dyDescent="0.25">
      <c r="A57" s="494">
        <v>1980</v>
      </c>
      <c r="B57" s="542">
        <v>34649.475097376853</v>
      </c>
      <c r="C57" s="541">
        <v>1026.0025346279144</v>
      </c>
      <c r="D57" s="541">
        <v>131129.88012695313</v>
      </c>
      <c r="E57" s="541">
        <v>2810.7051087617874</v>
      </c>
      <c r="F57" s="541">
        <v>17090.547840058804</v>
      </c>
      <c r="G57" s="541">
        <v>2036.5992698669434</v>
      </c>
      <c r="H57" s="541">
        <v>2838.8627778291702</v>
      </c>
      <c r="I57" s="541">
        <v>108364.56731256843</v>
      </c>
      <c r="J57" s="541">
        <v>2602.7835385799408</v>
      </c>
      <c r="K57" s="541">
        <v>19116.242594718933</v>
      </c>
      <c r="L57" s="541">
        <v>18161.660935111347</v>
      </c>
      <c r="M57" s="541">
        <v>1277.0373687744141</v>
      </c>
      <c r="N57" s="541">
        <v>1326.6977829933167</v>
      </c>
      <c r="O57" s="541">
        <v>50710.173060326357</v>
      </c>
      <c r="P57" s="541">
        <v>433.62366819381714</v>
      </c>
      <c r="Q57" s="541">
        <v>22249.933236964047</v>
      </c>
      <c r="R57" s="541">
        <v>598.83215999603271</v>
      </c>
      <c r="S57" s="541">
        <v>0</v>
      </c>
      <c r="T57" s="541">
        <v>24388.805813178347</v>
      </c>
      <c r="U57" s="541">
        <v>1517.5168644580017</v>
      </c>
      <c r="V57" s="541">
        <v>15539.443257331848</v>
      </c>
      <c r="W57" s="541">
        <v>136225.26494624064</v>
      </c>
      <c r="X57" s="541">
        <v>5801.8749884203207</v>
      </c>
      <c r="Y57" s="541">
        <v>212.11356273293495</v>
      </c>
      <c r="Z57" s="541">
        <v>252202.05038642883</v>
      </c>
      <c r="AA57" s="543">
        <v>109962.79688903494</v>
      </c>
      <c r="AB57" s="544">
        <v>24765.810481309891</v>
      </c>
      <c r="AC57" s="544">
        <v>35675.477632004768</v>
      </c>
      <c r="AD57" s="544">
        <v>19127.147109925747</v>
      </c>
      <c r="AE57" s="544">
        <v>110967.35085114837</v>
      </c>
      <c r="AF57" s="544">
        <v>19438.698303885762</v>
      </c>
      <c r="AG57" s="544">
        <v>51143.796728520174</v>
      </c>
      <c r="AH57" s="544">
        <v>22848.76539696008</v>
      </c>
      <c r="AI57" s="544">
        <v>25906.322677636348</v>
      </c>
      <c r="AJ57" s="545">
        <v>142027.13993466095</v>
      </c>
      <c r="AK57" s="541"/>
    </row>
    <row r="58" spans="1:37" x14ac:dyDescent="0.25">
      <c r="A58" s="494">
        <v>1981</v>
      </c>
      <c r="B58" s="542">
        <v>29347.417821828276</v>
      </c>
      <c r="C58" s="541">
        <v>1026.0025346279144</v>
      </c>
      <c r="D58" s="541">
        <v>51567.463470458984</v>
      </c>
      <c r="E58" s="541">
        <v>2810.7051087617874</v>
      </c>
      <c r="F58" s="541">
        <v>14468.325735732913</v>
      </c>
      <c r="G58" s="541">
        <v>2036.5992698669434</v>
      </c>
      <c r="H58" s="541">
        <v>2838.8627778291702</v>
      </c>
      <c r="I58" s="541">
        <v>107395.35631874949</v>
      </c>
      <c r="J58" s="541">
        <v>2472.343003988266</v>
      </c>
      <c r="K58" s="541">
        <v>19116.242594718933</v>
      </c>
      <c r="L58" s="541">
        <v>16433.650581985705</v>
      </c>
      <c r="M58" s="541">
        <v>1309.692943572998</v>
      </c>
      <c r="N58" s="541">
        <v>1326.6977829933167</v>
      </c>
      <c r="O58" s="541">
        <v>37337.216328157563</v>
      </c>
      <c r="P58" s="541">
        <v>308.57198524475098</v>
      </c>
      <c r="Q58" s="541">
        <v>13682.542457818985</v>
      </c>
      <c r="R58" s="541">
        <v>598.83215999603271</v>
      </c>
      <c r="S58" s="541">
        <v>0</v>
      </c>
      <c r="T58" s="541">
        <v>10730.838914417551</v>
      </c>
      <c r="U58" s="541">
        <v>1395.4111227498179</v>
      </c>
      <c r="V58" s="541">
        <v>10904.005724906921</v>
      </c>
      <c r="W58" s="541">
        <v>124571.48228519007</v>
      </c>
      <c r="X58" s="541">
        <v>5498.9465467855334</v>
      </c>
      <c r="Y58" s="541">
        <v>212.11356273293495</v>
      </c>
      <c r="Z58" s="541">
        <v>246454.71502113342</v>
      </c>
      <c r="AA58" s="543">
        <v>116172.17262642489</v>
      </c>
      <c r="AB58" s="544">
        <v>24765.810481309891</v>
      </c>
      <c r="AC58" s="544">
        <v>30373.42035645619</v>
      </c>
      <c r="AD58" s="544">
        <v>16504.925005599856</v>
      </c>
      <c r="AE58" s="544">
        <v>109867.69932273775</v>
      </c>
      <c r="AF58" s="544">
        <v>17743.343525558703</v>
      </c>
      <c r="AG58" s="544">
        <v>37645.788313402314</v>
      </c>
      <c r="AH58" s="544">
        <v>14281.374617815018</v>
      </c>
      <c r="AI58" s="544">
        <v>12126.250037167369</v>
      </c>
      <c r="AJ58" s="545">
        <v>130070.4288319756</v>
      </c>
      <c r="AK58" s="541"/>
    </row>
    <row r="59" spans="1:37" x14ac:dyDescent="0.25">
      <c r="A59" s="494">
        <v>1982</v>
      </c>
      <c r="B59" s="542">
        <v>32442.301158115268</v>
      </c>
      <c r="C59" s="541">
        <v>1026.0025346279144</v>
      </c>
      <c r="D59" s="541">
        <v>161148.5643529892</v>
      </c>
      <c r="E59" s="541">
        <v>2810.7051087617874</v>
      </c>
      <c r="F59" s="541">
        <v>15367.266431674361</v>
      </c>
      <c r="G59" s="541">
        <v>2036.5992698669434</v>
      </c>
      <c r="H59" s="541">
        <v>2838.8627778291702</v>
      </c>
      <c r="I59" s="541">
        <v>96183.346884220839</v>
      </c>
      <c r="J59" s="541">
        <v>2579.2664563655853</v>
      </c>
      <c r="K59" s="541">
        <v>19116.242594718933</v>
      </c>
      <c r="L59" s="541">
        <v>16344.757176883515</v>
      </c>
      <c r="M59" s="541">
        <v>1254.8664417266846</v>
      </c>
      <c r="N59" s="541">
        <v>1326.6977829933167</v>
      </c>
      <c r="O59" s="541">
        <v>44744.215245990534</v>
      </c>
      <c r="P59" s="541">
        <v>398.5383129119873</v>
      </c>
      <c r="Q59" s="541">
        <v>19354.069732189178</v>
      </c>
      <c r="R59" s="541">
        <v>598.83215999603271</v>
      </c>
      <c r="S59" s="541">
        <v>0</v>
      </c>
      <c r="T59" s="541">
        <v>20947.979409018531</v>
      </c>
      <c r="U59" s="541">
        <v>1503.8315715073577</v>
      </c>
      <c r="V59" s="541">
        <v>15734.206692695618</v>
      </c>
      <c r="W59" s="541">
        <v>114816.82646108016</v>
      </c>
      <c r="X59" s="541">
        <v>5826.7592900693417</v>
      </c>
      <c r="Y59" s="541">
        <v>212.11356273293495</v>
      </c>
      <c r="Z59" s="541">
        <v>193716.12626743317</v>
      </c>
      <c r="AA59" s="543">
        <v>72860.426953550734</v>
      </c>
      <c r="AB59" s="544">
        <v>24765.810481309891</v>
      </c>
      <c r="AC59" s="544">
        <v>33468.303692743182</v>
      </c>
      <c r="AD59" s="544">
        <v>17403.865701541305</v>
      </c>
      <c r="AE59" s="544">
        <v>98762.613340586424</v>
      </c>
      <c r="AF59" s="544">
        <v>17599.6236186102</v>
      </c>
      <c r="AG59" s="544">
        <v>45142.753558902521</v>
      </c>
      <c r="AH59" s="544">
        <v>19952.901892185211</v>
      </c>
      <c r="AI59" s="544">
        <v>22451.81098052589</v>
      </c>
      <c r="AJ59" s="545">
        <v>120643.5857511495</v>
      </c>
      <c r="AK59" s="541"/>
    </row>
    <row r="60" spans="1:37" x14ac:dyDescent="0.25">
      <c r="A60" s="494">
        <v>1983</v>
      </c>
      <c r="B60" s="542">
        <v>33038.019016355276</v>
      </c>
      <c r="C60" s="541">
        <v>1026.0025346279144</v>
      </c>
      <c r="D60" s="541">
        <v>136650.19689941406</v>
      </c>
      <c r="E60" s="541">
        <v>2810.7051087617874</v>
      </c>
      <c r="F60" s="541">
        <v>15965.106910675764</v>
      </c>
      <c r="G60" s="541">
        <v>2036.5992698669434</v>
      </c>
      <c r="H60" s="541">
        <v>2838.8627778291702</v>
      </c>
      <c r="I60" s="541">
        <v>115008.02590584755</v>
      </c>
      <c r="J60" s="541">
        <v>2564.4842412471771</v>
      </c>
      <c r="K60" s="541">
        <v>19116.242594718933</v>
      </c>
      <c r="L60" s="541">
        <v>18088.624685764302</v>
      </c>
      <c r="M60" s="541">
        <v>1304.7546677589417</v>
      </c>
      <c r="N60" s="541">
        <v>1326.6977829933167</v>
      </c>
      <c r="O60" s="541">
        <v>49548.372269807835</v>
      </c>
      <c r="P60" s="541">
        <v>407.93087911605835</v>
      </c>
      <c r="Q60" s="541">
        <v>22734.619184385985</v>
      </c>
      <c r="R60" s="541">
        <v>598.83215999603271</v>
      </c>
      <c r="S60" s="541">
        <v>0</v>
      </c>
      <c r="T60" s="541">
        <v>25153.314727609533</v>
      </c>
      <c r="U60" s="541">
        <v>1552.8076229344761</v>
      </c>
      <c r="V60" s="541">
        <v>16524.236939430237</v>
      </c>
      <c r="W60" s="541">
        <v>113989.70832902535</v>
      </c>
      <c r="X60" s="541">
        <v>6094.1022396683693</v>
      </c>
      <c r="Y60" s="541">
        <v>212.11356273293495</v>
      </c>
      <c r="Z60" s="541">
        <v>189667.6123085022</v>
      </c>
      <c r="AA60" s="543">
        <v>69371.688177075543</v>
      </c>
      <c r="AB60" s="544">
        <v>24765.810481309891</v>
      </c>
      <c r="AC60" s="544">
        <v>34064.021550983191</v>
      </c>
      <c r="AD60" s="544">
        <v>18001.706180542707</v>
      </c>
      <c r="AE60" s="544">
        <v>117572.51014709473</v>
      </c>
      <c r="AF60" s="544">
        <v>19393.379353523243</v>
      </c>
      <c r="AG60" s="544">
        <v>49956.303148923893</v>
      </c>
      <c r="AH60" s="544">
        <v>23333.451344382018</v>
      </c>
      <c r="AI60" s="544">
        <v>26706.12235054401</v>
      </c>
      <c r="AJ60" s="545">
        <v>120083.81056869372</v>
      </c>
      <c r="AK60" s="541"/>
    </row>
    <row r="61" spans="1:37" x14ac:dyDescent="0.25">
      <c r="A61" s="494">
        <v>1984</v>
      </c>
      <c r="B61" s="542">
        <v>31281.824956670403</v>
      </c>
      <c r="C61" s="541">
        <v>1026.0025346279144</v>
      </c>
      <c r="D61" s="541">
        <v>132012.37954711914</v>
      </c>
      <c r="E61" s="541">
        <v>2810.7051087617874</v>
      </c>
      <c r="F61" s="541">
        <v>16050.427155897021</v>
      </c>
      <c r="G61" s="541">
        <v>2036.5992698669434</v>
      </c>
      <c r="H61" s="541">
        <v>2838.8627778291702</v>
      </c>
      <c r="I61" s="541">
        <v>111683.23632659018</v>
      </c>
      <c r="J61" s="541">
        <v>2608.8271310329437</v>
      </c>
      <c r="K61" s="541">
        <v>19116.242594718933</v>
      </c>
      <c r="L61" s="541">
        <v>17460.84858407823</v>
      </c>
      <c r="M61" s="541">
        <v>1310.8137335777283</v>
      </c>
      <c r="N61" s="541">
        <v>1326.6977829933167</v>
      </c>
      <c r="O61" s="541">
        <v>47721.968711657901</v>
      </c>
      <c r="P61" s="541">
        <v>420.77869844436646</v>
      </c>
      <c r="Q61" s="541">
        <v>18537.862465493381</v>
      </c>
      <c r="R61" s="541">
        <v>598.83215999603271</v>
      </c>
      <c r="S61" s="541">
        <v>0</v>
      </c>
      <c r="T61" s="541">
        <v>18444.488209405914</v>
      </c>
      <c r="U61" s="541">
        <v>1491.0907712816843</v>
      </c>
      <c r="V61" s="541">
        <v>13387.382218360901</v>
      </c>
      <c r="W61" s="541">
        <v>114868.51572852179</v>
      </c>
      <c r="X61" s="541">
        <v>5909.2078681588173</v>
      </c>
      <c r="Y61" s="541">
        <v>212.11356273293495</v>
      </c>
      <c r="Z61" s="541">
        <v>210806.35505843163</v>
      </c>
      <c r="AA61" s="543">
        <v>89816.517899018087</v>
      </c>
      <c r="AB61" s="544">
        <v>24765.810481309891</v>
      </c>
      <c r="AC61" s="544">
        <v>32307.827491298318</v>
      </c>
      <c r="AD61" s="544">
        <v>18087.026425763965</v>
      </c>
      <c r="AE61" s="544">
        <v>114292.06345762312</v>
      </c>
      <c r="AF61" s="544">
        <v>18771.662317655959</v>
      </c>
      <c r="AG61" s="544">
        <v>48142.747410102267</v>
      </c>
      <c r="AH61" s="544">
        <v>19136.694625489414</v>
      </c>
      <c r="AI61" s="544">
        <v>19935.578980687598</v>
      </c>
      <c r="AJ61" s="545">
        <v>120777.7235966806</v>
      </c>
      <c r="AK61" s="541"/>
    </row>
    <row r="62" spans="1:37" x14ac:dyDescent="0.25">
      <c r="A62" s="494">
        <v>1985</v>
      </c>
      <c r="B62" s="542">
        <v>31450.841072820127</v>
      </c>
      <c r="C62" s="541">
        <v>1026.0025346279144</v>
      </c>
      <c r="D62" s="541">
        <v>191640.84257507324</v>
      </c>
      <c r="E62" s="541">
        <v>2810.7051087617874</v>
      </c>
      <c r="F62" s="541">
        <v>15109.031175419688</v>
      </c>
      <c r="G62" s="541">
        <v>2036.5992698669434</v>
      </c>
      <c r="H62" s="541">
        <v>2838.8627778291702</v>
      </c>
      <c r="I62" s="541">
        <v>114127.06915311515</v>
      </c>
      <c r="J62" s="541">
        <v>2400.2002007961273</v>
      </c>
      <c r="K62" s="541">
        <v>19116.242594718933</v>
      </c>
      <c r="L62" s="541">
        <v>18204.939930424098</v>
      </c>
      <c r="M62" s="541">
        <v>1397.5919589996338</v>
      </c>
      <c r="N62" s="541">
        <v>1326.6977829933167</v>
      </c>
      <c r="O62" s="541">
        <v>50792.279975323458</v>
      </c>
      <c r="P62" s="541">
        <v>530.79295539855957</v>
      </c>
      <c r="Q62" s="541">
        <v>21689.595151588321</v>
      </c>
      <c r="R62" s="541">
        <v>598.83215999603271</v>
      </c>
      <c r="S62" s="541">
        <v>0</v>
      </c>
      <c r="T62" s="541">
        <v>21430.12455018796</v>
      </c>
      <c r="U62" s="541">
        <v>1526.0980031120152</v>
      </c>
      <c r="V62" s="541">
        <v>14434.693634986877</v>
      </c>
      <c r="W62" s="541">
        <v>124064.32102989004</v>
      </c>
      <c r="X62" s="541">
        <v>5839.2801697254181</v>
      </c>
      <c r="Y62" s="541">
        <v>212.11356273293495</v>
      </c>
      <c r="Z62" s="541">
        <v>190549.91597175598</v>
      </c>
      <c r="AA62" s="543">
        <v>60434.201209407591</v>
      </c>
      <c r="AB62" s="544">
        <v>24765.810481309891</v>
      </c>
      <c r="AC62" s="544">
        <v>32476.843607448041</v>
      </c>
      <c r="AD62" s="544">
        <v>17145.630445286632</v>
      </c>
      <c r="AE62" s="544">
        <v>116527.26935391128</v>
      </c>
      <c r="AF62" s="544">
        <v>19602.531889423732</v>
      </c>
      <c r="AG62" s="544">
        <v>51323.072930722017</v>
      </c>
      <c r="AH62" s="544">
        <v>22288.427311584353</v>
      </c>
      <c r="AI62" s="544">
        <v>22956.222553299976</v>
      </c>
      <c r="AJ62" s="545">
        <v>129903.60119961546</v>
      </c>
      <c r="AK62" s="541"/>
    </row>
    <row r="63" spans="1:37" x14ac:dyDescent="0.25">
      <c r="A63" s="494">
        <v>1986</v>
      </c>
      <c r="B63" s="542">
        <v>28256.851131379604</v>
      </c>
      <c r="C63" s="541">
        <v>1026.0025346279144</v>
      </c>
      <c r="D63" s="541">
        <v>135953.30113601685</v>
      </c>
      <c r="E63" s="541">
        <v>2810.7051087617874</v>
      </c>
      <c r="F63" s="541">
        <v>14142.019212886691</v>
      </c>
      <c r="G63" s="541">
        <v>2036.5992698669434</v>
      </c>
      <c r="H63" s="541">
        <v>2838.8627778291702</v>
      </c>
      <c r="I63" s="541">
        <v>89740.417478270829</v>
      </c>
      <c r="J63" s="541">
        <v>2394.4240243434906</v>
      </c>
      <c r="K63" s="541">
        <v>19116.242594718933</v>
      </c>
      <c r="L63" s="541">
        <v>15067.868537843218</v>
      </c>
      <c r="M63" s="541">
        <v>1366.6908497810364</v>
      </c>
      <c r="N63" s="541">
        <v>1326.6977829933167</v>
      </c>
      <c r="O63" s="541">
        <v>40980.75665616848</v>
      </c>
      <c r="P63" s="541">
        <v>515.34848260879517</v>
      </c>
      <c r="Q63" s="541">
        <v>18869.148969702423</v>
      </c>
      <c r="R63" s="541">
        <v>598.83215999603271</v>
      </c>
      <c r="S63" s="541">
        <v>0</v>
      </c>
      <c r="T63" s="541">
        <v>20825.235861645266</v>
      </c>
      <c r="U63" s="541">
        <v>1519.9461812376976</v>
      </c>
      <c r="V63" s="541">
        <v>15846.953511238098</v>
      </c>
      <c r="W63" s="541">
        <v>105992.9262762998</v>
      </c>
      <c r="X63" s="541">
        <v>5943.595062670649</v>
      </c>
      <c r="Y63" s="541">
        <v>212.11356273293495</v>
      </c>
      <c r="Z63" s="541">
        <v>187832.17130088806</v>
      </c>
      <c r="AA63" s="543">
        <v>75683.536399184683</v>
      </c>
      <c r="AB63" s="544">
        <v>24765.810481309891</v>
      </c>
      <c r="AC63" s="544">
        <v>29282.853666007519</v>
      </c>
      <c r="AD63" s="544">
        <v>16178.618482753634</v>
      </c>
      <c r="AE63" s="544">
        <v>92134.841502614319</v>
      </c>
      <c r="AF63" s="544">
        <v>16434.559387624256</v>
      </c>
      <c r="AG63" s="544">
        <v>41496.105138777275</v>
      </c>
      <c r="AH63" s="544">
        <v>19467.981129698455</v>
      </c>
      <c r="AI63" s="544">
        <v>22345.182042882963</v>
      </c>
      <c r="AJ63" s="545">
        <v>111936.52133897044</v>
      </c>
      <c r="AK63" s="541"/>
    </row>
    <row r="64" spans="1:37" x14ac:dyDescent="0.25">
      <c r="A64" s="494">
        <v>1987</v>
      </c>
      <c r="B64" s="542">
        <v>32293.075099043548</v>
      </c>
      <c r="C64" s="541">
        <v>1026.0025346279144</v>
      </c>
      <c r="D64" s="541">
        <v>74416.019515991211</v>
      </c>
      <c r="E64" s="541">
        <v>2810.7051087617874</v>
      </c>
      <c r="F64" s="541">
        <v>16254.585354760289</v>
      </c>
      <c r="G64" s="541">
        <v>2036.5992698669434</v>
      </c>
      <c r="H64" s="541">
        <v>2838.8627778291702</v>
      </c>
      <c r="I64" s="541">
        <v>103097.61627339572</v>
      </c>
      <c r="J64" s="541">
        <v>2354.067197561264</v>
      </c>
      <c r="K64" s="541">
        <v>19116.242594718933</v>
      </c>
      <c r="L64" s="541">
        <v>17476.846191778768</v>
      </c>
      <c r="M64" s="541">
        <v>1364.4884910583496</v>
      </c>
      <c r="N64" s="541">
        <v>1326.6977829933167</v>
      </c>
      <c r="O64" s="541">
        <v>46738.631539969225</v>
      </c>
      <c r="P64" s="541">
        <v>530.74375677108765</v>
      </c>
      <c r="Q64" s="541">
        <v>21794.299299731851</v>
      </c>
      <c r="R64" s="541">
        <v>598.83215999603271</v>
      </c>
      <c r="S64" s="541">
        <v>0</v>
      </c>
      <c r="T64" s="541">
        <v>23206.237449228691</v>
      </c>
      <c r="U64" s="541">
        <v>1529.8003821372986</v>
      </c>
      <c r="V64" s="541">
        <v>14501.540280342102</v>
      </c>
      <c r="W64" s="541">
        <v>122786.38562608107</v>
      </c>
      <c r="X64" s="541">
        <v>5954.7716854810715</v>
      </c>
      <c r="Y64" s="541">
        <v>212.11356273293495</v>
      </c>
      <c r="Z64" s="541">
        <v>194907.67035710812</v>
      </c>
      <c r="AA64" s="543">
        <v>65954.399482813038</v>
      </c>
      <c r="AB64" s="544">
        <v>24765.810481309891</v>
      </c>
      <c r="AC64" s="544">
        <v>33319.077633671463</v>
      </c>
      <c r="AD64" s="544">
        <v>18291.184624627233</v>
      </c>
      <c r="AE64" s="544">
        <v>105451.68347095698</v>
      </c>
      <c r="AF64" s="544">
        <v>18841.334682837118</v>
      </c>
      <c r="AG64" s="544">
        <v>47269.375296740312</v>
      </c>
      <c r="AH64" s="544">
        <v>22393.131459727883</v>
      </c>
      <c r="AI64" s="544">
        <v>24736.037831365989</v>
      </c>
      <c r="AJ64" s="545">
        <v>128741.15731156214</v>
      </c>
      <c r="AK64" s="541"/>
    </row>
    <row r="65" spans="1:37" x14ac:dyDescent="0.25">
      <c r="A65" s="494">
        <v>1988</v>
      </c>
      <c r="B65" s="542">
        <v>32136.164511911571</v>
      </c>
      <c r="C65" s="541">
        <v>1026.0025346279144</v>
      </c>
      <c r="D65" s="541">
        <v>60055.489227294922</v>
      </c>
      <c r="E65" s="541">
        <v>2810.7051087617874</v>
      </c>
      <c r="F65" s="541">
        <v>15976.881240855902</v>
      </c>
      <c r="G65" s="541">
        <v>2036.5992698669434</v>
      </c>
      <c r="H65" s="541">
        <v>2838.8627778291702</v>
      </c>
      <c r="I65" s="541">
        <v>105956.28976468369</v>
      </c>
      <c r="J65" s="541">
        <v>2383.7892835140228</v>
      </c>
      <c r="K65" s="541">
        <v>19116.242594718933</v>
      </c>
      <c r="L65" s="541">
        <v>18796.640632197261</v>
      </c>
      <c r="M65" s="541">
        <v>1385.8992519378662</v>
      </c>
      <c r="N65" s="541">
        <v>1326.6977829933167</v>
      </c>
      <c r="O65" s="541">
        <v>43716.758535696645</v>
      </c>
      <c r="P65" s="541">
        <v>340.94512009620667</v>
      </c>
      <c r="Q65" s="541">
        <v>19178.630270108581</v>
      </c>
      <c r="R65" s="541">
        <v>598.83215999603271</v>
      </c>
      <c r="S65" s="541">
        <v>0</v>
      </c>
      <c r="T65" s="541">
        <v>14799.22920816578</v>
      </c>
      <c r="U65" s="541">
        <v>1433.1278231892525</v>
      </c>
      <c r="V65" s="541">
        <v>12880.180867195129</v>
      </c>
      <c r="W65" s="541">
        <v>117163.91494465216</v>
      </c>
      <c r="X65" s="541">
        <v>5766.3554458767176</v>
      </c>
      <c r="Y65" s="541">
        <v>212.11356273293495</v>
      </c>
      <c r="Z65" s="541">
        <v>189478.57684993744</v>
      </c>
      <c r="AA65" s="543">
        <v>66336.192896675624</v>
      </c>
      <c r="AB65" s="544">
        <v>24765.810481309891</v>
      </c>
      <c r="AC65" s="544">
        <v>33162.167046539485</v>
      </c>
      <c r="AD65" s="544">
        <v>18013.480510722846</v>
      </c>
      <c r="AE65" s="544">
        <v>108340.07904819772</v>
      </c>
      <c r="AF65" s="544">
        <v>20182.539884135127</v>
      </c>
      <c r="AG65" s="544">
        <v>44057.703655792851</v>
      </c>
      <c r="AH65" s="544">
        <v>19777.462430104613</v>
      </c>
      <c r="AI65" s="544">
        <v>16232.357031355032</v>
      </c>
      <c r="AJ65" s="545">
        <v>122930.27039052888</v>
      </c>
      <c r="AK65" s="541"/>
    </row>
    <row r="66" spans="1:37" x14ac:dyDescent="0.25">
      <c r="A66" s="494">
        <v>1989</v>
      </c>
      <c r="B66" s="542">
        <v>33670.659942824394</v>
      </c>
      <c r="C66" s="541">
        <v>1026.0025346279144</v>
      </c>
      <c r="D66" s="541">
        <v>66110.755737304688</v>
      </c>
      <c r="E66" s="541">
        <v>2810.7051087617874</v>
      </c>
      <c r="F66" s="541">
        <v>16448.197522863746</v>
      </c>
      <c r="G66" s="541">
        <v>2036.5992698669434</v>
      </c>
      <c r="H66" s="541">
        <v>2838.8627778291702</v>
      </c>
      <c r="I66" s="541">
        <v>106934.7685354054</v>
      </c>
      <c r="J66" s="541">
        <v>1715.0700204372406</v>
      </c>
      <c r="K66" s="541">
        <v>19116.242594718933</v>
      </c>
      <c r="L66" s="541">
        <v>20393.38134068995</v>
      </c>
      <c r="M66" s="541">
        <v>1394.1528329849243</v>
      </c>
      <c r="N66" s="541">
        <v>1326.6977829933167</v>
      </c>
      <c r="O66" s="541">
        <v>33614.439321054597</v>
      </c>
      <c r="P66" s="541">
        <v>366.49237990379333</v>
      </c>
      <c r="Q66" s="541">
        <v>12671.576250717044</v>
      </c>
      <c r="R66" s="541">
        <v>598.83215999603271</v>
      </c>
      <c r="S66" s="541">
        <v>0</v>
      </c>
      <c r="T66" s="541">
        <v>13050.715059756332</v>
      </c>
      <c r="U66" s="541">
        <v>1438.102690756321</v>
      </c>
      <c r="V66" s="541">
        <v>8339.6251201629639</v>
      </c>
      <c r="W66" s="541">
        <v>143254.77109372959</v>
      </c>
      <c r="X66" s="541">
        <v>5500.6703393608914</v>
      </c>
      <c r="Y66" s="541">
        <v>212.11356273293495</v>
      </c>
      <c r="Z66" s="541">
        <v>186427.57899856567</v>
      </c>
      <c r="AA66" s="543">
        <v>37460.024002742255</v>
      </c>
      <c r="AB66" s="544">
        <v>24765.810481309891</v>
      </c>
      <c r="AC66" s="544">
        <v>34696.662477452308</v>
      </c>
      <c r="AD66" s="544">
        <v>18484.796792730689</v>
      </c>
      <c r="AE66" s="544">
        <v>108649.83855584264</v>
      </c>
      <c r="AF66" s="544">
        <v>21787.534173674874</v>
      </c>
      <c r="AG66" s="544">
        <v>33980.93170095839</v>
      </c>
      <c r="AH66" s="544">
        <v>13270.408410713077</v>
      </c>
      <c r="AI66" s="544">
        <v>14488.817750512653</v>
      </c>
      <c r="AJ66" s="545">
        <v>148755.44143309048</v>
      </c>
      <c r="AK66" s="541"/>
    </row>
    <row r="67" spans="1:37" x14ac:dyDescent="0.25">
      <c r="A67" s="494">
        <v>1990</v>
      </c>
      <c r="B67" s="542">
        <v>30562.329971387982</v>
      </c>
      <c r="C67" s="541">
        <v>1026.0025346279144</v>
      </c>
      <c r="D67" s="541">
        <v>68981.821533203125</v>
      </c>
      <c r="E67" s="541">
        <v>2810.7051087617874</v>
      </c>
      <c r="F67" s="541">
        <v>15215.450620874763</v>
      </c>
      <c r="G67" s="541">
        <v>2036.5992698669434</v>
      </c>
      <c r="H67" s="541">
        <v>2838.8627778291702</v>
      </c>
      <c r="I67" s="541">
        <v>97499.411266297102</v>
      </c>
      <c r="J67" s="541">
        <v>2124.5331494808197</v>
      </c>
      <c r="K67" s="541">
        <v>19116.242594718933</v>
      </c>
      <c r="L67" s="541">
        <v>17084.847532734268</v>
      </c>
      <c r="M67" s="541">
        <v>1436.1444606781006</v>
      </c>
      <c r="N67" s="541">
        <v>1326.6977829933167</v>
      </c>
      <c r="O67" s="541">
        <v>34214.242193310041</v>
      </c>
      <c r="P67" s="541">
        <v>288.74829077720642</v>
      </c>
      <c r="Q67" s="541">
        <v>11856.981076702476</v>
      </c>
      <c r="R67" s="541">
        <v>598.83215999603271</v>
      </c>
      <c r="S67" s="541">
        <v>0</v>
      </c>
      <c r="T67" s="541">
        <v>8233.4886131909498</v>
      </c>
      <c r="U67" s="541">
        <v>1379.1811339259148</v>
      </c>
      <c r="V67" s="541">
        <v>10663.555787086487</v>
      </c>
      <c r="W67" s="541">
        <v>115616.0458571647</v>
      </c>
      <c r="X67" s="541">
        <v>5484.871378025854</v>
      </c>
      <c r="Y67" s="541">
        <v>212.11356273293495</v>
      </c>
      <c r="Z67" s="541">
        <v>230290.84494149685</v>
      </c>
      <c r="AA67" s="543">
        <v>108977.81414357336</v>
      </c>
      <c r="AB67" s="544">
        <v>24765.810481309891</v>
      </c>
      <c r="AC67" s="544">
        <v>31588.332506015897</v>
      </c>
      <c r="AD67" s="544">
        <v>17252.049890741706</v>
      </c>
      <c r="AE67" s="544">
        <v>99623.944415777922</v>
      </c>
      <c r="AF67" s="544">
        <v>18520.991993412368</v>
      </c>
      <c r="AG67" s="544">
        <v>34502.990484087248</v>
      </c>
      <c r="AH67" s="544">
        <v>12455.813236698508</v>
      </c>
      <c r="AI67" s="544">
        <v>9612.6697471168645</v>
      </c>
      <c r="AJ67" s="545">
        <v>121100.91723519056</v>
      </c>
      <c r="AK67" s="541"/>
    </row>
    <row r="68" spans="1:37" x14ac:dyDescent="0.25">
      <c r="A68" s="494">
        <v>1991</v>
      </c>
      <c r="B68" s="542">
        <v>29874.590659990907</v>
      </c>
      <c r="C68" s="541">
        <v>1026.0025346279144</v>
      </c>
      <c r="D68" s="541">
        <v>117437.73883056641</v>
      </c>
      <c r="E68" s="541">
        <v>2810.7051087617874</v>
      </c>
      <c r="F68" s="541">
        <v>14863.587761357427</v>
      </c>
      <c r="G68" s="541">
        <v>2036.5992698669434</v>
      </c>
      <c r="H68" s="541">
        <v>2838.8627778291702</v>
      </c>
      <c r="I68" s="541">
        <v>106282.67822857201</v>
      </c>
      <c r="J68" s="541">
        <v>2485.713142156601</v>
      </c>
      <c r="K68" s="541">
        <v>19116.242594718933</v>
      </c>
      <c r="L68" s="541">
        <v>19005.348350889963</v>
      </c>
      <c r="M68" s="541">
        <v>1393.4346914291382</v>
      </c>
      <c r="N68" s="541">
        <v>1326.6977829933167</v>
      </c>
      <c r="O68" s="541">
        <v>40674.193793682833</v>
      </c>
      <c r="P68" s="541">
        <v>363.56249809265137</v>
      </c>
      <c r="Q68" s="541">
        <v>16571.399551846087</v>
      </c>
      <c r="R68" s="541">
        <v>598.83215999603271</v>
      </c>
      <c r="S68" s="541">
        <v>0</v>
      </c>
      <c r="T68" s="541">
        <v>14703.748447202966</v>
      </c>
      <c r="U68" s="541">
        <v>1408.6430385695712</v>
      </c>
      <c r="V68" s="541">
        <v>12614.457663536072</v>
      </c>
      <c r="W68" s="541">
        <v>126457.51164976104</v>
      </c>
      <c r="X68" s="541">
        <v>5744.862716598218</v>
      </c>
      <c r="Y68" s="541">
        <v>212.11356273293495</v>
      </c>
      <c r="Z68" s="541">
        <v>199350.48925304413</v>
      </c>
      <c r="AA68" s="543">
        <v>66936.001323951932</v>
      </c>
      <c r="AB68" s="544">
        <v>24765.810481309891</v>
      </c>
      <c r="AC68" s="544">
        <v>30900.593194618821</v>
      </c>
      <c r="AD68" s="544">
        <v>16900.18703122437</v>
      </c>
      <c r="AE68" s="544">
        <v>108768.39137072861</v>
      </c>
      <c r="AF68" s="544">
        <v>20398.783042319101</v>
      </c>
      <c r="AG68" s="544">
        <v>41037.756291775484</v>
      </c>
      <c r="AH68" s="544">
        <v>17170.23171184212</v>
      </c>
      <c r="AI68" s="544">
        <v>16112.391485772538</v>
      </c>
      <c r="AJ68" s="545">
        <v>132202.37436635926</v>
      </c>
      <c r="AK68" s="541"/>
    </row>
    <row r="69" spans="1:37" x14ac:dyDescent="0.25">
      <c r="A69" s="494">
        <v>1992</v>
      </c>
      <c r="B69" s="542">
        <v>28091.588534541428</v>
      </c>
      <c r="C69" s="541">
        <v>1026.0025346279144</v>
      </c>
      <c r="D69" s="541">
        <v>117054.44799804688</v>
      </c>
      <c r="E69" s="541">
        <v>2810.7051087617874</v>
      </c>
      <c r="F69" s="541">
        <v>14082.045574307442</v>
      </c>
      <c r="G69" s="541">
        <v>2036.5992698669434</v>
      </c>
      <c r="H69" s="541">
        <v>2838.8627778291702</v>
      </c>
      <c r="I69" s="541">
        <v>101456.72171677649</v>
      </c>
      <c r="J69" s="541">
        <v>2245.6503865718842</v>
      </c>
      <c r="K69" s="541">
        <v>19116.242594718933</v>
      </c>
      <c r="L69" s="541">
        <v>17212.850763142094</v>
      </c>
      <c r="M69" s="541">
        <v>1415.0184035301208</v>
      </c>
      <c r="N69" s="541">
        <v>1326.6977829933167</v>
      </c>
      <c r="O69" s="541">
        <v>40387.572098223944</v>
      </c>
      <c r="P69" s="541">
        <v>417.97858285903931</v>
      </c>
      <c r="Q69" s="541">
        <v>17006.667536079884</v>
      </c>
      <c r="R69" s="541">
        <v>598.83215999603271</v>
      </c>
      <c r="S69" s="541">
        <v>0</v>
      </c>
      <c r="T69" s="541">
        <v>17084.74069208838</v>
      </c>
      <c r="U69" s="541">
        <v>1506.8662263154984</v>
      </c>
      <c r="V69" s="541">
        <v>12963.791850090027</v>
      </c>
      <c r="W69" s="541">
        <v>112591.44940887734</v>
      </c>
      <c r="X69" s="541">
        <v>5904.539648078382</v>
      </c>
      <c r="Y69" s="541">
        <v>212.11356273293495</v>
      </c>
      <c r="Z69" s="541">
        <v>206443.73423230648</v>
      </c>
      <c r="AA69" s="543">
        <v>87735.631612617828</v>
      </c>
      <c r="AB69" s="544">
        <v>24765.810481309891</v>
      </c>
      <c r="AC69" s="544">
        <v>29117.591069169343</v>
      </c>
      <c r="AD69" s="544">
        <v>16118.644844174385</v>
      </c>
      <c r="AE69" s="544">
        <v>103702.37210334837</v>
      </c>
      <c r="AF69" s="544">
        <v>18627.869166672215</v>
      </c>
      <c r="AG69" s="544">
        <v>40805.550681082983</v>
      </c>
      <c r="AH69" s="544">
        <v>17605.499696075916</v>
      </c>
      <c r="AI69" s="544">
        <v>18591.606918403879</v>
      </c>
      <c r="AJ69" s="545">
        <v>118495.98905695572</v>
      </c>
      <c r="AK69" s="541"/>
    </row>
    <row r="70" spans="1:37" x14ac:dyDescent="0.25">
      <c r="A70" s="494">
        <v>1993</v>
      </c>
      <c r="B70" s="542">
        <v>32103.136144503951</v>
      </c>
      <c r="C70" s="541">
        <v>1026.0025346279144</v>
      </c>
      <c r="D70" s="541">
        <v>152973.38549804688</v>
      </c>
      <c r="E70" s="541">
        <v>2810.7051087617874</v>
      </c>
      <c r="F70" s="541">
        <v>15988.784241110086</v>
      </c>
      <c r="G70" s="541">
        <v>2036.5992698669434</v>
      </c>
      <c r="H70" s="541">
        <v>2838.8627778291702</v>
      </c>
      <c r="I70" s="541">
        <v>105709.74933767319</v>
      </c>
      <c r="J70" s="541">
        <v>2421.1311242580414</v>
      </c>
      <c r="K70" s="541">
        <v>19116.242594718933</v>
      </c>
      <c r="L70" s="541">
        <v>17761.653258830291</v>
      </c>
      <c r="M70" s="541">
        <v>1409.339928150177</v>
      </c>
      <c r="N70" s="541">
        <v>1326.6977829933167</v>
      </c>
      <c r="O70" s="541">
        <v>46448.059832675834</v>
      </c>
      <c r="P70" s="541">
        <v>510.01865291595459</v>
      </c>
      <c r="Q70" s="541">
        <v>23194.015044294298</v>
      </c>
      <c r="R70" s="541">
        <v>598.83215999603271</v>
      </c>
      <c r="S70" s="541">
        <v>0</v>
      </c>
      <c r="T70" s="541">
        <v>21886.42927126959</v>
      </c>
      <c r="U70" s="541">
        <v>1527.7050304333034</v>
      </c>
      <c r="V70" s="541">
        <v>15636.440155982971</v>
      </c>
      <c r="W70" s="541">
        <v>127148.83836561783</v>
      </c>
      <c r="X70" s="541">
        <v>5949.4723663202703</v>
      </c>
      <c r="Y70" s="541">
        <v>212.11356273293495</v>
      </c>
      <c r="Z70" s="541">
        <v>184771.15517747402</v>
      </c>
      <c r="AA70" s="543">
        <v>51460.730882802985</v>
      </c>
      <c r="AB70" s="544">
        <v>24765.810481309891</v>
      </c>
      <c r="AC70" s="544">
        <v>33129.138679131866</v>
      </c>
      <c r="AD70" s="544">
        <v>18025.38351097703</v>
      </c>
      <c r="AE70" s="544">
        <v>108130.88046193123</v>
      </c>
      <c r="AF70" s="544">
        <v>19170.993186980468</v>
      </c>
      <c r="AG70" s="544">
        <v>46958.078485591788</v>
      </c>
      <c r="AH70" s="544">
        <v>23792.84720429033</v>
      </c>
      <c r="AI70" s="544">
        <v>23414.134301702892</v>
      </c>
      <c r="AJ70" s="545">
        <v>133098.31073193811</v>
      </c>
      <c r="AK70" s="541"/>
    </row>
    <row r="71" spans="1:37" x14ac:dyDescent="0.25">
      <c r="A71" s="494">
        <v>1994</v>
      </c>
      <c r="B71" s="542">
        <v>31375.235254570842</v>
      </c>
      <c r="C71" s="541">
        <v>1026.0025346279144</v>
      </c>
      <c r="D71" s="541">
        <v>118496.70453643799</v>
      </c>
      <c r="E71" s="541">
        <v>2810.7051087617874</v>
      </c>
      <c r="F71" s="541">
        <v>15648.641727104783</v>
      </c>
      <c r="G71" s="541">
        <v>2036.5992698669434</v>
      </c>
      <c r="H71" s="541">
        <v>2838.8627778291702</v>
      </c>
      <c r="I71" s="541">
        <v>106378.93849997595</v>
      </c>
      <c r="J71" s="541">
        <v>2574.2189137935638</v>
      </c>
      <c r="K71" s="541">
        <v>19116.242594718933</v>
      </c>
      <c r="L71" s="541">
        <v>18496.048557460301</v>
      </c>
      <c r="M71" s="541">
        <v>1402.7864398956299</v>
      </c>
      <c r="N71" s="541">
        <v>1326.6977829933167</v>
      </c>
      <c r="O71" s="541">
        <v>37563.936680889208</v>
      </c>
      <c r="P71" s="541">
        <v>342.99559569358826</v>
      </c>
      <c r="Q71" s="541">
        <v>15423.816070884466</v>
      </c>
      <c r="R71" s="541">
        <v>598.83215999603271</v>
      </c>
      <c r="S71" s="541">
        <v>0</v>
      </c>
      <c r="T71" s="541">
        <v>16902.15482695587</v>
      </c>
      <c r="U71" s="541">
        <v>1431.1785380423075</v>
      </c>
      <c r="V71" s="541">
        <v>11770.206915855408</v>
      </c>
      <c r="W71" s="541">
        <v>153351.90552741633</v>
      </c>
      <c r="X71" s="541">
        <v>5712.1269104927778</v>
      </c>
      <c r="Y71" s="541">
        <v>212.11356273293495</v>
      </c>
      <c r="Z71" s="541">
        <v>217992.42529058456</v>
      </c>
      <c r="AA71" s="543">
        <v>58716.279289942526</v>
      </c>
      <c r="AB71" s="544">
        <v>24765.810481309891</v>
      </c>
      <c r="AC71" s="544">
        <v>32401.237789198756</v>
      </c>
      <c r="AD71" s="544">
        <v>17685.240996971726</v>
      </c>
      <c r="AE71" s="544">
        <v>108953.15741376951</v>
      </c>
      <c r="AF71" s="544">
        <v>19898.834997355931</v>
      </c>
      <c r="AG71" s="544">
        <v>37906.932276582796</v>
      </c>
      <c r="AH71" s="544">
        <v>16022.648230880499</v>
      </c>
      <c r="AI71" s="544">
        <v>18333.333364998176</v>
      </c>
      <c r="AJ71" s="545">
        <v>159064.0324379091</v>
      </c>
      <c r="AK71" s="541"/>
    </row>
    <row r="72" spans="1:37" x14ac:dyDescent="0.25">
      <c r="A72" s="494">
        <v>1995</v>
      </c>
      <c r="B72" s="542">
        <v>28506.971692956984</v>
      </c>
      <c r="C72" s="541">
        <v>1026.0025346279144</v>
      </c>
      <c r="D72" s="541">
        <v>105102.31011962891</v>
      </c>
      <c r="E72" s="541">
        <v>2810.7051087617874</v>
      </c>
      <c r="F72" s="541">
        <v>14542.535258993506</v>
      </c>
      <c r="G72" s="541">
        <v>2036.5992698669434</v>
      </c>
      <c r="H72" s="541">
        <v>2838.8627778291702</v>
      </c>
      <c r="I72" s="541">
        <v>101047.14626684785</v>
      </c>
      <c r="J72" s="541">
        <v>2550.4907605648041</v>
      </c>
      <c r="K72" s="541">
        <v>19116.242594718933</v>
      </c>
      <c r="L72" s="541">
        <v>17458.349292680596</v>
      </c>
      <c r="M72" s="541">
        <v>1359.8109498023987</v>
      </c>
      <c r="N72" s="541">
        <v>1326.6977829933167</v>
      </c>
      <c r="O72" s="541">
        <v>45967.858518718262</v>
      </c>
      <c r="P72" s="541">
        <v>483.46467566490173</v>
      </c>
      <c r="Q72" s="541">
        <v>22057.724539775401</v>
      </c>
      <c r="R72" s="541">
        <v>598.83215999603271</v>
      </c>
      <c r="S72" s="541">
        <v>0</v>
      </c>
      <c r="T72" s="541">
        <v>24878.070052479881</v>
      </c>
      <c r="U72" s="541">
        <v>1581.7079276483128</v>
      </c>
      <c r="V72" s="541">
        <v>16272.813761711121</v>
      </c>
      <c r="W72" s="541">
        <v>115514.61933257028</v>
      </c>
      <c r="X72" s="541">
        <v>6071.0040401907072</v>
      </c>
      <c r="Y72" s="541">
        <v>212.11356273293495</v>
      </c>
      <c r="Z72" s="541">
        <v>204038.33221387863</v>
      </c>
      <c r="AA72" s="543">
        <v>82240.595278384717</v>
      </c>
      <c r="AB72" s="544">
        <v>24765.810481309891</v>
      </c>
      <c r="AC72" s="544">
        <v>29532.974227584898</v>
      </c>
      <c r="AD72" s="544">
        <v>16579.13452886045</v>
      </c>
      <c r="AE72" s="544">
        <v>103597.63702741265</v>
      </c>
      <c r="AF72" s="544">
        <v>18818.160242482994</v>
      </c>
      <c r="AG72" s="544">
        <v>46451.323194383163</v>
      </c>
      <c r="AH72" s="544">
        <v>22656.556699771434</v>
      </c>
      <c r="AI72" s="544">
        <v>26459.777980128194</v>
      </c>
      <c r="AJ72" s="545">
        <v>121585.62337276098</v>
      </c>
      <c r="AK72" s="541"/>
    </row>
    <row r="73" spans="1:37" x14ac:dyDescent="0.25">
      <c r="A73" s="494">
        <v>1996</v>
      </c>
      <c r="B73" s="542">
        <v>29779.537081614137</v>
      </c>
      <c r="C73" s="541">
        <v>1026.0025346279144</v>
      </c>
      <c r="D73" s="541">
        <v>48240.947612762451</v>
      </c>
      <c r="E73" s="541">
        <v>2810.7051087617874</v>
      </c>
      <c r="F73" s="541">
        <v>15250.292549237609</v>
      </c>
      <c r="G73" s="541">
        <v>2036.5992698669434</v>
      </c>
      <c r="H73" s="541">
        <v>2838.8627778291702</v>
      </c>
      <c r="I73" s="541">
        <v>100162.74940613657</v>
      </c>
      <c r="J73" s="541">
        <v>2327.6493165493011</v>
      </c>
      <c r="K73" s="541">
        <v>19116.242594718933</v>
      </c>
      <c r="L73" s="541">
        <v>19141.341357752659</v>
      </c>
      <c r="M73" s="541">
        <v>1372.9785013198853</v>
      </c>
      <c r="N73" s="541">
        <v>1326.6977829933167</v>
      </c>
      <c r="O73" s="541">
        <v>26328.391575990692</v>
      </c>
      <c r="P73" s="541">
        <v>291.16730356216431</v>
      </c>
      <c r="Q73" s="541">
        <v>11528.445808507502</v>
      </c>
      <c r="R73" s="541">
        <v>598.83215999603271</v>
      </c>
      <c r="S73" s="541">
        <v>0</v>
      </c>
      <c r="T73" s="541">
        <v>10799.320131667033</v>
      </c>
      <c r="U73" s="541">
        <v>1380.9019365602483</v>
      </c>
      <c r="V73" s="541">
        <v>8083.8472414016724</v>
      </c>
      <c r="W73" s="541">
        <v>147990.34096988261</v>
      </c>
      <c r="X73" s="541">
        <v>5370.1847173767164</v>
      </c>
      <c r="Y73" s="541">
        <v>212.11356273293495</v>
      </c>
      <c r="Z73" s="541">
        <v>249572.9455909729</v>
      </c>
      <c r="AA73" s="543">
        <v>96000.306340980635</v>
      </c>
      <c r="AB73" s="544">
        <v>24765.810481309891</v>
      </c>
      <c r="AC73" s="544">
        <v>30805.539616242051</v>
      </c>
      <c r="AD73" s="544">
        <v>17286.891819104552</v>
      </c>
      <c r="AE73" s="544">
        <v>102490.39872268587</v>
      </c>
      <c r="AF73" s="544">
        <v>20514.319859072544</v>
      </c>
      <c r="AG73" s="544">
        <v>26619.558879552857</v>
      </c>
      <c r="AH73" s="544">
        <v>12127.277968503535</v>
      </c>
      <c r="AI73" s="544">
        <v>12180.222068227282</v>
      </c>
      <c r="AJ73" s="545">
        <v>153360.52568725933</v>
      </c>
      <c r="AK73" s="541"/>
    </row>
    <row r="74" spans="1:37" x14ac:dyDescent="0.25">
      <c r="A74" s="494">
        <v>1997</v>
      </c>
      <c r="B74" s="542">
        <v>25159.440965354443</v>
      </c>
      <c r="C74" s="541">
        <v>1026.0025346279144</v>
      </c>
      <c r="D74" s="541">
        <v>141869.90014648438</v>
      </c>
      <c r="E74" s="541">
        <v>2810.7051087617874</v>
      </c>
      <c r="F74" s="541">
        <v>12714.264801204205</v>
      </c>
      <c r="G74" s="541">
        <v>2036.5992698669434</v>
      </c>
      <c r="H74" s="541">
        <v>2838.8627778291702</v>
      </c>
      <c r="I74" s="541">
        <v>103258.39309136569</v>
      </c>
      <c r="J74" s="541">
        <v>2691.6278207302094</v>
      </c>
      <c r="K74" s="541">
        <v>19116.242594718933</v>
      </c>
      <c r="L74" s="541">
        <v>16778.413258336466</v>
      </c>
      <c r="M74" s="541">
        <v>1388.1358737945557</v>
      </c>
      <c r="N74" s="541">
        <v>1326.6977829933167</v>
      </c>
      <c r="O74" s="541">
        <v>44856.933479888816</v>
      </c>
      <c r="P74" s="541">
        <v>488.73036551475525</v>
      </c>
      <c r="Q74" s="541">
        <v>22530.197339996696</v>
      </c>
      <c r="R74" s="541">
        <v>598.83215999603271</v>
      </c>
      <c r="S74" s="541">
        <v>0</v>
      </c>
      <c r="T74" s="541">
        <v>23059.31420964457</v>
      </c>
      <c r="U74" s="541">
        <v>1527.3596330424455</v>
      </c>
      <c r="V74" s="541">
        <v>16793.071511268616</v>
      </c>
      <c r="W74" s="541">
        <v>134823.82695226715</v>
      </c>
      <c r="X74" s="541">
        <v>5891.855215626575</v>
      </c>
      <c r="Y74" s="541">
        <v>212.11356273293495</v>
      </c>
      <c r="Z74" s="541">
        <v>199579.09180855751</v>
      </c>
      <c r="AA74" s="543">
        <v>58651.296077930856</v>
      </c>
      <c r="AB74" s="544">
        <v>24765.810481309891</v>
      </c>
      <c r="AC74" s="544">
        <v>26185.443499982357</v>
      </c>
      <c r="AD74" s="544">
        <v>14750.864071071148</v>
      </c>
      <c r="AE74" s="544">
        <v>105950.0209120959</v>
      </c>
      <c r="AF74" s="544">
        <v>18166.549132131022</v>
      </c>
      <c r="AG74" s="544">
        <v>45345.663845403571</v>
      </c>
      <c r="AH74" s="544">
        <v>23129.029499992728</v>
      </c>
      <c r="AI74" s="544">
        <v>24586.673842687014</v>
      </c>
      <c r="AJ74" s="545">
        <v>140715.68216789371</v>
      </c>
      <c r="AK74" s="541"/>
    </row>
    <row r="75" spans="1:37" x14ac:dyDescent="0.25">
      <c r="A75" s="494">
        <v>1998</v>
      </c>
      <c r="B75" s="542">
        <v>33177.189328059554</v>
      </c>
      <c r="C75" s="541">
        <v>1026.0025346279144</v>
      </c>
      <c r="D75" s="541">
        <v>97067.112983703613</v>
      </c>
      <c r="E75" s="541">
        <v>2810.7051087617874</v>
      </c>
      <c r="F75" s="541">
        <v>16562.881358131766</v>
      </c>
      <c r="G75" s="541">
        <v>2036.5992698669434</v>
      </c>
      <c r="H75" s="541">
        <v>2838.8627778291702</v>
      </c>
      <c r="I75" s="541">
        <v>103749.49309156835</v>
      </c>
      <c r="J75" s="541">
        <v>2458.2529428005219</v>
      </c>
      <c r="K75" s="541">
        <v>19116.242594718933</v>
      </c>
      <c r="L75" s="541">
        <v>18279.750435873866</v>
      </c>
      <c r="M75" s="541">
        <v>1393.2385935783386</v>
      </c>
      <c r="N75" s="541">
        <v>1326.6977829933167</v>
      </c>
      <c r="O75" s="541">
        <v>42203.480178008307</v>
      </c>
      <c r="P75" s="541">
        <v>351.52508592605591</v>
      </c>
      <c r="Q75" s="541">
        <v>17572.224156752229</v>
      </c>
      <c r="R75" s="541">
        <v>598.83215999603271</v>
      </c>
      <c r="S75" s="541">
        <v>0</v>
      </c>
      <c r="T75" s="541">
        <v>16809.420229131356</v>
      </c>
      <c r="U75" s="541">
        <v>1432.2823120910975</v>
      </c>
      <c r="V75" s="541">
        <v>12114.775233268738</v>
      </c>
      <c r="W75" s="541">
        <v>148079.24838319764</v>
      </c>
      <c r="X75" s="541">
        <v>5794.8287901207805</v>
      </c>
      <c r="Y75" s="541">
        <v>212.11356273293495</v>
      </c>
      <c r="Z75" s="541">
        <v>208180.59205627441</v>
      </c>
      <c r="AA75" s="543">
        <v>54094.401320223056</v>
      </c>
      <c r="AB75" s="544">
        <v>24765.810481309891</v>
      </c>
      <c r="AC75" s="544">
        <v>34203.191862687469</v>
      </c>
      <c r="AD75" s="544">
        <v>18599.48062799871</v>
      </c>
      <c r="AE75" s="544">
        <v>106207.74603436887</v>
      </c>
      <c r="AF75" s="544">
        <v>19672.989029452205</v>
      </c>
      <c r="AG75" s="544">
        <v>42555.005263934363</v>
      </c>
      <c r="AH75" s="544">
        <v>18171.056316748261</v>
      </c>
      <c r="AI75" s="544">
        <v>18241.702541222454</v>
      </c>
      <c r="AJ75" s="545">
        <v>153874.07717331842</v>
      </c>
      <c r="AK75" s="541"/>
    </row>
    <row r="76" spans="1:37" x14ac:dyDescent="0.25">
      <c r="A76" s="494">
        <v>1999</v>
      </c>
      <c r="B76" s="542">
        <v>32964.874221034348</v>
      </c>
      <c r="C76" s="541">
        <v>1026.0025346279144</v>
      </c>
      <c r="D76" s="541">
        <v>102844.95849609375</v>
      </c>
      <c r="E76" s="541">
        <v>2810.7051087617874</v>
      </c>
      <c r="F76" s="541">
        <v>16529.314782619476</v>
      </c>
      <c r="G76" s="541">
        <v>2036.5992698669434</v>
      </c>
      <c r="H76" s="541">
        <v>2838.8627778291702</v>
      </c>
      <c r="I76" s="541">
        <v>98996.988639742136</v>
      </c>
      <c r="J76" s="541">
        <v>2602.8871610164642</v>
      </c>
      <c r="K76" s="541">
        <v>19116.242594718933</v>
      </c>
      <c r="L76" s="541">
        <v>15896.855471760024</v>
      </c>
      <c r="M76" s="541">
        <v>1421.9062471389771</v>
      </c>
      <c r="N76" s="541">
        <v>1326.6977829933167</v>
      </c>
      <c r="O76" s="541">
        <v>42588.623615293283</v>
      </c>
      <c r="P76" s="541">
        <v>388.57774639129639</v>
      </c>
      <c r="Q76" s="541">
        <v>19445.735156543553</v>
      </c>
      <c r="R76" s="541">
        <v>598.83215999603271</v>
      </c>
      <c r="S76" s="541">
        <v>0</v>
      </c>
      <c r="T76" s="541">
        <v>17879.28560508378</v>
      </c>
      <c r="U76" s="541">
        <v>1462.6694886213734</v>
      </c>
      <c r="V76" s="541">
        <v>15258.390456199646</v>
      </c>
      <c r="W76" s="541">
        <v>133632.7145545219</v>
      </c>
      <c r="X76" s="541">
        <v>5803.2621471136808</v>
      </c>
      <c r="Y76" s="541">
        <v>212.11356273293495</v>
      </c>
      <c r="Z76" s="541">
        <v>218006.16120147705</v>
      </c>
      <c r="AA76" s="543">
        <v>78358.07093710854</v>
      </c>
      <c r="AB76" s="544">
        <v>24765.810481309891</v>
      </c>
      <c r="AC76" s="544">
        <v>33990.876755662262</v>
      </c>
      <c r="AD76" s="544">
        <v>18565.91405248642</v>
      </c>
      <c r="AE76" s="544">
        <v>101599.8758007586</v>
      </c>
      <c r="AF76" s="544">
        <v>17318.761718899001</v>
      </c>
      <c r="AG76" s="544">
        <v>42977.20136168458</v>
      </c>
      <c r="AH76" s="544">
        <v>20044.567316539586</v>
      </c>
      <c r="AI76" s="544">
        <v>19341.955093705154</v>
      </c>
      <c r="AJ76" s="545">
        <v>139435.97670163558</v>
      </c>
      <c r="AK76" s="541"/>
    </row>
    <row r="77" spans="1:37" x14ac:dyDescent="0.25">
      <c r="A77" s="494">
        <v>2000</v>
      </c>
      <c r="B77" s="542">
        <v>29344.583369780332</v>
      </c>
      <c r="C77" s="541">
        <v>1026.0025346279144</v>
      </c>
      <c r="D77" s="541">
        <v>36166.211456298828</v>
      </c>
      <c r="E77" s="541">
        <v>2810.7051087617874</v>
      </c>
      <c r="F77" s="541">
        <v>15188.556368738413</v>
      </c>
      <c r="G77" s="541">
        <v>2036.5992698669434</v>
      </c>
      <c r="H77" s="541">
        <v>2838.8627778291702</v>
      </c>
      <c r="I77" s="541">
        <v>101541.77090242505</v>
      </c>
      <c r="J77" s="541">
        <v>2352.8794076442719</v>
      </c>
      <c r="K77" s="541">
        <v>19116.242594718933</v>
      </c>
      <c r="L77" s="541">
        <v>18819.408040262751</v>
      </c>
      <c r="M77" s="541">
        <v>1411.2530813217163</v>
      </c>
      <c r="N77" s="541">
        <v>1326.6977829933167</v>
      </c>
      <c r="O77" s="541">
        <v>31979.584313808456</v>
      </c>
      <c r="P77" s="541">
        <v>323.67598628997803</v>
      </c>
      <c r="Q77" s="541">
        <v>13817.336681306362</v>
      </c>
      <c r="R77" s="541">
        <v>598.83215999603271</v>
      </c>
      <c r="S77" s="541">
        <v>0</v>
      </c>
      <c r="T77" s="541">
        <v>13808.490894689114</v>
      </c>
      <c r="U77" s="541">
        <v>1429.5072996441741</v>
      </c>
      <c r="V77" s="541">
        <v>8371.530348777771</v>
      </c>
      <c r="W77" s="541">
        <v>163350.64299086825</v>
      </c>
      <c r="X77" s="541">
        <v>5191.6899812221527</v>
      </c>
      <c r="Y77" s="541">
        <v>212.11356273293495</v>
      </c>
      <c r="Z77" s="541">
        <v>217884.83100879192</v>
      </c>
      <c r="AA77" s="543">
        <v>49130.384473968588</v>
      </c>
      <c r="AB77" s="544">
        <v>24765.810481309891</v>
      </c>
      <c r="AC77" s="544">
        <v>30370.585904408246</v>
      </c>
      <c r="AD77" s="544">
        <v>17225.155638605356</v>
      </c>
      <c r="AE77" s="544">
        <v>103894.65031006932</v>
      </c>
      <c r="AF77" s="544">
        <v>20230.661121584468</v>
      </c>
      <c r="AG77" s="544">
        <v>32303.260300098435</v>
      </c>
      <c r="AH77" s="544">
        <v>14416.168841302395</v>
      </c>
      <c r="AI77" s="544">
        <v>15237.998194333288</v>
      </c>
      <c r="AJ77" s="545">
        <v>168542.3329720904</v>
      </c>
      <c r="AK77" s="541"/>
    </row>
    <row r="78" spans="1:37" x14ac:dyDescent="0.25">
      <c r="A78" s="494">
        <v>2001</v>
      </c>
      <c r="B78" s="542">
        <v>33777.548021025956</v>
      </c>
      <c r="C78" s="541">
        <v>1026.0025346279144</v>
      </c>
      <c r="D78" s="541">
        <v>100318.58647155762</v>
      </c>
      <c r="E78" s="541">
        <v>2810.7051087617874</v>
      </c>
      <c r="F78" s="541">
        <v>17078.43208155036</v>
      </c>
      <c r="G78" s="541">
        <v>2036.5992698669434</v>
      </c>
      <c r="H78" s="541">
        <v>2838.8627778291702</v>
      </c>
      <c r="I78" s="541">
        <v>109569.03057979792</v>
      </c>
      <c r="J78" s="541">
        <v>2674.9391229152679</v>
      </c>
      <c r="K78" s="541">
        <v>19116.242594718933</v>
      </c>
      <c r="L78" s="541">
        <v>20482.824206374571</v>
      </c>
      <c r="M78" s="541">
        <v>1389.206042766571</v>
      </c>
      <c r="N78" s="541">
        <v>1326.6977829933167</v>
      </c>
      <c r="O78" s="541">
        <v>43369.202577559729</v>
      </c>
      <c r="P78" s="541">
        <v>441.15729832649231</v>
      </c>
      <c r="Q78" s="541">
        <v>16257.600159466267</v>
      </c>
      <c r="R78" s="541">
        <v>598.83215999603271</v>
      </c>
      <c r="S78" s="541">
        <v>0</v>
      </c>
      <c r="T78" s="541">
        <v>16588.145288820342</v>
      </c>
      <c r="U78" s="541">
        <v>1445.1781397499144</v>
      </c>
      <c r="V78" s="541">
        <v>11804.499000549316</v>
      </c>
      <c r="W78" s="541">
        <v>156871.85808800504</v>
      </c>
      <c r="X78" s="541">
        <v>5422.8628231664115</v>
      </c>
      <c r="Y78" s="541">
        <v>212.11356273293495</v>
      </c>
      <c r="Z78" s="541">
        <v>229907.88041687012</v>
      </c>
      <c r="AA78" s="543">
        <v>67401.04594296572</v>
      </c>
      <c r="AB78" s="544">
        <v>24765.810481309891</v>
      </c>
      <c r="AC78" s="544">
        <v>34803.55055565387</v>
      </c>
      <c r="AD78" s="544">
        <v>19115.031351417303</v>
      </c>
      <c r="AE78" s="544">
        <v>112243.96970271319</v>
      </c>
      <c r="AF78" s="544">
        <v>21872.030249141142</v>
      </c>
      <c r="AG78" s="544">
        <v>43810.359875886221</v>
      </c>
      <c r="AH78" s="544">
        <v>16856.432319462299</v>
      </c>
      <c r="AI78" s="544">
        <v>18033.323428570257</v>
      </c>
      <c r="AJ78" s="545">
        <v>162294.72091117146</v>
      </c>
      <c r="AK78" s="541"/>
    </row>
    <row r="79" spans="1:37" x14ac:dyDescent="0.25">
      <c r="A79" s="494">
        <v>2002</v>
      </c>
      <c r="B79" s="542">
        <v>26764.857599247247</v>
      </c>
      <c r="C79" s="541">
        <v>1026.0025346279144</v>
      </c>
      <c r="D79" s="541">
        <v>3234.6556396484375</v>
      </c>
      <c r="E79" s="541">
        <v>2810.7051087617874</v>
      </c>
      <c r="F79" s="541">
        <v>9919.1260161325336</v>
      </c>
      <c r="G79" s="541">
        <v>2036.5992698669434</v>
      </c>
      <c r="H79" s="541">
        <v>2838.8627778291702</v>
      </c>
      <c r="I79" s="541">
        <v>71471.089888095856</v>
      </c>
      <c r="J79" s="541">
        <v>1484.8248956203461</v>
      </c>
      <c r="K79" s="541">
        <v>17935.719019889832</v>
      </c>
      <c r="L79" s="541">
        <v>20280.662608705465</v>
      </c>
      <c r="M79" s="541">
        <v>1351.6636481285095</v>
      </c>
      <c r="N79" s="541">
        <v>1326.6977829933167</v>
      </c>
      <c r="O79" s="541">
        <v>11704.532083502263</v>
      </c>
      <c r="P79" s="541">
        <v>283.38596367835999</v>
      </c>
      <c r="Q79" s="541">
        <v>5104.6303098872304</v>
      </c>
      <c r="R79" s="541">
        <v>598.83215999603271</v>
      </c>
      <c r="S79" s="541">
        <v>0</v>
      </c>
      <c r="T79" s="541">
        <v>4420.8252652295678</v>
      </c>
      <c r="U79" s="541">
        <v>1384.14158476796</v>
      </c>
      <c r="V79" s="541">
        <v>3064.0313931107521</v>
      </c>
      <c r="W79" s="541">
        <v>79697.911122927573</v>
      </c>
      <c r="X79" s="541">
        <v>4547.4637647284562</v>
      </c>
      <c r="Y79" s="541">
        <v>212.11356273293495</v>
      </c>
      <c r="Z79" s="541">
        <v>130283.96319517493</v>
      </c>
      <c r="AA79" s="543">
        <v>45826.47474478597</v>
      </c>
      <c r="AB79" s="544">
        <v>23585.286906480789</v>
      </c>
      <c r="AC79" s="544">
        <v>27790.860133875161</v>
      </c>
      <c r="AD79" s="544">
        <v>11955.725285999477</v>
      </c>
      <c r="AE79" s="544">
        <v>72955.914783716202</v>
      </c>
      <c r="AF79" s="544">
        <v>21632.326256833974</v>
      </c>
      <c r="AG79" s="544">
        <v>11987.918047180623</v>
      </c>
      <c r="AH79" s="544">
        <v>5703.4624698832631</v>
      </c>
      <c r="AI79" s="544">
        <v>5804.9668499975278</v>
      </c>
      <c r="AJ79" s="545">
        <v>84245.374887656028</v>
      </c>
      <c r="AK79" s="541"/>
    </row>
    <row r="80" spans="1:37" x14ac:dyDescent="0.25">
      <c r="A80" s="494">
        <v>2003</v>
      </c>
      <c r="B80" s="542">
        <v>31581.698455646634</v>
      </c>
      <c r="C80" s="541">
        <v>1026.0025346279144</v>
      </c>
      <c r="D80" s="541">
        <v>52519.952919006348</v>
      </c>
      <c r="E80" s="541">
        <v>2810.7051087617874</v>
      </c>
      <c r="F80" s="541">
        <v>14780.423109680414</v>
      </c>
      <c r="G80" s="541">
        <v>2036.5992698669434</v>
      </c>
      <c r="H80" s="541">
        <v>2838.8627778291702</v>
      </c>
      <c r="I80" s="541">
        <v>84958.297561615705</v>
      </c>
      <c r="J80" s="541">
        <v>1525.2299468517303</v>
      </c>
      <c r="K80" s="541">
        <v>19116.242594718933</v>
      </c>
      <c r="L80" s="541">
        <v>19393.348131328807</v>
      </c>
      <c r="M80" s="541">
        <v>1362.6126961708069</v>
      </c>
      <c r="N80" s="541">
        <v>1326.6977829933167</v>
      </c>
      <c r="O80" s="541">
        <v>25875.324496712983</v>
      </c>
      <c r="P80" s="541">
        <v>288.09121346473694</v>
      </c>
      <c r="Q80" s="541">
        <v>12372.079201120883</v>
      </c>
      <c r="R80" s="541">
        <v>598.83215999603271</v>
      </c>
      <c r="S80" s="541">
        <v>0</v>
      </c>
      <c r="T80" s="541">
        <v>11053.859652318881</v>
      </c>
      <c r="U80" s="541">
        <v>1411.8523596003652</v>
      </c>
      <c r="V80" s="541">
        <v>8501.7762340307236</v>
      </c>
      <c r="W80" s="541">
        <v>109095.16018007755</v>
      </c>
      <c r="X80" s="541">
        <v>4971.0676205158234</v>
      </c>
      <c r="Y80" s="541">
        <v>212.11356273293495</v>
      </c>
      <c r="Z80" s="541">
        <v>199370.26995080709</v>
      </c>
      <c r="AA80" s="543">
        <v>85091.928587480783</v>
      </c>
      <c r="AB80" s="544">
        <v>24765.810481309891</v>
      </c>
      <c r="AC80" s="544">
        <v>32607.700990274549</v>
      </c>
      <c r="AD80" s="544">
        <v>16817.022379547358</v>
      </c>
      <c r="AE80" s="544">
        <v>86483.527508467436</v>
      </c>
      <c r="AF80" s="544">
        <v>20755.960827499614</v>
      </c>
      <c r="AG80" s="544">
        <v>26163.41571017772</v>
      </c>
      <c r="AH80" s="544">
        <v>12970.911361116916</v>
      </c>
      <c r="AI80" s="544">
        <v>12465.712011919246</v>
      </c>
      <c r="AJ80" s="545">
        <v>114066.22780059338</v>
      </c>
      <c r="AK80" s="541"/>
    </row>
    <row r="81" spans="1:37" x14ac:dyDescent="0.25">
      <c r="A81" s="494">
        <v>2004</v>
      </c>
      <c r="B81" s="542">
        <v>31455.867254421115</v>
      </c>
      <c r="C81" s="541">
        <v>1026.0025346279144</v>
      </c>
      <c r="D81" s="541">
        <v>76055.111083984375</v>
      </c>
      <c r="E81" s="541">
        <v>2810.7051087617874</v>
      </c>
      <c r="F81" s="541">
        <v>15241.384085401893</v>
      </c>
      <c r="G81" s="541">
        <v>2036.5992698669434</v>
      </c>
      <c r="H81" s="541">
        <v>2838.8627778291702</v>
      </c>
      <c r="I81" s="541">
        <v>105721.29304637015</v>
      </c>
      <c r="J81" s="541">
        <v>2426.8390653133392</v>
      </c>
      <c r="K81" s="541">
        <v>19116.242594718933</v>
      </c>
      <c r="L81" s="541">
        <v>18309.343495324247</v>
      </c>
      <c r="M81" s="541">
        <v>1412.5928068161011</v>
      </c>
      <c r="N81" s="541">
        <v>1326.6977829933167</v>
      </c>
      <c r="O81" s="541">
        <v>36574.474019209374</v>
      </c>
      <c r="P81" s="541">
        <v>350.8755931854248</v>
      </c>
      <c r="Q81" s="541">
        <v>12691.453418567777</v>
      </c>
      <c r="R81" s="541">
        <v>598.83215999603271</v>
      </c>
      <c r="S81" s="541">
        <v>0</v>
      </c>
      <c r="T81" s="541">
        <v>14411.446160935686</v>
      </c>
      <c r="U81" s="541">
        <v>1435.321028668654</v>
      </c>
      <c r="V81" s="541">
        <v>11147.685513496399</v>
      </c>
      <c r="W81" s="541">
        <v>120953.98686488315</v>
      </c>
      <c r="X81" s="541">
        <v>5414.614354464793</v>
      </c>
      <c r="Y81" s="541">
        <v>212.11356273293495</v>
      </c>
      <c r="Z81" s="541">
        <v>245619.79559373856</v>
      </c>
      <c r="AA81" s="543">
        <v>119039.08081165768</v>
      </c>
      <c r="AB81" s="544">
        <v>24765.810481309891</v>
      </c>
      <c r="AC81" s="544">
        <v>32481.869789049029</v>
      </c>
      <c r="AD81" s="544">
        <v>17277.983355268836</v>
      </c>
      <c r="AE81" s="544">
        <v>108148.13211168349</v>
      </c>
      <c r="AF81" s="544">
        <v>19721.936302140348</v>
      </c>
      <c r="AG81" s="544">
        <v>36925.349612394799</v>
      </c>
      <c r="AH81" s="544">
        <v>13290.285578563809</v>
      </c>
      <c r="AI81" s="544">
        <v>15846.767189604339</v>
      </c>
      <c r="AJ81" s="545">
        <v>126368.60121934794</v>
      </c>
      <c r="AK81" s="541"/>
    </row>
    <row r="82" spans="1:37" x14ac:dyDescent="0.25">
      <c r="A82" s="494">
        <v>2005</v>
      </c>
      <c r="B82" s="542">
        <v>34699.979027479887</v>
      </c>
      <c r="C82" s="541">
        <v>1026.0025346279144</v>
      </c>
      <c r="D82" s="541">
        <v>106948.22332763672</v>
      </c>
      <c r="E82" s="541">
        <v>2810.7051087617874</v>
      </c>
      <c r="F82" s="541">
        <v>17310.619971886277</v>
      </c>
      <c r="G82" s="541">
        <v>2036.5992698669434</v>
      </c>
      <c r="H82" s="541">
        <v>2838.8627778291702</v>
      </c>
      <c r="I82" s="541">
        <v>106462.95276351273</v>
      </c>
      <c r="J82" s="541">
        <v>2427.2232568264008</v>
      </c>
      <c r="K82" s="541">
        <v>19116.242594718933</v>
      </c>
      <c r="L82" s="541">
        <v>18769.083691611886</v>
      </c>
      <c r="M82" s="541">
        <v>1422.3165097236633</v>
      </c>
      <c r="N82" s="541">
        <v>1326.6977829933167</v>
      </c>
      <c r="O82" s="541">
        <v>49216.352149574537</v>
      </c>
      <c r="P82" s="541">
        <v>544.84344577789307</v>
      </c>
      <c r="Q82" s="541">
        <v>19702.658020853996</v>
      </c>
      <c r="R82" s="541">
        <v>598.83215999603271</v>
      </c>
      <c r="S82" s="541">
        <v>0</v>
      </c>
      <c r="T82" s="541">
        <v>21666.189086135848</v>
      </c>
      <c r="U82" s="541">
        <v>1537.8012830764055</v>
      </c>
      <c r="V82" s="541">
        <v>14510.001776695251</v>
      </c>
      <c r="W82" s="541">
        <v>137898.7564274703</v>
      </c>
      <c r="X82" s="541">
        <v>5846.7669621066789</v>
      </c>
      <c r="Y82" s="541">
        <v>212.11356273293495</v>
      </c>
      <c r="Z82" s="541">
        <v>201277.04602241516</v>
      </c>
      <c r="AA82" s="543">
        <v>57319.409070105241</v>
      </c>
      <c r="AB82" s="544">
        <v>24765.810481309891</v>
      </c>
      <c r="AC82" s="544">
        <v>35725.981562107801</v>
      </c>
      <c r="AD82" s="544">
        <v>19347.219241753221</v>
      </c>
      <c r="AE82" s="544">
        <v>108890.17602033913</v>
      </c>
      <c r="AF82" s="544">
        <v>20191.400201335549</v>
      </c>
      <c r="AG82" s="544">
        <v>49761.19559535243</v>
      </c>
      <c r="AH82" s="544">
        <v>20301.490180850029</v>
      </c>
      <c r="AI82" s="544">
        <v>23203.990369212253</v>
      </c>
      <c r="AJ82" s="545">
        <v>143745.52338957699</v>
      </c>
      <c r="AK82" s="541"/>
    </row>
    <row r="83" spans="1:37" x14ac:dyDescent="0.25">
      <c r="A83" s="494">
        <v>2006</v>
      </c>
      <c r="B83" s="542">
        <v>26892.104374498129</v>
      </c>
      <c r="C83" s="541">
        <v>1026.0025346279144</v>
      </c>
      <c r="D83" s="541">
        <v>59986.444580078125</v>
      </c>
      <c r="E83" s="541">
        <v>2810.7051087617874</v>
      </c>
      <c r="F83" s="541">
        <v>13226.696225106716</v>
      </c>
      <c r="G83" s="541">
        <v>2036.5992698669434</v>
      </c>
      <c r="H83" s="541">
        <v>2838.8627778291702</v>
      </c>
      <c r="I83" s="541">
        <v>96696.523375287652</v>
      </c>
      <c r="J83" s="541">
        <v>2154.951308965683</v>
      </c>
      <c r="K83" s="541">
        <v>19116.242594718933</v>
      </c>
      <c r="L83" s="541">
        <v>17667.845848649737</v>
      </c>
      <c r="M83" s="541">
        <v>1426.5519766807556</v>
      </c>
      <c r="N83" s="541">
        <v>1326.6977829933167</v>
      </c>
      <c r="O83" s="541">
        <v>36140.171056015868</v>
      </c>
      <c r="P83" s="541">
        <v>333.02450108528137</v>
      </c>
      <c r="Q83" s="541">
        <v>11371.097733090632</v>
      </c>
      <c r="R83" s="541">
        <v>598.83215999603271</v>
      </c>
      <c r="S83" s="541">
        <v>0</v>
      </c>
      <c r="T83" s="541">
        <v>11124.659458942786</v>
      </c>
      <c r="U83" s="541">
        <v>1364.5486536590615</v>
      </c>
      <c r="V83" s="541">
        <v>9071.5415697097778</v>
      </c>
      <c r="W83" s="541">
        <v>139720.50071552739</v>
      </c>
      <c r="X83" s="541">
        <v>5485.2871244246926</v>
      </c>
      <c r="Y83" s="541">
        <v>212.11356273293495</v>
      </c>
      <c r="Z83" s="541">
        <v>264037.38139343262</v>
      </c>
      <c r="AA83" s="543">
        <v>118619.4799907476</v>
      </c>
      <c r="AB83" s="544">
        <v>24765.810481309891</v>
      </c>
      <c r="AC83" s="544">
        <v>27918.106909126043</v>
      </c>
      <c r="AD83" s="544">
        <v>15263.29549497366</v>
      </c>
      <c r="AE83" s="544">
        <v>98851.474684253335</v>
      </c>
      <c r="AF83" s="544">
        <v>19094.397825330492</v>
      </c>
      <c r="AG83" s="544">
        <v>36473.195557101149</v>
      </c>
      <c r="AH83" s="544">
        <v>11969.929893086664</v>
      </c>
      <c r="AI83" s="544">
        <v>12489.208112601847</v>
      </c>
      <c r="AJ83" s="545">
        <v>145205.7878399521</v>
      </c>
      <c r="AK83" s="541"/>
    </row>
    <row r="84" spans="1:37" x14ac:dyDescent="0.25">
      <c r="A84" s="494">
        <v>2007</v>
      </c>
      <c r="B84" s="542">
        <v>32083.032539010048</v>
      </c>
      <c r="C84" s="541">
        <v>1026.0025346279144</v>
      </c>
      <c r="D84" s="541">
        <v>96758.552978515625</v>
      </c>
      <c r="E84" s="541">
        <v>2810.7051087617874</v>
      </c>
      <c r="F84" s="541">
        <v>15836.226370587945</v>
      </c>
      <c r="G84" s="541">
        <v>2036.5992698669434</v>
      </c>
      <c r="H84" s="541">
        <v>2838.8627778291702</v>
      </c>
      <c r="I84" s="541">
        <v>103945.61299514025</v>
      </c>
      <c r="J84" s="541">
        <v>2555.5918099880219</v>
      </c>
      <c r="K84" s="541">
        <v>19116.242594718933</v>
      </c>
      <c r="L84" s="541">
        <v>19206.821893073611</v>
      </c>
      <c r="M84" s="541">
        <v>1416.033796787262</v>
      </c>
      <c r="N84" s="541">
        <v>1326.6977829933167</v>
      </c>
      <c r="O84" s="541">
        <v>43189.303810565252</v>
      </c>
      <c r="P84" s="541">
        <v>425.02103614807129</v>
      </c>
      <c r="Q84" s="541">
        <v>13857.634303599596</v>
      </c>
      <c r="R84" s="541">
        <v>598.83215999603271</v>
      </c>
      <c r="S84" s="541">
        <v>0</v>
      </c>
      <c r="T84" s="541">
        <v>14517.304543967248</v>
      </c>
      <c r="U84" s="541">
        <v>1437.1810734719038</v>
      </c>
      <c r="V84" s="541">
        <v>11992.852585792542</v>
      </c>
      <c r="W84" s="541">
        <v>141257.03249118075</v>
      </c>
      <c r="X84" s="541">
        <v>5690.5539253322095</v>
      </c>
      <c r="Y84" s="541">
        <v>212.11356273293495</v>
      </c>
      <c r="Z84" s="541">
        <v>201517.66971969604</v>
      </c>
      <c r="AA84" s="543">
        <v>54357.969740450149</v>
      </c>
      <c r="AB84" s="544">
        <v>24765.810481309891</v>
      </c>
      <c r="AC84" s="544">
        <v>33109.035073637962</v>
      </c>
      <c r="AD84" s="544">
        <v>17872.825640454888</v>
      </c>
      <c r="AE84" s="544">
        <v>106501.20480512828</v>
      </c>
      <c r="AF84" s="544">
        <v>20622.855689860873</v>
      </c>
      <c r="AG84" s="544">
        <v>43614.324846713323</v>
      </c>
      <c r="AH84" s="544">
        <v>14456.466463595629</v>
      </c>
      <c r="AI84" s="544">
        <v>15954.485617439152</v>
      </c>
      <c r="AJ84" s="545">
        <v>146947.58641651296</v>
      </c>
      <c r="AK84" s="541"/>
    </row>
    <row r="85" spans="1:37" x14ac:dyDescent="0.25">
      <c r="A85" s="494">
        <v>2008</v>
      </c>
      <c r="B85" s="542">
        <v>33378.825506225228</v>
      </c>
      <c r="C85" s="541">
        <v>1026.0025346279144</v>
      </c>
      <c r="D85" s="541">
        <v>129360.86596679688</v>
      </c>
      <c r="E85" s="541">
        <v>2810.7051087617874</v>
      </c>
      <c r="F85" s="541">
        <v>16555.219167292118</v>
      </c>
      <c r="G85" s="541">
        <v>2036.5992698669434</v>
      </c>
      <c r="H85" s="541">
        <v>2838.8627778291702</v>
      </c>
      <c r="I85" s="541">
        <v>110973.17781279609</v>
      </c>
      <c r="J85" s="541">
        <v>2312.369313955307</v>
      </c>
      <c r="K85" s="541">
        <v>19116.242594718933</v>
      </c>
      <c r="L85" s="541">
        <v>18740.371564798068</v>
      </c>
      <c r="M85" s="541">
        <v>1412.0403499603271</v>
      </c>
      <c r="N85" s="541">
        <v>1326.6977829933167</v>
      </c>
      <c r="O85" s="541">
        <v>44964.894185288329</v>
      </c>
      <c r="P85" s="541">
        <v>445.30504512786865</v>
      </c>
      <c r="Q85" s="541">
        <v>17076.383311137557</v>
      </c>
      <c r="R85" s="541">
        <v>598.83215999603271</v>
      </c>
      <c r="S85" s="541">
        <v>0</v>
      </c>
      <c r="T85" s="541">
        <v>20366.208074146882</v>
      </c>
      <c r="U85" s="541">
        <v>1519.2667823433876</v>
      </c>
      <c r="V85" s="541">
        <v>13559.119305610657</v>
      </c>
      <c r="W85" s="541">
        <v>135675.48817108915</v>
      </c>
      <c r="X85" s="541">
        <v>5859.8621201835376</v>
      </c>
      <c r="Y85" s="541">
        <v>212.11356273293495</v>
      </c>
      <c r="Z85" s="541">
        <v>198992.18550491333</v>
      </c>
      <c r="AA85" s="543">
        <v>57244.721650907712</v>
      </c>
      <c r="AB85" s="544">
        <v>24765.810481309891</v>
      </c>
      <c r="AC85" s="544">
        <v>34404.828040853143</v>
      </c>
      <c r="AD85" s="544">
        <v>18591.818437159061</v>
      </c>
      <c r="AE85" s="544">
        <v>113285.54712675139</v>
      </c>
      <c r="AF85" s="544">
        <v>20152.411914758395</v>
      </c>
      <c r="AG85" s="544">
        <v>45410.199230416198</v>
      </c>
      <c r="AH85" s="544">
        <v>17675.21547113359</v>
      </c>
      <c r="AI85" s="544">
        <v>21885.474856490269</v>
      </c>
      <c r="AJ85" s="545">
        <v>141535.35029127268</v>
      </c>
      <c r="AK85" s="541"/>
    </row>
    <row r="86" spans="1:37" x14ac:dyDescent="0.25">
      <c r="A86" s="494">
        <v>2009</v>
      </c>
      <c r="B86" s="542">
        <v>30725.939101696014</v>
      </c>
      <c r="C86" s="541">
        <v>1026.0025346279144</v>
      </c>
      <c r="D86" s="541">
        <v>82542.131469726563</v>
      </c>
      <c r="E86" s="541">
        <v>2810.7051087617874</v>
      </c>
      <c r="F86" s="541">
        <v>14606.617819294333</v>
      </c>
      <c r="G86" s="541">
        <v>2036.5992698669434</v>
      </c>
      <c r="H86" s="541">
        <v>2838.8627778291702</v>
      </c>
      <c r="I86" s="541">
        <v>104151.95025357604</v>
      </c>
      <c r="J86" s="541">
        <v>2676.7949578762054</v>
      </c>
      <c r="K86" s="541">
        <v>19116.242594718933</v>
      </c>
      <c r="L86" s="541">
        <v>17856.210318066172</v>
      </c>
      <c r="M86" s="541">
        <v>1430.852249622345</v>
      </c>
      <c r="N86" s="541">
        <v>1326.6977829933167</v>
      </c>
      <c r="O86" s="541">
        <v>33340.714480748851</v>
      </c>
      <c r="P86" s="541">
        <v>414.27928733825684</v>
      </c>
      <c r="Q86" s="541">
        <v>14244.025078341365</v>
      </c>
      <c r="R86" s="541">
        <v>598.83215999603271</v>
      </c>
      <c r="S86" s="541">
        <v>0</v>
      </c>
      <c r="T86" s="541">
        <v>15342.627130092011</v>
      </c>
      <c r="U86" s="541">
        <v>1437.5162173243941</v>
      </c>
      <c r="V86" s="541">
        <v>9852.8582468032837</v>
      </c>
      <c r="W86" s="541">
        <v>141146.91952011333</v>
      </c>
      <c r="X86" s="541">
        <v>5792.4695515632629</v>
      </c>
      <c r="Y86" s="541">
        <v>212.11356273293495</v>
      </c>
      <c r="Z86" s="541">
        <v>232946.2184753418</v>
      </c>
      <c r="AA86" s="543">
        <v>85794.715840932273</v>
      </c>
      <c r="AB86" s="544">
        <v>24765.810481309891</v>
      </c>
      <c r="AC86" s="544">
        <v>31751.941636323929</v>
      </c>
      <c r="AD86" s="544">
        <v>16643.217089161277</v>
      </c>
      <c r="AE86" s="544">
        <v>106828.74521145225</v>
      </c>
      <c r="AF86" s="544">
        <v>19287.062567688517</v>
      </c>
      <c r="AG86" s="544">
        <v>33754.993768087108</v>
      </c>
      <c r="AH86" s="544">
        <v>14842.857238337398</v>
      </c>
      <c r="AI86" s="544">
        <v>16780.143347416404</v>
      </c>
      <c r="AJ86" s="545">
        <v>146939.38907167659</v>
      </c>
      <c r="AK86" s="541"/>
    </row>
    <row r="87" spans="1:37" x14ac:dyDescent="0.25">
      <c r="A87" s="494">
        <v>2010</v>
      </c>
      <c r="B87" s="542">
        <v>32922.027227371931</v>
      </c>
      <c r="C87" s="541">
        <v>1026.0025346279144</v>
      </c>
      <c r="D87" s="541">
        <v>83031.094848632813</v>
      </c>
      <c r="E87" s="541">
        <v>2810.7051087617874</v>
      </c>
      <c r="F87" s="541">
        <v>15864.970588542521</v>
      </c>
      <c r="G87" s="541">
        <v>2036.5992698669434</v>
      </c>
      <c r="H87" s="541">
        <v>2838.8627778291702</v>
      </c>
      <c r="I87" s="541">
        <v>105237.50898635387</v>
      </c>
      <c r="J87" s="541">
        <v>2549.103954076767</v>
      </c>
      <c r="K87" s="541">
        <v>19116.242594718933</v>
      </c>
      <c r="L87" s="541">
        <v>17677.722465068098</v>
      </c>
      <c r="M87" s="541">
        <v>1407.6486639976501</v>
      </c>
      <c r="N87" s="541">
        <v>1326.6977829933167</v>
      </c>
      <c r="O87" s="541">
        <v>32988.825517414589</v>
      </c>
      <c r="P87" s="541">
        <v>334.8253014087677</v>
      </c>
      <c r="Q87" s="541">
        <v>14464.764993004501</v>
      </c>
      <c r="R87" s="541">
        <v>598.83215999603271</v>
      </c>
      <c r="S87" s="541">
        <v>0</v>
      </c>
      <c r="T87" s="541">
        <v>13431.890377626643</v>
      </c>
      <c r="U87" s="541">
        <v>1427.2409411970925</v>
      </c>
      <c r="V87" s="541">
        <v>11599.043879508972</v>
      </c>
      <c r="W87" s="541">
        <v>135488.68313140766</v>
      </c>
      <c r="X87" s="541">
        <v>5836.8219375610352</v>
      </c>
      <c r="Y87" s="541">
        <v>212.11356273293495</v>
      </c>
      <c r="Z87" s="541">
        <v>240864.36229419708</v>
      </c>
      <c r="AA87" s="543">
        <v>99326.743662495457</v>
      </c>
      <c r="AB87" s="544">
        <v>24765.810481309891</v>
      </c>
      <c r="AC87" s="544">
        <v>33948.029761999846</v>
      </c>
      <c r="AD87" s="544">
        <v>17901.569858409464</v>
      </c>
      <c r="AE87" s="544">
        <v>107786.61294043064</v>
      </c>
      <c r="AF87" s="544">
        <v>19085.371129065748</v>
      </c>
      <c r="AG87" s="544">
        <v>33323.650818823357</v>
      </c>
      <c r="AH87" s="544">
        <v>15063.597153000534</v>
      </c>
      <c r="AI87" s="544">
        <v>14859.131318823736</v>
      </c>
      <c r="AJ87" s="545">
        <v>141325.50506896869</v>
      </c>
      <c r="AK87" s="541"/>
    </row>
    <row r="88" spans="1:37" x14ac:dyDescent="0.25">
      <c r="A88" s="494">
        <v>2011</v>
      </c>
      <c r="B88" s="542">
        <v>31788.936209842563</v>
      </c>
      <c r="C88" s="541">
        <v>1026.0025346279144</v>
      </c>
      <c r="D88" s="541">
        <v>76828.638427734375</v>
      </c>
      <c r="E88" s="541">
        <v>2810.7051087617874</v>
      </c>
      <c r="F88" s="541">
        <v>15198.787290260196</v>
      </c>
      <c r="G88" s="541">
        <v>2036.5992698669434</v>
      </c>
      <c r="H88" s="541">
        <v>2838.8627778291702</v>
      </c>
      <c r="I88" s="541">
        <v>102476.07337450981</v>
      </c>
      <c r="J88" s="541">
        <v>2489.4617002010345</v>
      </c>
      <c r="K88" s="541">
        <v>19116.242594718933</v>
      </c>
      <c r="L88" s="541">
        <v>18195.077438250177</v>
      </c>
      <c r="M88" s="541">
        <v>1374.6366958618164</v>
      </c>
      <c r="N88" s="541">
        <v>1326.6977829933167</v>
      </c>
      <c r="O88" s="541">
        <v>35772.40253317215</v>
      </c>
      <c r="P88" s="541">
        <v>357.85462975502014</v>
      </c>
      <c r="Q88" s="541">
        <v>14833.825332716107</v>
      </c>
      <c r="R88" s="541">
        <v>598.83215999603271</v>
      </c>
      <c r="S88" s="541">
        <v>0</v>
      </c>
      <c r="T88" s="541">
        <v>16870.378133347258</v>
      </c>
      <c r="U88" s="541">
        <v>1441.3265880942345</v>
      </c>
      <c r="V88" s="541">
        <v>11748.038029670715</v>
      </c>
      <c r="W88" s="541">
        <v>139863.51174702094</v>
      </c>
      <c r="X88" s="541">
        <v>5515.8249931335449</v>
      </c>
      <c r="Y88" s="541">
        <v>212.11356273293495</v>
      </c>
      <c r="Z88" s="541">
        <v>237612.81143569946</v>
      </c>
      <c r="AA88" s="543">
        <v>92021.361132812046</v>
      </c>
      <c r="AB88" s="544">
        <v>24765.810481309891</v>
      </c>
      <c r="AC88" s="544">
        <v>32814.938744470477</v>
      </c>
      <c r="AD88" s="544">
        <v>17235.386560127139</v>
      </c>
      <c r="AE88" s="544">
        <v>104965.53507471085</v>
      </c>
      <c r="AF88" s="544">
        <v>19569.714134111993</v>
      </c>
      <c r="AG88" s="544">
        <v>36130.25716292717</v>
      </c>
      <c r="AH88" s="544">
        <v>15432.65749271214</v>
      </c>
      <c r="AI88" s="544">
        <v>18311.704721441492</v>
      </c>
      <c r="AJ88" s="545">
        <v>145379.33674015448</v>
      </c>
      <c r="AK88" s="541"/>
    </row>
    <row r="89" spans="1:37" x14ac:dyDescent="0.25">
      <c r="A89" s="494">
        <v>2012</v>
      </c>
      <c r="B89" s="542">
        <v>29802.803409129381</v>
      </c>
      <c r="C89" s="541">
        <v>1026.0025346279144</v>
      </c>
      <c r="D89" s="541">
        <v>39591.030895233154</v>
      </c>
      <c r="E89" s="541">
        <v>2810.7051087617874</v>
      </c>
      <c r="F89" s="541">
        <v>14775.95776630193</v>
      </c>
      <c r="G89" s="541">
        <v>2036.5992698669434</v>
      </c>
      <c r="H89" s="541">
        <v>2838.8627778291702</v>
      </c>
      <c r="I89" s="541">
        <v>74807.262236252427</v>
      </c>
      <c r="J89" s="541">
        <v>1317.3781144618988</v>
      </c>
      <c r="K89" s="541">
        <v>19116.242594718933</v>
      </c>
      <c r="L89" s="541">
        <v>20057.488544762131</v>
      </c>
      <c r="M89" s="541">
        <v>1425.6986212730408</v>
      </c>
      <c r="N89" s="541">
        <v>1326.6977829933167</v>
      </c>
      <c r="O89" s="541">
        <v>26551.651283881143</v>
      </c>
      <c r="P89" s="541">
        <v>368.27211546897888</v>
      </c>
      <c r="Q89" s="541">
        <v>9270.8409530669451</v>
      </c>
      <c r="R89" s="541">
        <v>598.83215999603271</v>
      </c>
      <c r="S89" s="541">
        <v>0</v>
      </c>
      <c r="T89" s="541">
        <v>9886.5920780443412</v>
      </c>
      <c r="U89" s="541">
        <v>1424.933252583809</v>
      </c>
      <c r="V89" s="541">
        <v>5659.1552724838257</v>
      </c>
      <c r="W89" s="541">
        <v>144545.17189729557</v>
      </c>
      <c r="X89" s="541">
        <v>5023.9206251949072</v>
      </c>
      <c r="Y89" s="541">
        <v>212.11356273293495</v>
      </c>
      <c r="Z89" s="541">
        <v>205520.30726623535</v>
      </c>
      <c r="AA89" s="543">
        <v>55739.101181011938</v>
      </c>
      <c r="AB89" s="544">
        <v>24765.810481309891</v>
      </c>
      <c r="AC89" s="544">
        <v>30828.805943757296</v>
      </c>
      <c r="AD89" s="544">
        <v>16812.557036168873</v>
      </c>
      <c r="AE89" s="544">
        <v>76124.640350714326</v>
      </c>
      <c r="AF89" s="544">
        <v>21483.187166035172</v>
      </c>
      <c r="AG89" s="544">
        <v>26919.923399350122</v>
      </c>
      <c r="AH89" s="544">
        <v>9869.6731130629778</v>
      </c>
      <c r="AI89" s="544">
        <v>11311.52533062815</v>
      </c>
      <c r="AJ89" s="545">
        <v>149569.09252249048</v>
      </c>
      <c r="AK89" s="541"/>
    </row>
    <row r="90" spans="1:37" ht="15.75" thickBot="1" x14ac:dyDescent="0.3">
      <c r="A90" s="494">
        <v>2013</v>
      </c>
      <c r="B90" s="546"/>
      <c r="C90" s="547"/>
      <c r="D90" s="547"/>
      <c r="E90" s="547"/>
      <c r="F90" s="547"/>
      <c r="G90" s="547"/>
      <c r="H90" s="547"/>
      <c r="I90" s="547"/>
      <c r="J90" s="547"/>
      <c r="K90" s="547"/>
      <c r="L90" s="547"/>
      <c r="M90" s="547"/>
      <c r="N90" s="547"/>
      <c r="O90" s="547"/>
      <c r="P90" s="547"/>
      <c r="Q90" s="547"/>
      <c r="R90" s="547"/>
      <c r="S90" s="547"/>
      <c r="T90" s="547"/>
      <c r="U90" s="547"/>
      <c r="V90" s="547"/>
      <c r="W90" s="547"/>
      <c r="X90" s="547"/>
      <c r="Y90" s="547"/>
      <c r="Z90" s="547"/>
      <c r="AA90" s="548"/>
      <c r="AB90" s="549"/>
      <c r="AC90" s="549"/>
      <c r="AD90" s="549"/>
      <c r="AE90" s="549"/>
      <c r="AF90" s="549"/>
      <c r="AG90" s="549"/>
      <c r="AH90" s="549"/>
      <c r="AI90" s="549"/>
      <c r="AJ90" s="550"/>
      <c r="AK90" s="541"/>
    </row>
    <row r="97" s="494" customFormat="1" x14ac:dyDescent="0.25"/>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FD1EB-7CBE-4284-B09F-B8CAAD4C7E23}">
  <sheetPr codeName="Sheet16">
    <tabColor theme="0" tint="-0.499984740745262"/>
  </sheetPr>
  <dimension ref="A1:AJ97"/>
  <sheetViews>
    <sheetView topLeftCell="A21" zoomScale="55" zoomScaleNormal="55" workbookViewId="0">
      <selection sqref="A1:XFD1048576"/>
    </sheetView>
  </sheetViews>
  <sheetFormatPr defaultRowHeight="15" x14ac:dyDescent="0.25"/>
  <cols>
    <col min="1" max="1" width="13" bestFit="1" customWidth="1" collapsed="1"/>
    <col min="2" max="3" width="9.28515625" bestFit="1" customWidth="1" collapsed="1"/>
    <col min="4" max="4" width="9.7109375" bestFit="1" customWidth="1" collapsed="1"/>
    <col min="5" max="8" width="9.28515625" bestFit="1" customWidth="1" collapsed="1"/>
    <col min="9" max="9" width="9.7109375" bestFit="1" customWidth="1" collapsed="1"/>
    <col min="10" max="22" width="9.28515625" bestFit="1" customWidth="1" collapsed="1"/>
    <col min="23" max="23" width="9.7109375" bestFit="1" customWidth="1" collapsed="1"/>
    <col min="24" max="25" width="9.28515625" bestFit="1" customWidth="1" collapsed="1"/>
    <col min="26" max="26" width="9.7109375" bestFit="1" customWidth="1" collapsed="1"/>
    <col min="27" max="36" width="12.7109375" customWidth="1" collapsed="1"/>
  </cols>
  <sheetData>
    <row r="1" spans="1:36" x14ac:dyDescent="0.25">
      <c r="A1" s="292" t="s">
        <v>309</v>
      </c>
      <c r="B1" s="293">
        <f>AVERAGE(B$6:B$90)</f>
        <v>31724.366404611617</v>
      </c>
      <c r="C1" s="293">
        <f t="shared" ref="C1:AJ1" si="0">AVERAGE(C$6:C$90)</f>
        <v>1026.0025346279144</v>
      </c>
      <c r="D1" s="293">
        <f t="shared" si="0"/>
        <v>91095.089460194111</v>
      </c>
      <c r="E1" s="293">
        <f t="shared" si="0"/>
        <v>0</v>
      </c>
      <c r="F1" s="293">
        <f t="shared" si="0"/>
        <v>15468.526912047511</v>
      </c>
      <c r="G1" s="293">
        <f t="shared" si="0"/>
        <v>2036.5992698669434</v>
      </c>
      <c r="H1" s="293">
        <f t="shared" si="0"/>
        <v>0</v>
      </c>
      <c r="I1" s="293">
        <f t="shared" si="0"/>
        <v>103182.15634724709</v>
      </c>
      <c r="J1" s="293">
        <f t="shared" si="0"/>
        <v>2392.6399484929584</v>
      </c>
      <c r="K1" s="293">
        <f t="shared" si="0"/>
        <v>0</v>
      </c>
      <c r="L1" s="293">
        <f t="shared" si="0"/>
        <v>17169.738423734278</v>
      </c>
      <c r="M1" s="293">
        <f t="shared" si="0"/>
        <v>1349.6109746138432</v>
      </c>
      <c r="N1" s="293">
        <f t="shared" si="0"/>
        <v>0</v>
      </c>
      <c r="O1" s="293">
        <f t="shared" si="0"/>
        <v>38003.401075494185</v>
      </c>
      <c r="P1" s="293">
        <f t="shared" si="0"/>
        <v>379.72302230766843</v>
      </c>
      <c r="Q1" s="293">
        <f t="shared" si="0"/>
        <v>15617.75496055535</v>
      </c>
      <c r="R1" s="293">
        <f t="shared" si="0"/>
        <v>598.83215999603271</v>
      </c>
      <c r="S1" s="293">
        <f t="shared" si="0"/>
        <v>0</v>
      </c>
      <c r="T1" s="293">
        <f t="shared" si="0"/>
        <v>23840.819757048153</v>
      </c>
      <c r="U1" s="293">
        <f t="shared" si="0"/>
        <v>1522.8133653531538</v>
      </c>
      <c r="V1" s="293">
        <f t="shared" si="0"/>
        <v>0</v>
      </c>
      <c r="W1" s="293">
        <f t="shared" si="0"/>
        <v>130627.08713081259</v>
      </c>
      <c r="X1" s="293">
        <f t="shared" si="0"/>
        <v>5631.4798803242938</v>
      </c>
      <c r="Y1" s="293">
        <f t="shared" si="0"/>
        <v>0</v>
      </c>
      <c r="Z1" s="293">
        <f t="shared" si="0"/>
        <v>214663.79801429046</v>
      </c>
      <c r="AA1" s="293">
        <f t="shared" si="0"/>
        <v>78405.231003153691</v>
      </c>
      <c r="AB1" s="293">
        <f t="shared" si="0"/>
        <v>0</v>
      </c>
      <c r="AC1" s="293">
        <f t="shared" si="0"/>
        <v>32750.368939239532</v>
      </c>
      <c r="AD1" s="293">
        <f t="shared" si="0"/>
        <v>17505.126181914453</v>
      </c>
      <c r="AE1" s="293">
        <f t="shared" si="0"/>
        <v>105574.79629574005</v>
      </c>
      <c r="AF1" s="293">
        <f t="shared" si="0"/>
        <v>18519.349398348117</v>
      </c>
      <c r="AG1" s="293">
        <f t="shared" si="0"/>
        <v>38383.124097801847</v>
      </c>
      <c r="AH1" s="293">
        <f t="shared" si="0"/>
        <v>16216.587120551383</v>
      </c>
      <c r="AI1" s="293">
        <f t="shared" si="0"/>
        <v>25363.633122401312</v>
      </c>
      <c r="AJ1" s="293">
        <f t="shared" si="0"/>
        <v>136258.56701113685</v>
      </c>
    </row>
    <row r="2" spans="1:36" x14ac:dyDescent="0.25">
      <c r="A2" s="294" t="s">
        <v>310</v>
      </c>
      <c r="B2" s="295">
        <f>MIN(B$6:B$90)</f>
        <v>25159.440965354443</v>
      </c>
      <c r="C2" s="295">
        <f t="shared" ref="C2:AJ2" si="1">MIN(C$6:C$90)</f>
        <v>1026.0025346279144</v>
      </c>
      <c r="D2" s="295">
        <f t="shared" si="1"/>
        <v>3234.6556396484375</v>
      </c>
      <c r="E2" s="295">
        <f t="shared" si="1"/>
        <v>0</v>
      </c>
      <c r="F2" s="295">
        <f t="shared" si="1"/>
        <v>11024.693001762033</v>
      </c>
      <c r="G2" s="295">
        <f t="shared" si="1"/>
        <v>2036.5992698669434</v>
      </c>
      <c r="H2" s="295">
        <f t="shared" si="1"/>
        <v>0</v>
      </c>
      <c r="I2" s="295">
        <f t="shared" si="1"/>
        <v>80389.895578101277</v>
      </c>
      <c r="J2" s="295">
        <f t="shared" si="1"/>
        <v>1393.3668954372406</v>
      </c>
      <c r="K2" s="295">
        <f t="shared" si="1"/>
        <v>0</v>
      </c>
      <c r="L2" s="295">
        <f t="shared" si="1"/>
        <v>12869.110400743779</v>
      </c>
      <c r="M2" s="295">
        <f t="shared" si="1"/>
        <v>912.17925810813904</v>
      </c>
      <c r="N2" s="295">
        <f t="shared" si="1"/>
        <v>0</v>
      </c>
      <c r="O2" s="295">
        <f t="shared" si="1"/>
        <v>11701.721521845311</v>
      </c>
      <c r="P2" s="295">
        <f t="shared" si="1"/>
        <v>267.43048429489136</v>
      </c>
      <c r="Q2" s="295">
        <f t="shared" si="1"/>
        <v>5104.6303098872304</v>
      </c>
      <c r="R2" s="295">
        <f t="shared" si="1"/>
        <v>598.83215999603271</v>
      </c>
      <c r="S2" s="295">
        <f t="shared" si="1"/>
        <v>0</v>
      </c>
      <c r="T2" s="295">
        <f t="shared" si="1"/>
        <v>7585.0531404879694</v>
      </c>
      <c r="U2" s="295">
        <f t="shared" si="1"/>
        <v>1375.1648360490799</v>
      </c>
      <c r="V2" s="295">
        <f t="shared" si="1"/>
        <v>0</v>
      </c>
      <c r="W2" s="295">
        <f t="shared" si="1"/>
        <v>79882.678049693015</v>
      </c>
      <c r="X2" s="295">
        <f t="shared" si="1"/>
        <v>4547.4637647284562</v>
      </c>
      <c r="Y2" s="295">
        <f t="shared" si="1"/>
        <v>0</v>
      </c>
      <c r="Z2" s="295">
        <f t="shared" si="1"/>
        <v>130283.96319517493</v>
      </c>
      <c r="AA2" s="295">
        <f t="shared" si="1"/>
        <v>36035.343786915495</v>
      </c>
      <c r="AB2" s="295">
        <f t="shared" si="1"/>
        <v>0</v>
      </c>
      <c r="AC2" s="295">
        <f t="shared" si="1"/>
        <v>26185.443499982357</v>
      </c>
      <c r="AD2" s="295">
        <f t="shared" si="1"/>
        <v>13061.292271628976</v>
      </c>
      <c r="AE2" s="295">
        <f t="shared" si="1"/>
        <v>82028.000409558415</v>
      </c>
      <c r="AF2" s="295">
        <f t="shared" si="1"/>
        <v>14232.487855978306</v>
      </c>
      <c r="AG2" s="295">
        <f t="shared" si="1"/>
        <v>11985.107485523671</v>
      </c>
      <c r="AH2" s="295">
        <f t="shared" si="1"/>
        <v>5703.4624698832631</v>
      </c>
      <c r="AI2" s="295">
        <f t="shared" si="1"/>
        <v>8970.02246089857</v>
      </c>
      <c r="AJ2" s="295">
        <f t="shared" si="1"/>
        <v>84430.141814421469</v>
      </c>
    </row>
    <row r="3" spans="1:36" ht="15.75" thickBot="1" x14ac:dyDescent="0.3">
      <c r="A3" s="296" t="s">
        <v>311</v>
      </c>
      <c r="B3" s="297">
        <f>MAX(B$6:B$90)</f>
        <v>37568.75128698349</v>
      </c>
      <c r="C3" s="297">
        <f t="shared" ref="C3:AJ3" si="2">MAX(C$6:C$90)</f>
        <v>1026.0025346279144</v>
      </c>
      <c r="D3" s="297">
        <f t="shared" si="2"/>
        <v>191640.84257507324</v>
      </c>
      <c r="E3" s="297">
        <f t="shared" si="2"/>
        <v>0</v>
      </c>
      <c r="F3" s="297">
        <f t="shared" si="2"/>
        <v>17467.8857229352</v>
      </c>
      <c r="G3" s="297">
        <f t="shared" si="2"/>
        <v>2036.5992698669434</v>
      </c>
      <c r="H3" s="297">
        <f t="shared" si="2"/>
        <v>0</v>
      </c>
      <c r="I3" s="297">
        <f t="shared" si="2"/>
        <v>115012.58096146584</v>
      </c>
      <c r="J3" s="297">
        <f t="shared" si="2"/>
        <v>2701.0620763301849</v>
      </c>
      <c r="K3" s="297">
        <f t="shared" si="2"/>
        <v>0</v>
      </c>
      <c r="L3" s="297">
        <f t="shared" si="2"/>
        <v>20484.744205974028</v>
      </c>
      <c r="M3" s="297">
        <f t="shared" si="2"/>
        <v>1438.5394735336304</v>
      </c>
      <c r="N3" s="297">
        <f t="shared" si="2"/>
        <v>0</v>
      </c>
      <c r="O3" s="297">
        <f t="shared" si="2"/>
        <v>51768.329105703611</v>
      </c>
      <c r="P3" s="297">
        <f t="shared" si="2"/>
        <v>544.84344577789307</v>
      </c>
      <c r="Q3" s="297">
        <f t="shared" si="2"/>
        <v>23194.015044294298</v>
      </c>
      <c r="R3" s="297">
        <f t="shared" si="2"/>
        <v>598.83215999603271</v>
      </c>
      <c r="S3" s="297">
        <f t="shared" si="2"/>
        <v>0</v>
      </c>
      <c r="T3" s="297">
        <f t="shared" si="2"/>
        <v>29745.069352358209</v>
      </c>
      <c r="U3" s="297">
        <f t="shared" si="2"/>
        <v>1605.9718111753464</v>
      </c>
      <c r="V3" s="297">
        <f t="shared" si="2"/>
        <v>0</v>
      </c>
      <c r="W3" s="297">
        <f t="shared" si="2"/>
        <v>163350.64299086825</v>
      </c>
      <c r="X3" s="297">
        <f t="shared" si="2"/>
        <v>6094.1022396683693</v>
      </c>
      <c r="Y3" s="297">
        <f t="shared" si="2"/>
        <v>0</v>
      </c>
      <c r="Z3" s="297">
        <f t="shared" si="2"/>
        <v>264037.38139343262</v>
      </c>
      <c r="AA3" s="297">
        <f t="shared" si="2"/>
        <v>129359.52665618091</v>
      </c>
      <c r="AB3" s="297">
        <f t="shared" si="2"/>
        <v>0</v>
      </c>
      <c r="AC3" s="297">
        <f t="shared" si="2"/>
        <v>38594.753821611404</v>
      </c>
      <c r="AD3" s="297">
        <f t="shared" si="2"/>
        <v>19504.484992802143</v>
      </c>
      <c r="AE3" s="297">
        <f t="shared" si="2"/>
        <v>117577.04660224915</v>
      </c>
      <c r="AF3" s="297">
        <f t="shared" si="2"/>
        <v>21873.950248740599</v>
      </c>
      <c r="AG3" s="297">
        <f t="shared" si="2"/>
        <v>52287.211359112043</v>
      </c>
      <c r="AH3" s="297">
        <f t="shared" si="2"/>
        <v>23792.84720429033</v>
      </c>
      <c r="AI3" s="297">
        <f t="shared" si="2"/>
        <v>31312.50799410008</v>
      </c>
      <c r="AJ3" s="297">
        <f t="shared" si="2"/>
        <v>168542.3329720904</v>
      </c>
    </row>
    <row r="4" spans="1:36" x14ac:dyDescent="0.25">
      <c r="A4" s="122"/>
      <c r="B4" s="122"/>
      <c r="C4" s="122"/>
      <c r="D4" s="122"/>
      <c r="E4" s="122"/>
      <c r="F4" s="122"/>
      <c r="G4" s="122"/>
      <c r="H4" s="122"/>
      <c r="I4" s="122"/>
      <c r="J4" s="122"/>
      <c r="K4" s="122"/>
      <c r="L4" s="122"/>
      <c r="M4" s="122"/>
      <c r="N4" s="122"/>
      <c r="O4" s="122"/>
      <c r="P4" s="122"/>
      <c r="Q4" s="122"/>
      <c r="R4" s="122"/>
      <c r="S4" s="122"/>
      <c r="T4" s="122"/>
      <c r="U4" s="122"/>
      <c r="V4" s="122"/>
      <c r="W4" s="122"/>
      <c r="X4" s="122"/>
      <c r="Y4" s="122"/>
      <c r="Z4" s="122"/>
      <c r="AA4" s="298" t="s">
        <v>312</v>
      </c>
      <c r="AB4" s="299"/>
      <c r="AC4" s="300"/>
      <c r="AD4" s="300"/>
      <c r="AE4" s="300"/>
      <c r="AF4" s="300"/>
      <c r="AG4" s="300"/>
      <c r="AH4" s="300"/>
      <c r="AI4" s="300"/>
      <c r="AJ4" s="301"/>
    </row>
    <row r="5" spans="1:36" ht="105.75" thickBot="1" x14ac:dyDescent="0.3">
      <c r="A5" s="362" t="s">
        <v>313</v>
      </c>
      <c r="B5" s="122" t="s">
        <v>314</v>
      </c>
      <c r="C5" s="122" t="s">
        <v>315</v>
      </c>
      <c r="D5" s="122" t="s">
        <v>316</v>
      </c>
      <c r="E5" s="122" t="s">
        <v>317</v>
      </c>
      <c r="F5" s="122" t="s">
        <v>318</v>
      </c>
      <c r="G5" s="122" t="s">
        <v>319</v>
      </c>
      <c r="H5" s="122" t="s">
        <v>320</v>
      </c>
      <c r="I5" s="122" t="s">
        <v>321</v>
      </c>
      <c r="J5" s="122" t="s">
        <v>322</v>
      </c>
      <c r="K5" s="122" t="s">
        <v>323</v>
      </c>
      <c r="L5" s="302" t="s">
        <v>324</v>
      </c>
      <c r="M5" s="122" t="s">
        <v>325</v>
      </c>
      <c r="N5" s="302" t="s">
        <v>326</v>
      </c>
      <c r="O5" s="122" t="s">
        <v>327</v>
      </c>
      <c r="P5" s="122" t="s">
        <v>328</v>
      </c>
      <c r="Q5" s="122" t="s">
        <v>329</v>
      </c>
      <c r="R5" s="122" t="s">
        <v>330</v>
      </c>
      <c r="S5" s="122" t="s">
        <v>331</v>
      </c>
      <c r="T5" s="122" t="s">
        <v>332</v>
      </c>
      <c r="U5" s="122" t="s">
        <v>333</v>
      </c>
      <c r="V5" s="122" t="s">
        <v>334</v>
      </c>
      <c r="W5" s="122" t="s">
        <v>125</v>
      </c>
      <c r="X5" s="122" t="s">
        <v>335</v>
      </c>
      <c r="Y5" s="122" t="s">
        <v>336</v>
      </c>
      <c r="Z5" s="122" t="s">
        <v>337</v>
      </c>
      <c r="AA5" s="303" t="s">
        <v>177</v>
      </c>
      <c r="AB5" s="304" t="s">
        <v>338</v>
      </c>
      <c r="AC5" s="304" t="s">
        <v>339</v>
      </c>
      <c r="AD5" s="304" t="s">
        <v>340</v>
      </c>
      <c r="AE5" s="304" t="s">
        <v>341</v>
      </c>
      <c r="AF5" s="304" t="s">
        <v>342</v>
      </c>
      <c r="AG5" s="304" t="s">
        <v>343</v>
      </c>
      <c r="AH5" s="304" t="s">
        <v>344</v>
      </c>
      <c r="AI5" s="304" t="s">
        <v>345</v>
      </c>
      <c r="AJ5" s="305" t="s">
        <v>346</v>
      </c>
    </row>
    <row r="6" spans="1:36" x14ac:dyDescent="0.25">
      <c r="A6">
        <v>1929</v>
      </c>
      <c r="B6" s="306">
        <v>32943.722603328526</v>
      </c>
      <c r="C6" s="307">
        <v>1026.0025346279144</v>
      </c>
      <c r="D6" s="307">
        <v>147150.1963596344</v>
      </c>
      <c r="E6" s="307">
        <v>0</v>
      </c>
      <c r="F6" s="307">
        <v>16247.769269451499</v>
      </c>
      <c r="G6" s="307">
        <v>2036.5992698669434</v>
      </c>
      <c r="H6" s="307">
        <v>0</v>
      </c>
      <c r="I6" s="307">
        <v>100291.20613576472</v>
      </c>
      <c r="J6" s="307">
        <v>2649.9086835384369</v>
      </c>
      <c r="K6" s="307">
        <v>0</v>
      </c>
      <c r="L6" s="307">
        <v>15475.954381838435</v>
      </c>
      <c r="M6" s="307">
        <v>1352.5338892936707</v>
      </c>
      <c r="N6" s="307">
        <v>0</v>
      </c>
      <c r="O6" s="307">
        <v>44999.643507136483</v>
      </c>
      <c r="P6" s="307">
        <v>374.25252342224121</v>
      </c>
      <c r="Q6" s="307">
        <v>18813.154565809295</v>
      </c>
      <c r="R6" s="307">
        <v>598.83215999603271</v>
      </c>
      <c r="S6" s="307">
        <v>0</v>
      </c>
      <c r="T6" s="307">
        <v>27390.741341046618</v>
      </c>
      <c r="U6" s="307">
        <v>1559.6504763960838</v>
      </c>
      <c r="V6" s="307">
        <v>0</v>
      </c>
      <c r="W6" s="307">
        <v>127698.42142096504</v>
      </c>
      <c r="X6" s="307">
        <v>5875.3226467370987</v>
      </c>
      <c r="Y6" s="307">
        <v>0</v>
      </c>
      <c r="Z6" s="307">
        <v>208895.09327602386</v>
      </c>
      <c r="AA6" s="308">
        <v>75321.349208321728</v>
      </c>
      <c r="AB6" s="309">
        <v>0</v>
      </c>
      <c r="AC6" s="309">
        <v>33969.72513795644</v>
      </c>
      <c r="AD6" s="309">
        <v>18284.368539318442</v>
      </c>
      <c r="AE6" s="309">
        <v>102941.11481930315</v>
      </c>
      <c r="AF6" s="309">
        <v>16828.488271132104</v>
      </c>
      <c r="AG6" s="309">
        <v>45373.896030558724</v>
      </c>
      <c r="AH6" s="309">
        <v>19411.986725805327</v>
      </c>
      <c r="AI6" s="309">
        <v>28950.391817442702</v>
      </c>
      <c r="AJ6" s="310">
        <v>133573.74406770215</v>
      </c>
    </row>
    <row r="7" spans="1:36" x14ac:dyDescent="0.25">
      <c r="A7">
        <v>1930</v>
      </c>
      <c r="B7" s="311">
        <v>31683.427886627614</v>
      </c>
      <c r="C7" s="312">
        <v>1026.0025346279144</v>
      </c>
      <c r="D7" s="312">
        <v>71485.592948913574</v>
      </c>
      <c r="E7" s="312">
        <v>0</v>
      </c>
      <c r="F7" s="312">
        <v>15842.428258892614</v>
      </c>
      <c r="G7" s="312">
        <v>2036.5992698669434</v>
      </c>
      <c r="H7" s="312">
        <v>0</v>
      </c>
      <c r="I7" s="312">
        <v>102491.69279175252</v>
      </c>
      <c r="J7" s="312">
        <v>1966.1425511837006</v>
      </c>
      <c r="K7" s="312">
        <v>0</v>
      </c>
      <c r="L7" s="312">
        <v>15998.028435893364</v>
      </c>
      <c r="M7" s="312">
        <v>1406.2581839561462</v>
      </c>
      <c r="N7" s="312">
        <v>0</v>
      </c>
      <c r="O7" s="312">
        <v>39408.06304758646</v>
      </c>
      <c r="P7" s="312">
        <v>338.22071814537048</v>
      </c>
      <c r="Q7" s="312">
        <v>14077.670300109312</v>
      </c>
      <c r="R7" s="312">
        <v>598.83215999603271</v>
      </c>
      <c r="S7" s="312">
        <v>0</v>
      </c>
      <c r="T7" s="312">
        <v>26665.75948422365</v>
      </c>
      <c r="U7" s="312">
        <v>1552.7291102409363</v>
      </c>
      <c r="V7" s="312">
        <v>0</v>
      </c>
      <c r="W7" s="312">
        <v>134896.07024035201</v>
      </c>
      <c r="X7" s="312">
        <v>5771.3805716149509</v>
      </c>
      <c r="Y7" s="312">
        <v>0</v>
      </c>
      <c r="Z7" s="312">
        <v>202969.3631567955</v>
      </c>
      <c r="AA7" s="313">
        <v>62301.912344828539</v>
      </c>
      <c r="AB7" s="314">
        <v>0</v>
      </c>
      <c r="AC7" s="314">
        <v>32709.430421255529</v>
      </c>
      <c r="AD7" s="314">
        <v>17879.027528759558</v>
      </c>
      <c r="AE7" s="314">
        <v>104457.83534293622</v>
      </c>
      <c r="AF7" s="314">
        <v>17404.28661984951</v>
      </c>
      <c r="AG7" s="314">
        <v>39746.28376573183</v>
      </c>
      <c r="AH7" s="314">
        <v>14676.502460105345</v>
      </c>
      <c r="AI7" s="314">
        <v>28218.488594464587</v>
      </c>
      <c r="AJ7" s="315">
        <v>140667.45081196696</v>
      </c>
    </row>
    <row r="8" spans="1:36" x14ac:dyDescent="0.25">
      <c r="A8">
        <v>1931</v>
      </c>
      <c r="B8" s="311">
        <v>31477.305347196758</v>
      </c>
      <c r="C8" s="312">
        <v>1026.0025346279144</v>
      </c>
      <c r="D8" s="312">
        <v>48527.629333496094</v>
      </c>
      <c r="E8" s="312">
        <v>0</v>
      </c>
      <c r="F8" s="312">
        <v>15605.476575061679</v>
      </c>
      <c r="G8" s="312">
        <v>2036.5992698669434</v>
      </c>
      <c r="H8" s="312">
        <v>0</v>
      </c>
      <c r="I8" s="312">
        <v>104343.13857328892</v>
      </c>
      <c r="J8" s="312">
        <v>2156.900153875351</v>
      </c>
      <c r="K8" s="312">
        <v>0</v>
      </c>
      <c r="L8" s="312">
        <v>16577.821978650965</v>
      </c>
      <c r="M8" s="312">
        <v>1255.5566754341125</v>
      </c>
      <c r="N8" s="312">
        <v>0</v>
      </c>
      <c r="O8" s="312">
        <v>28006.309252864194</v>
      </c>
      <c r="P8" s="312">
        <v>269.15010619163513</v>
      </c>
      <c r="Q8" s="312">
        <v>11080.349627077579</v>
      </c>
      <c r="R8" s="312">
        <v>598.83215999603271</v>
      </c>
      <c r="S8" s="312">
        <v>0</v>
      </c>
      <c r="T8" s="312">
        <v>18215.146562132613</v>
      </c>
      <c r="U8" s="312">
        <v>1410.2606419622898</v>
      </c>
      <c r="V8" s="312">
        <v>0</v>
      </c>
      <c r="W8" s="312">
        <v>145593.18832797155</v>
      </c>
      <c r="X8" s="312">
        <v>5511.4449573159218</v>
      </c>
      <c r="Y8" s="312">
        <v>0</v>
      </c>
      <c r="Z8" s="312">
        <v>210846.3484992981</v>
      </c>
      <c r="AA8" s="313">
        <v>59741.715214010619</v>
      </c>
      <c r="AB8" s="314">
        <v>0</v>
      </c>
      <c r="AC8" s="314">
        <v>32503.307881824672</v>
      </c>
      <c r="AD8" s="314">
        <v>17642.075844928622</v>
      </c>
      <c r="AE8" s="314">
        <v>106500.03872716427</v>
      </c>
      <c r="AF8" s="314">
        <v>17833.378654085078</v>
      </c>
      <c r="AG8" s="314">
        <v>28275.459359055829</v>
      </c>
      <c r="AH8" s="314">
        <v>11679.181787073612</v>
      </c>
      <c r="AI8" s="314">
        <v>19625.407204094903</v>
      </c>
      <c r="AJ8" s="315">
        <v>151104.63328528748</v>
      </c>
    </row>
    <row r="9" spans="1:36" x14ac:dyDescent="0.25">
      <c r="A9">
        <v>1932</v>
      </c>
      <c r="B9" s="311">
        <v>32693.83258080855</v>
      </c>
      <c r="C9" s="312">
        <v>1026.0025346279144</v>
      </c>
      <c r="D9" s="312">
        <v>147290.98083496094</v>
      </c>
      <c r="E9" s="312">
        <v>0</v>
      </c>
      <c r="F9" s="312">
        <v>16309.233678504825</v>
      </c>
      <c r="G9" s="312">
        <v>2036.5992698669434</v>
      </c>
      <c r="H9" s="312">
        <v>0</v>
      </c>
      <c r="I9" s="312">
        <v>102695.57525298744</v>
      </c>
      <c r="J9" s="312">
        <v>2486.7834966182709</v>
      </c>
      <c r="K9" s="312">
        <v>0</v>
      </c>
      <c r="L9" s="312">
        <v>16067.056275531648</v>
      </c>
      <c r="M9" s="312">
        <v>1262.1092133522034</v>
      </c>
      <c r="N9" s="312">
        <v>0</v>
      </c>
      <c r="O9" s="312">
        <v>46284.786156548638</v>
      </c>
      <c r="P9" s="312">
        <v>477.05621123313904</v>
      </c>
      <c r="Q9" s="312">
        <v>18969.902119606733</v>
      </c>
      <c r="R9" s="312">
        <v>598.83215999603271</v>
      </c>
      <c r="S9" s="312">
        <v>0</v>
      </c>
      <c r="T9" s="312">
        <v>27554.732172399388</v>
      </c>
      <c r="U9" s="312">
        <v>1605.9718111753464</v>
      </c>
      <c r="V9" s="312">
        <v>0</v>
      </c>
      <c r="W9" s="312">
        <v>131165.10689868373</v>
      </c>
      <c r="X9" s="312">
        <v>5803.322064705193</v>
      </c>
      <c r="Y9" s="312">
        <v>0</v>
      </c>
      <c r="Z9" s="312">
        <v>208476.78211736679</v>
      </c>
      <c r="AA9" s="313">
        <v>71508.353153977863</v>
      </c>
      <c r="AB9" s="314">
        <v>0</v>
      </c>
      <c r="AC9" s="314">
        <v>33719.835115436465</v>
      </c>
      <c r="AD9" s="314">
        <v>18345.832948371768</v>
      </c>
      <c r="AE9" s="314">
        <v>105182.35874960572</v>
      </c>
      <c r="AF9" s="314">
        <v>17329.165488883853</v>
      </c>
      <c r="AG9" s="314">
        <v>46761.842367781777</v>
      </c>
      <c r="AH9" s="314">
        <v>19568.734279602766</v>
      </c>
      <c r="AI9" s="314">
        <v>29160.703983574735</v>
      </c>
      <c r="AJ9" s="315">
        <v>136968.42896338893</v>
      </c>
    </row>
    <row r="10" spans="1:36" x14ac:dyDescent="0.25">
      <c r="A10">
        <v>1933</v>
      </c>
      <c r="B10" s="311">
        <v>31358.274074055254</v>
      </c>
      <c r="C10" s="312">
        <v>1026.0025346279144</v>
      </c>
      <c r="D10" s="312">
        <v>62729.004089355469</v>
      </c>
      <c r="E10" s="312">
        <v>0</v>
      </c>
      <c r="F10" s="312">
        <v>15470.284036979079</v>
      </c>
      <c r="G10" s="312">
        <v>2036.5992698669434</v>
      </c>
      <c r="H10" s="312">
        <v>0</v>
      </c>
      <c r="I10" s="312">
        <v>105170.50952108949</v>
      </c>
      <c r="J10" s="312">
        <v>2547.8448007106781</v>
      </c>
      <c r="K10" s="312">
        <v>0</v>
      </c>
      <c r="L10" s="312">
        <v>16457.882535077621</v>
      </c>
      <c r="M10" s="312">
        <v>1331.428768157959</v>
      </c>
      <c r="N10" s="312">
        <v>0</v>
      </c>
      <c r="O10" s="312">
        <v>39881.425014896769</v>
      </c>
      <c r="P10" s="312">
        <v>298.93194317817688</v>
      </c>
      <c r="Q10" s="312">
        <v>13373.807915760204</v>
      </c>
      <c r="R10" s="312">
        <v>598.83215999603271</v>
      </c>
      <c r="S10" s="312">
        <v>0</v>
      </c>
      <c r="T10" s="312">
        <v>26536.735761809723</v>
      </c>
      <c r="U10" s="312">
        <v>1535.0001285001636</v>
      </c>
      <c r="V10" s="312">
        <v>0</v>
      </c>
      <c r="W10" s="312">
        <v>139521.58915901528</v>
      </c>
      <c r="X10" s="312">
        <v>5454.6922612058652</v>
      </c>
      <c r="Y10" s="312">
        <v>0</v>
      </c>
      <c r="Z10" s="312">
        <v>217446.5963640213</v>
      </c>
      <c r="AA10" s="313">
        <v>72470.314943800156</v>
      </c>
      <c r="AB10" s="314">
        <v>0</v>
      </c>
      <c r="AC10" s="314">
        <v>32384.276608683169</v>
      </c>
      <c r="AD10" s="314">
        <v>17506.883306846023</v>
      </c>
      <c r="AE10" s="314">
        <v>107718.35432180017</v>
      </c>
      <c r="AF10" s="314">
        <v>17789.31130323558</v>
      </c>
      <c r="AG10" s="314">
        <v>40180.356958074946</v>
      </c>
      <c r="AH10" s="314">
        <v>13972.640075756237</v>
      </c>
      <c r="AI10" s="314">
        <v>28071.735890309887</v>
      </c>
      <c r="AJ10" s="315">
        <v>144976.28142022114</v>
      </c>
    </row>
    <row r="11" spans="1:36" x14ac:dyDescent="0.25">
      <c r="A11">
        <v>1934</v>
      </c>
      <c r="B11" s="311">
        <v>29729.136347554624</v>
      </c>
      <c r="C11" s="312">
        <v>1026.0025346279144</v>
      </c>
      <c r="D11" s="312">
        <v>28070.748443603516</v>
      </c>
      <c r="E11" s="312">
        <v>0</v>
      </c>
      <c r="F11" s="312">
        <v>12637.601263538003</v>
      </c>
      <c r="G11" s="312">
        <v>2036.5992698669434</v>
      </c>
      <c r="H11" s="312">
        <v>0</v>
      </c>
      <c r="I11" s="312">
        <v>86160.726699464023</v>
      </c>
      <c r="J11" s="312">
        <v>1845.8892018795013</v>
      </c>
      <c r="K11" s="312">
        <v>0</v>
      </c>
      <c r="L11" s="312">
        <v>17258.993953637768</v>
      </c>
      <c r="M11" s="312">
        <v>1427.783721446991</v>
      </c>
      <c r="N11" s="312">
        <v>0</v>
      </c>
      <c r="O11" s="312">
        <v>21900.479937177694</v>
      </c>
      <c r="P11" s="312">
        <v>278.65056848526001</v>
      </c>
      <c r="Q11" s="312">
        <v>9932.9716379698366</v>
      </c>
      <c r="R11" s="312">
        <v>598.83215999603271</v>
      </c>
      <c r="S11" s="312">
        <v>0</v>
      </c>
      <c r="T11" s="312">
        <v>16331.674419471994</v>
      </c>
      <c r="U11" s="312">
        <v>1432.5904128104448</v>
      </c>
      <c r="V11" s="312">
        <v>0</v>
      </c>
      <c r="W11" s="312">
        <v>120354.84820366248</v>
      </c>
      <c r="X11" s="312">
        <v>5300.3226603375806</v>
      </c>
      <c r="Y11" s="312">
        <v>0</v>
      </c>
      <c r="Z11" s="312">
        <v>192391.66649317741</v>
      </c>
      <c r="AA11" s="313">
        <v>66736.495629177356</v>
      </c>
      <c r="AB11" s="314">
        <v>0</v>
      </c>
      <c r="AC11" s="314">
        <v>30755.138882182539</v>
      </c>
      <c r="AD11" s="314">
        <v>14674.200533404946</v>
      </c>
      <c r="AE11" s="314">
        <v>88006.615901343524</v>
      </c>
      <c r="AF11" s="314">
        <v>18686.777675084759</v>
      </c>
      <c r="AG11" s="314">
        <v>22179.130505662954</v>
      </c>
      <c r="AH11" s="314">
        <v>10531.803797965869</v>
      </c>
      <c r="AI11" s="314">
        <v>17764.264832282439</v>
      </c>
      <c r="AJ11" s="315">
        <v>125655.17086400006</v>
      </c>
    </row>
    <row r="12" spans="1:36" x14ac:dyDescent="0.25">
      <c r="A12">
        <v>1935</v>
      </c>
      <c r="B12" s="311">
        <v>32717.73942489922</v>
      </c>
      <c r="C12" s="312">
        <v>1026.0025346279144</v>
      </c>
      <c r="D12" s="312">
        <v>111978.22772216797</v>
      </c>
      <c r="E12" s="312">
        <v>0</v>
      </c>
      <c r="F12" s="312">
        <v>16337.42050985992</v>
      </c>
      <c r="G12" s="312">
        <v>2036.5992698669434</v>
      </c>
      <c r="H12" s="312">
        <v>0</v>
      </c>
      <c r="I12" s="312">
        <v>102250.92422968894</v>
      </c>
      <c r="J12" s="312">
        <v>2466.2382771968842</v>
      </c>
      <c r="K12" s="312">
        <v>0</v>
      </c>
      <c r="L12" s="312">
        <v>15795.00337731837</v>
      </c>
      <c r="M12" s="312">
        <v>1205.4692630767822</v>
      </c>
      <c r="N12" s="312">
        <v>0</v>
      </c>
      <c r="O12" s="312">
        <v>46264.882456390638</v>
      </c>
      <c r="P12" s="312">
        <v>404.49994277954102</v>
      </c>
      <c r="Q12" s="312">
        <v>21271.398954620585</v>
      </c>
      <c r="R12" s="312">
        <v>598.83215999603271</v>
      </c>
      <c r="S12" s="312">
        <v>0</v>
      </c>
      <c r="T12" s="312">
        <v>27550.88424847657</v>
      </c>
      <c r="U12" s="312">
        <v>1602.4485954195261</v>
      </c>
      <c r="V12" s="312">
        <v>0</v>
      </c>
      <c r="W12" s="312">
        <v>131121.55878898842</v>
      </c>
      <c r="X12" s="312">
        <v>5766.5741074650223</v>
      </c>
      <c r="Y12" s="312">
        <v>0</v>
      </c>
      <c r="Z12" s="312">
        <v>247737.88262915611</v>
      </c>
      <c r="AA12" s="313">
        <v>110849.74973270266</v>
      </c>
      <c r="AB12" s="314">
        <v>0</v>
      </c>
      <c r="AC12" s="314">
        <v>33743.741959527135</v>
      </c>
      <c r="AD12" s="314">
        <v>18374.019779726863</v>
      </c>
      <c r="AE12" s="314">
        <v>104717.16250688583</v>
      </c>
      <c r="AF12" s="314">
        <v>17000.47264039515</v>
      </c>
      <c r="AG12" s="314">
        <v>46669.382399170179</v>
      </c>
      <c r="AH12" s="314">
        <v>21870.231114616618</v>
      </c>
      <c r="AI12" s="314">
        <v>29153.332843896096</v>
      </c>
      <c r="AJ12" s="315">
        <v>136888.13289645343</v>
      </c>
    </row>
    <row r="13" spans="1:36" x14ac:dyDescent="0.25">
      <c r="A13">
        <v>1936</v>
      </c>
      <c r="B13" s="311">
        <v>31050.578459262848</v>
      </c>
      <c r="C13" s="312">
        <v>1026.0025346279144</v>
      </c>
      <c r="D13" s="312">
        <v>98120.250854492188</v>
      </c>
      <c r="E13" s="312">
        <v>0</v>
      </c>
      <c r="F13" s="312">
        <v>15161.554196551442</v>
      </c>
      <c r="G13" s="312">
        <v>2036.5992698669434</v>
      </c>
      <c r="H13" s="312">
        <v>0</v>
      </c>
      <c r="I13" s="312">
        <v>104094.12116664648</v>
      </c>
      <c r="J13" s="312">
        <v>2157.3748967647552</v>
      </c>
      <c r="K13" s="312">
        <v>0</v>
      </c>
      <c r="L13" s="312">
        <v>16395.956455931049</v>
      </c>
      <c r="M13" s="312">
        <v>1429.7300157546997</v>
      </c>
      <c r="N13" s="312">
        <v>0</v>
      </c>
      <c r="O13" s="312">
        <v>41265.229923082967</v>
      </c>
      <c r="P13" s="312">
        <v>379.50826406478882</v>
      </c>
      <c r="Q13" s="312">
        <v>14886.168405778706</v>
      </c>
      <c r="R13" s="312">
        <v>598.83215999603271</v>
      </c>
      <c r="S13" s="312">
        <v>0</v>
      </c>
      <c r="T13" s="312">
        <v>23577.95533466302</v>
      </c>
      <c r="U13" s="312">
        <v>1541.2319845445454</v>
      </c>
      <c r="V13" s="312">
        <v>0</v>
      </c>
      <c r="W13" s="312">
        <v>136360.40349197731</v>
      </c>
      <c r="X13" s="312">
        <v>5805.3481456786394</v>
      </c>
      <c r="Y13" s="312">
        <v>0</v>
      </c>
      <c r="Z13" s="312">
        <v>221296.78032398224</v>
      </c>
      <c r="AA13" s="313">
        <v>79131.028686326288</v>
      </c>
      <c r="AB13" s="314">
        <v>0</v>
      </c>
      <c r="AC13" s="314">
        <v>32076.580993890762</v>
      </c>
      <c r="AD13" s="314">
        <v>17198.153466418386</v>
      </c>
      <c r="AE13" s="314">
        <v>106251.49606341124</v>
      </c>
      <c r="AF13" s="314">
        <v>17825.686471685749</v>
      </c>
      <c r="AG13" s="314">
        <v>41644.738187147756</v>
      </c>
      <c r="AH13" s="314">
        <v>15485.000565774739</v>
      </c>
      <c r="AI13" s="314">
        <v>25119.187319207565</v>
      </c>
      <c r="AJ13" s="315">
        <v>142165.75163765595</v>
      </c>
    </row>
    <row r="14" spans="1:36" x14ac:dyDescent="0.25">
      <c r="A14">
        <v>1937</v>
      </c>
      <c r="B14" s="311">
        <v>32413.466004043818</v>
      </c>
      <c r="C14" s="312">
        <v>1026.0025346279144</v>
      </c>
      <c r="D14" s="312">
        <v>134110.35729980469</v>
      </c>
      <c r="E14" s="312">
        <v>0</v>
      </c>
      <c r="F14" s="312">
        <v>15903.5967451334</v>
      </c>
      <c r="G14" s="312">
        <v>2036.5992698669434</v>
      </c>
      <c r="H14" s="312">
        <v>0</v>
      </c>
      <c r="I14" s="312">
        <v>108567.88614774123</v>
      </c>
      <c r="J14" s="312">
        <v>2457.7330701351166</v>
      </c>
      <c r="K14" s="312">
        <v>0</v>
      </c>
      <c r="L14" s="312">
        <v>17121.393829979006</v>
      </c>
      <c r="M14" s="312">
        <v>1429.2977375984192</v>
      </c>
      <c r="N14" s="312">
        <v>0</v>
      </c>
      <c r="O14" s="312">
        <v>40697.367724923868</v>
      </c>
      <c r="P14" s="312">
        <v>440.43092560768127</v>
      </c>
      <c r="Q14" s="312">
        <v>17894.430375106633</v>
      </c>
      <c r="R14" s="312">
        <v>598.83215999603271</v>
      </c>
      <c r="S14" s="312">
        <v>0</v>
      </c>
      <c r="T14" s="312">
        <v>26707.029713913427</v>
      </c>
      <c r="U14" s="312">
        <v>1584.0288822730072</v>
      </c>
      <c r="V14" s="312">
        <v>0</v>
      </c>
      <c r="W14" s="312">
        <v>137911.46531632886</v>
      </c>
      <c r="X14" s="312">
        <v>5795.372117947787</v>
      </c>
      <c r="Y14" s="312">
        <v>0</v>
      </c>
      <c r="Z14" s="312">
        <v>222134.37148737907</v>
      </c>
      <c r="AA14" s="313">
        <v>78427.534053102427</v>
      </c>
      <c r="AB14" s="314">
        <v>0</v>
      </c>
      <c r="AC14" s="314">
        <v>33439.468538671732</v>
      </c>
      <c r="AD14" s="314">
        <v>17940.196015000343</v>
      </c>
      <c r="AE14" s="314">
        <v>111025.61921787634</v>
      </c>
      <c r="AF14" s="314">
        <v>18550.691567577425</v>
      </c>
      <c r="AG14" s="314">
        <v>41137.798650531549</v>
      </c>
      <c r="AH14" s="314">
        <v>18493.262535102665</v>
      </c>
      <c r="AI14" s="314">
        <v>28291.058596186434</v>
      </c>
      <c r="AJ14" s="315">
        <v>143706.83743427665</v>
      </c>
    </row>
    <row r="15" spans="1:36" x14ac:dyDescent="0.25">
      <c r="A15">
        <v>1938</v>
      </c>
      <c r="B15" s="311">
        <v>31347.742135547101</v>
      </c>
      <c r="C15" s="312">
        <v>1026.0025346279144</v>
      </c>
      <c r="D15" s="312">
        <v>139154.48620605469</v>
      </c>
      <c r="E15" s="312">
        <v>0</v>
      </c>
      <c r="F15" s="312">
        <v>15358.953510761261</v>
      </c>
      <c r="G15" s="312">
        <v>2036.5992698669434</v>
      </c>
      <c r="H15" s="312">
        <v>0</v>
      </c>
      <c r="I15" s="312">
        <v>101707.29192656279</v>
      </c>
      <c r="J15" s="312">
        <v>2397.0231740474701</v>
      </c>
      <c r="K15" s="312">
        <v>0</v>
      </c>
      <c r="L15" s="312">
        <v>15746.043162554488</v>
      </c>
      <c r="M15" s="312">
        <v>1373.3481931686401</v>
      </c>
      <c r="N15" s="312">
        <v>0</v>
      </c>
      <c r="O15" s="312">
        <v>46063.024790807147</v>
      </c>
      <c r="P15" s="312">
        <v>473.51040267944336</v>
      </c>
      <c r="Q15" s="312">
        <v>17249.416899606586</v>
      </c>
      <c r="R15" s="312">
        <v>598.83215999603271</v>
      </c>
      <c r="S15" s="312">
        <v>0</v>
      </c>
      <c r="T15" s="312">
        <v>27426.380741912501</v>
      </c>
      <c r="U15" s="312">
        <v>1603.7180314660072</v>
      </c>
      <c r="V15" s="312">
        <v>0</v>
      </c>
      <c r="W15" s="312">
        <v>127445.51945799931</v>
      </c>
      <c r="X15" s="312">
        <v>5873.0589877281418</v>
      </c>
      <c r="Y15" s="312">
        <v>0</v>
      </c>
      <c r="Z15" s="312">
        <v>223787.21753585339</v>
      </c>
      <c r="AA15" s="313">
        <v>90468.639090125929</v>
      </c>
      <c r="AB15" s="314">
        <v>0</v>
      </c>
      <c r="AC15" s="314">
        <v>32373.744670175016</v>
      </c>
      <c r="AD15" s="314">
        <v>17395.552780628204</v>
      </c>
      <c r="AE15" s="314">
        <v>104104.31510061026</v>
      </c>
      <c r="AF15" s="314">
        <v>17119.391355723128</v>
      </c>
      <c r="AG15" s="314">
        <v>46536.53519348659</v>
      </c>
      <c r="AH15" s="314">
        <v>17848.249059602618</v>
      </c>
      <c r="AI15" s="314">
        <v>29030.098773378508</v>
      </c>
      <c r="AJ15" s="315">
        <v>133318.57844572744</v>
      </c>
    </row>
    <row r="16" spans="1:36" x14ac:dyDescent="0.25">
      <c r="A16">
        <v>1939</v>
      </c>
      <c r="B16" s="311">
        <v>30374.737243548036</v>
      </c>
      <c r="C16" s="312">
        <v>1026.0025346279144</v>
      </c>
      <c r="D16" s="312">
        <v>72682.315063476563</v>
      </c>
      <c r="E16" s="312">
        <v>0</v>
      </c>
      <c r="F16" s="312">
        <v>14669.635607719421</v>
      </c>
      <c r="G16" s="312">
        <v>2036.5992698669434</v>
      </c>
      <c r="H16" s="312">
        <v>0</v>
      </c>
      <c r="I16" s="312">
        <v>105335.46883004159</v>
      </c>
      <c r="J16" s="312">
        <v>2433.4021985530853</v>
      </c>
      <c r="K16" s="312">
        <v>0</v>
      </c>
      <c r="L16" s="312">
        <v>16851.61593354493</v>
      </c>
      <c r="M16" s="312">
        <v>1403.132933139801</v>
      </c>
      <c r="N16" s="312">
        <v>0</v>
      </c>
      <c r="O16" s="312">
        <v>35762.479442490716</v>
      </c>
      <c r="P16" s="312">
        <v>364.69755601882935</v>
      </c>
      <c r="Q16" s="312">
        <v>10119.823880417272</v>
      </c>
      <c r="R16" s="312">
        <v>598.83215999603271</v>
      </c>
      <c r="S16" s="312">
        <v>0</v>
      </c>
      <c r="T16" s="312">
        <v>18209.28560821768</v>
      </c>
      <c r="U16" s="312">
        <v>1433.2576552927494</v>
      </c>
      <c r="V16" s="312">
        <v>0</v>
      </c>
      <c r="W16" s="312">
        <v>146037.35146335111</v>
      </c>
      <c r="X16" s="312">
        <v>5800.9555242955685</v>
      </c>
      <c r="Y16" s="312">
        <v>0</v>
      </c>
      <c r="Z16" s="312">
        <v>203431.54347598553</v>
      </c>
      <c r="AA16" s="313">
        <v>51593.236488338851</v>
      </c>
      <c r="AB16" s="314">
        <v>0</v>
      </c>
      <c r="AC16" s="314">
        <v>31400.73977817595</v>
      </c>
      <c r="AD16" s="314">
        <v>16706.234877586365</v>
      </c>
      <c r="AE16" s="314">
        <v>107768.87102859467</v>
      </c>
      <c r="AF16" s="314">
        <v>18254.748866684731</v>
      </c>
      <c r="AG16" s="314">
        <v>36127.176998509545</v>
      </c>
      <c r="AH16" s="314">
        <v>10718.656040413305</v>
      </c>
      <c r="AI16" s="314">
        <v>19642.54326351043</v>
      </c>
      <c r="AJ16" s="315">
        <v>151838.30698764668</v>
      </c>
    </row>
    <row r="17" spans="1:36" x14ac:dyDescent="0.25">
      <c r="A17">
        <v>1940</v>
      </c>
      <c r="B17" s="311">
        <v>30405.938154950738</v>
      </c>
      <c r="C17" s="312">
        <v>1026.0025346279144</v>
      </c>
      <c r="D17" s="312">
        <v>61261.331787109375</v>
      </c>
      <c r="E17" s="312">
        <v>0</v>
      </c>
      <c r="F17" s="312">
        <v>14634.824818879366</v>
      </c>
      <c r="G17" s="312">
        <v>2036.5992698669434</v>
      </c>
      <c r="H17" s="312">
        <v>0</v>
      </c>
      <c r="I17" s="312">
        <v>103161.08329606801</v>
      </c>
      <c r="J17" s="312">
        <v>2195.3051946163177</v>
      </c>
      <c r="K17" s="312">
        <v>0</v>
      </c>
      <c r="L17" s="312">
        <v>16539.827585011699</v>
      </c>
      <c r="M17" s="312">
        <v>1383.2634892463684</v>
      </c>
      <c r="N17" s="312">
        <v>0</v>
      </c>
      <c r="O17" s="312">
        <v>25820.400998918787</v>
      </c>
      <c r="P17" s="312">
        <v>304.02299833297729</v>
      </c>
      <c r="Q17" s="312">
        <v>12505.363113299012</v>
      </c>
      <c r="R17" s="312">
        <v>598.83215999603271</v>
      </c>
      <c r="S17" s="312">
        <v>0</v>
      </c>
      <c r="T17" s="312">
        <v>23150.529915667699</v>
      </c>
      <c r="U17" s="312">
        <v>1507.4078702628613</v>
      </c>
      <c r="V17" s="312">
        <v>0</v>
      </c>
      <c r="W17" s="312">
        <v>140122.96890130983</v>
      </c>
      <c r="X17" s="312">
        <v>5783.2685486935079</v>
      </c>
      <c r="Y17" s="312">
        <v>0</v>
      </c>
      <c r="Z17" s="312">
        <v>236940.86011624336</v>
      </c>
      <c r="AA17" s="313">
        <v>91034.62266624003</v>
      </c>
      <c r="AB17" s="314">
        <v>0</v>
      </c>
      <c r="AC17" s="314">
        <v>31431.940689578652</v>
      </c>
      <c r="AD17" s="314">
        <v>16671.424088746309</v>
      </c>
      <c r="AE17" s="314">
        <v>105356.38849068433</v>
      </c>
      <c r="AF17" s="314">
        <v>17923.091074258067</v>
      </c>
      <c r="AG17" s="314">
        <v>26124.423997251764</v>
      </c>
      <c r="AH17" s="314">
        <v>13104.195273295045</v>
      </c>
      <c r="AI17" s="314">
        <v>24657.93778593056</v>
      </c>
      <c r="AJ17" s="315">
        <v>145906.23745000333</v>
      </c>
    </row>
    <row r="18" spans="1:36" x14ac:dyDescent="0.25">
      <c r="A18">
        <v>1941</v>
      </c>
      <c r="B18" s="311">
        <v>31206.555627413094</v>
      </c>
      <c r="C18" s="312">
        <v>1026.0025346279144</v>
      </c>
      <c r="D18" s="312">
        <v>174052.20443725586</v>
      </c>
      <c r="E18" s="312">
        <v>0</v>
      </c>
      <c r="F18" s="312">
        <v>15363.179380513728</v>
      </c>
      <c r="G18" s="312">
        <v>2036.5992698669434</v>
      </c>
      <c r="H18" s="312">
        <v>0</v>
      </c>
      <c r="I18" s="312">
        <v>99464.535385325551</v>
      </c>
      <c r="J18" s="312">
        <v>2696.0298421382904</v>
      </c>
      <c r="K18" s="312">
        <v>0</v>
      </c>
      <c r="L18" s="312">
        <v>15289.67147608845</v>
      </c>
      <c r="M18" s="312">
        <v>1391.8434882164001</v>
      </c>
      <c r="N18" s="312">
        <v>0</v>
      </c>
      <c r="O18" s="312">
        <v>44993.028248576898</v>
      </c>
      <c r="P18" s="312">
        <v>491.40815997123718</v>
      </c>
      <c r="Q18" s="312">
        <v>22743.308371309191</v>
      </c>
      <c r="R18" s="312">
        <v>598.83215999603271</v>
      </c>
      <c r="S18" s="312">
        <v>0</v>
      </c>
      <c r="T18" s="312">
        <v>27506.306688822435</v>
      </c>
      <c r="U18" s="312">
        <v>1555.8420432209969</v>
      </c>
      <c r="V18" s="312">
        <v>0</v>
      </c>
      <c r="W18" s="312">
        <v>123661.31728747829</v>
      </c>
      <c r="X18" s="312">
        <v>5923.695550389335</v>
      </c>
      <c r="Y18" s="312">
        <v>0</v>
      </c>
      <c r="Z18" s="312">
        <v>196432.67501354218</v>
      </c>
      <c r="AA18" s="313">
        <v>66847.662175674544</v>
      </c>
      <c r="AB18" s="314">
        <v>0</v>
      </c>
      <c r="AC18" s="314">
        <v>32232.558162041008</v>
      </c>
      <c r="AD18" s="314">
        <v>17399.778650380671</v>
      </c>
      <c r="AE18" s="314">
        <v>102160.56522746384</v>
      </c>
      <c r="AF18" s="314">
        <v>16681.51496430485</v>
      </c>
      <c r="AG18" s="314">
        <v>45484.436408548136</v>
      </c>
      <c r="AH18" s="314">
        <v>23342.140531305224</v>
      </c>
      <c r="AI18" s="314">
        <v>29062.148732043432</v>
      </c>
      <c r="AJ18" s="315">
        <v>129585.01283786763</v>
      </c>
    </row>
    <row r="19" spans="1:36" x14ac:dyDescent="0.25">
      <c r="A19">
        <v>1942</v>
      </c>
      <c r="B19" s="311">
        <v>32597.527664616704</v>
      </c>
      <c r="C19" s="312">
        <v>1026.0025346279144</v>
      </c>
      <c r="D19" s="312">
        <v>84394.242469787598</v>
      </c>
      <c r="E19" s="312">
        <v>0</v>
      </c>
      <c r="F19" s="312">
        <v>15797.90575915575</v>
      </c>
      <c r="G19" s="312">
        <v>2036.5992698669434</v>
      </c>
      <c r="H19" s="312">
        <v>0</v>
      </c>
      <c r="I19" s="312">
        <v>105525.98473417014</v>
      </c>
      <c r="J19" s="312">
        <v>2340.2241418361664</v>
      </c>
      <c r="K19" s="312">
        <v>0</v>
      </c>
      <c r="L19" s="312">
        <v>16587.584125727411</v>
      </c>
      <c r="M19" s="312">
        <v>1438.5394735336304</v>
      </c>
      <c r="N19" s="312">
        <v>0</v>
      </c>
      <c r="O19" s="312">
        <v>48036.574380560298</v>
      </c>
      <c r="P19" s="312">
        <v>536.64314937591553</v>
      </c>
      <c r="Q19" s="312">
        <v>16021.009150348604</v>
      </c>
      <c r="R19" s="312">
        <v>598.83215999603271</v>
      </c>
      <c r="S19" s="312">
        <v>0</v>
      </c>
      <c r="T19" s="312">
        <v>27734.547546147929</v>
      </c>
      <c r="U19" s="312">
        <v>1582.1597941666842</v>
      </c>
      <c r="V19" s="312">
        <v>0</v>
      </c>
      <c r="W19" s="312">
        <v>131219.13296079979</v>
      </c>
      <c r="X19" s="312">
        <v>5956.0490202382207</v>
      </c>
      <c r="Y19" s="312">
        <v>0</v>
      </c>
      <c r="Z19" s="312">
        <v>187064.6359872818</v>
      </c>
      <c r="AA19" s="313">
        <v>49889.454006243788</v>
      </c>
      <c r="AB19" s="314">
        <v>0</v>
      </c>
      <c r="AC19" s="314">
        <v>33623.530199244618</v>
      </c>
      <c r="AD19" s="314">
        <v>17834.505029022694</v>
      </c>
      <c r="AE19" s="314">
        <v>107866.20887600631</v>
      </c>
      <c r="AF19" s="314">
        <v>18026.123599261042</v>
      </c>
      <c r="AG19" s="314">
        <v>48573.217529936213</v>
      </c>
      <c r="AH19" s="314">
        <v>16619.841310344636</v>
      </c>
      <c r="AI19" s="314">
        <v>29316.707340314613</v>
      </c>
      <c r="AJ19" s="315">
        <v>137175.18198103801</v>
      </c>
    </row>
    <row r="20" spans="1:36" x14ac:dyDescent="0.25">
      <c r="A20">
        <v>1943</v>
      </c>
      <c r="B20" s="311">
        <v>32833.540801882744</v>
      </c>
      <c r="C20" s="312">
        <v>1026.0025346279144</v>
      </c>
      <c r="D20" s="312">
        <v>86204.664123535156</v>
      </c>
      <c r="E20" s="312">
        <v>0</v>
      </c>
      <c r="F20" s="312">
        <v>15923.55750310421</v>
      </c>
      <c r="G20" s="312">
        <v>2036.5992698669434</v>
      </c>
      <c r="H20" s="312">
        <v>0</v>
      </c>
      <c r="I20" s="312">
        <v>103417.68868635595</v>
      </c>
      <c r="J20" s="312">
        <v>2069.5491559505463</v>
      </c>
      <c r="K20" s="312">
        <v>0</v>
      </c>
      <c r="L20" s="312">
        <v>16152.56277970223</v>
      </c>
      <c r="M20" s="312">
        <v>1327.573691368103</v>
      </c>
      <c r="N20" s="312">
        <v>0</v>
      </c>
      <c r="O20" s="312">
        <v>39185.36632291969</v>
      </c>
      <c r="P20" s="312">
        <v>353.72037434577942</v>
      </c>
      <c r="Q20" s="312">
        <v>15592.385706160218</v>
      </c>
      <c r="R20" s="312">
        <v>598.83215999603271</v>
      </c>
      <c r="S20" s="312">
        <v>0</v>
      </c>
      <c r="T20" s="312">
        <v>26991.201039000975</v>
      </c>
      <c r="U20" s="312">
        <v>1592.528636470437</v>
      </c>
      <c r="V20" s="312">
        <v>0</v>
      </c>
      <c r="W20" s="312">
        <v>132756.965241078</v>
      </c>
      <c r="X20" s="312">
        <v>5886.5399483889341</v>
      </c>
      <c r="Y20" s="312">
        <v>0</v>
      </c>
      <c r="Z20" s="312">
        <v>209840.0395219326</v>
      </c>
      <c r="AA20" s="313">
        <v>71196.534332465671</v>
      </c>
      <c r="AB20" s="314">
        <v>0</v>
      </c>
      <c r="AC20" s="314">
        <v>33859.543336510658</v>
      </c>
      <c r="AD20" s="314">
        <v>17960.156772971153</v>
      </c>
      <c r="AE20" s="314">
        <v>105487.23784230649</v>
      </c>
      <c r="AF20" s="314">
        <v>17480.136471070335</v>
      </c>
      <c r="AG20" s="314">
        <v>39539.086697265469</v>
      </c>
      <c r="AH20" s="314">
        <v>16191.21786615625</v>
      </c>
      <c r="AI20" s="314">
        <v>28583.729675471412</v>
      </c>
      <c r="AJ20" s="315">
        <v>138643.50518946693</v>
      </c>
    </row>
    <row r="21" spans="1:36" x14ac:dyDescent="0.25">
      <c r="A21">
        <v>1944</v>
      </c>
      <c r="B21" s="311">
        <v>32652.725979708135</v>
      </c>
      <c r="C21" s="312">
        <v>1026.0025346279144</v>
      </c>
      <c r="D21" s="312">
        <v>115459.37182617188</v>
      </c>
      <c r="E21" s="312">
        <v>0</v>
      </c>
      <c r="F21" s="312">
        <v>16109.570566866547</v>
      </c>
      <c r="G21" s="312">
        <v>2036.5992698669434</v>
      </c>
      <c r="H21" s="312">
        <v>0</v>
      </c>
      <c r="I21" s="312">
        <v>105754.89382776618</v>
      </c>
      <c r="J21" s="312">
        <v>2633.7941167354584</v>
      </c>
      <c r="K21" s="312">
        <v>0</v>
      </c>
      <c r="L21" s="312">
        <v>16404.469203494489</v>
      </c>
      <c r="M21" s="312">
        <v>1241.1229095458984</v>
      </c>
      <c r="N21" s="312">
        <v>0</v>
      </c>
      <c r="O21" s="312">
        <v>47568.708298905272</v>
      </c>
      <c r="P21" s="312">
        <v>498.26240015029907</v>
      </c>
      <c r="Q21" s="312">
        <v>19609.060748584569</v>
      </c>
      <c r="R21" s="312">
        <v>598.83215999603271</v>
      </c>
      <c r="S21" s="312">
        <v>0</v>
      </c>
      <c r="T21" s="312">
        <v>27928.787941887604</v>
      </c>
      <c r="U21" s="312">
        <v>1590.1351171731949</v>
      </c>
      <c r="V21" s="312">
        <v>0</v>
      </c>
      <c r="W21" s="312">
        <v>128702.60688153251</v>
      </c>
      <c r="X21" s="312">
        <v>5894.1916200630367</v>
      </c>
      <c r="Y21" s="312">
        <v>0</v>
      </c>
      <c r="Z21" s="312">
        <v>210278.97888898849</v>
      </c>
      <c r="AA21" s="313">
        <v>75682.180387392946</v>
      </c>
      <c r="AB21" s="314">
        <v>0</v>
      </c>
      <c r="AC21" s="314">
        <v>33678.72851433605</v>
      </c>
      <c r="AD21" s="314">
        <v>18146.16983673349</v>
      </c>
      <c r="AE21" s="314">
        <v>108388.68794450164</v>
      </c>
      <c r="AF21" s="314">
        <v>17645.592113040388</v>
      </c>
      <c r="AG21" s="314">
        <v>48066.970699055571</v>
      </c>
      <c r="AH21" s="314">
        <v>20207.892908580601</v>
      </c>
      <c r="AI21" s="314">
        <v>29518.923059060799</v>
      </c>
      <c r="AJ21" s="315">
        <v>134596.79850159556</v>
      </c>
    </row>
    <row r="22" spans="1:36" x14ac:dyDescent="0.25">
      <c r="A22">
        <v>1945</v>
      </c>
      <c r="B22" s="311">
        <v>32521.773738659918</v>
      </c>
      <c r="C22" s="312">
        <v>1026.0025346279144</v>
      </c>
      <c r="D22" s="312">
        <v>103386.51266479492</v>
      </c>
      <c r="E22" s="312">
        <v>0</v>
      </c>
      <c r="F22" s="312">
        <v>15749.177778422832</v>
      </c>
      <c r="G22" s="312">
        <v>2036.5992698669434</v>
      </c>
      <c r="H22" s="312">
        <v>0</v>
      </c>
      <c r="I22" s="312">
        <v>106845.30101559311</v>
      </c>
      <c r="J22" s="312">
        <v>2630.0041387081146</v>
      </c>
      <c r="K22" s="312">
        <v>0</v>
      </c>
      <c r="L22" s="312">
        <v>16714.949620753527</v>
      </c>
      <c r="M22" s="312">
        <v>1324.7190070152283</v>
      </c>
      <c r="N22" s="312">
        <v>0</v>
      </c>
      <c r="O22" s="312">
        <v>40098.270114412306</v>
      </c>
      <c r="P22" s="312">
        <v>344.87947225570679</v>
      </c>
      <c r="Q22" s="312">
        <v>15860.436730362475</v>
      </c>
      <c r="R22" s="312">
        <v>598.83215999603271</v>
      </c>
      <c r="S22" s="312">
        <v>0</v>
      </c>
      <c r="T22" s="312">
        <v>27564.222383379565</v>
      </c>
      <c r="U22" s="312">
        <v>1575.9483808577061</v>
      </c>
      <c r="V22" s="312">
        <v>0</v>
      </c>
      <c r="W22" s="312">
        <v>133702.10698354588</v>
      </c>
      <c r="X22" s="312">
        <v>5877.1961567403323</v>
      </c>
      <c r="Y22" s="312">
        <v>0</v>
      </c>
      <c r="Z22" s="312">
        <v>214999.11407411098</v>
      </c>
      <c r="AA22" s="313">
        <v>75419.810933824774</v>
      </c>
      <c r="AB22" s="314">
        <v>0</v>
      </c>
      <c r="AC22" s="314">
        <v>33547.776273287833</v>
      </c>
      <c r="AD22" s="314">
        <v>17785.777048289776</v>
      </c>
      <c r="AE22" s="314">
        <v>109475.30515430123</v>
      </c>
      <c r="AF22" s="314">
        <v>18039.668627768755</v>
      </c>
      <c r="AG22" s="314">
        <v>40443.149586668012</v>
      </c>
      <c r="AH22" s="314">
        <v>16459.268890358508</v>
      </c>
      <c r="AI22" s="314">
        <v>29140.170764237271</v>
      </c>
      <c r="AJ22" s="315">
        <v>139579.30314028621</v>
      </c>
    </row>
    <row r="23" spans="1:36" x14ac:dyDescent="0.25">
      <c r="A23">
        <v>1946</v>
      </c>
      <c r="B23" s="311">
        <v>31460.104874156415</v>
      </c>
      <c r="C23" s="312">
        <v>1026.0025346279144</v>
      </c>
      <c r="D23" s="312">
        <v>38596.943098068237</v>
      </c>
      <c r="E23" s="312">
        <v>0</v>
      </c>
      <c r="F23" s="312">
        <v>15450.999692365527</v>
      </c>
      <c r="G23" s="312">
        <v>2036.5992698669434</v>
      </c>
      <c r="H23" s="312">
        <v>0</v>
      </c>
      <c r="I23" s="312">
        <v>103372.64295819402</v>
      </c>
      <c r="J23" s="312">
        <v>2334.542430639267</v>
      </c>
      <c r="K23" s="312">
        <v>0</v>
      </c>
      <c r="L23" s="312">
        <v>16122.051117556373</v>
      </c>
      <c r="M23" s="312">
        <v>1331.380717664957</v>
      </c>
      <c r="N23" s="312">
        <v>0</v>
      </c>
      <c r="O23" s="312">
        <v>28694.642833753005</v>
      </c>
      <c r="P23" s="312">
        <v>293.4656355381012</v>
      </c>
      <c r="Q23" s="312">
        <v>12428.141948968172</v>
      </c>
      <c r="R23" s="312">
        <v>598.83215999603271</v>
      </c>
      <c r="S23" s="312">
        <v>0</v>
      </c>
      <c r="T23" s="312">
        <v>21026.350931614266</v>
      </c>
      <c r="U23" s="312">
        <v>1462.3693815171719</v>
      </c>
      <c r="V23" s="312">
        <v>0</v>
      </c>
      <c r="W23" s="312">
        <v>137158.70984946535</v>
      </c>
      <c r="X23" s="312">
        <v>5849.1684772727685</v>
      </c>
      <c r="Y23" s="312">
        <v>0</v>
      </c>
      <c r="Z23" s="312">
        <v>225840.04540252686</v>
      </c>
      <c r="AA23" s="313">
        <v>82832.167075788733</v>
      </c>
      <c r="AB23" s="314">
        <v>0</v>
      </c>
      <c r="AC23" s="314">
        <v>32486.10740878433</v>
      </c>
      <c r="AD23" s="314">
        <v>17487.598962232471</v>
      </c>
      <c r="AE23" s="314">
        <v>105707.18538883328</v>
      </c>
      <c r="AF23" s="314">
        <v>17453.43183522133</v>
      </c>
      <c r="AG23" s="314">
        <v>28988.108469291106</v>
      </c>
      <c r="AH23" s="314">
        <v>13026.974108964205</v>
      </c>
      <c r="AI23" s="314">
        <v>22488.720313131438</v>
      </c>
      <c r="AJ23" s="315">
        <v>143007.87832673811</v>
      </c>
    </row>
    <row r="24" spans="1:36" x14ac:dyDescent="0.25">
      <c r="A24">
        <v>1947</v>
      </c>
      <c r="B24" s="311">
        <v>30124.933060914278</v>
      </c>
      <c r="C24" s="312">
        <v>1026.0025346279144</v>
      </c>
      <c r="D24" s="312">
        <v>69014.953369140625</v>
      </c>
      <c r="E24" s="312">
        <v>0</v>
      </c>
      <c r="F24" s="312">
        <v>15042.340457072482</v>
      </c>
      <c r="G24" s="312">
        <v>2036.5992698669434</v>
      </c>
      <c r="H24" s="312">
        <v>0</v>
      </c>
      <c r="I24" s="312">
        <v>101521.57652132213</v>
      </c>
      <c r="J24" s="312">
        <v>2618.2039620876312</v>
      </c>
      <c r="K24" s="312">
        <v>0</v>
      </c>
      <c r="L24" s="312">
        <v>15683.062720209347</v>
      </c>
      <c r="M24" s="312">
        <v>1333.2977938652039</v>
      </c>
      <c r="N24" s="312">
        <v>0</v>
      </c>
      <c r="O24" s="312">
        <v>39537.457884340067</v>
      </c>
      <c r="P24" s="312">
        <v>335.24912881851196</v>
      </c>
      <c r="Q24" s="312">
        <v>16402.830129288137</v>
      </c>
      <c r="R24" s="312">
        <v>598.83215999603271</v>
      </c>
      <c r="S24" s="312">
        <v>0</v>
      </c>
      <c r="T24" s="312">
        <v>25628.909647807108</v>
      </c>
      <c r="U24" s="312">
        <v>1536.6427546739578</v>
      </c>
      <c r="V24" s="312">
        <v>0</v>
      </c>
      <c r="W24" s="312">
        <v>128669.38480857357</v>
      </c>
      <c r="X24" s="312">
        <v>5859.2019937317018</v>
      </c>
      <c r="Y24" s="312">
        <v>0</v>
      </c>
      <c r="Z24" s="312">
        <v>210774.2971739769</v>
      </c>
      <c r="AA24" s="313">
        <v>76245.710371671623</v>
      </c>
      <c r="AB24" s="314">
        <v>0</v>
      </c>
      <c r="AC24" s="314">
        <v>31150.935595542192</v>
      </c>
      <c r="AD24" s="314">
        <v>17078.939726939425</v>
      </c>
      <c r="AE24" s="314">
        <v>104139.78048340976</v>
      </c>
      <c r="AF24" s="314">
        <v>17016.360514074549</v>
      </c>
      <c r="AG24" s="314">
        <v>39872.707013158579</v>
      </c>
      <c r="AH24" s="314">
        <v>17001.66228928417</v>
      </c>
      <c r="AI24" s="314">
        <v>27165.552402481066</v>
      </c>
      <c r="AJ24" s="315">
        <v>134528.58680230528</v>
      </c>
    </row>
    <row r="25" spans="1:36" x14ac:dyDescent="0.25">
      <c r="A25">
        <v>1948</v>
      </c>
      <c r="B25" s="311">
        <v>32879.89634180069</v>
      </c>
      <c r="C25" s="312">
        <v>1026.0025346279144</v>
      </c>
      <c r="D25" s="312">
        <v>105388.2919921875</v>
      </c>
      <c r="E25" s="312">
        <v>0</v>
      </c>
      <c r="F25" s="312">
        <v>16015.982196085155</v>
      </c>
      <c r="G25" s="312">
        <v>2036.5992698669434</v>
      </c>
      <c r="H25" s="312">
        <v>0</v>
      </c>
      <c r="I25" s="312">
        <v>108122.19316349179</v>
      </c>
      <c r="J25" s="312">
        <v>2471.3611905574799</v>
      </c>
      <c r="K25" s="312">
        <v>0</v>
      </c>
      <c r="L25" s="312">
        <v>16784.425723999742</v>
      </c>
      <c r="M25" s="312">
        <v>912.17925810813904</v>
      </c>
      <c r="N25" s="312">
        <v>0</v>
      </c>
      <c r="O25" s="312">
        <v>48488.363657547612</v>
      </c>
      <c r="P25" s="312">
        <v>522.24778413772583</v>
      </c>
      <c r="Q25" s="312">
        <v>16372.408016383648</v>
      </c>
      <c r="R25" s="312">
        <v>598.83215999603271</v>
      </c>
      <c r="S25" s="312">
        <v>0</v>
      </c>
      <c r="T25" s="312">
        <v>25811.477014541255</v>
      </c>
      <c r="U25" s="312">
        <v>1568.7454395592213</v>
      </c>
      <c r="V25" s="312">
        <v>0</v>
      </c>
      <c r="W25" s="312">
        <v>135437.68881516502</v>
      </c>
      <c r="X25" s="312">
        <v>5901.4129563011229</v>
      </c>
      <c r="Y25" s="312">
        <v>0</v>
      </c>
      <c r="Z25" s="312">
        <v>197658.59954166412</v>
      </c>
      <c r="AA25" s="313">
        <v>56319.497770197981</v>
      </c>
      <c r="AB25" s="314">
        <v>0</v>
      </c>
      <c r="AC25" s="314">
        <v>33905.898876428604</v>
      </c>
      <c r="AD25" s="314">
        <v>18052.581465952098</v>
      </c>
      <c r="AE25" s="314">
        <v>110593.55435404927</v>
      </c>
      <c r="AF25" s="314">
        <v>17696.604982107881</v>
      </c>
      <c r="AG25" s="314">
        <v>49010.611441685338</v>
      </c>
      <c r="AH25" s="314">
        <v>16971.240176379681</v>
      </c>
      <c r="AI25" s="314">
        <v>27380.222454100476</v>
      </c>
      <c r="AJ25" s="315">
        <v>141339.10177146614</v>
      </c>
    </row>
    <row r="26" spans="1:36" x14ac:dyDescent="0.25">
      <c r="A26">
        <v>1949</v>
      </c>
      <c r="B26" s="311">
        <v>32749.576065406203</v>
      </c>
      <c r="C26" s="312">
        <v>1026.0025346279144</v>
      </c>
      <c r="D26" s="312">
        <v>123890.13906097412</v>
      </c>
      <c r="E26" s="312">
        <v>0</v>
      </c>
      <c r="F26" s="312">
        <v>16031.843831807375</v>
      </c>
      <c r="G26" s="312">
        <v>2036.5992698669434</v>
      </c>
      <c r="H26" s="312">
        <v>0</v>
      </c>
      <c r="I26" s="312">
        <v>105831.65972803533</v>
      </c>
      <c r="J26" s="312">
        <v>2390.0671117305756</v>
      </c>
      <c r="K26" s="312">
        <v>0</v>
      </c>
      <c r="L26" s="312">
        <v>16402.546855336946</v>
      </c>
      <c r="M26" s="312">
        <v>1387.5271005034447</v>
      </c>
      <c r="N26" s="312">
        <v>0</v>
      </c>
      <c r="O26" s="312">
        <v>47505.77671702065</v>
      </c>
      <c r="P26" s="312">
        <v>509.32354855537415</v>
      </c>
      <c r="Q26" s="312">
        <v>21371.050236076117</v>
      </c>
      <c r="R26" s="312">
        <v>598.83215999603271</v>
      </c>
      <c r="S26" s="312">
        <v>0</v>
      </c>
      <c r="T26" s="312">
        <v>27891.40659527816</v>
      </c>
      <c r="U26" s="312">
        <v>1595.1996117830276</v>
      </c>
      <c r="V26" s="312">
        <v>0</v>
      </c>
      <c r="W26" s="312">
        <v>129775.27807286724</v>
      </c>
      <c r="X26" s="312">
        <v>5896.6381503859157</v>
      </c>
      <c r="Y26" s="312">
        <v>0</v>
      </c>
      <c r="Z26" s="312">
        <v>221396.19322860241</v>
      </c>
      <c r="AA26" s="313">
        <v>85724.277005349257</v>
      </c>
      <c r="AB26" s="314">
        <v>0</v>
      </c>
      <c r="AC26" s="314">
        <v>33775.578600034118</v>
      </c>
      <c r="AD26" s="314">
        <v>18068.443101674318</v>
      </c>
      <c r="AE26" s="314">
        <v>108221.72683976591</v>
      </c>
      <c r="AF26" s="314">
        <v>17790.073955840391</v>
      </c>
      <c r="AG26" s="314">
        <v>48015.100265576024</v>
      </c>
      <c r="AH26" s="314">
        <v>21969.882396072149</v>
      </c>
      <c r="AI26" s="314">
        <v>29486.606207061188</v>
      </c>
      <c r="AJ26" s="315">
        <v>135671.91622325315</v>
      </c>
    </row>
    <row r="27" spans="1:36" x14ac:dyDescent="0.25">
      <c r="A27">
        <v>1950</v>
      </c>
      <c r="B27" s="311">
        <v>34286.005364045501</v>
      </c>
      <c r="C27" s="312">
        <v>1026.0025346279144</v>
      </c>
      <c r="D27" s="312">
        <v>53772.865539550781</v>
      </c>
      <c r="E27" s="312">
        <v>0</v>
      </c>
      <c r="F27" s="312">
        <v>16217.276028670371</v>
      </c>
      <c r="G27" s="312">
        <v>2036.5992698669434</v>
      </c>
      <c r="H27" s="312">
        <v>0</v>
      </c>
      <c r="I27" s="312">
        <v>112185.96634538472</v>
      </c>
      <c r="J27" s="312">
        <v>2434.0240323543549</v>
      </c>
      <c r="K27" s="312">
        <v>0</v>
      </c>
      <c r="L27" s="312">
        <v>16744.710959881555</v>
      </c>
      <c r="M27" s="312">
        <v>1359.4136896133423</v>
      </c>
      <c r="N27" s="312">
        <v>0</v>
      </c>
      <c r="O27" s="312">
        <v>32561.05912256099</v>
      </c>
      <c r="P27" s="312">
        <v>330.66846084594727</v>
      </c>
      <c r="Q27" s="312">
        <v>11380.228502623737</v>
      </c>
      <c r="R27" s="312">
        <v>598.83215999603271</v>
      </c>
      <c r="S27" s="312">
        <v>0</v>
      </c>
      <c r="T27" s="312">
        <v>21581.732684647664</v>
      </c>
      <c r="U27" s="312">
        <v>1526.1593708693981</v>
      </c>
      <c r="V27" s="312">
        <v>0</v>
      </c>
      <c r="W27" s="312">
        <v>142198.59493123338</v>
      </c>
      <c r="X27" s="312">
        <v>5700.6438421466055</v>
      </c>
      <c r="Y27" s="312">
        <v>0</v>
      </c>
      <c r="Z27" s="312">
        <v>225796.41400623322</v>
      </c>
      <c r="AA27" s="313">
        <v>77897.175232853231</v>
      </c>
      <c r="AB27" s="314">
        <v>0</v>
      </c>
      <c r="AC27" s="314">
        <v>35312.007898673415</v>
      </c>
      <c r="AD27" s="314">
        <v>18253.875298537314</v>
      </c>
      <c r="AE27" s="314">
        <v>114619.99037773907</v>
      </c>
      <c r="AF27" s="314">
        <v>18104.124649494897</v>
      </c>
      <c r="AG27" s="314">
        <v>32891.727583406937</v>
      </c>
      <c r="AH27" s="314">
        <v>11979.06066261977</v>
      </c>
      <c r="AI27" s="314">
        <v>23107.892055517063</v>
      </c>
      <c r="AJ27" s="315">
        <v>147899.23877338</v>
      </c>
    </row>
    <row r="28" spans="1:36" x14ac:dyDescent="0.25">
      <c r="A28">
        <v>1951</v>
      </c>
      <c r="B28" s="311">
        <v>31397.317469358444</v>
      </c>
      <c r="C28" s="312">
        <v>1026.0025346279144</v>
      </c>
      <c r="D28" s="312">
        <v>39996.90576171875</v>
      </c>
      <c r="E28" s="312">
        <v>0</v>
      </c>
      <c r="F28" s="312">
        <v>15088.39638299495</v>
      </c>
      <c r="G28" s="312">
        <v>2036.5992698669434</v>
      </c>
      <c r="H28" s="312">
        <v>0</v>
      </c>
      <c r="I28" s="312">
        <v>90062.285757407546</v>
      </c>
      <c r="J28" s="312">
        <v>1843.1478631496429</v>
      </c>
      <c r="K28" s="312">
        <v>0</v>
      </c>
      <c r="L28" s="312">
        <v>16919.395514190193</v>
      </c>
      <c r="M28" s="312">
        <v>1271.371789932251</v>
      </c>
      <c r="N28" s="312">
        <v>0</v>
      </c>
      <c r="O28" s="312">
        <v>22545.062150879279</v>
      </c>
      <c r="P28" s="312">
        <v>282.93470501899719</v>
      </c>
      <c r="Q28" s="312">
        <v>10050.207042343915</v>
      </c>
      <c r="R28" s="312">
        <v>598.83215999603271</v>
      </c>
      <c r="S28" s="312">
        <v>0</v>
      </c>
      <c r="T28" s="312">
        <v>15297.760889601632</v>
      </c>
      <c r="U28" s="312">
        <v>1428.4499570913613</v>
      </c>
      <c r="V28" s="312">
        <v>0</v>
      </c>
      <c r="W28" s="312">
        <v>128899.95932574912</v>
      </c>
      <c r="X28" s="312">
        <v>5123.8288842255315</v>
      </c>
      <c r="Y28" s="312">
        <v>0</v>
      </c>
      <c r="Z28" s="312">
        <v>201529.7941827774</v>
      </c>
      <c r="AA28" s="313">
        <v>67506.005972802755</v>
      </c>
      <c r="AB28" s="314">
        <v>0</v>
      </c>
      <c r="AC28" s="314">
        <v>32423.320003986359</v>
      </c>
      <c r="AD28" s="314">
        <v>17124.995652861893</v>
      </c>
      <c r="AE28" s="314">
        <v>91905.433620557189</v>
      </c>
      <c r="AF28" s="314">
        <v>18190.767304122444</v>
      </c>
      <c r="AG28" s="314">
        <v>22827.996855898276</v>
      </c>
      <c r="AH28" s="314">
        <v>10649.039202339947</v>
      </c>
      <c r="AI28" s="314">
        <v>16726.210846692993</v>
      </c>
      <c r="AJ28" s="315">
        <v>134023.78820997465</v>
      </c>
    </row>
    <row r="29" spans="1:36" x14ac:dyDescent="0.25">
      <c r="A29">
        <v>1952</v>
      </c>
      <c r="B29" s="311">
        <v>35943.856153957546</v>
      </c>
      <c r="C29" s="312">
        <v>1026.0025346279144</v>
      </c>
      <c r="D29" s="312">
        <v>155028.49816894531</v>
      </c>
      <c r="E29" s="312">
        <v>0</v>
      </c>
      <c r="F29" s="312">
        <v>17467.8857229352</v>
      </c>
      <c r="G29" s="312">
        <v>2036.5992698669434</v>
      </c>
      <c r="H29" s="312">
        <v>0</v>
      </c>
      <c r="I29" s="312">
        <v>106960.06698708609</v>
      </c>
      <c r="J29" s="312">
        <v>2554.6039235591888</v>
      </c>
      <c r="K29" s="312">
        <v>0</v>
      </c>
      <c r="L29" s="312">
        <v>16328.205286249537</v>
      </c>
      <c r="M29" s="312">
        <v>1301.4240398406982</v>
      </c>
      <c r="N29" s="312">
        <v>0</v>
      </c>
      <c r="O29" s="312">
        <v>47462.88419009604</v>
      </c>
      <c r="P29" s="312">
        <v>518.25602221488953</v>
      </c>
      <c r="Q29" s="312">
        <v>19561.840960398316</v>
      </c>
      <c r="R29" s="312">
        <v>598.83215999603271</v>
      </c>
      <c r="S29" s="312">
        <v>0</v>
      </c>
      <c r="T29" s="312">
        <v>27353.59922587909</v>
      </c>
      <c r="U29" s="312">
        <v>1594.0267531313002</v>
      </c>
      <c r="V29" s="312">
        <v>0</v>
      </c>
      <c r="W29" s="312">
        <v>145404.9322125052</v>
      </c>
      <c r="X29" s="312">
        <v>5701.0801081098616</v>
      </c>
      <c r="Y29" s="312">
        <v>0</v>
      </c>
      <c r="Z29" s="312">
        <v>248878.65685224533</v>
      </c>
      <c r="AA29" s="313">
        <v>97772.644531630271</v>
      </c>
      <c r="AB29" s="314">
        <v>0</v>
      </c>
      <c r="AC29" s="314">
        <v>36969.85868858546</v>
      </c>
      <c r="AD29" s="314">
        <v>19504.484992802143</v>
      </c>
      <c r="AE29" s="314">
        <v>109514.67091064528</v>
      </c>
      <c r="AF29" s="314">
        <v>17629.629326090235</v>
      </c>
      <c r="AG29" s="314">
        <v>47981.140212310929</v>
      </c>
      <c r="AH29" s="314">
        <v>20160.673120394349</v>
      </c>
      <c r="AI29" s="314">
        <v>28947.62597901039</v>
      </c>
      <c r="AJ29" s="315">
        <v>151106.01232061506</v>
      </c>
    </row>
    <row r="30" spans="1:36" x14ac:dyDescent="0.25">
      <c r="A30">
        <v>1953</v>
      </c>
      <c r="B30" s="311">
        <v>32551.4857949242</v>
      </c>
      <c r="C30" s="312">
        <v>1026.0025346279144</v>
      </c>
      <c r="D30" s="312">
        <v>58468.0283203125</v>
      </c>
      <c r="E30" s="312">
        <v>0</v>
      </c>
      <c r="F30" s="312">
        <v>15702.739633738995</v>
      </c>
      <c r="G30" s="312">
        <v>2036.5992698669434</v>
      </c>
      <c r="H30" s="312">
        <v>0</v>
      </c>
      <c r="I30" s="312">
        <v>103725.82967723161</v>
      </c>
      <c r="J30" s="312">
        <v>2566.3179681301117</v>
      </c>
      <c r="K30" s="312">
        <v>0</v>
      </c>
      <c r="L30" s="312">
        <v>15818.895608104765</v>
      </c>
      <c r="M30" s="312">
        <v>1322.5819845199585</v>
      </c>
      <c r="N30" s="312">
        <v>0</v>
      </c>
      <c r="O30" s="312">
        <v>32937.018242469509</v>
      </c>
      <c r="P30" s="312">
        <v>326.69489049911499</v>
      </c>
      <c r="Q30" s="312">
        <v>11708.845556557178</v>
      </c>
      <c r="R30" s="312">
        <v>598.83215999603271</v>
      </c>
      <c r="S30" s="312">
        <v>0</v>
      </c>
      <c r="T30" s="312">
        <v>18019.518108469176</v>
      </c>
      <c r="U30" s="312">
        <v>1444.792984707281</v>
      </c>
      <c r="V30" s="312">
        <v>0</v>
      </c>
      <c r="W30" s="312">
        <v>130922.96669820293</v>
      </c>
      <c r="X30" s="312">
        <v>5716.637038756955</v>
      </c>
      <c r="Y30" s="312">
        <v>0</v>
      </c>
      <c r="Z30" s="312">
        <v>225266.81286621094</v>
      </c>
      <c r="AA30" s="313">
        <v>88627.209129251045</v>
      </c>
      <c r="AB30" s="314">
        <v>0</v>
      </c>
      <c r="AC30" s="314">
        <v>33577.488329552114</v>
      </c>
      <c r="AD30" s="314">
        <v>17739.338903605938</v>
      </c>
      <c r="AE30" s="314">
        <v>106292.14764536172</v>
      </c>
      <c r="AF30" s="314">
        <v>17141.477592624724</v>
      </c>
      <c r="AG30" s="314">
        <v>33263.713132968624</v>
      </c>
      <c r="AH30" s="314">
        <v>12307.677716553211</v>
      </c>
      <c r="AI30" s="314">
        <v>19464.311093176457</v>
      </c>
      <c r="AJ30" s="315">
        <v>136639.60373695989</v>
      </c>
    </row>
    <row r="31" spans="1:36" x14ac:dyDescent="0.25">
      <c r="A31">
        <v>1954</v>
      </c>
      <c r="B31" s="311">
        <v>32824.006477668881</v>
      </c>
      <c r="C31" s="312">
        <v>1026.0025346279144</v>
      </c>
      <c r="D31" s="312">
        <v>49191.261489868164</v>
      </c>
      <c r="E31" s="312">
        <v>0</v>
      </c>
      <c r="F31" s="312">
        <v>16567.288561552763</v>
      </c>
      <c r="G31" s="312">
        <v>2036.5992698669434</v>
      </c>
      <c r="H31" s="312">
        <v>0</v>
      </c>
      <c r="I31" s="312">
        <v>101547.74578996003</v>
      </c>
      <c r="J31" s="312">
        <v>2424.1690671443939</v>
      </c>
      <c r="K31" s="312">
        <v>0</v>
      </c>
      <c r="L31" s="312">
        <v>15727.846177928132</v>
      </c>
      <c r="M31" s="312">
        <v>1422.4178252220154</v>
      </c>
      <c r="N31" s="312">
        <v>0</v>
      </c>
      <c r="O31" s="312">
        <v>31936.325594289672</v>
      </c>
      <c r="P31" s="312">
        <v>313.34165453910828</v>
      </c>
      <c r="Q31" s="312">
        <v>9660.2490800768137</v>
      </c>
      <c r="R31" s="312">
        <v>598.83215999603271</v>
      </c>
      <c r="S31" s="312">
        <v>0</v>
      </c>
      <c r="T31" s="312">
        <v>18524.517532934995</v>
      </c>
      <c r="U31" s="312">
        <v>1427.507182598114</v>
      </c>
      <c r="V31" s="312">
        <v>0</v>
      </c>
      <c r="W31" s="312">
        <v>134729.36569738731</v>
      </c>
      <c r="X31" s="312">
        <v>5678.9337385669351</v>
      </c>
      <c r="Y31" s="312">
        <v>0</v>
      </c>
      <c r="Z31" s="312">
        <v>240840.89907646179</v>
      </c>
      <c r="AA31" s="313">
        <v>100432.59964050754</v>
      </c>
      <c r="AB31" s="314">
        <v>0</v>
      </c>
      <c r="AC31" s="314">
        <v>33850.009012296796</v>
      </c>
      <c r="AD31" s="314">
        <v>18603.887831419706</v>
      </c>
      <c r="AE31" s="314">
        <v>103971.91485710442</v>
      </c>
      <c r="AF31" s="314">
        <v>17150.264003150147</v>
      </c>
      <c r="AG31" s="314">
        <v>32249.66724882878</v>
      </c>
      <c r="AH31" s="314">
        <v>10259.081240072846</v>
      </c>
      <c r="AI31" s="314">
        <v>19952.024715533109</v>
      </c>
      <c r="AJ31" s="315">
        <v>140408.29943595425</v>
      </c>
    </row>
    <row r="32" spans="1:36" x14ac:dyDescent="0.25">
      <c r="A32">
        <v>1955</v>
      </c>
      <c r="B32" s="311">
        <v>32342.375977270305</v>
      </c>
      <c r="C32" s="312">
        <v>1026.0025346279144</v>
      </c>
      <c r="D32" s="312">
        <v>46107.563781738281</v>
      </c>
      <c r="E32" s="312">
        <v>0</v>
      </c>
      <c r="F32" s="312">
        <v>15898.799339320511</v>
      </c>
      <c r="G32" s="312">
        <v>2036.5992698669434</v>
      </c>
      <c r="H32" s="312">
        <v>0</v>
      </c>
      <c r="I32" s="312">
        <v>102773.6952781938</v>
      </c>
      <c r="J32" s="312">
        <v>2632.1887032985687</v>
      </c>
      <c r="K32" s="312">
        <v>0</v>
      </c>
      <c r="L32" s="312">
        <v>16060.473211891953</v>
      </c>
      <c r="M32" s="312">
        <v>1307.7977366447449</v>
      </c>
      <c r="N32" s="312">
        <v>0</v>
      </c>
      <c r="O32" s="312">
        <v>30005.861730037701</v>
      </c>
      <c r="P32" s="312">
        <v>313.48513579368591</v>
      </c>
      <c r="Q32" s="312">
        <v>11210.242236450315</v>
      </c>
      <c r="R32" s="312">
        <v>598.83215999603271</v>
      </c>
      <c r="S32" s="312">
        <v>0</v>
      </c>
      <c r="T32" s="312">
        <v>20425.746935859697</v>
      </c>
      <c r="U32" s="312">
        <v>1479.4955325722694</v>
      </c>
      <c r="V32" s="312">
        <v>0</v>
      </c>
      <c r="W32" s="312">
        <v>117431.23736867651</v>
      </c>
      <c r="X32" s="312">
        <v>5635.5598104481687</v>
      </c>
      <c r="Y32" s="312">
        <v>0</v>
      </c>
      <c r="Z32" s="312">
        <v>215498.89399719238</v>
      </c>
      <c r="AA32" s="313">
        <v>92432.096818067716</v>
      </c>
      <c r="AB32" s="314">
        <v>0</v>
      </c>
      <c r="AC32" s="314">
        <v>33368.37851189822</v>
      </c>
      <c r="AD32" s="314">
        <v>17935.398609187454</v>
      </c>
      <c r="AE32" s="314">
        <v>105405.88398149237</v>
      </c>
      <c r="AF32" s="314">
        <v>17368.270948536698</v>
      </c>
      <c r="AG32" s="314">
        <v>30319.346865831387</v>
      </c>
      <c r="AH32" s="314">
        <v>11809.074396446347</v>
      </c>
      <c r="AI32" s="314">
        <v>21905.242468431967</v>
      </c>
      <c r="AJ32" s="315">
        <v>123066.79717912467</v>
      </c>
    </row>
    <row r="33" spans="1:36" x14ac:dyDescent="0.25">
      <c r="A33">
        <v>1956</v>
      </c>
      <c r="B33" s="311">
        <v>32405.807645309716</v>
      </c>
      <c r="C33" s="312">
        <v>1026.0025346279144</v>
      </c>
      <c r="D33" s="312">
        <v>56676.412353515625</v>
      </c>
      <c r="E33" s="312">
        <v>0</v>
      </c>
      <c r="F33" s="312">
        <v>15621.842332586646</v>
      </c>
      <c r="G33" s="312">
        <v>2036.5992698669434</v>
      </c>
      <c r="H33" s="312">
        <v>0</v>
      </c>
      <c r="I33" s="312">
        <v>114726.01238071918</v>
      </c>
      <c r="J33" s="312">
        <v>2701.0620763301849</v>
      </c>
      <c r="K33" s="312">
        <v>0</v>
      </c>
      <c r="L33" s="312">
        <v>18232.526757344596</v>
      </c>
      <c r="M33" s="312">
        <v>1371.3970828056335</v>
      </c>
      <c r="N33" s="312">
        <v>0</v>
      </c>
      <c r="O33" s="312">
        <v>27144.276443822757</v>
      </c>
      <c r="P33" s="312">
        <v>303.62273526191711</v>
      </c>
      <c r="Q33" s="312">
        <v>11010.946844130754</v>
      </c>
      <c r="R33" s="312">
        <v>598.83215999603271</v>
      </c>
      <c r="S33" s="312">
        <v>0</v>
      </c>
      <c r="T33" s="312">
        <v>18290.563703574171</v>
      </c>
      <c r="U33" s="312">
        <v>1474.134828209877</v>
      </c>
      <c r="V33" s="312">
        <v>0</v>
      </c>
      <c r="W33" s="312">
        <v>114090.26567527994</v>
      </c>
      <c r="X33" s="312">
        <v>5542.4217932387837</v>
      </c>
      <c r="Y33" s="312">
        <v>0</v>
      </c>
      <c r="Z33" s="312">
        <v>211346.36829090118</v>
      </c>
      <c r="AA33" s="313">
        <v>91713.680822382463</v>
      </c>
      <c r="AB33" s="314">
        <v>0</v>
      </c>
      <c r="AC33" s="314">
        <v>33431.810179937631</v>
      </c>
      <c r="AD33" s="314">
        <v>17658.441602453589</v>
      </c>
      <c r="AE33" s="314">
        <v>117427.07445704937</v>
      </c>
      <c r="AF33" s="314">
        <v>19603.92384015023</v>
      </c>
      <c r="AG33" s="314">
        <v>27447.899179084674</v>
      </c>
      <c r="AH33" s="314">
        <v>11609.779004126787</v>
      </c>
      <c r="AI33" s="314">
        <v>19764.698531784048</v>
      </c>
      <c r="AJ33" s="315">
        <v>119632.68746851872</v>
      </c>
    </row>
    <row r="34" spans="1:36" x14ac:dyDescent="0.25">
      <c r="A34">
        <v>1957</v>
      </c>
      <c r="B34" s="311">
        <v>27357.338185831904</v>
      </c>
      <c r="C34" s="312">
        <v>1026.0025346279144</v>
      </c>
      <c r="D34" s="312">
        <v>157969.27038574219</v>
      </c>
      <c r="E34" s="312">
        <v>0</v>
      </c>
      <c r="F34" s="312">
        <v>13413.913911610842</v>
      </c>
      <c r="G34" s="312">
        <v>2036.5992698669434</v>
      </c>
      <c r="H34" s="312">
        <v>0</v>
      </c>
      <c r="I34" s="312">
        <v>82791.560609638691</v>
      </c>
      <c r="J34" s="312">
        <v>2515.613171339035</v>
      </c>
      <c r="K34" s="312">
        <v>0</v>
      </c>
      <c r="L34" s="312">
        <v>12869.110400743779</v>
      </c>
      <c r="M34" s="312">
        <v>1363.3774552345276</v>
      </c>
      <c r="N34" s="312">
        <v>0</v>
      </c>
      <c r="O34" s="312">
        <v>38001.08438181736</v>
      </c>
      <c r="P34" s="312">
        <v>430.12261247634888</v>
      </c>
      <c r="Q34" s="312">
        <v>19396.470980316401</v>
      </c>
      <c r="R34" s="312">
        <v>598.83215999603271</v>
      </c>
      <c r="S34" s="312">
        <v>0</v>
      </c>
      <c r="T34" s="312">
        <v>22129.144607469068</v>
      </c>
      <c r="U34" s="312">
        <v>1569.5145806670189</v>
      </c>
      <c r="V34" s="312">
        <v>0</v>
      </c>
      <c r="W34" s="312">
        <v>97710.700722340189</v>
      </c>
      <c r="X34" s="312">
        <v>5784.680172637105</v>
      </c>
      <c r="Y34" s="312">
        <v>0</v>
      </c>
      <c r="Z34" s="312">
        <v>221849.88265037537</v>
      </c>
      <c r="AA34" s="313">
        <v>118354.50175539807</v>
      </c>
      <c r="AB34" s="314">
        <v>0</v>
      </c>
      <c r="AC34" s="314">
        <v>28383.340720459819</v>
      </c>
      <c r="AD34" s="314">
        <v>15450.513181477785</v>
      </c>
      <c r="AE34" s="314">
        <v>85307.173780977726</v>
      </c>
      <c r="AF34" s="314">
        <v>14232.487855978306</v>
      </c>
      <c r="AG34" s="314">
        <v>38431.206994293709</v>
      </c>
      <c r="AH34" s="314">
        <v>19995.303140312433</v>
      </c>
      <c r="AI34" s="314">
        <v>23698.659188136087</v>
      </c>
      <c r="AJ34" s="315">
        <v>103495.38089497729</v>
      </c>
    </row>
    <row r="35" spans="1:36" x14ac:dyDescent="0.25">
      <c r="A35">
        <v>1958</v>
      </c>
      <c r="B35" s="311">
        <v>34975.945260182023</v>
      </c>
      <c r="C35" s="312">
        <v>1026.0025346279144</v>
      </c>
      <c r="D35" s="312">
        <v>114682.65545654297</v>
      </c>
      <c r="E35" s="312">
        <v>0</v>
      </c>
      <c r="F35" s="312">
        <v>17211.469055905938</v>
      </c>
      <c r="G35" s="312">
        <v>2036.5992698669434</v>
      </c>
      <c r="H35" s="312">
        <v>0</v>
      </c>
      <c r="I35" s="312">
        <v>113167.66614298522</v>
      </c>
      <c r="J35" s="312">
        <v>2474.2047364711761</v>
      </c>
      <c r="K35" s="312">
        <v>0</v>
      </c>
      <c r="L35" s="312">
        <v>18232.686761252568</v>
      </c>
      <c r="M35" s="312">
        <v>1367.6555404663086</v>
      </c>
      <c r="N35" s="312">
        <v>0</v>
      </c>
      <c r="O35" s="312">
        <v>51156.390819339533</v>
      </c>
      <c r="P35" s="312">
        <v>472.9890251159668</v>
      </c>
      <c r="Q35" s="312">
        <v>16882.486840639263</v>
      </c>
      <c r="R35" s="312">
        <v>598.83215999603271</v>
      </c>
      <c r="S35" s="312">
        <v>0</v>
      </c>
      <c r="T35" s="312">
        <v>28483.292743652688</v>
      </c>
      <c r="U35" s="312">
        <v>1573.0601358413696</v>
      </c>
      <c r="V35" s="312">
        <v>0</v>
      </c>
      <c r="W35" s="312">
        <v>154367.14215357945</v>
      </c>
      <c r="X35" s="312">
        <v>5828.4267360717058</v>
      </c>
      <c r="Y35" s="312">
        <v>0</v>
      </c>
      <c r="Z35" s="312">
        <v>221959.72789573669</v>
      </c>
      <c r="AA35" s="313">
        <v>61764.159006085538</v>
      </c>
      <c r="AB35" s="314">
        <v>0</v>
      </c>
      <c r="AC35" s="314">
        <v>36001.947794809937</v>
      </c>
      <c r="AD35" s="314">
        <v>19248.068325772882</v>
      </c>
      <c r="AE35" s="314">
        <v>115641.8708794564</v>
      </c>
      <c r="AF35" s="314">
        <v>19600.342301718876</v>
      </c>
      <c r="AG35" s="314">
        <v>51629.3798444555</v>
      </c>
      <c r="AH35" s="314">
        <v>17481.319000635296</v>
      </c>
      <c r="AI35" s="314">
        <v>30056.352879494058</v>
      </c>
      <c r="AJ35" s="315">
        <v>160195.56888965116</v>
      </c>
    </row>
    <row r="36" spans="1:36" x14ac:dyDescent="0.25">
      <c r="A36">
        <v>1959</v>
      </c>
      <c r="B36" s="311">
        <v>29126.427161946893</v>
      </c>
      <c r="C36" s="312">
        <v>1026.0025346279144</v>
      </c>
      <c r="D36" s="312">
        <v>36245.572387695313</v>
      </c>
      <c r="E36" s="312">
        <v>0</v>
      </c>
      <c r="F36" s="312">
        <v>13969.66473415494</v>
      </c>
      <c r="G36" s="312">
        <v>2036.5992698669434</v>
      </c>
      <c r="H36" s="312">
        <v>0</v>
      </c>
      <c r="I36" s="312">
        <v>102632.08080206811</v>
      </c>
      <c r="J36" s="312">
        <v>2181.3717725276947</v>
      </c>
      <c r="K36" s="312">
        <v>0</v>
      </c>
      <c r="L36" s="312">
        <v>15624.306823872028</v>
      </c>
      <c r="M36" s="312">
        <v>1175.4560527801514</v>
      </c>
      <c r="N36" s="312">
        <v>0</v>
      </c>
      <c r="O36" s="312">
        <v>21512.436892120615</v>
      </c>
      <c r="P36" s="312">
        <v>283.36485433578491</v>
      </c>
      <c r="Q36" s="312">
        <v>8141.9567873813212</v>
      </c>
      <c r="R36" s="312">
        <v>598.83215999603271</v>
      </c>
      <c r="S36" s="312">
        <v>0</v>
      </c>
      <c r="T36" s="312">
        <v>13376.539253206551</v>
      </c>
      <c r="U36" s="312">
        <v>1381.6297413706779</v>
      </c>
      <c r="V36" s="312">
        <v>0</v>
      </c>
      <c r="W36" s="312">
        <v>129094.38124749406</v>
      </c>
      <c r="X36" s="312">
        <v>5475.8954146504402</v>
      </c>
      <c r="Y36" s="312">
        <v>0</v>
      </c>
      <c r="Z36" s="312">
        <v>212893.71466958523</v>
      </c>
      <c r="AA36" s="313">
        <v>78323.438007440724</v>
      </c>
      <c r="AB36" s="314">
        <v>0</v>
      </c>
      <c r="AC36" s="314">
        <v>30152.429696574807</v>
      </c>
      <c r="AD36" s="314">
        <v>16006.264004021883</v>
      </c>
      <c r="AE36" s="314">
        <v>104813.45257459581</v>
      </c>
      <c r="AF36" s="314">
        <v>16799.762876652181</v>
      </c>
      <c r="AG36" s="314">
        <v>21795.8017464564</v>
      </c>
      <c r="AH36" s="314">
        <v>8740.7889473773539</v>
      </c>
      <c r="AI36" s="314">
        <v>14758.168994577229</v>
      </c>
      <c r="AJ36" s="315">
        <v>134570.27666214452</v>
      </c>
    </row>
    <row r="37" spans="1:36" x14ac:dyDescent="0.25">
      <c r="A37">
        <v>1960</v>
      </c>
      <c r="B37" s="311">
        <v>33759.28538697958</v>
      </c>
      <c r="C37" s="312">
        <v>1026.0025346279144</v>
      </c>
      <c r="D37" s="312">
        <v>101742.96533203125</v>
      </c>
      <c r="E37" s="312">
        <v>0</v>
      </c>
      <c r="F37" s="312">
        <v>16334.205378994346</v>
      </c>
      <c r="G37" s="312">
        <v>2036.5992698669434</v>
      </c>
      <c r="H37" s="312">
        <v>0</v>
      </c>
      <c r="I37" s="312">
        <v>108355.36908553541</v>
      </c>
      <c r="J37" s="312">
        <v>2363.5196740627289</v>
      </c>
      <c r="K37" s="312">
        <v>0</v>
      </c>
      <c r="L37" s="312">
        <v>17173.073143713173</v>
      </c>
      <c r="M37" s="312">
        <v>1379.0741891860962</v>
      </c>
      <c r="N37" s="312">
        <v>0</v>
      </c>
      <c r="O37" s="312">
        <v>35367.749925701399</v>
      </c>
      <c r="P37" s="312">
        <v>352.55170226097107</v>
      </c>
      <c r="Q37" s="312">
        <v>14600.691522046924</v>
      </c>
      <c r="R37" s="312">
        <v>598.83215999603271</v>
      </c>
      <c r="S37" s="312">
        <v>0</v>
      </c>
      <c r="T37" s="312">
        <v>26442.372104785965</v>
      </c>
      <c r="U37" s="312">
        <v>1588.210255920887</v>
      </c>
      <c r="V37" s="312">
        <v>0</v>
      </c>
      <c r="W37" s="312">
        <v>148230.53396255121</v>
      </c>
      <c r="X37" s="312">
        <v>5443.4723812458151</v>
      </c>
      <c r="Y37" s="312">
        <v>0</v>
      </c>
      <c r="Z37" s="312">
        <v>216480.86566162109</v>
      </c>
      <c r="AA37" s="313">
        <v>62806.859317824063</v>
      </c>
      <c r="AB37" s="314">
        <v>0</v>
      </c>
      <c r="AC37" s="314">
        <v>34785.287921607494</v>
      </c>
      <c r="AD37" s="314">
        <v>18370.804648861289</v>
      </c>
      <c r="AE37" s="314">
        <v>110718.88875959814</v>
      </c>
      <c r="AF37" s="314">
        <v>18552.147332899269</v>
      </c>
      <c r="AG37" s="314">
        <v>35720.30162796237</v>
      </c>
      <c r="AH37" s="314">
        <v>15199.523682042956</v>
      </c>
      <c r="AI37" s="314">
        <v>28030.582360706852</v>
      </c>
      <c r="AJ37" s="315">
        <v>153674.00634379702</v>
      </c>
    </row>
    <row r="38" spans="1:36" x14ac:dyDescent="0.25">
      <c r="A38">
        <v>1961</v>
      </c>
      <c r="B38" s="311">
        <v>30749.347981505096</v>
      </c>
      <c r="C38" s="312">
        <v>1026.0025346279144</v>
      </c>
      <c r="D38" s="312">
        <v>71889.613693237305</v>
      </c>
      <c r="E38" s="312">
        <v>0</v>
      </c>
      <c r="F38" s="312">
        <v>15128.98440952599</v>
      </c>
      <c r="G38" s="312">
        <v>2036.5992698669434</v>
      </c>
      <c r="H38" s="312">
        <v>0</v>
      </c>
      <c r="I38" s="312">
        <v>101581.21374835074</v>
      </c>
      <c r="J38" s="312">
        <v>2483.8496205806732</v>
      </c>
      <c r="K38" s="312">
        <v>0</v>
      </c>
      <c r="L38" s="312">
        <v>15770.750673763454</v>
      </c>
      <c r="M38" s="312">
        <v>1380.1715097427368</v>
      </c>
      <c r="N38" s="312">
        <v>0</v>
      </c>
      <c r="O38" s="312">
        <v>32640.176850123778</v>
      </c>
      <c r="P38" s="312">
        <v>293.17856025695801</v>
      </c>
      <c r="Q38" s="312">
        <v>15644.20481492579</v>
      </c>
      <c r="R38" s="312">
        <v>598.83215999603271</v>
      </c>
      <c r="S38" s="312">
        <v>0</v>
      </c>
      <c r="T38" s="312">
        <v>23259.681597694384</v>
      </c>
      <c r="U38" s="312">
        <v>1513.8165047168732</v>
      </c>
      <c r="V38" s="312">
        <v>0</v>
      </c>
      <c r="W38" s="312">
        <v>135370.83012341306</v>
      </c>
      <c r="X38" s="312">
        <v>5401.3159805538853</v>
      </c>
      <c r="Y38" s="312">
        <v>0</v>
      </c>
      <c r="Z38" s="312">
        <v>255672.63536930084</v>
      </c>
      <c r="AA38" s="313">
        <v>114900.48926533389</v>
      </c>
      <c r="AB38" s="314">
        <v>0</v>
      </c>
      <c r="AC38" s="314">
        <v>31775.35051613301</v>
      </c>
      <c r="AD38" s="314">
        <v>17165.583679392934</v>
      </c>
      <c r="AE38" s="314">
        <v>104065.06336893141</v>
      </c>
      <c r="AF38" s="314">
        <v>17150.922183506191</v>
      </c>
      <c r="AG38" s="314">
        <v>32933.35541038074</v>
      </c>
      <c r="AH38" s="314">
        <v>16243.036974921823</v>
      </c>
      <c r="AI38" s="314">
        <v>24773.498102411257</v>
      </c>
      <c r="AJ38" s="315">
        <v>140772.14610396695</v>
      </c>
    </row>
    <row r="39" spans="1:36" x14ac:dyDescent="0.25">
      <c r="A39">
        <v>1962</v>
      </c>
      <c r="B39" s="311">
        <v>33842.050223484635</v>
      </c>
      <c r="C39" s="312">
        <v>1026.0025346279144</v>
      </c>
      <c r="D39" s="312">
        <v>96137.953765869141</v>
      </c>
      <c r="E39" s="312">
        <v>0</v>
      </c>
      <c r="F39" s="312">
        <v>16666.76443195343</v>
      </c>
      <c r="G39" s="312">
        <v>2036.5992698669434</v>
      </c>
      <c r="H39" s="312">
        <v>0</v>
      </c>
      <c r="I39" s="312">
        <v>109661.43880003691</v>
      </c>
      <c r="J39" s="312">
        <v>2259.530088186264</v>
      </c>
      <c r="K39" s="312">
        <v>0</v>
      </c>
      <c r="L39" s="312">
        <v>17026.678660467267</v>
      </c>
      <c r="M39" s="312">
        <v>1385.7694554328918</v>
      </c>
      <c r="N39" s="312">
        <v>0</v>
      </c>
      <c r="O39" s="312">
        <v>34110.4794750125</v>
      </c>
      <c r="P39" s="312">
        <v>339.00571370124817</v>
      </c>
      <c r="Q39" s="312">
        <v>14265.200619138777</v>
      </c>
      <c r="R39" s="312">
        <v>598.83215999603271</v>
      </c>
      <c r="S39" s="312">
        <v>0</v>
      </c>
      <c r="T39" s="312">
        <v>25192.583299323545</v>
      </c>
      <c r="U39" s="312">
        <v>1556.220622241497</v>
      </c>
      <c r="V39" s="312">
        <v>0</v>
      </c>
      <c r="W39" s="312">
        <v>137692.85538301215</v>
      </c>
      <c r="X39" s="312">
        <v>5449.6475036814809</v>
      </c>
      <c r="Y39" s="312">
        <v>0</v>
      </c>
      <c r="Z39" s="312">
        <v>210731.67543363571</v>
      </c>
      <c r="AA39" s="313">
        <v>67589.172546942078</v>
      </c>
      <c r="AB39" s="314">
        <v>0</v>
      </c>
      <c r="AC39" s="314">
        <v>34868.05275811255</v>
      </c>
      <c r="AD39" s="314">
        <v>18703.363701820374</v>
      </c>
      <c r="AE39" s="314">
        <v>111920.96888822317</v>
      </c>
      <c r="AF39" s="314">
        <v>18412.448115900159</v>
      </c>
      <c r="AG39" s="314">
        <v>34449.485188713748</v>
      </c>
      <c r="AH39" s="314">
        <v>14864.03277913481</v>
      </c>
      <c r="AI39" s="314">
        <v>26748.803921565042</v>
      </c>
      <c r="AJ39" s="315">
        <v>143142.50288669363</v>
      </c>
    </row>
    <row r="40" spans="1:36" x14ac:dyDescent="0.25">
      <c r="A40">
        <v>1963</v>
      </c>
      <c r="B40" s="311">
        <v>31530.187563896179</v>
      </c>
      <c r="C40" s="312">
        <v>1026.0025346279144</v>
      </c>
      <c r="D40" s="312">
        <v>42910.715103149414</v>
      </c>
      <c r="E40" s="312">
        <v>0</v>
      </c>
      <c r="F40" s="312">
        <v>15815.032400101423</v>
      </c>
      <c r="G40" s="312">
        <v>2036.5992698669434</v>
      </c>
      <c r="H40" s="312">
        <v>0</v>
      </c>
      <c r="I40" s="312">
        <v>102056.82483176701</v>
      </c>
      <c r="J40" s="312">
        <v>2370.7293241024017</v>
      </c>
      <c r="K40" s="312">
        <v>0</v>
      </c>
      <c r="L40" s="312">
        <v>16197.153622806076</v>
      </c>
      <c r="M40" s="312">
        <v>1360.4503207206726</v>
      </c>
      <c r="N40" s="312">
        <v>0</v>
      </c>
      <c r="O40" s="312">
        <v>27349.719536131695</v>
      </c>
      <c r="P40" s="312">
        <v>297.23484969139099</v>
      </c>
      <c r="Q40" s="312">
        <v>11039.338425010443</v>
      </c>
      <c r="R40" s="312">
        <v>598.83215999603271</v>
      </c>
      <c r="S40" s="312">
        <v>0</v>
      </c>
      <c r="T40" s="312">
        <v>18498.474949396776</v>
      </c>
      <c r="U40" s="312">
        <v>1436.0682723747002</v>
      </c>
      <c r="V40" s="312">
        <v>0</v>
      </c>
      <c r="W40" s="312">
        <v>133169.66434032813</v>
      </c>
      <c r="X40" s="312">
        <v>5403.6943594208051</v>
      </c>
      <c r="Y40" s="312">
        <v>0</v>
      </c>
      <c r="Z40" s="312">
        <v>206590.76850557327</v>
      </c>
      <c r="AA40" s="313">
        <v>68017.40980582434</v>
      </c>
      <c r="AB40" s="314">
        <v>0</v>
      </c>
      <c r="AC40" s="314">
        <v>32556.190098524094</v>
      </c>
      <c r="AD40" s="314">
        <v>17851.631669968367</v>
      </c>
      <c r="AE40" s="314">
        <v>104427.55415586941</v>
      </c>
      <c r="AF40" s="314">
        <v>17557.603943526748</v>
      </c>
      <c r="AG40" s="314">
        <v>27646.954385823086</v>
      </c>
      <c r="AH40" s="314">
        <v>11638.170585006475</v>
      </c>
      <c r="AI40" s="314">
        <v>19934.543221771477</v>
      </c>
      <c r="AJ40" s="315">
        <v>138573.35869974893</v>
      </c>
    </row>
    <row r="41" spans="1:36" x14ac:dyDescent="0.25">
      <c r="A41">
        <v>1964</v>
      </c>
      <c r="B41" s="311">
        <v>34959.862106569111</v>
      </c>
      <c r="C41" s="312">
        <v>1026.0025346279144</v>
      </c>
      <c r="D41" s="312">
        <v>54616.380432128906</v>
      </c>
      <c r="E41" s="312">
        <v>0</v>
      </c>
      <c r="F41" s="312">
        <v>15979.494484096766</v>
      </c>
      <c r="G41" s="312">
        <v>2036.5992698669434</v>
      </c>
      <c r="H41" s="312">
        <v>0</v>
      </c>
      <c r="I41" s="312">
        <v>103000.88325978816</v>
      </c>
      <c r="J41" s="312">
        <v>2202.0653455257416</v>
      </c>
      <c r="K41" s="312">
        <v>0</v>
      </c>
      <c r="L41" s="312">
        <v>17126.579574741412</v>
      </c>
      <c r="M41" s="312">
        <v>1326.5622525215149</v>
      </c>
      <c r="N41" s="312">
        <v>0</v>
      </c>
      <c r="O41" s="312">
        <v>24091.023422099803</v>
      </c>
      <c r="P41" s="312">
        <v>267.43048429489136</v>
      </c>
      <c r="Q41" s="312">
        <v>13347.473749727011</v>
      </c>
      <c r="R41" s="312">
        <v>598.83215999603271</v>
      </c>
      <c r="S41" s="312">
        <v>0</v>
      </c>
      <c r="T41" s="312">
        <v>21625.013426214085</v>
      </c>
      <c r="U41" s="312">
        <v>1458.0702669894854</v>
      </c>
      <c r="V41" s="312">
        <v>0</v>
      </c>
      <c r="W41" s="312">
        <v>111098.35056470676</v>
      </c>
      <c r="X41" s="312">
        <v>5242.9200390612359</v>
      </c>
      <c r="Y41" s="312">
        <v>0</v>
      </c>
      <c r="Z41" s="312">
        <v>206358.84523962438</v>
      </c>
      <c r="AA41" s="313">
        <v>90017.574635856377</v>
      </c>
      <c r="AB41" s="314">
        <v>0</v>
      </c>
      <c r="AC41" s="314">
        <v>35985.864641197026</v>
      </c>
      <c r="AD41" s="314">
        <v>18016.093753963709</v>
      </c>
      <c r="AE41" s="314">
        <v>105202.9486053139</v>
      </c>
      <c r="AF41" s="314">
        <v>18453.141827262927</v>
      </c>
      <c r="AG41" s="314">
        <v>24358.453906394694</v>
      </c>
      <c r="AH41" s="314">
        <v>13946.305909723043</v>
      </c>
      <c r="AI41" s="314">
        <v>23083.083693203571</v>
      </c>
      <c r="AJ41" s="315">
        <v>116341.270603768</v>
      </c>
    </row>
    <row r="42" spans="1:36" x14ac:dyDescent="0.25">
      <c r="A42">
        <v>1965</v>
      </c>
      <c r="B42" s="311">
        <v>35846.488690197468</v>
      </c>
      <c r="C42" s="312">
        <v>1026.0025346279144</v>
      </c>
      <c r="D42" s="312">
        <v>143532.74061584473</v>
      </c>
      <c r="E42" s="312">
        <v>0</v>
      </c>
      <c r="F42" s="312">
        <v>14952.056076958776</v>
      </c>
      <c r="G42" s="312">
        <v>2036.5992698669434</v>
      </c>
      <c r="H42" s="312">
        <v>0</v>
      </c>
      <c r="I42" s="312">
        <v>103114.07918465137</v>
      </c>
      <c r="J42" s="312">
        <v>2648.6520230770111</v>
      </c>
      <c r="K42" s="312">
        <v>0</v>
      </c>
      <c r="L42" s="312">
        <v>15211.897103108458</v>
      </c>
      <c r="M42" s="312">
        <v>1344.3224596977234</v>
      </c>
      <c r="N42" s="312">
        <v>0</v>
      </c>
      <c r="O42" s="312">
        <v>41241.056261251601</v>
      </c>
      <c r="P42" s="312">
        <v>318.11277675628662</v>
      </c>
      <c r="Q42" s="312">
        <v>20051.339646920562</v>
      </c>
      <c r="R42" s="312">
        <v>598.83215999603271</v>
      </c>
      <c r="S42" s="312">
        <v>0</v>
      </c>
      <c r="T42" s="312">
        <v>24235.249196380006</v>
      </c>
      <c r="U42" s="312">
        <v>1576.0339366197586</v>
      </c>
      <c r="V42" s="312">
        <v>0</v>
      </c>
      <c r="W42" s="312">
        <v>104997.31663843959</v>
      </c>
      <c r="X42" s="312">
        <v>5748.5890097618103</v>
      </c>
      <c r="Y42" s="312">
        <v>0</v>
      </c>
      <c r="Z42" s="312">
        <v>240105.43230438232</v>
      </c>
      <c r="AA42" s="313">
        <v>129359.52665618091</v>
      </c>
      <c r="AB42" s="314">
        <v>0</v>
      </c>
      <c r="AC42" s="314">
        <v>36872.491224825382</v>
      </c>
      <c r="AD42" s="314">
        <v>16988.655346825719</v>
      </c>
      <c r="AE42" s="314">
        <v>105762.73120772839</v>
      </c>
      <c r="AF42" s="314">
        <v>16556.219562806182</v>
      </c>
      <c r="AG42" s="314">
        <v>41559.169038007887</v>
      </c>
      <c r="AH42" s="314">
        <v>20650.171806916595</v>
      </c>
      <c r="AI42" s="314">
        <v>25811.283132999764</v>
      </c>
      <c r="AJ42" s="315">
        <v>110745.9056482014</v>
      </c>
    </row>
    <row r="43" spans="1:36" x14ac:dyDescent="0.25">
      <c r="A43">
        <v>1966</v>
      </c>
      <c r="B43" s="311">
        <v>37568.75128698349</v>
      </c>
      <c r="C43" s="312">
        <v>1026.0025346279144</v>
      </c>
      <c r="D43" s="312">
        <v>87768.272521972656</v>
      </c>
      <c r="E43" s="312">
        <v>0</v>
      </c>
      <c r="F43" s="312">
        <v>17362.744509041309</v>
      </c>
      <c r="G43" s="312">
        <v>2036.5992698669434</v>
      </c>
      <c r="H43" s="312">
        <v>0</v>
      </c>
      <c r="I43" s="312">
        <v>113649.84353904799</v>
      </c>
      <c r="J43" s="312">
        <v>2653.3912599086761</v>
      </c>
      <c r="K43" s="312">
        <v>0</v>
      </c>
      <c r="L43" s="312">
        <v>17675.571376651522</v>
      </c>
      <c r="M43" s="312">
        <v>1392.3019318580627</v>
      </c>
      <c r="N43" s="312">
        <v>0</v>
      </c>
      <c r="O43" s="312">
        <v>42446.593457879055</v>
      </c>
      <c r="P43" s="312">
        <v>375.74047517776489</v>
      </c>
      <c r="Q43" s="312">
        <v>14722.323054287583</v>
      </c>
      <c r="R43" s="312">
        <v>598.83215999603271</v>
      </c>
      <c r="S43" s="312">
        <v>0</v>
      </c>
      <c r="T43" s="312">
        <v>24696.942460611092</v>
      </c>
      <c r="U43" s="312">
        <v>1515.8528835873985</v>
      </c>
      <c r="V43" s="312">
        <v>0</v>
      </c>
      <c r="W43" s="312">
        <v>150470.49067461834</v>
      </c>
      <c r="X43" s="312">
        <v>5631.5411239029872</v>
      </c>
      <c r="Y43" s="312">
        <v>0</v>
      </c>
      <c r="Z43" s="312">
        <v>192137.37558543682</v>
      </c>
      <c r="AA43" s="313">
        <v>36035.343786915495</v>
      </c>
      <c r="AB43" s="314">
        <v>0</v>
      </c>
      <c r="AC43" s="314">
        <v>38594.753821611404</v>
      </c>
      <c r="AD43" s="314">
        <v>19399.343778908253</v>
      </c>
      <c r="AE43" s="314">
        <v>116303.23479895666</v>
      </c>
      <c r="AF43" s="314">
        <v>19067.873308509585</v>
      </c>
      <c r="AG43" s="314">
        <v>42822.33393305682</v>
      </c>
      <c r="AH43" s="314">
        <v>15321.155214283615</v>
      </c>
      <c r="AI43" s="314">
        <v>26212.79534419849</v>
      </c>
      <c r="AJ43" s="315">
        <v>156102.03179852132</v>
      </c>
    </row>
    <row r="44" spans="1:36" x14ac:dyDescent="0.25">
      <c r="A44">
        <v>1967</v>
      </c>
      <c r="B44" s="311">
        <v>31687.223015204072</v>
      </c>
      <c r="C44" s="312">
        <v>1026.0025346279144</v>
      </c>
      <c r="D44" s="312">
        <v>66750.247802734375</v>
      </c>
      <c r="E44" s="312">
        <v>0</v>
      </c>
      <c r="F44" s="312">
        <v>14525.841252490878</v>
      </c>
      <c r="G44" s="312">
        <v>2036.5992698669434</v>
      </c>
      <c r="H44" s="312">
        <v>0</v>
      </c>
      <c r="I44" s="312">
        <v>101892.96390044689</v>
      </c>
      <c r="J44" s="312">
        <v>2455.6116483211517</v>
      </c>
      <c r="K44" s="312">
        <v>0</v>
      </c>
      <c r="L44" s="312">
        <v>16180.664101675149</v>
      </c>
      <c r="M44" s="312">
        <v>1334.5336737632751</v>
      </c>
      <c r="N44" s="312">
        <v>0</v>
      </c>
      <c r="O44" s="312">
        <v>32428.521810239625</v>
      </c>
      <c r="P44" s="312">
        <v>279.71633386611938</v>
      </c>
      <c r="Q44" s="312">
        <v>12217.200193241239</v>
      </c>
      <c r="R44" s="312">
        <v>598.83215999603271</v>
      </c>
      <c r="S44" s="312">
        <v>0</v>
      </c>
      <c r="T44" s="312">
        <v>18892.181306639315</v>
      </c>
      <c r="U44" s="312">
        <v>1421.7917159795761</v>
      </c>
      <c r="V44" s="312">
        <v>0</v>
      </c>
      <c r="W44" s="312">
        <v>124389.34408653124</v>
      </c>
      <c r="X44" s="312">
        <v>5359.1497383802935</v>
      </c>
      <c r="Y44" s="312">
        <v>0</v>
      </c>
      <c r="Z44" s="312">
        <v>215328.78787088394</v>
      </c>
      <c r="AA44" s="313">
        <v>85580.294045972405</v>
      </c>
      <c r="AB44" s="314">
        <v>0</v>
      </c>
      <c r="AC44" s="314">
        <v>32713.225549831986</v>
      </c>
      <c r="AD44" s="314">
        <v>16562.440522357821</v>
      </c>
      <c r="AE44" s="314">
        <v>104348.57554876804</v>
      </c>
      <c r="AF44" s="314">
        <v>17515.197775438424</v>
      </c>
      <c r="AG44" s="314">
        <v>32708.238144105744</v>
      </c>
      <c r="AH44" s="314">
        <v>12816.032353237271</v>
      </c>
      <c r="AI44" s="314">
        <v>20313.973022618891</v>
      </c>
      <c r="AJ44" s="315">
        <v>129748.49382491154</v>
      </c>
    </row>
    <row r="45" spans="1:36" x14ac:dyDescent="0.25">
      <c r="A45">
        <v>1968</v>
      </c>
      <c r="B45" s="311">
        <v>34560.841717749834</v>
      </c>
      <c r="C45" s="312">
        <v>1026.0025346279144</v>
      </c>
      <c r="D45" s="312">
        <v>84623.095092773438</v>
      </c>
      <c r="E45" s="312">
        <v>0</v>
      </c>
      <c r="F45" s="312">
        <v>16135.560477878898</v>
      </c>
      <c r="G45" s="312">
        <v>2036.5992698669434</v>
      </c>
      <c r="H45" s="312">
        <v>0</v>
      </c>
      <c r="I45" s="312">
        <v>106987.95010814071</v>
      </c>
      <c r="J45" s="312">
        <v>2529.4488332271576</v>
      </c>
      <c r="K45" s="312">
        <v>0</v>
      </c>
      <c r="L45" s="312">
        <v>17222.235710874185</v>
      </c>
      <c r="M45" s="312">
        <v>1281.8706030845642</v>
      </c>
      <c r="N45" s="312">
        <v>0</v>
      </c>
      <c r="O45" s="312">
        <v>35978.223377479691</v>
      </c>
      <c r="P45" s="312">
        <v>282.12049269676208</v>
      </c>
      <c r="Q45" s="312">
        <v>18313.488672539592</v>
      </c>
      <c r="R45" s="312">
        <v>598.83215999603271</v>
      </c>
      <c r="S45" s="312">
        <v>0</v>
      </c>
      <c r="T45" s="312">
        <v>27008.783729239927</v>
      </c>
      <c r="U45" s="312">
        <v>1578.910937012638</v>
      </c>
      <c r="V45" s="312">
        <v>0</v>
      </c>
      <c r="W45" s="312">
        <v>122032.46293586835</v>
      </c>
      <c r="X45" s="312">
        <v>5410.0378453359008</v>
      </c>
      <c r="Y45" s="312">
        <v>0</v>
      </c>
      <c r="Z45" s="312">
        <v>226500.1316202879</v>
      </c>
      <c r="AA45" s="313">
        <v>99057.630839083649</v>
      </c>
      <c r="AB45" s="314">
        <v>0</v>
      </c>
      <c r="AC45" s="314">
        <v>35586.844252377748</v>
      </c>
      <c r="AD45" s="314">
        <v>18172.159747745842</v>
      </c>
      <c r="AE45" s="314">
        <v>109517.39894136786</v>
      </c>
      <c r="AF45" s="314">
        <v>18504.10631395875</v>
      </c>
      <c r="AG45" s="314">
        <v>36260.343870176453</v>
      </c>
      <c r="AH45" s="314">
        <v>18912.320832535625</v>
      </c>
      <c r="AI45" s="314">
        <v>28587.694666252566</v>
      </c>
      <c r="AJ45" s="315">
        <v>127442.50078120425</v>
      </c>
    </row>
    <row r="46" spans="1:36" x14ac:dyDescent="0.25">
      <c r="A46">
        <v>1969</v>
      </c>
      <c r="B46" s="311">
        <v>29870.960145168006</v>
      </c>
      <c r="C46" s="312">
        <v>1026.0025346279144</v>
      </c>
      <c r="D46" s="312">
        <v>117387.23657226563</v>
      </c>
      <c r="E46" s="312">
        <v>0</v>
      </c>
      <c r="F46" s="312">
        <v>14800.226827248931</v>
      </c>
      <c r="G46" s="312">
        <v>2036.5992698669434</v>
      </c>
      <c r="H46" s="312">
        <v>0</v>
      </c>
      <c r="I46" s="312">
        <v>95237.421062856913</v>
      </c>
      <c r="J46" s="312">
        <v>2397.3189542293549</v>
      </c>
      <c r="K46" s="312">
        <v>0</v>
      </c>
      <c r="L46" s="312">
        <v>15744.678675718611</v>
      </c>
      <c r="M46" s="312">
        <v>1368.1098251342773</v>
      </c>
      <c r="N46" s="312">
        <v>0</v>
      </c>
      <c r="O46" s="312">
        <v>43538.423692292054</v>
      </c>
      <c r="P46" s="312">
        <v>367.20778131484985</v>
      </c>
      <c r="Q46" s="312">
        <v>19674.585597217083</v>
      </c>
      <c r="R46" s="312">
        <v>598.83215999603271</v>
      </c>
      <c r="S46" s="312">
        <v>0</v>
      </c>
      <c r="T46" s="312">
        <v>27681.552842646466</v>
      </c>
      <c r="U46" s="312">
        <v>1581.8637102842331</v>
      </c>
      <c r="V46" s="312">
        <v>0</v>
      </c>
      <c r="W46" s="312">
        <v>133181.57528177247</v>
      </c>
      <c r="X46" s="312">
        <v>5591.2270271853195</v>
      </c>
      <c r="Y46" s="312">
        <v>0</v>
      </c>
      <c r="Z46" s="312">
        <v>256162.06614875793</v>
      </c>
      <c r="AA46" s="313">
        <v>117389.26383980014</v>
      </c>
      <c r="AB46" s="314">
        <v>0</v>
      </c>
      <c r="AC46" s="314">
        <v>30896.962679795921</v>
      </c>
      <c r="AD46" s="314">
        <v>16836.826097115874</v>
      </c>
      <c r="AE46" s="314">
        <v>97634.740017086267</v>
      </c>
      <c r="AF46" s="314">
        <v>17112.78850085289</v>
      </c>
      <c r="AG46" s="314">
        <v>43905.631473606903</v>
      </c>
      <c r="AH46" s="314">
        <v>20273.417757213116</v>
      </c>
      <c r="AI46" s="314">
        <v>29263.416552930699</v>
      </c>
      <c r="AJ46" s="315">
        <v>138772.80230895779</v>
      </c>
    </row>
    <row r="47" spans="1:36" x14ac:dyDescent="0.25">
      <c r="A47">
        <v>1970</v>
      </c>
      <c r="B47" s="311">
        <v>28152.061004668474</v>
      </c>
      <c r="C47" s="312">
        <v>1026.0025346279144</v>
      </c>
      <c r="D47" s="312">
        <v>80171.122483491898</v>
      </c>
      <c r="E47" s="312">
        <v>0</v>
      </c>
      <c r="F47" s="312">
        <v>13909.451530009508</v>
      </c>
      <c r="G47" s="312">
        <v>2036.5992698669434</v>
      </c>
      <c r="H47" s="312">
        <v>0</v>
      </c>
      <c r="I47" s="312">
        <v>101896.72399277985</v>
      </c>
      <c r="J47" s="312">
        <v>2436.685024023056</v>
      </c>
      <c r="K47" s="312">
        <v>0</v>
      </c>
      <c r="L47" s="312">
        <v>15751.293638393287</v>
      </c>
      <c r="M47" s="312">
        <v>1376.2565293312073</v>
      </c>
      <c r="N47" s="312">
        <v>0</v>
      </c>
      <c r="O47" s="312">
        <v>44226.549510678728</v>
      </c>
      <c r="P47" s="312">
        <v>329.66480350494385</v>
      </c>
      <c r="Q47" s="312">
        <v>15503.716050311923</v>
      </c>
      <c r="R47" s="312">
        <v>598.83215999603271</v>
      </c>
      <c r="S47" s="312">
        <v>0</v>
      </c>
      <c r="T47" s="312">
        <v>26772.302173368262</v>
      </c>
      <c r="U47" s="312">
        <v>1453.3174948692322</v>
      </c>
      <c r="V47" s="312">
        <v>0</v>
      </c>
      <c r="W47" s="312">
        <v>124886.67521046444</v>
      </c>
      <c r="X47" s="312">
        <v>5569.2497825026512</v>
      </c>
      <c r="Y47" s="312">
        <v>0</v>
      </c>
      <c r="Z47" s="312">
        <v>206200.7319226265</v>
      </c>
      <c r="AA47" s="313">
        <v>75744.806929659404</v>
      </c>
      <c r="AB47" s="314">
        <v>0</v>
      </c>
      <c r="AC47" s="314">
        <v>29178.063539296389</v>
      </c>
      <c r="AD47" s="314">
        <v>15946.050799876451</v>
      </c>
      <c r="AE47" s="314">
        <v>104333.40901680291</v>
      </c>
      <c r="AF47" s="314">
        <v>17127.550167724494</v>
      </c>
      <c r="AG47" s="314">
        <v>44556.214314183671</v>
      </c>
      <c r="AH47" s="314">
        <v>16102.548210307956</v>
      </c>
      <c r="AI47" s="314">
        <v>28225.619668237494</v>
      </c>
      <c r="AJ47" s="315">
        <v>130455.92499296709</v>
      </c>
    </row>
    <row r="48" spans="1:36" x14ac:dyDescent="0.25">
      <c r="A48">
        <v>1971</v>
      </c>
      <c r="B48" s="311">
        <v>29968.270899653435</v>
      </c>
      <c r="C48" s="312">
        <v>1026.0025346279144</v>
      </c>
      <c r="D48" s="312">
        <v>45783.0703125</v>
      </c>
      <c r="E48" s="312">
        <v>0</v>
      </c>
      <c r="F48" s="312">
        <v>14750.519942641258</v>
      </c>
      <c r="G48" s="312">
        <v>2036.5992698669434</v>
      </c>
      <c r="H48" s="312">
        <v>0</v>
      </c>
      <c r="I48" s="312">
        <v>102898.13907066733</v>
      </c>
      <c r="J48" s="312">
        <v>2294.8896367549896</v>
      </c>
      <c r="K48" s="312">
        <v>0</v>
      </c>
      <c r="L48" s="312">
        <v>16144.195183590044</v>
      </c>
      <c r="M48" s="312">
        <v>1331.7065773010254</v>
      </c>
      <c r="N48" s="312">
        <v>0</v>
      </c>
      <c r="O48" s="312">
        <v>34386.770392640014</v>
      </c>
      <c r="P48" s="312">
        <v>303.36001968383789</v>
      </c>
      <c r="Q48" s="312">
        <v>13889.142258904874</v>
      </c>
      <c r="R48" s="312">
        <v>598.83215999603271</v>
      </c>
      <c r="S48" s="312">
        <v>0</v>
      </c>
      <c r="T48" s="312">
        <v>25320.811310134457</v>
      </c>
      <c r="U48" s="312">
        <v>1519.2572796621148</v>
      </c>
      <c r="V48" s="312">
        <v>0</v>
      </c>
      <c r="W48" s="312">
        <v>125327.73513400897</v>
      </c>
      <c r="X48" s="312">
        <v>5842.043161115761</v>
      </c>
      <c r="Y48" s="312">
        <v>0</v>
      </c>
      <c r="Z48" s="312">
        <v>207111.20185446739</v>
      </c>
      <c r="AA48" s="313">
        <v>75941.423559342671</v>
      </c>
      <c r="AB48" s="314">
        <v>0</v>
      </c>
      <c r="AC48" s="314">
        <v>30994.273434281349</v>
      </c>
      <c r="AD48" s="314">
        <v>16787.119212508202</v>
      </c>
      <c r="AE48" s="314">
        <v>105193.02870742232</v>
      </c>
      <c r="AF48" s="314">
        <v>17475.901760891069</v>
      </c>
      <c r="AG48" s="314">
        <v>34690.130412323851</v>
      </c>
      <c r="AH48" s="314">
        <v>14487.974418900907</v>
      </c>
      <c r="AI48" s="314">
        <v>26840.06858979657</v>
      </c>
      <c r="AJ48" s="315">
        <v>131169.77829512474</v>
      </c>
    </row>
    <row r="49" spans="1:36" x14ac:dyDescent="0.25">
      <c r="A49">
        <v>1972</v>
      </c>
      <c r="B49" s="311">
        <v>28959.136633958668</v>
      </c>
      <c r="C49" s="312">
        <v>1026.0025346279144</v>
      </c>
      <c r="D49" s="312">
        <v>47512.08748626709</v>
      </c>
      <c r="E49" s="312">
        <v>0</v>
      </c>
      <c r="F49" s="312">
        <v>14524.992597967386</v>
      </c>
      <c r="G49" s="312">
        <v>2036.5992698669434</v>
      </c>
      <c r="H49" s="312">
        <v>0</v>
      </c>
      <c r="I49" s="312">
        <v>103085.1865092814</v>
      </c>
      <c r="J49" s="312">
        <v>2154.4930741786957</v>
      </c>
      <c r="K49" s="312">
        <v>0</v>
      </c>
      <c r="L49" s="312">
        <v>17311.585790008307</v>
      </c>
      <c r="M49" s="312">
        <v>1347.1212892532349</v>
      </c>
      <c r="N49" s="312">
        <v>0</v>
      </c>
      <c r="O49" s="312">
        <v>26104.948731450811</v>
      </c>
      <c r="P49" s="312">
        <v>291.31498432159424</v>
      </c>
      <c r="Q49" s="312">
        <v>10668.882056046277</v>
      </c>
      <c r="R49" s="312">
        <v>598.83215999603271</v>
      </c>
      <c r="S49" s="312">
        <v>0</v>
      </c>
      <c r="T49" s="312">
        <v>16526.373257077859</v>
      </c>
      <c r="U49" s="312">
        <v>1375.1648360490799</v>
      </c>
      <c r="V49" s="312">
        <v>0</v>
      </c>
      <c r="W49" s="312">
        <v>140406.56675468729</v>
      </c>
      <c r="X49" s="312">
        <v>5366.0709318489935</v>
      </c>
      <c r="Y49" s="312">
        <v>0</v>
      </c>
      <c r="Z49" s="312">
        <v>203495.78237521648</v>
      </c>
      <c r="AA49" s="313">
        <v>57723.1446886802</v>
      </c>
      <c r="AB49" s="314">
        <v>0</v>
      </c>
      <c r="AC49" s="314">
        <v>29985.139168586582</v>
      </c>
      <c r="AD49" s="314">
        <v>16561.59186783433</v>
      </c>
      <c r="AE49" s="314">
        <v>105239.67958346009</v>
      </c>
      <c r="AF49" s="314">
        <v>18658.707079261541</v>
      </c>
      <c r="AG49" s="314">
        <v>26396.263715772406</v>
      </c>
      <c r="AH49" s="314">
        <v>11267.71421604231</v>
      </c>
      <c r="AI49" s="314">
        <v>17901.538093126939</v>
      </c>
      <c r="AJ49" s="315">
        <v>145772.63768653627</v>
      </c>
    </row>
    <row r="50" spans="1:36" x14ac:dyDescent="0.25">
      <c r="A50">
        <v>1973</v>
      </c>
      <c r="B50" s="311">
        <v>32108.014996483922</v>
      </c>
      <c r="C50" s="312">
        <v>1026.0025346279144</v>
      </c>
      <c r="D50" s="312">
        <v>150796.97979736328</v>
      </c>
      <c r="E50" s="312">
        <v>0</v>
      </c>
      <c r="F50" s="312">
        <v>15736.575765907764</v>
      </c>
      <c r="G50" s="312">
        <v>2036.5992698669434</v>
      </c>
      <c r="H50" s="312">
        <v>0</v>
      </c>
      <c r="I50" s="312">
        <v>100805.77758122981</v>
      </c>
      <c r="J50" s="312">
        <v>2622.007741689682</v>
      </c>
      <c r="K50" s="312">
        <v>0</v>
      </c>
      <c r="L50" s="312">
        <v>16676.212428420749</v>
      </c>
      <c r="M50" s="312">
        <v>1347.8015170097351</v>
      </c>
      <c r="N50" s="312">
        <v>0</v>
      </c>
      <c r="O50" s="312">
        <v>46213.245385034461</v>
      </c>
      <c r="P50" s="312">
        <v>499.77720880508423</v>
      </c>
      <c r="Q50" s="312">
        <v>20791.402812924236</v>
      </c>
      <c r="R50" s="312">
        <v>598.83215999603271</v>
      </c>
      <c r="S50" s="312">
        <v>0</v>
      </c>
      <c r="T50" s="312">
        <v>27079.812564208733</v>
      </c>
      <c r="U50" s="312">
        <v>1598.365511059761</v>
      </c>
      <c r="V50" s="312">
        <v>0</v>
      </c>
      <c r="W50" s="312">
        <v>121226.89363225146</v>
      </c>
      <c r="X50" s="312">
        <v>6054.2960319519043</v>
      </c>
      <c r="Y50" s="312">
        <v>0</v>
      </c>
      <c r="Z50" s="312">
        <v>194350.9814043045</v>
      </c>
      <c r="AA50" s="313">
        <v>67069.791740101136</v>
      </c>
      <c r="AB50" s="314">
        <v>0</v>
      </c>
      <c r="AC50" s="314">
        <v>33134.017531111836</v>
      </c>
      <c r="AD50" s="314">
        <v>17773.175035774708</v>
      </c>
      <c r="AE50" s="314">
        <v>103427.78532291949</v>
      </c>
      <c r="AF50" s="314">
        <v>18024.013945430484</v>
      </c>
      <c r="AG50" s="314">
        <v>46713.022593839545</v>
      </c>
      <c r="AH50" s="314">
        <v>21390.234972920269</v>
      </c>
      <c r="AI50" s="314">
        <v>28678.178075268494</v>
      </c>
      <c r="AJ50" s="315">
        <v>127281.18966420337</v>
      </c>
    </row>
    <row r="51" spans="1:36" x14ac:dyDescent="0.25">
      <c r="A51">
        <v>1974</v>
      </c>
      <c r="B51" s="311">
        <v>32314.672408401966</v>
      </c>
      <c r="C51" s="312">
        <v>1026.0025346279144</v>
      </c>
      <c r="D51" s="312">
        <v>40279.934093475342</v>
      </c>
      <c r="E51" s="312">
        <v>0</v>
      </c>
      <c r="F51" s="312">
        <v>15462.811552643776</v>
      </c>
      <c r="G51" s="312">
        <v>2036.5992698669434</v>
      </c>
      <c r="H51" s="312">
        <v>0</v>
      </c>
      <c r="I51" s="312">
        <v>104489.4451072365</v>
      </c>
      <c r="J51" s="312">
        <v>2409.9614465236664</v>
      </c>
      <c r="K51" s="312">
        <v>0</v>
      </c>
      <c r="L51" s="312">
        <v>17338.054353497922</v>
      </c>
      <c r="M51" s="312">
        <v>1360.4285321235657</v>
      </c>
      <c r="N51" s="312">
        <v>0</v>
      </c>
      <c r="O51" s="312">
        <v>30344.521925954596</v>
      </c>
      <c r="P51" s="312">
        <v>323.53977632522583</v>
      </c>
      <c r="Q51" s="312">
        <v>9579.7517871744931</v>
      </c>
      <c r="R51" s="312">
        <v>598.83215999603271</v>
      </c>
      <c r="S51" s="312">
        <v>0</v>
      </c>
      <c r="T51" s="312">
        <v>18324.275071739779</v>
      </c>
      <c r="U51" s="312">
        <v>1418.8511742353439</v>
      </c>
      <c r="V51" s="312">
        <v>0</v>
      </c>
      <c r="W51" s="312">
        <v>148773.97719586239</v>
      </c>
      <c r="X51" s="312">
        <v>5290.403453667237</v>
      </c>
      <c r="Y51" s="312">
        <v>0</v>
      </c>
      <c r="Z51" s="312">
        <v>212606.75881898403</v>
      </c>
      <c r="AA51" s="313">
        <v>58542.378169454401</v>
      </c>
      <c r="AB51" s="314">
        <v>0</v>
      </c>
      <c r="AC51" s="314">
        <v>33340.674943029881</v>
      </c>
      <c r="AD51" s="314">
        <v>17499.410822510719</v>
      </c>
      <c r="AE51" s="314">
        <v>106899.40655376017</v>
      </c>
      <c r="AF51" s="314">
        <v>18698.482885621488</v>
      </c>
      <c r="AG51" s="314">
        <v>30668.061702279821</v>
      </c>
      <c r="AH51" s="314">
        <v>10178.583947170526</v>
      </c>
      <c r="AI51" s="314">
        <v>19743.126245975123</v>
      </c>
      <c r="AJ51" s="315">
        <v>154064.38064952963</v>
      </c>
    </row>
    <row r="52" spans="1:36" x14ac:dyDescent="0.25">
      <c r="A52">
        <v>1975</v>
      </c>
      <c r="B52" s="311">
        <v>33939.48683860153</v>
      </c>
      <c r="C52" s="312">
        <v>1026.0025346279144</v>
      </c>
      <c r="D52" s="312">
        <v>140442.57757568359</v>
      </c>
      <c r="E52" s="312">
        <v>0</v>
      </c>
      <c r="F52" s="312">
        <v>16464.602327659726</v>
      </c>
      <c r="G52" s="312">
        <v>2036.5992698669434</v>
      </c>
      <c r="H52" s="312">
        <v>0</v>
      </c>
      <c r="I52" s="312">
        <v>106835.48205305636</v>
      </c>
      <c r="J52" s="312">
        <v>2605.0797650814056</v>
      </c>
      <c r="K52" s="312">
        <v>0</v>
      </c>
      <c r="L52" s="312">
        <v>17700.164730645705</v>
      </c>
      <c r="M52" s="312">
        <v>1392.1547365188599</v>
      </c>
      <c r="N52" s="312">
        <v>0</v>
      </c>
      <c r="O52" s="312">
        <v>49327.010736568351</v>
      </c>
      <c r="P52" s="312">
        <v>470.41834115982056</v>
      </c>
      <c r="Q52" s="312">
        <v>22074.900729071349</v>
      </c>
      <c r="R52" s="312">
        <v>598.83215999603271</v>
      </c>
      <c r="S52" s="312">
        <v>0</v>
      </c>
      <c r="T52" s="312">
        <v>28503.567354803767</v>
      </c>
      <c r="U52" s="312">
        <v>1588.2209770679474</v>
      </c>
      <c r="V52" s="312">
        <v>0</v>
      </c>
      <c r="W52" s="312">
        <v>123258.50775696679</v>
      </c>
      <c r="X52" s="312">
        <v>5406.5516634359956</v>
      </c>
      <c r="Y52" s="312">
        <v>0</v>
      </c>
      <c r="Z52" s="312">
        <v>242635.86738777161</v>
      </c>
      <c r="AA52" s="313">
        <v>113970.80796736882</v>
      </c>
      <c r="AB52" s="314">
        <v>0</v>
      </c>
      <c r="AC52" s="314">
        <v>34965.489373229444</v>
      </c>
      <c r="AD52" s="314">
        <v>18501.20159752667</v>
      </c>
      <c r="AE52" s="314">
        <v>109440.56181813776</v>
      </c>
      <c r="AF52" s="314">
        <v>19092.319467164565</v>
      </c>
      <c r="AG52" s="314">
        <v>49797.429077728171</v>
      </c>
      <c r="AH52" s="314">
        <v>22673.732889067382</v>
      </c>
      <c r="AI52" s="314">
        <v>30091.788331871714</v>
      </c>
      <c r="AJ52" s="315">
        <v>128665.05942040279</v>
      </c>
    </row>
    <row r="53" spans="1:36" x14ac:dyDescent="0.25">
      <c r="A53">
        <v>1976</v>
      </c>
      <c r="B53" s="311">
        <v>32272.699624016881</v>
      </c>
      <c r="C53" s="312">
        <v>1026.0025346279144</v>
      </c>
      <c r="D53" s="312">
        <v>74668.012512207031</v>
      </c>
      <c r="E53" s="312">
        <v>0</v>
      </c>
      <c r="F53" s="312">
        <v>15847.775936208665</v>
      </c>
      <c r="G53" s="312">
        <v>2036.5992698669434</v>
      </c>
      <c r="H53" s="312">
        <v>0</v>
      </c>
      <c r="I53" s="312">
        <v>99038.239971056581</v>
      </c>
      <c r="J53" s="312">
        <v>2606.5198438167572</v>
      </c>
      <c r="K53" s="312">
        <v>0</v>
      </c>
      <c r="L53" s="312">
        <v>16774.593496486552</v>
      </c>
      <c r="M53" s="312">
        <v>1262.1614189147949</v>
      </c>
      <c r="N53" s="312">
        <v>0</v>
      </c>
      <c r="O53" s="312">
        <v>39506.195093207512</v>
      </c>
      <c r="P53" s="312">
        <v>388.27916288375854</v>
      </c>
      <c r="Q53" s="312">
        <v>13462.662733092904</v>
      </c>
      <c r="R53" s="312">
        <v>598.83215999603271</v>
      </c>
      <c r="S53" s="312">
        <v>0</v>
      </c>
      <c r="T53" s="312">
        <v>24579.507238521801</v>
      </c>
      <c r="U53" s="312">
        <v>1502.1950793893318</v>
      </c>
      <c r="V53" s="312">
        <v>0</v>
      </c>
      <c r="W53" s="312">
        <v>125321.50252712115</v>
      </c>
      <c r="X53" s="312">
        <v>5118.8121231942059</v>
      </c>
      <c r="Y53" s="312">
        <v>0</v>
      </c>
      <c r="Z53" s="312">
        <v>221127.03445386887</v>
      </c>
      <c r="AA53" s="313">
        <v>90686.719803553511</v>
      </c>
      <c r="AB53" s="314">
        <v>0</v>
      </c>
      <c r="AC53" s="314">
        <v>33298.702158644795</v>
      </c>
      <c r="AD53" s="314">
        <v>17884.375206075609</v>
      </c>
      <c r="AE53" s="314">
        <v>101644.75981487334</v>
      </c>
      <c r="AF53" s="314">
        <v>18036.754915401347</v>
      </c>
      <c r="AG53" s="314">
        <v>39894.474256091271</v>
      </c>
      <c r="AH53" s="314">
        <v>14061.494893088937</v>
      </c>
      <c r="AI53" s="314">
        <v>26081.702317911131</v>
      </c>
      <c r="AJ53" s="315">
        <v>130440.31465031535</v>
      </c>
    </row>
    <row r="54" spans="1:36" x14ac:dyDescent="0.25">
      <c r="A54">
        <v>1977</v>
      </c>
      <c r="B54" s="311">
        <v>29248.180569700897</v>
      </c>
      <c r="C54" s="312">
        <v>1026.0025346279144</v>
      </c>
      <c r="D54" s="312">
        <v>11956.477355957031</v>
      </c>
      <c r="E54" s="312">
        <v>0</v>
      </c>
      <c r="F54" s="312">
        <v>14361.647783756256</v>
      </c>
      <c r="G54" s="312">
        <v>2036.5992698669434</v>
      </c>
      <c r="H54" s="312">
        <v>0</v>
      </c>
      <c r="I54" s="312">
        <v>86863.337793305516</v>
      </c>
      <c r="J54" s="312">
        <v>1929.7062470912933</v>
      </c>
      <c r="K54" s="312">
        <v>0</v>
      </c>
      <c r="L54" s="312">
        <v>18972.278492756173</v>
      </c>
      <c r="M54" s="312">
        <v>1248.9770970344543</v>
      </c>
      <c r="N54" s="312">
        <v>0</v>
      </c>
      <c r="O54" s="312">
        <v>16760.236751301658</v>
      </c>
      <c r="P54" s="312">
        <v>283.90742826461792</v>
      </c>
      <c r="Q54" s="312">
        <v>6132.9705138765275</v>
      </c>
      <c r="R54" s="312">
        <v>598.83215999603271</v>
      </c>
      <c r="S54" s="312">
        <v>0</v>
      </c>
      <c r="T54" s="312">
        <v>9085.2957893103357</v>
      </c>
      <c r="U54" s="312">
        <v>1382.8556032180786</v>
      </c>
      <c r="V54" s="312">
        <v>0</v>
      </c>
      <c r="W54" s="312">
        <v>125665.86132155701</v>
      </c>
      <c r="X54" s="312">
        <v>4611.0848365724087</v>
      </c>
      <c r="Y54" s="312">
        <v>0</v>
      </c>
      <c r="Z54" s="312">
        <v>197216.21497511864</v>
      </c>
      <c r="AA54" s="313">
        <v>66939.268816989221</v>
      </c>
      <c r="AB54" s="314">
        <v>0</v>
      </c>
      <c r="AC54" s="314">
        <v>30274.183104328811</v>
      </c>
      <c r="AD54" s="314">
        <v>16398.247053623199</v>
      </c>
      <c r="AE54" s="314">
        <v>88793.04404039681</v>
      </c>
      <c r="AF54" s="314">
        <v>20221.255589790628</v>
      </c>
      <c r="AG54" s="314">
        <v>17044.144179566276</v>
      </c>
      <c r="AH54" s="314">
        <v>6731.8026738725603</v>
      </c>
      <c r="AI54" s="314">
        <v>10468.151392528414</v>
      </c>
      <c r="AJ54" s="315">
        <v>130276.94615812942</v>
      </c>
    </row>
    <row r="55" spans="1:36" x14ac:dyDescent="0.25">
      <c r="A55">
        <v>1978</v>
      </c>
      <c r="B55" s="311">
        <v>32664.267494857311</v>
      </c>
      <c r="C55" s="312">
        <v>1026.0025346279144</v>
      </c>
      <c r="D55" s="312">
        <v>94725.125732421875</v>
      </c>
      <c r="E55" s="312">
        <v>0</v>
      </c>
      <c r="F55" s="312">
        <v>15757.657014206052</v>
      </c>
      <c r="G55" s="312">
        <v>2036.5992698669434</v>
      </c>
      <c r="H55" s="312">
        <v>0</v>
      </c>
      <c r="I55" s="312">
        <v>108352.70168494433</v>
      </c>
      <c r="J55" s="312">
        <v>2627.6490609645844</v>
      </c>
      <c r="K55" s="312">
        <v>0</v>
      </c>
      <c r="L55" s="312">
        <v>17675.036001138331</v>
      </c>
      <c r="M55" s="312">
        <v>1281.6547131538391</v>
      </c>
      <c r="N55" s="312">
        <v>0</v>
      </c>
      <c r="O55" s="312">
        <v>29880.872695176375</v>
      </c>
      <c r="P55" s="312">
        <v>360.53236293792725</v>
      </c>
      <c r="Q55" s="312">
        <v>15376.096411794424</v>
      </c>
      <c r="R55" s="312">
        <v>598.83215999603271</v>
      </c>
      <c r="S55" s="312">
        <v>0</v>
      </c>
      <c r="T55" s="312">
        <v>24388.532510861383</v>
      </c>
      <c r="U55" s="312">
        <v>1573.6128660890322</v>
      </c>
      <c r="V55" s="312">
        <v>0</v>
      </c>
      <c r="W55" s="312">
        <v>130800.39705032825</v>
      </c>
      <c r="X55" s="312">
        <v>5294.4705147699988</v>
      </c>
      <c r="Y55" s="312">
        <v>0</v>
      </c>
      <c r="Z55" s="312">
        <v>223214.94013214111</v>
      </c>
      <c r="AA55" s="313">
        <v>87120.072567042866</v>
      </c>
      <c r="AB55" s="314">
        <v>0</v>
      </c>
      <c r="AC55" s="314">
        <v>33690.270029485226</v>
      </c>
      <c r="AD55" s="314">
        <v>17794.256284072995</v>
      </c>
      <c r="AE55" s="314">
        <v>110980.35074590892</v>
      </c>
      <c r="AF55" s="314">
        <v>18956.69071429217</v>
      </c>
      <c r="AG55" s="314">
        <v>30241.405058114302</v>
      </c>
      <c r="AH55" s="314">
        <v>15974.928571790457</v>
      </c>
      <c r="AI55" s="314">
        <v>25962.145376950415</v>
      </c>
      <c r="AJ55" s="315">
        <v>136094.86756509825</v>
      </c>
    </row>
    <row r="56" spans="1:36" x14ac:dyDescent="0.25">
      <c r="A56">
        <v>1979</v>
      </c>
      <c r="B56" s="311">
        <v>34818.433326393366</v>
      </c>
      <c r="C56" s="312">
        <v>1026.0025346279144</v>
      </c>
      <c r="D56" s="312">
        <v>153056.35571289063</v>
      </c>
      <c r="E56" s="312">
        <v>0</v>
      </c>
      <c r="F56" s="312">
        <v>17041.523613594472</v>
      </c>
      <c r="G56" s="312">
        <v>2036.5992698669434</v>
      </c>
      <c r="H56" s="312">
        <v>0</v>
      </c>
      <c r="I56" s="312">
        <v>114979.39627410471</v>
      </c>
      <c r="J56" s="312">
        <v>2543.4883592128754</v>
      </c>
      <c r="K56" s="312">
        <v>0</v>
      </c>
      <c r="L56" s="312">
        <v>18588.886675922662</v>
      </c>
      <c r="M56" s="312">
        <v>1053.0147466734052</v>
      </c>
      <c r="N56" s="312">
        <v>0</v>
      </c>
      <c r="O56" s="312">
        <v>51768.329105703611</v>
      </c>
      <c r="P56" s="312">
        <v>518.88225340843201</v>
      </c>
      <c r="Q56" s="312">
        <v>21943.668578594923</v>
      </c>
      <c r="R56" s="312">
        <v>598.83215999603271</v>
      </c>
      <c r="S56" s="312">
        <v>0</v>
      </c>
      <c r="T56" s="312">
        <v>27984.907677471267</v>
      </c>
      <c r="U56" s="312">
        <v>1587.4947115739178</v>
      </c>
      <c r="V56" s="312">
        <v>0</v>
      </c>
      <c r="W56" s="312">
        <v>133376.12924043433</v>
      </c>
      <c r="X56" s="312">
        <v>5574.691083804606</v>
      </c>
      <c r="Y56" s="312">
        <v>0</v>
      </c>
      <c r="Z56" s="312">
        <v>235127.42077720165</v>
      </c>
      <c r="AA56" s="313">
        <v>96176.600452962724</v>
      </c>
      <c r="AB56" s="314">
        <v>0</v>
      </c>
      <c r="AC56" s="314">
        <v>35844.43586102128</v>
      </c>
      <c r="AD56" s="314">
        <v>19078.122883461416</v>
      </c>
      <c r="AE56" s="314">
        <v>117522.88463331759</v>
      </c>
      <c r="AF56" s="314">
        <v>19641.901422596067</v>
      </c>
      <c r="AG56" s="314">
        <v>52287.211359112043</v>
      </c>
      <c r="AH56" s="314">
        <v>22542.500738590956</v>
      </c>
      <c r="AI56" s="314">
        <v>29572.402389045186</v>
      </c>
      <c r="AJ56" s="315">
        <v>138950.82032423894</v>
      </c>
    </row>
    <row r="57" spans="1:36" x14ac:dyDescent="0.25">
      <c r="A57">
        <v>1980</v>
      </c>
      <c r="B57" s="311">
        <v>34649.475097376853</v>
      </c>
      <c r="C57" s="312">
        <v>1026.0025346279144</v>
      </c>
      <c r="D57" s="312">
        <v>131129.88012695313</v>
      </c>
      <c r="E57" s="312">
        <v>0</v>
      </c>
      <c r="F57" s="312">
        <v>17090.547840058804</v>
      </c>
      <c r="G57" s="312">
        <v>2036.5992698669434</v>
      </c>
      <c r="H57" s="312">
        <v>0</v>
      </c>
      <c r="I57" s="312">
        <v>108351.33420047164</v>
      </c>
      <c r="J57" s="312">
        <v>2602.7840573787689</v>
      </c>
      <c r="K57" s="312">
        <v>0</v>
      </c>
      <c r="L57" s="312">
        <v>18161.660935111347</v>
      </c>
      <c r="M57" s="312">
        <v>1277.0373687744141</v>
      </c>
      <c r="N57" s="312">
        <v>0</v>
      </c>
      <c r="O57" s="312">
        <v>50710.173060326357</v>
      </c>
      <c r="P57" s="312">
        <v>433.62366819381714</v>
      </c>
      <c r="Q57" s="312">
        <v>22249.933236964047</v>
      </c>
      <c r="R57" s="312">
        <v>598.83215999603271</v>
      </c>
      <c r="S57" s="312">
        <v>0</v>
      </c>
      <c r="T57" s="312">
        <v>29745.069352358209</v>
      </c>
      <c r="U57" s="312">
        <v>1567.4386417418718</v>
      </c>
      <c r="V57" s="312">
        <v>0</v>
      </c>
      <c r="W57" s="312">
        <v>136225.51781489298</v>
      </c>
      <c r="X57" s="312">
        <v>5801.8749884203207</v>
      </c>
      <c r="Y57" s="312">
        <v>0</v>
      </c>
      <c r="Z57" s="312">
        <v>252202.05038642883</v>
      </c>
      <c r="AA57" s="313">
        <v>110174.65758311554</v>
      </c>
      <c r="AB57" s="314">
        <v>0</v>
      </c>
      <c r="AC57" s="314">
        <v>35675.477632004768</v>
      </c>
      <c r="AD57" s="314">
        <v>19127.147109925747</v>
      </c>
      <c r="AE57" s="314">
        <v>110954.11825785041</v>
      </c>
      <c r="AF57" s="314">
        <v>19438.698303885762</v>
      </c>
      <c r="AG57" s="314">
        <v>51143.796728520174</v>
      </c>
      <c r="AH57" s="314">
        <v>22848.76539696008</v>
      </c>
      <c r="AI57" s="314">
        <v>31312.50799410008</v>
      </c>
      <c r="AJ57" s="315">
        <v>142027.3928033133</v>
      </c>
    </row>
    <row r="58" spans="1:36" x14ac:dyDescent="0.25">
      <c r="A58">
        <v>1981</v>
      </c>
      <c r="B58" s="311">
        <v>29347.777820531279</v>
      </c>
      <c r="C58" s="312">
        <v>1026.0025346279144</v>
      </c>
      <c r="D58" s="312">
        <v>51567.463470458984</v>
      </c>
      <c r="E58" s="312">
        <v>0</v>
      </c>
      <c r="F58" s="312">
        <v>14468.325735732913</v>
      </c>
      <c r="G58" s="312">
        <v>2036.5992698669434</v>
      </c>
      <c r="H58" s="312">
        <v>0</v>
      </c>
      <c r="I58" s="312">
        <v>107958.16680561006</v>
      </c>
      <c r="J58" s="312">
        <v>2512.8880517482758</v>
      </c>
      <c r="K58" s="312">
        <v>0</v>
      </c>
      <c r="L58" s="312">
        <v>16433.830582052462</v>
      </c>
      <c r="M58" s="312">
        <v>1309.692943572998</v>
      </c>
      <c r="N58" s="312">
        <v>0</v>
      </c>
      <c r="O58" s="312">
        <v>37337.216328157563</v>
      </c>
      <c r="P58" s="312">
        <v>308.57198524475098</v>
      </c>
      <c r="Q58" s="312">
        <v>13682.542457818985</v>
      </c>
      <c r="R58" s="312">
        <v>598.83215999603271</v>
      </c>
      <c r="S58" s="312">
        <v>0</v>
      </c>
      <c r="T58" s="312">
        <v>22188.659361987935</v>
      </c>
      <c r="U58" s="312">
        <v>1454.2074184417725</v>
      </c>
      <c r="V58" s="312">
        <v>0</v>
      </c>
      <c r="W58" s="312">
        <v>124571.48228280588</v>
      </c>
      <c r="X58" s="312">
        <v>5498.9465467855334</v>
      </c>
      <c r="Y58" s="312">
        <v>0</v>
      </c>
      <c r="Z58" s="312">
        <v>246454.71502113342</v>
      </c>
      <c r="AA58" s="313">
        <v>116384.28619154201</v>
      </c>
      <c r="AB58" s="314">
        <v>0</v>
      </c>
      <c r="AC58" s="314">
        <v>30373.780355159193</v>
      </c>
      <c r="AD58" s="314">
        <v>16504.925005599856</v>
      </c>
      <c r="AE58" s="314">
        <v>110471.05485735834</v>
      </c>
      <c r="AF58" s="314">
        <v>17743.52352562546</v>
      </c>
      <c r="AG58" s="314">
        <v>37645.788313402314</v>
      </c>
      <c r="AH58" s="314">
        <v>14281.374617815018</v>
      </c>
      <c r="AI58" s="314">
        <v>23642.866780429707</v>
      </c>
      <c r="AJ58" s="315">
        <v>130070.42882959142</v>
      </c>
    </row>
    <row r="59" spans="1:36" x14ac:dyDescent="0.25">
      <c r="A59">
        <v>1982</v>
      </c>
      <c r="B59" s="311">
        <v>32442.42116086185</v>
      </c>
      <c r="C59" s="312">
        <v>1026.0025346279144</v>
      </c>
      <c r="D59" s="312">
        <v>161148.5643529892</v>
      </c>
      <c r="E59" s="312">
        <v>0</v>
      </c>
      <c r="F59" s="312">
        <v>15367.266431674361</v>
      </c>
      <c r="G59" s="312">
        <v>2036.5992698669434</v>
      </c>
      <c r="H59" s="312">
        <v>0</v>
      </c>
      <c r="I59" s="312">
        <v>96190.885259121656</v>
      </c>
      <c r="J59" s="312">
        <v>2579.5759885311127</v>
      </c>
      <c r="K59" s="312">
        <v>0</v>
      </c>
      <c r="L59" s="312">
        <v>16344.997176893052</v>
      </c>
      <c r="M59" s="312">
        <v>1254.8664417266846</v>
      </c>
      <c r="N59" s="312">
        <v>0</v>
      </c>
      <c r="O59" s="312">
        <v>44744.215245990534</v>
      </c>
      <c r="P59" s="312">
        <v>398.5383129119873</v>
      </c>
      <c r="Q59" s="312">
        <v>19354.069732189178</v>
      </c>
      <c r="R59" s="312">
        <v>598.83215999603271</v>
      </c>
      <c r="S59" s="312">
        <v>0</v>
      </c>
      <c r="T59" s="312">
        <v>27530.755962084608</v>
      </c>
      <c r="U59" s="312">
        <v>1572.7816178798676</v>
      </c>
      <c r="V59" s="312">
        <v>0</v>
      </c>
      <c r="W59" s="312">
        <v>114816.82646870955</v>
      </c>
      <c r="X59" s="312">
        <v>5826.7592900693417</v>
      </c>
      <c r="Y59" s="312">
        <v>0</v>
      </c>
      <c r="Z59" s="312">
        <v>193716.12626743317</v>
      </c>
      <c r="AA59" s="313">
        <v>73072.540508654274</v>
      </c>
      <c r="AB59" s="314">
        <v>0</v>
      </c>
      <c r="AC59" s="314">
        <v>33468.423695489764</v>
      </c>
      <c r="AD59" s="314">
        <v>17403.865701541305</v>
      </c>
      <c r="AE59" s="314">
        <v>98770.461247652769</v>
      </c>
      <c r="AF59" s="314">
        <v>17599.863618619736</v>
      </c>
      <c r="AG59" s="314">
        <v>45142.753558902521</v>
      </c>
      <c r="AH59" s="314">
        <v>19952.901892185211</v>
      </c>
      <c r="AI59" s="314">
        <v>29103.537579964475</v>
      </c>
      <c r="AJ59" s="315">
        <v>120643.58575877889</v>
      </c>
    </row>
    <row r="60" spans="1:36" x14ac:dyDescent="0.25">
      <c r="A60">
        <v>1983</v>
      </c>
      <c r="B60" s="311">
        <v>33038.07901391387</v>
      </c>
      <c r="C60" s="312">
        <v>1026.0025346279144</v>
      </c>
      <c r="D60" s="312">
        <v>136650.19689941406</v>
      </c>
      <c r="E60" s="312">
        <v>0</v>
      </c>
      <c r="F60" s="312">
        <v>15965.106910675764</v>
      </c>
      <c r="G60" s="312">
        <v>2036.5992698669434</v>
      </c>
      <c r="H60" s="312">
        <v>0</v>
      </c>
      <c r="I60" s="312">
        <v>115012.58096146584</v>
      </c>
      <c r="J60" s="312">
        <v>2564.4656407833099</v>
      </c>
      <c r="K60" s="312">
        <v>0</v>
      </c>
      <c r="L60" s="312">
        <v>18089.224687099446</v>
      </c>
      <c r="M60" s="312">
        <v>1304.7546677589417</v>
      </c>
      <c r="N60" s="312">
        <v>0</v>
      </c>
      <c r="O60" s="312">
        <v>49548.372269807835</v>
      </c>
      <c r="P60" s="312">
        <v>407.93087911605835</v>
      </c>
      <c r="Q60" s="312">
        <v>22734.619184385985</v>
      </c>
      <c r="R60" s="312">
        <v>598.83215999603271</v>
      </c>
      <c r="S60" s="312">
        <v>0</v>
      </c>
      <c r="T60" s="312">
        <v>28152.334409296142</v>
      </c>
      <c r="U60" s="312">
        <v>1584.9426574707031</v>
      </c>
      <c r="V60" s="312">
        <v>0</v>
      </c>
      <c r="W60" s="312">
        <v>113989.70832902535</v>
      </c>
      <c r="X60" s="312">
        <v>6094.1022396683693</v>
      </c>
      <c r="Y60" s="312">
        <v>0</v>
      </c>
      <c r="Z60" s="312">
        <v>189667.6123085022</v>
      </c>
      <c r="AA60" s="313">
        <v>69583.801739808478</v>
      </c>
      <c r="AB60" s="314">
        <v>0</v>
      </c>
      <c r="AC60" s="314">
        <v>34064.081548541784</v>
      </c>
      <c r="AD60" s="314">
        <v>18001.706180542707</v>
      </c>
      <c r="AE60" s="314">
        <v>117577.04660224915</v>
      </c>
      <c r="AF60" s="314">
        <v>19393.979354858388</v>
      </c>
      <c r="AG60" s="314">
        <v>49956.303148923893</v>
      </c>
      <c r="AH60" s="314">
        <v>23333.451344382018</v>
      </c>
      <c r="AI60" s="314">
        <v>29737.277066766845</v>
      </c>
      <c r="AJ60" s="315">
        <v>120083.81056869372</v>
      </c>
    </row>
    <row r="61" spans="1:36" x14ac:dyDescent="0.25">
      <c r="A61">
        <v>1984</v>
      </c>
      <c r="B61" s="311">
        <v>31282.484937444329</v>
      </c>
      <c r="C61" s="312">
        <v>1026.0025346279144</v>
      </c>
      <c r="D61" s="312">
        <v>132012.37954711914</v>
      </c>
      <c r="E61" s="312">
        <v>0</v>
      </c>
      <c r="F61" s="312">
        <v>16050.427155897021</v>
      </c>
      <c r="G61" s="312">
        <v>2036.5992698669434</v>
      </c>
      <c r="H61" s="312">
        <v>0</v>
      </c>
      <c r="I61" s="312">
        <v>111683.23632229865</v>
      </c>
      <c r="J61" s="312">
        <v>2608.8271157741547</v>
      </c>
      <c r="K61" s="312">
        <v>0</v>
      </c>
      <c r="L61" s="312">
        <v>17460.84858407823</v>
      </c>
      <c r="M61" s="312">
        <v>1310.8137335777283</v>
      </c>
      <c r="N61" s="312">
        <v>0</v>
      </c>
      <c r="O61" s="312">
        <v>47721.968711657901</v>
      </c>
      <c r="P61" s="312">
        <v>420.77869844436646</v>
      </c>
      <c r="Q61" s="312">
        <v>18537.862465493381</v>
      </c>
      <c r="R61" s="312">
        <v>598.83215999603271</v>
      </c>
      <c r="S61" s="312">
        <v>0</v>
      </c>
      <c r="T61" s="312">
        <v>26724.534374929593</v>
      </c>
      <c r="U61" s="312">
        <v>1564.0246445090634</v>
      </c>
      <c r="V61" s="312">
        <v>0</v>
      </c>
      <c r="W61" s="312">
        <v>114868.51575903936</v>
      </c>
      <c r="X61" s="312">
        <v>5909.2078681588173</v>
      </c>
      <c r="Y61" s="312">
        <v>0</v>
      </c>
      <c r="Z61" s="312">
        <v>210806.35505843163</v>
      </c>
      <c r="AA61" s="313">
        <v>90028.631431233443</v>
      </c>
      <c r="AB61" s="314">
        <v>0</v>
      </c>
      <c r="AC61" s="314">
        <v>32308.487472072244</v>
      </c>
      <c r="AD61" s="314">
        <v>18087.026425763965</v>
      </c>
      <c r="AE61" s="314">
        <v>114292.0634380728</v>
      </c>
      <c r="AF61" s="314">
        <v>18771.662317655959</v>
      </c>
      <c r="AG61" s="314">
        <v>48142.747410102267</v>
      </c>
      <c r="AH61" s="314">
        <v>19136.694625489414</v>
      </c>
      <c r="AI61" s="314">
        <v>28288.559019438657</v>
      </c>
      <c r="AJ61" s="315">
        <v>120777.72362719818</v>
      </c>
    </row>
    <row r="62" spans="1:36" x14ac:dyDescent="0.25">
      <c r="A62">
        <v>1985</v>
      </c>
      <c r="B62" s="311">
        <v>31450.961072705686</v>
      </c>
      <c r="C62" s="312">
        <v>1026.0025346279144</v>
      </c>
      <c r="D62" s="312">
        <v>191640.84257507324</v>
      </c>
      <c r="E62" s="312">
        <v>0</v>
      </c>
      <c r="F62" s="312">
        <v>15109.031175419688</v>
      </c>
      <c r="G62" s="312">
        <v>2036.5992698669434</v>
      </c>
      <c r="H62" s="312">
        <v>0</v>
      </c>
      <c r="I62" s="312">
        <v>114132.16916112602</v>
      </c>
      <c r="J62" s="312">
        <v>2400.1704461574554</v>
      </c>
      <c r="K62" s="312">
        <v>0</v>
      </c>
      <c r="L62" s="312">
        <v>18204.939930424098</v>
      </c>
      <c r="M62" s="312">
        <v>1397.5919589996338</v>
      </c>
      <c r="N62" s="312">
        <v>0</v>
      </c>
      <c r="O62" s="312">
        <v>50792.279975323458</v>
      </c>
      <c r="P62" s="312">
        <v>530.79295539855957</v>
      </c>
      <c r="Q62" s="312">
        <v>21689.595151588321</v>
      </c>
      <c r="R62" s="312">
        <v>598.83215999603271</v>
      </c>
      <c r="S62" s="312">
        <v>0</v>
      </c>
      <c r="T62" s="312">
        <v>27401.482122644411</v>
      </c>
      <c r="U62" s="312">
        <v>1581.6503635644913</v>
      </c>
      <c r="V62" s="312">
        <v>0</v>
      </c>
      <c r="W62" s="312">
        <v>124064.32102989004</v>
      </c>
      <c r="X62" s="312">
        <v>5839.2801697254181</v>
      </c>
      <c r="Y62" s="312">
        <v>0</v>
      </c>
      <c r="Z62" s="312">
        <v>190549.91597175598</v>
      </c>
      <c r="AA62" s="313">
        <v>60646.314772140526</v>
      </c>
      <c r="AB62" s="314">
        <v>0</v>
      </c>
      <c r="AC62" s="314">
        <v>32476.963607333601</v>
      </c>
      <c r="AD62" s="314">
        <v>17145.630445286632</v>
      </c>
      <c r="AE62" s="314">
        <v>116532.33960728347</v>
      </c>
      <c r="AF62" s="314">
        <v>19602.531889423732</v>
      </c>
      <c r="AG62" s="314">
        <v>51323.072930722017</v>
      </c>
      <c r="AH62" s="314">
        <v>22288.427311584353</v>
      </c>
      <c r="AI62" s="314">
        <v>28983.132486208902</v>
      </c>
      <c r="AJ62" s="315">
        <v>129903.60119961546</v>
      </c>
    </row>
    <row r="63" spans="1:36" x14ac:dyDescent="0.25">
      <c r="A63">
        <v>1986</v>
      </c>
      <c r="B63" s="311">
        <v>28256.971133649349</v>
      </c>
      <c r="C63" s="312">
        <v>1026.0025346279144</v>
      </c>
      <c r="D63" s="312">
        <v>135953.30113601685</v>
      </c>
      <c r="E63" s="312">
        <v>0</v>
      </c>
      <c r="F63" s="312">
        <v>14142.019212886691</v>
      </c>
      <c r="G63" s="312">
        <v>2036.5992698669434</v>
      </c>
      <c r="H63" s="312">
        <v>0</v>
      </c>
      <c r="I63" s="312">
        <v>89773.38476318866</v>
      </c>
      <c r="J63" s="312">
        <v>2395.484922170639</v>
      </c>
      <c r="K63" s="312">
        <v>0</v>
      </c>
      <c r="L63" s="312">
        <v>15067.868537843218</v>
      </c>
      <c r="M63" s="312">
        <v>1366.6908497810364</v>
      </c>
      <c r="N63" s="312">
        <v>0</v>
      </c>
      <c r="O63" s="312">
        <v>40980.75665616848</v>
      </c>
      <c r="P63" s="312">
        <v>515.34848260879517</v>
      </c>
      <c r="Q63" s="312">
        <v>18869.148969702423</v>
      </c>
      <c r="R63" s="312">
        <v>598.83215999603271</v>
      </c>
      <c r="S63" s="312">
        <v>0</v>
      </c>
      <c r="T63" s="312">
        <v>25102.681163876878</v>
      </c>
      <c r="U63" s="312">
        <v>1574.1122695207596</v>
      </c>
      <c r="V63" s="312">
        <v>0</v>
      </c>
      <c r="W63" s="312">
        <v>105992.9262762998</v>
      </c>
      <c r="X63" s="312">
        <v>5943.595062670649</v>
      </c>
      <c r="Y63" s="312">
        <v>0</v>
      </c>
      <c r="Z63" s="312">
        <v>187832.17130088806</v>
      </c>
      <c r="AA63" s="313">
        <v>75895.649961917617</v>
      </c>
      <c r="AB63" s="314">
        <v>0</v>
      </c>
      <c r="AC63" s="314">
        <v>29282.973668277264</v>
      </c>
      <c r="AD63" s="314">
        <v>16178.618482753634</v>
      </c>
      <c r="AE63" s="314">
        <v>92168.869685359299</v>
      </c>
      <c r="AF63" s="314">
        <v>16434.559387624256</v>
      </c>
      <c r="AG63" s="314">
        <v>41496.105138777275</v>
      </c>
      <c r="AH63" s="314">
        <v>19467.981129698455</v>
      </c>
      <c r="AI63" s="314">
        <v>26676.793433397637</v>
      </c>
      <c r="AJ63" s="315">
        <v>111936.52133897044</v>
      </c>
    </row>
    <row r="64" spans="1:36" x14ac:dyDescent="0.25">
      <c r="A64">
        <v>1987</v>
      </c>
      <c r="B64" s="311">
        <v>32293.075099043548</v>
      </c>
      <c r="C64" s="312">
        <v>1026.0025346279144</v>
      </c>
      <c r="D64" s="312">
        <v>74416.019515991211</v>
      </c>
      <c r="E64" s="312">
        <v>0</v>
      </c>
      <c r="F64" s="312">
        <v>16254.585354760289</v>
      </c>
      <c r="G64" s="312">
        <v>2036.5992698669434</v>
      </c>
      <c r="H64" s="312">
        <v>0</v>
      </c>
      <c r="I64" s="312">
        <v>103097.6161525175</v>
      </c>
      <c r="J64" s="312">
        <v>2354.0672128200531</v>
      </c>
      <c r="K64" s="312">
        <v>0</v>
      </c>
      <c r="L64" s="312">
        <v>17476.846191778768</v>
      </c>
      <c r="M64" s="312">
        <v>1364.4884910583496</v>
      </c>
      <c r="N64" s="312">
        <v>0</v>
      </c>
      <c r="O64" s="312">
        <v>46738.631541876573</v>
      </c>
      <c r="P64" s="312">
        <v>530.74375677108765</v>
      </c>
      <c r="Q64" s="312">
        <v>21794.299299731851</v>
      </c>
      <c r="R64" s="312">
        <v>598.83215999603271</v>
      </c>
      <c r="S64" s="312">
        <v>0</v>
      </c>
      <c r="T64" s="312">
        <v>27225.888953920083</v>
      </c>
      <c r="U64" s="312">
        <v>1574.7186695337296</v>
      </c>
      <c r="V64" s="312">
        <v>0</v>
      </c>
      <c r="W64" s="312">
        <v>122786.38562608107</v>
      </c>
      <c r="X64" s="312">
        <v>5954.7716854810715</v>
      </c>
      <c r="Y64" s="312">
        <v>0</v>
      </c>
      <c r="Z64" s="312">
        <v>194907.67035710812</v>
      </c>
      <c r="AA64" s="313">
        <v>66166.513045545973</v>
      </c>
      <c r="AB64" s="314">
        <v>0</v>
      </c>
      <c r="AC64" s="314">
        <v>33319.077633671463</v>
      </c>
      <c r="AD64" s="314">
        <v>18291.184624627233</v>
      </c>
      <c r="AE64" s="314">
        <v>105451.68336533755</v>
      </c>
      <c r="AF64" s="314">
        <v>18841.334682837118</v>
      </c>
      <c r="AG64" s="314">
        <v>47269.375298647661</v>
      </c>
      <c r="AH64" s="314">
        <v>22393.131459727883</v>
      </c>
      <c r="AI64" s="314">
        <v>28800.607623453812</v>
      </c>
      <c r="AJ64" s="315">
        <v>128741.15731156214</v>
      </c>
    </row>
    <row r="65" spans="1:36" x14ac:dyDescent="0.25">
      <c r="A65">
        <v>1988</v>
      </c>
      <c r="B65" s="311">
        <v>32136.464514963329</v>
      </c>
      <c r="C65" s="312">
        <v>1026.0025346279144</v>
      </c>
      <c r="D65" s="312">
        <v>60055.489227294922</v>
      </c>
      <c r="E65" s="312">
        <v>0</v>
      </c>
      <c r="F65" s="312">
        <v>15976.881240855902</v>
      </c>
      <c r="G65" s="312">
        <v>2036.5992698669434</v>
      </c>
      <c r="H65" s="312">
        <v>0</v>
      </c>
      <c r="I65" s="312">
        <v>106148.46707419679</v>
      </c>
      <c r="J65" s="312">
        <v>2389.4415280818939</v>
      </c>
      <c r="K65" s="312">
        <v>0</v>
      </c>
      <c r="L65" s="312">
        <v>18797.600632235408</v>
      </c>
      <c r="M65" s="312">
        <v>1385.8992519378662</v>
      </c>
      <c r="N65" s="312">
        <v>0</v>
      </c>
      <c r="O65" s="312">
        <v>43716.758535696645</v>
      </c>
      <c r="P65" s="312">
        <v>340.94512009620667</v>
      </c>
      <c r="Q65" s="312">
        <v>19178.630270108581</v>
      </c>
      <c r="R65" s="312">
        <v>598.83215999603271</v>
      </c>
      <c r="S65" s="312">
        <v>0</v>
      </c>
      <c r="T65" s="312">
        <v>25477.225751533733</v>
      </c>
      <c r="U65" s="312">
        <v>1555.7891196981259</v>
      </c>
      <c r="V65" s="312">
        <v>0</v>
      </c>
      <c r="W65" s="312">
        <v>117163.91494465216</v>
      </c>
      <c r="X65" s="312">
        <v>5766.3554458767176</v>
      </c>
      <c r="Y65" s="312">
        <v>0</v>
      </c>
      <c r="Z65" s="312">
        <v>189478.57684993744</v>
      </c>
      <c r="AA65" s="313">
        <v>66548.306459408559</v>
      </c>
      <c r="AB65" s="314">
        <v>0</v>
      </c>
      <c r="AC65" s="314">
        <v>33162.467049591243</v>
      </c>
      <c r="AD65" s="314">
        <v>18013.480510722846</v>
      </c>
      <c r="AE65" s="314">
        <v>108537.90860227868</v>
      </c>
      <c r="AF65" s="314">
        <v>20183.499884173274</v>
      </c>
      <c r="AG65" s="314">
        <v>44057.703655792851</v>
      </c>
      <c r="AH65" s="314">
        <v>19777.462430104613</v>
      </c>
      <c r="AI65" s="314">
        <v>27033.014871231859</v>
      </c>
      <c r="AJ65" s="315">
        <v>122930.27039052888</v>
      </c>
    </row>
    <row r="66" spans="1:36" x14ac:dyDescent="0.25">
      <c r="A66">
        <v>1989</v>
      </c>
      <c r="B66" s="311">
        <v>33670.659942824394</v>
      </c>
      <c r="C66" s="312">
        <v>1026.0025346279144</v>
      </c>
      <c r="D66" s="312">
        <v>66110.755737304688</v>
      </c>
      <c r="E66" s="312">
        <v>0</v>
      </c>
      <c r="F66" s="312">
        <v>16448.197522863746</v>
      </c>
      <c r="G66" s="312">
        <v>2036.5992698669434</v>
      </c>
      <c r="H66" s="312">
        <v>0</v>
      </c>
      <c r="I66" s="312">
        <v>108548.43208256364</v>
      </c>
      <c r="J66" s="312">
        <v>1731.9133241176605</v>
      </c>
      <c r="K66" s="312">
        <v>0</v>
      </c>
      <c r="L66" s="312">
        <v>20393.801340766244</v>
      </c>
      <c r="M66" s="312">
        <v>1394.1528329849243</v>
      </c>
      <c r="N66" s="312">
        <v>0</v>
      </c>
      <c r="O66" s="312">
        <v>33616.244752897401</v>
      </c>
      <c r="P66" s="312">
        <v>366.49237990379333</v>
      </c>
      <c r="Q66" s="312">
        <v>12671.576250717044</v>
      </c>
      <c r="R66" s="312">
        <v>598.83215999603271</v>
      </c>
      <c r="S66" s="312">
        <v>0</v>
      </c>
      <c r="T66" s="312">
        <v>21921.016569390522</v>
      </c>
      <c r="U66" s="312">
        <v>1501.054706454277</v>
      </c>
      <c r="V66" s="312">
        <v>0</v>
      </c>
      <c r="W66" s="312">
        <v>143254.77110135899</v>
      </c>
      <c r="X66" s="312">
        <v>5500.6703393608914</v>
      </c>
      <c r="Y66" s="312">
        <v>0</v>
      </c>
      <c r="Z66" s="312">
        <v>186427.57899856567</v>
      </c>
      <c r="AA66" s="313">
        <v>37672.137557845796</v>
      </c>
      <c r="AB66" s="314">
        <v>0</v>
      </c>
      <c r="AC66" s="314">
        <v>34696.662477452308</v>
      </c>
      <c r="AD66" s="314">
        <v>18484.796792730689</v>
      </c>
      <c r="AE66" s="314">
        <v>110280.3454066813</v>
      </c>
      <c r="AF66" s="314">
        <v>21787.954173751168</v>
      </c>
      <c r="AG66" s="314">
        <v>33982.737132801194</v>
      </c>
      <c r="AH66" s="314">
        <v>13270.408410713077</v>
      </c>
      <c r="AI66" s="314">
        <v>23422.071275844799</v>
      </c>
      <c r="AJ66" s="315">
        <v>148755.44144071988</v>
      </c>
    </row>
    <row r="67" spans="1:36" x14ac:dyDescent="0.25">
      <c r="A67">
        <v>1990</v>
      </c>
      <c r="B67" s="311">
        <v>30562.329971387982</v>
      </c>
      <c r="C67" s="312">
        <v>1026.0025346279144</v>
      </c>
      <c r="D67" s="312">
        <v>68981.821533203125</v>
      </c>
      <c r="E67" s="312">
        <v>0</v>
      </c>
      <c r="F67" s="312">
        <v>15215.450620874763</v>
      </c>
      <c r="G67" s="312">
        <v>2036.5992698669434</v>
      </c>
      <c r="H67" s="312">
        <v>0</v>
      </c>
      <c r="I67" s="312">
        <v>97613.246448606253</v>
      </c>
      <c r="J67" s="312">
        <v>2132.9404618740082</v>
      </c>
      <c r="K67" s="312">
        <v>0</v>
      </c>
      <c r="L67" s="312">
        <v>17084.847532734268</v>
      </c>
      <c r="M67" s="312">
        <v>1436.1444606781006</v>
      </c>
      <c r="N67" s="312">
        <v>0</v>
      </c>
      <c r="O67" s="312">
        <v>34214.299594967146</v>
      </c>
      <c r="P67" s="312">
        <v>288.74829077720642</v>
      </c>
      <c r="Q67" s="312">
        <v>11856.981076702476</v>
      </c>
      <c r="R67" s="312">
        <v>598.83215999603271</v>
      </c>
      <c r="S67" s="312">
        <v>0</v>
      </c>
      <c r="T67" s="312">
        <v>18488.123267748953</v>
      </c>
      <c r="U67" s="312">
        <v>1400.3382620252669</v>
      </c>
      <c r="V67" s="312">
        <v>0</v>
      </c>
      <c r="W67" s="312">
        <v>115628.55252334817</v>
      </c>
      <c r="X67" s="312">
        <v>5484.871378025854</v>
      </c>
      <c r="Y67" s="312">
        <v>0</v>
      </c>
      <c r="Z67" s="312">
        <v>230290.84494149685</v>
      </c>
      <c r="AA67" s="313">
        <v>109177.42104012282</v>
      </c>
      <c r="AB67" s="314">
        <v>0</v>
      </c>
      <c r="AC67" s="314">
        <v>31588.332506015897</v>
      </c>
      <c r="AD67" s="314">
        <v>17252.049890741706</v>
      </c>
      <c r="AE67" s="314">
        <v>99746.186910480261</v>
      </c>
      <c r="AF67" s="314">
        <v>18520.991993412368</v>
      </c>
      <c r="AG67" s="314">
        <v>34503.047885744352</v>
      </c>
      <c r="AH67" s="314">
        <v>12455.813236698508</v>
      </c>
      <c r="AI67" s="314">
        <v>19888.46152977422</v>
      </c>
      <c r="AJ67" s="315">
        <v>121113.42390137403</v>
      </c>
    </row>
    <row r="68" spans="1:36" x14ac:dyDescent="0.25">
      <c r="A68">
        <v>1991</v>
      </c>
      <c r="B68" s="311">
        <v>29874.590659990907</v>
      </c>
      <c r="C68" s="312">
        <v>1026.0025346279144</v>
      </c>
      <c r="D68" s="312">
        <v>117437.73883056641</v>
      </c>
      <c r="E68" s="312">
        <v>0</v>
      </c>
      <c r="F68" s="312">
        <v>14863.587761357427</v>
      </c>
      <c r="G68" s="312">
        <v>2036.5992698669434</v>
      </c>
      <c r="H68" s="312">
        <v>0</v>
      </c>
      <c r="I68" s="312">
        <v>106365.59532566369</v>
      </c>
      <c r="J68" s="312">
        <v>2486.1808469295502</v>
      </c>
      <c r="K68" s="312">
        <v>0</v>
      </c>
      <c r="L68" s="312">
        <v>19005.588353522104</v>
      </c>
      <c r="M68" s="312">
        <v>1393.4346914291382</v>
      </c>
      <c r="N68" s="312">
        <v>0</v>
      </c>
      <c r="O68" s="312">
        <v>40674.193793682833</v>
      </c>
      <c r="P68" s="312">
        <v>363.56249809265137</v>
      </c>
      <c r="Q68" s="312">
        <v>16571.399551846087</v>
      </c>
      <c r="R68" s="312">
        <v>598.83215999603271</v>
      </c>
      <c r="S68" s="312">
        <v>0</v>
      </c>
      <c r="T68" s="312">
        <v>26870.58637458794</v>
      </c>
      <c r="U68" s="312">
        <v>1517.9874196476646</v>
      </c>
      <c r="V68" s="312">
        <v>0</v>
      </c>
      <c r="W68" s="312">
        <v>126457.51164976104</v>
      </c>
      <c r="X68" s="312">
        <v>5744.862716598218</v>
      </c>
      <c r="Y68" s="312">
        <v>0</v>
      </c>
      <c r="Z68" s="312">
        <v>199350.48925304413</v>
      </c>
      <c r="AA68" s="313">
        <v>67148.114886684867</v>
      </c>
      <c r="AB68" s="314">
        <v>0</v>
      </c>
      <c r="AC68" s="314">
        <v>30900.593194618821</v>
      </c>
      <c r="AD68" s="314">
        <v>16900.18703122437</v>
      </c>
      <c r="AE68" s="314">
        <v>108851.77617259324</v>
      </c>
      <c r="AF68" s="314">
        <v>20399.023044951242</v>
      </c>
      <c r="AG68" s="314">
        <v>41037.756291775484</v>
      </c>
      <c r="AH68" s="314">
        <v>17170.23171184212</v>
      </c>
      <c r="AI68" s="314">
        <v>28388.573794235603</v>
      </c>
      <c r="AJ68" s="315">
        <v>132202.37436635926</v>
      </c>
    </row>
    <row r="69" spans="1:36" x14ac:dyDescent="0.25">
      <c r="A69">
        <v>1992</v>
      </c>
      <c r="B69" s="311">
        <v>28091.588534541428</v>
      </c>
      <c r="C69" s="312">
        <v>1026.0025346279144</v>
      </c>
      <c r="D69" s="312">
        <v>117054.44799804688</v>
      </c>
      <c r="E69" s="312">
        <v>0</v>
      </c>
      <c r="F69" s="312">
        <v>14082.045574307442</v>
      </c>
      <c r="G69" s="312">
        <v>2036.5992698669434</v>
      </c>
      <c r="H69" s="312">
        <v>0</v>
      </c>
      <c r="I69" s="312">
        <v>101647.26104444265</v>
      </c>
      <c r="J69" s="312">
        <v>2256.827716588974</v>
      </c>
      <c r="K69" s="312">
        <v>0</v>
      </c>
      <c r="L69" s="312">
        <v>17212.850763142094</v>
      </c>
      <c r="M69" s="312">
        <v>1415.0184035301208</v>
      </c>
      <c r="N69" s="312">
        <v>0</v>
      </c>
      <c r="O69" s="312">
        <v>40387.572102038641</v>
      </c>
      <c r="P69" s="312">
        <v>417.97858285903931</v>
      </c>
      <c r="Q69" s="312">
        <v>17006.667536079884</v>
      </c>
      <c r="R69" s="312">
        <v>598.83215999603271</v>
      </c>
      <c r="S69" s="312">
        <v>0</v>
      </c>
      <c r="T69" s="312">
        <v>24435.69680596851</v>
      </c>
      <c r="U69" s="312">
        <v>1590.2554891109467</v>
      </c>
      <c r="V69" s="312">
        <v>0</v>
      </c>
      <c r="W69" s="312">
        <v>112591.44940887734</v>
      </c>
      <c r="X69" s="312">
        <v>5904.539648078382</v>
      </c>
      <c r="Y69" s="312">
        <v>0</v>
      </c>
      <c r="Z69" s="312">
        <v>206443.73423230648</v>
      </c>
      <c r="AA69" s="313">
        <v>87947.745175350763</v>
      </c>
      <c r="AB69" s="314">
        <v>0</v>
      </c>
      <c r="AC69" s="314">
        <v>29117.591069169343</v>
      </c>
      <c r="AD69" s="314">
        <v>16118.644844174385</v>
      </c>
      <c r="AE69" s="314">
        <v>103904.08876103163</v>
      </c>
      <c r="AF69" s="314">
        <v>18627.869166672215</v>
      </c>
      <c r="AG69" s="314">
        <v>40805.55068489768</v>
      </c>
      <c r="AH69" s="314">
        <v>17605.499696075916</v>
      </c>
      <c r="AI69" s="314">
        <v>26025.952295079456</v>
      </c>
      <c r="AJ69" s="315">
        <v>118495.98905695572</v>
      </c>
    </row>
    <row r="70" spans="1:36" x14ac:dyDescent="0.25">
      <c r="A70">
        <v>1993</v>
      </c>
      <c r="B70" s="311">
        <v>32103.136144503951</v>
      </c>
      <c r="C70" s="312">
        <v>1026.0025346279144</v>
      </c>
      <c r="D70" s="312">
        <v>152973.38549804688</v>
      </c>
      <c r="E70" s="312">
        <v>0</v>
      </c>
      <c r="F70" s="312">
        <v>15988.784241110086</v>
      </c>
      <c r="G70" s="312">
        <v>2036.5992698669434</v>
      </c>
      <c r="H70" s="312">
        <v>0</v>
      </c>
      <c r="I70" s="312">
        <v>105791.10222697258</v>
      </c>
      <c r="J70" s="312">
        <v>2418.065530538559</v>
      </c>
      <c r="K70" s="312">
        <v>0</v>
      </c>
      <c r="L70" s="312">
        <v>17761.893258839827</v>
      </c>
      <c r="M70" s="312">
        <v>1409.339928150177</v>
      </c>
      <c r="N70" s="312">
        <v>0</v>
      </c>
      <c r="O70" s="312">
        <v>46448.059832675834</v>
      </c>
      <c r="P70" s="312">
        <v>510.01865291595459</v>
      </c>
      <c r="Q70" s="312">
        <v>23194.015044294298</v>
      </c>
      <c r="R70" s="312">
        <v>598.83215999603271</v>
      </c>
      <c r="S70" s="312">
        <v>0</v>
      </c>
      <c r="T70" s="312">
        <v>27480.71040251814</v>
      </c>
      <c r="U70" s="312">
        <v>1587.6284905076027</v>
      </c>
      <c r="V70" s="312">
        <v>0</v>
      </c>
      <c r="W70" s="312">
        <v>127148.83836561783</v>
      </c>
      <c r="X70" s="312">
        <v>5949.4723663202703</v>
      </c>
      <c r="Y70" s="312">
        <v>0</v>
      </c>
      <c r="Z70" s="312">
        <v>184771.15517747402</v>
      </c>
      <c r="AA70" s="313">
        <v>51672.84444553592</v>
      </c>
      <c r="AB70" s="314">
        <v>0</v>
      </c>
      <c r="AC70" s="314">
        <v>33129.138679131866</v>
      </c>
      <c r="AD70" s="314">
        <v>18025.38351097703</v>
      </c>
      <c r="AE70" s="314">
        <v>108209.16775751114</v>
      </c>
      <c r="AF70" s="314">
        <v>19171.233186990004</v>
      </c>
      <c r="AG70" s="314">
        <v>46958.078485591788</v>
      </c>
      <c r="AH70" s="314">
        <v>23792.84720429033</v>
      </c>
      <c r="AI70" s="314">
        <v>29068.338893025742</v>
      </c>
      <c r="AJ70" s="315">
        <v>133098.31073193811</v>
      </c>
    </row>
    <row r="71" spans="1:36" x14ac:dyDescent="0.25">
      <c r="A71">
        <v>1994</v>
      </c>
      <c r="B71" s="311">
        <v>31375.235254570842</v>
      </c>
      <c r="C71" s="312">
        <v>1026.0025346279144</v>
      </c>
      <c r="D71" s="312">
        <v>118496.70453643799</v>
      </c>
      <c r="E71" s="312">
        <v>0</v>
      </c>
      <c r="F71" s="312">
        <v>15648.641727104783</v>
      </c>
      <c r="G71" s="312">
        <v>2036.5992698669434</v>
      </c>
      <c r="H71" s="312">
        <v>0</v>
      </c>
      <c r="I71" s="312">
        <v>106382.87576417997</v>
      </c>
      <c r="J71" s="312">
        <v>2574.2442357540131</v>
      </c>
      <c r="K71" s="312">
        <v>0</v>
      </c>
      <c r="L71" s="312">
        <v>18496.048557460301</v>
      </c>
      <c r="M71" s="312">
        <v>1402.7864398956299</v>
      </c>
      <c r="N71" s="312">
        <v>0</v>
      </c>
      <c r="O71" s="312">
        <v>37563.936682796557</v>
      </c>
      <c r="P71" s="312">
        <v>342.99559569358826</v>
      </c>
      <c r="Q71" s="312">
        <v>15423.816070884466</v>
      </c>
      <c r="R71" s="312">
        <v>598.83215999603271</v>
      </c>
      <c r="S71" s="312">
        <v>0</v>
      </c>
      <c r="T71" s="312">
        <v>26521.261521556044</v>
      </c>
      <c r="U71" s="312">
        <v>1544.743540763855</v>
      </c>
      <c r="V71" s="312">
        <v>0</v>
      </c>
      <c r="W71" s="312">
        <v>153351.90552360163</v>
      </c>
      <c r="X71" s="312">
        <v>5712.1269104927778</v>
      </c>
      <c r="Y71" s="312">
        <v>0</v>
      </c>
      <c r="Z71" s="312">
        <v>217992.42529058456</v>
      </c>
      <c r="AA71" s="313">
        <v>58928.392856490158</v>
      </c>
      <c r="AB71" s="314">
        <v>0</v>
      </c>
      <c r="AC71" s="314">
        <v>32401.237789198756</v>
      </c>
      <c r="AD71" s="314">
        <v>17685.240996971726</v>
      </c>
      <c r="AE71" s="314">
        <v>108957.11999993399</v>
      </c>
      <c r="AF71" s="314">
        <v>19898.834997355931</v>
      </c>
      <c r="AG71" s="314">
        <v>37906.932278490145</v>
      </c>
      <c r="AH71" s="314">
        <v>16022.648230880499</v>
      </c>
      <c r="AI71" s="314">
        <v>28066.005062319899</v>
      </c>
      <c r="AJ71" s="315">
        <v>159064.03243409441</v>
      </c>
    </row>
    <row r="72" spans="1:36" x14ac:dyDescent="0.25">
      <c r="A72">
        <v>1995</v>
      </c>
      <c r="B72" s="311">
        <v>28506.971692956984</v>
      </c>
      <c r="C72" s="312">
        <v>1026.0025346279144</v>
      </c>
      <c r="D72" s="312">
        <v>105102.31011962891</v>
      </c>
      <c r="E72" s="312">
        <v>0</v>
      </c>
      <c r="F72" s="312">
        <v>14542.535258993506</v>
      </c>
      <c r="G72" s="312">
        <v>2036.5992698669434</v>
      </c>
      <c r="H72" s="312">
        <v>0</v>
      </c>
      <c r="I72" s="312">
        <v>101072.72577896714</v>
      </c>
      <c r="J72" s="312">
        <v>2557.2651059627533</v>
      </c>
      <c r="K72" s="312">
        <v>0</v>
      </c>
      <c r="L72" s="312">
        <v>17458.889293119286</v>
      </c>
      <c r="M72" s="312">
        <v>1359.8109498023987</v>
      </c>
      <c r="N72" s="312">
        <v>0</v>
      </c>
      <c r="O72" s="312">
        <v>45967.858518718262</v>
      </c>
      <c r="P72" s="312">
        <v>483.46467566490173</v>
      </c>
      <c r="Q72" s="312">
        <v>22057.724539775401</v>
      </c>
      <c r="R72" s="312">
        <v>598.83215999603271</v>
      </c>
      <c r="S72" s="312">
        <v>0</v>
      </c>
      <c r="T72" s="312">
        <v>27571.409571572767</v>
      </c>
      <c r="U72" s="312">
        <v>1604.4047881960869</v>
      </c>
      <c r="V72" s="312">
        <v>0</v>
      </c>
      <c r="W72" s="312">
        <v>115514.61933257028</v>
      </c>
      <c r="X72" s="312">
        <v>6071.0040401907072</v>
      </c>
      <c r="Y72" s="312">
        <v>0</v>
      </c>
      <c r="Z72" s="312">
        <v>204038.33221387863</v>
      </c>
      <c r="AA72" s="313">
        <v>82452.708841117652</v>
      </c>
      <c r="AB72" s="314">
        <v>0</v>
      </c>
      <c r="AC72" s="314">
        <v>29532.974227584898</v>
      </c>
      <c r="AD72" s="314">
        <v>16579.13452886045</v>
      </c>
      <c r="AE72" s="314">
        <v>103629.9908849299</v>
      </c>
      <c r="AF72" s="314">
        <v>18818.700242921685</v>
      </c>
      <c r="AG72" s="314">
        <v>46451.323194383163</v>
      </c>
      <c r="AH72" s="314">
        <v>22656.556699771434</v>
      </c>
      <c r="AI72" s="314">
        <v>29175.814359768854</v>
      </c>
      <c r="AJ72" s="315">
        <v>121585.62337276098</v>
      </c>
    </row>
    <row r="73" spans="1:36" x14ac:dyDescent="0.25">
      <c r="A73">
        <v>1996</v>
      </c>
      <c r="B73" s="311">
        <v>29779.537081614137</v>
      </c>
      <c r="C73" s="312">
        <v>1026.0025346279144</v>
      </c>
      <c r="D73" s="312">
        <v>48240.947612762451</v>
      </c>
      <c r="E73" s="312">
        <v>0</v>
      </c>
      <c r="F73" s="312">
        <v>15250.292549237609</v>
      </c>
      <c r="G73" s="312">
        <v>2036.5992698669434</v>
      </c>
      <c r="H73" s="312">
        <v>0</v>
      </c>
      <c r="I73" s="312">
        <v>101112.80448815972</v>
      </c>
      <c r="J73" s="312">
        <v>2350.2871720790863</v>
      </c>
      <c r="K73" s="312">
        <v>0</v>
      </c>
      <c r="L73" s="312">
        <v>19141.341357752659</v>
      </c>
      <c r="M73" s="312">
        <v>1372.9785013198853</v>
      </c>
      <c r="N73" s="312">
        <v>0</v>
      </c>
      <c r="O73" s="312">
        <v>26328.391579805389</v>
      </c>
      <c r="P73" s="312">
        <v>291.16730356216431</v>
      </c>
      <c r="Q73" s="312">
        <v>11528.445808507502</v>
      </c>
      <c r="R73" s="312">
        <v>598.83215999603271</v>
      </c>
      <c r="S73" s="312">
        <v>0</v>
      </c>
      <c r="T73" s="312">
        <v>20441.731213669853</v>
      </c>
      <c r="U73" s="312">
        <v>1411.4547866978992</v>
      </c>
      <c r="V73" s="312">
        <v>0</v>
      </c>
      <c r="W73" s="312">
        <v>147990.34096606792</v>
      </c>
      <c r="X73" s="312">
        <v>5370.1847173767164</v>
      </c>
      <c r="Y73" s="312">
        <v>0</v>
      </c>
      <c r="Z73" s="312">
        <v>249572.9455909729</v>
      </c>
      <c r="AA73" s="313">
        <v>96212.419907528267</v>
      </c>
      <c r="AB73" s="314">
        <v>0</v>
      </c>
      <c r="AC73" s="314">
        <v>30805.539616242051</v>
      </c>
      <c r="AD73" s="314">
        <v>17286.891819104552</v>
      </c>
      <c r="AE73" s="314">
        <v>103463.0916602388</v>
      </c>
      <c r="AF73" s="314">
        <v>20514.319859072544</v>
      </c>
      <c r="AG73" s="314">
        <v>26619.558883367554</v>
      </c>
      <c r="AH73" s="314">
        <v>12127.277968503535</v>
      </c>
      <c r="AI73" s="314">
        <v>21853.18600036775</v>
      </c>
      <c r="AJ73" s="315">
        <v>153360.52568344463</v>
      </c>
    </row>
    <row r="74" spans="1:36" x14ac:dyDescent="0.25">
      <c r="A74">
        <v>1997</v>
      </c>
      <c r="B74" s="311">
        <v>25159.440965354443</v>
      </c>
      <c r="C74" s="312">
        <v>1026.0025346279144</v>
      </c>
      <c r="D74" s="312">
        <v>141869.90014648438</v>
      </c>
      <c r="E74" s="312">
        <v>0</v>
      </c>
      <c r="F74" s="312">
        <v>12714.264801204205</v>
      </c>
      <c r="G74" s="312">
        <v>2036.5992698669434</v>
      </c>
      <c r="H74" s="312">
        <v>0</v>
      </c>
      <c r="I74" s="312">
        <v>103246.6772287339</v>
      </c>
      <c r="J74" s="312">
        <v>2686.1228730678558</v>
      </c>
      <c r="K74" s="312">
        <v>0</v>
      </c>
      <c r="L74" s="312">
        <v>16778.773258469981</v>
      </c>
      <c r="M74" s="312">
        <v>1388.1358737945557</v>
      </c>
      <c r="N74" s="312">
        <v>0</v>
      </c>
      <c r="O74" s="312">
        <v>44856.933479888816</v>
      </c>
      <c r="P74" s="312">
        <v>488.73036551475525</v>
      </c>
      <c r="Q74" s="312">
        <v>22530.197339996696</v>
      </c>
      <c r="R74" s="312">
        <v>598.83215999603271</v>
      </c>
      <c r="S74" s="312">
        <v>0</v>
      </c>
      <c r="T74" s="312">
        <v>28531.910783588515</v>
      </c>
      <c r="U74" s="312">
        <v>1581.50599193573</v>
      </c>
      <c r="V74" s="312">
        <v>0</v>
      </c>
      <c r="W74" s="312">
        <v>134823.82695226715</v>
      </c>
      <c r="X74" s="312">
        <v>5891.855215626575</v>
      </c>
      <c r="Y74" s="312">
        <v>0</v>
      </c>
      <c r="Z74" s="312">
        <v>199579.09180855751</v>
      </c>
      <c r="AA74" s="313">
        <v>58863.409640663791</v>
      </c>
      <c r="AB74" s="314">
        <v>0</v>
      </c>
      <c r="AC74" s="314">
        <v>26185.443499982357</v>
      </c>
      <c r="AD74" s="314">
        <v>14750.864071071148</v>
      </c>
      <c r="AE74" s="314">
        <v>105932.80010180175</v>
      </c>
      <c r="AF74" s="314">
        <v>18166.909132264536</v>
      </c>
      <c r="AG74" s="314">
        <v>45345.663845403571</v>
      </c>
      <c r="AH74" s="314">
        <v>23129.029499992728</v>
      </c>
      <c r="AI74" s="314">
        <v>30113.416775524245</v>
      </c>
      <c r="AJ74" s="315">
        <v>140715.68216789371</v>
      </c>
    </row>
    <row r="75" spans="1:36" x14ac:dyDescent="0.25">
      <c r="A75">
        <v>1998</v>
      </c>
      <c r="B75" s="311">
        <v>33177.189328059554</v>
      </c>
      <c r="C75" s="312">
        <v>1026.0025346279144</v>
      </c>
      <c r="D75" s="312">
        <v>97067.112983703613</v>
      </c>
      <c r="E75" s="312">
        <v>0</v>
      </c>
      <c r="F75" s="312">
        <v>16562.881358131766</v>
      </c>
      <c r="G75" s="312">
        <v>2036.5992698669434</v>
      </c>
      <c r="H75" s="312">
        <v>0</v>
      </c>
      <c r="I75" s="312">
        <v>104485.38600818813</v>
      </c>
      <c r="J75" s="312">
        <v>2481.1306512355804</v>
      </c>
      <c r="K75" s="312">
        <v>0</v>
      </c>
      <c r="L75" s="312">
        <v>18279.750435873866</v>
      </c>
      <c r="M75" s="312">
        <v>1393.2385935783386</v>
      </c>
      <c r="N75" s="312">
        <v>0</v>
      </c>
      <c r="O75" s="312">
        <v>42203.480178008307</v>
      </c>
      <c r="P75" s="312">
        <v>351.52508592605591</v>
      </c>
      <c r="Q75" s="312">
        <v>17572.224156752229</v>
      </c>
      <c r="R75" s="312">
        <v>598.83215999603271</v>
      </c>
      <c r="S75" s="312">
        <v>0</v>
      </c>
      <c r="T75" s="312">
        <v>25636.360704823957</v>
      </c>
      <c r="U75" s="312">
        <v>1551.1450569629669</v>
      </c>
      <c r="V75" s="312">
        <v>0</v>
      </c>
      <c r="W75" s="312">
        <v>148079.24838319764</v>
      </c>
      <c r="X75" s="312">
        <v>5794.8287901207805</v>
      </c>
      <c r="Y75" s="312">
        <v>0</v>
      </c>
      <c r="Z75" s="312">
        <v>208180.59205627441</v>
      </c>
      <c r="AA75" s="313">
        <v>54306.514882955991</v>
      </c>
      <c r="AB75" s="314">
        <v>0</v>
      </c>
      <c r="AC75" s="314">
        <v>34203.191862687469</v>
      </c>
      <c r="AD75" s="314">
        <v>18599.48062799871</v>
      </c>
      <c r="AE75" s="314">
        <v>106966.51665942371</v>
      </c>
      <c r="AF75" s="314">
        <v>19672.989029452205</v>
      </c>
      <c r="AG75" s="314">
        <v>42555.005263934363</v>
      </c>
      <c r="AH75" s="314">
        <v>18171.056316748261</v>
      </c>
      <c r="AI75" s="314">
        <v>27187.505761786924</v>
      </c>
      <c r="AJ75" s="315">
        <v>153874.07717331842</v>
      </c>
    </row>
    <row r="76" spans="1:36" x14ac:dyDescent="0.25">
      <c r="A76">
        <v>1999</v>
      </c>
      <c r="B76" s="311">
        <v>32964.874221034348</v>
      </c>
      <c r="C76" s="312">
        <v>1026.0025346279144</v>
      </c>
      <c r="D76" s="312">
        <v>102844.95849609375</v>
      </c>
      <c r="E76" s="312">
        <v>0</v>
      </c>
      <c r="F76" s="312">
        <v>16529.314782619476</v>
      </c>
      <c r="G76" s="312">
        <v>2036.5992698669434</v>
      </c>
      <c r="H76" s="312">
        <v>0</v>
      </c>
      <c r="I76" s="312">
        <v>99040.928057104349</v>
      </c>
      <c r="J76" s="312">
        <v>2608.828635931015</v>
      </c>
      <c r="K76" s="312">
        <v>0</v>
      </c>
      <c r="L76" s="312">
        <v>15897.635473400343</v>
      </c>
      <c r="M76" s="312">
        <v>1421.9062471389771</v>
      </c>
      <c r="N76" s="312">
        <v>0</v>
      </c>
      <c r="O76" s="312">
        <v>42588.623615293283</v>
      </c>
      <c r="P76" s="312">
        <v>388.57774639129639</v>
      </c>
      <c r="Q76" s="312">
        <v>19445.735156543553</v>
      </c>
      <c r="R76" s="312">
        <v>598.83215999603271</v>
      </c>
      <c r="S76" s="312">
        <v>0</v>
      </c>
      <c r="T76" s="312">
        <v>28572.256326377021</v>
      </c>
      <c r="U76" s="312">
        <v>1582.4154861569405</v>
      </c>
      <c r="V76" s="312">
        <v>0</v>
      </c>
      <c r="W76" s="312">
        <v>133632.7145545219</v>
      </c>
      <c r="X76" s="312">
        <v>5803.2621471136808</v>
      </c>
      <c r="Y76" s="312">
        <v>0</v>
      </c>
      <c r="Z76" s="312">
        <v>218006.16120147705</v>
      </c>
      <c r="AA76" s="313">
        <v>78570.184499841474</v>
      </c>
      <c r="AB76" s="314">
        <v>0</v>
      </c>
      <c r="AC76" s="314">
        <v>33990.876755662262</v>
      </c>
      <c r="AD76" s="314">
        <v>18565.91405248642</v>
      </c>
      <c r="AE76" s="314">
        <v>101649.75669303536</v>
      </c>
      <c r="AF76" s="314">
        <v>17319.541720539321</v>
      </c>
      <c r="AG76" s="314">
        <v>42977.20136168458</v>
      </c>
      <c r="AH76" s="314">
        <v>20044.567316539586</v>
      </c>
      <c r="AI76" s="314">
        <v>30154.671812533961</v>
      </c>
      <c r="AJ76" s="315">
        <v>139435.97670163558</v>
      </c>
    </row>
    <row r="77" spans="1:36" x14ac:dyDescent="0.25">
      <c r="A77">
        <v>2000</v>
      </c>
      <c r="B77" s="311">
        <v>29344.583369780332</v>
      </c>
      <c r="C77" s="312">
        <v>1026.0025346279144</v>
      </c>
      <c r="D77" s="312">
        <v>36166.211456298828</v>
      </c>
      <c r="E77" s="312">
        <v>0</v>
      </c>
      <c r="F77" s="312">
        <v>15188.556368738413</v>
      </c>
      <c r="G77" s="312">
        <v>2036.5992698669434</v>
      </c>
      <c r="H77" s="312">
        <v>0</v>
      </c>
      <c r="I77" s="312">
        <v>103112.69490233064</v>
      </c>
      <c r="J77" s="312">
        <v>2382.4728620052338</v>
      </c>
      <c r="K77" s="312">
        <v>0</v>
      </c>
      <c r="L77" s="312">
        <v>18819.408040262751</v>
      </c>
      <c r="M77" s="312">
        <v>1411.2530813217163</v>
      </c>
      <c r="N77" s="312">
        <v>0</v>
      </c>
      <c r="O77" s="312">
        <v>31979.584313808456</v>
      </c>
      <c r="P77" s="312">
        <v>323.67598628997803</v>
      </c>
      <c r="Q77" s="312">
        <v>13817.336681306362</v>
      </c>
      <c r="R77" s="312">
        <v>598.83215999603271</v>
      </c>
      <c r="S77" s="312">
        <v>0</v>
      </c>
      <c r="T77" s="312">
        <v>23653.961953699218</v>
      </c>
      <c r="U77" s="312">
        <v>1505.6788748502731</v>
      </c>
      <c r="V77" s="312">
        <v>0</v>
      </c>
      <c r="W77" s="312">
        <v>163350.64299086825</v>
      </c>
      <c r="X77" s="312">
        <v>5191.6899812221527</v>
      </c>
      <c r="Y77" s="312">
        <v>0</v>
      </c>
      <c r="Z77" s="312">
        <v>217884.83100879192</v>
      </c>
      <c r="AA77" s="313">
        <v>49342.498036701523</v>
      </c>
      <c r="AB77" s="314">
        <v>0</v>
      </c>
      <c r="AC77" s="314">
        <v>30370.585904408246</v>
      </c>
      <c r="AD77" s="314">
        <v>17225.155638605356</v>
      </c>
      <c r="AE77" s="314">
        <v>105495.16776433587</v>
      </c>
      <c r="AF77" s="314">
        <v>20230.661121584468</v>
      </c>
      <c r="AG77" s="314">
        <v>32303.260300098435</v>
      </c>
      <c r="AH77" s="314">
        <v>14416.168841302395</v>
      </c>
      <c r="AI77" s="314">
        <v>25159.640828549491</v>
      </c>
      <c r="AJ77" s="315">
        <v>168542.3329720904</v>
      </c>
    </row>
    <row r="78" spans="1:36" x14ac:dyDescent="0.25">
      <c r="A78">
        <v>2001</v>
      </c>
      <c r="B78" s="311">
        <v>33777.548021025956</v>
      </c>
      <c r="C78" s="312">
        <v>1026.0025346279144</v>
      </c>
      <c r="D78" s="312">
        <v>100318.58647155762</v>
      </c>
      <c r="E78" s="312">
        <v>0</v>
      </c>
      <c r="F78" s="312">
        <v>17078.43208155036</v>
      </c>
      <c r="G78" s="312">
        <v>2036.5992698669434</v>
      </c>
      <c r="H78" s="312">
        <v>0</v>
      </c>
      <c r="I78" s="312">
        <v>110053.79519414157</v>
      </c>
      <c r="J78" s="312">
        <v>2675.7520997524261</v>
      </c>
      <c r="K78" s="312">
        <v>0</v>
      </c>
      <c r="L78" s="312">
        <v>20484.744205974028</v>
      </c>
      <c r="M78" s="312">
        <v>1389.206042766571</v>
      </c>
      <c r="N78" s="312">
        <v>0</v>
      </c>
      <c r="O78" s="312">
        <v>43369.20257565238</v>
      </c>
      <c r="P78" s="312">
        <v>441.15729832649231</v>
      </c>
      <c r="Q78" s="312">
        <v>16257.600159466267</v>
      </c>
      <c r="R78" s="312">
        <v>598.83215999603271</v>
      </c>
      <c r="S78" s="312">
        <v>0</v>
      </c>
      <c r="T78" s="312">
        <v>25370.646662449559</v>
      </c>
      <c r="U78" s="312">
        <v>1517.2668788451713</v>
      </c>
      <c r="V78" s="312">
        <v>0</v>
      </c>
      <c r="W78" s="312">
        <v>156871.8580951576</v>
      </c>
      <c r="X78" s="312">
        <v>5422.8628231664115</v>
      </c>
      <c r="Y78" s="312">
        <v>0</v>
      </c>
      <c r="Z78" s="312">
        <v>229907.88041687012</v>
      </c>
      <c r="AA78" s="313">
        <v>67613.159498546098</v>
      </c>
      <c r="AB78" s="314">
        <v>0</v>
      </c>
      <c r="AC78" s="314">
        <v>34803.55055565387</v>
      </c>
      <c r="AD78" s="314">
        <v>19115.031351417303</v>
      </c>
      <c r="AE78" s="314">
        <v>112729.54729389399</v>
      </c>
      <c r="AF78" s="314">
        <v>21873.950248740599</v>
      </c>
      <c r="AG78" s="314">
        <v>43810.359873978872</v>
      </c>
      <c r="AH78" s="314">
        <v>16856.432319462299</v>
      </c>
      <c r="AI78" s="314">
        <v>26887.913541294729</v>
      </c>
      <c r="AJ78" s="315">
        <v>162294.72091832402</v>
      </c>
    </row>
    <row r="79" spans="1:36" x14ac:dyDescent="0.25">
      <c r="A79">
        <v>2002</v>
      </c>
      <c r="B79" s="311">
        <v>26964.0081907399</v>
      </c>
      <c r="C79" s="312">
        <v>1026.0025346279144</v>
      </c>
      <c r="D79" s="312">
        <v>3234.6556396484375</v>
      </c>
      <c r="E79" s="312">
        <v>0</v>
      </c>
      <c r="F79" s="312">
        <v>11024.693001762033</v>
      </c>
      <c r="G79" s="312">
        <v>2036.5992698669434</v>
      </c>
      <c r="H79" s="312">
        <v>0</v>
      </c>
      <c r="I79" s="312">
        <v>80389.895578101277</v>
      </c>
      <c r="J79" s="312">
        <v>1638.1048314571381</v>
      </c>
      <c r="K79" s="312">
        <v>0</v>
      </c>
      <c r="L79" s="312">
        <v>20280.902608476583</v>
      </c>
      <c r="M79" s="312">
        <v>1351.6636481285095</v>
      </c>
      <c r="N79" s="312">
        <v>0</v>
      </c>
      <c r="O79" s="312">
        <v>11701.721521845311</v>
      </c>
      <c r="P79" s="312">
        <v>283.38596367835999</v>
      </c>
      <c r="Q79" s="312">
        <v>5104.6303098872304</v>
      </c>
      <c r="R79" s="312">
        <v>598.83215999603271</v>
      </c>
      <c r="S79" s="312">
        <v>0</v>
      </c>
      <c r="T79" s="312">
        <v>7585.0531404879694</v>
      </c>
      <c r="U79" s="312">
        <v>1384.9693204106006</v>
      </c>
      <c r="V79" s="312">
        <v>0</v>
      </c>
      <c r="W79" s="312">
        <v>79882.678049693015</v>
      </c>
      <c r="X79" s="312">
        <v>4547.4637647284562</v>
      </c>
      <c r="Y79" s="312">
        <v>0</v>
      </c>
      <c r="Z79" s="312">
        <v>130283.96319517493</v>
      </c>
      <c r="AA79" s="313">
        <v>45853.821380753463</v>
      </c>
      <c r="AB79" s="314">
        <v>0</v>
      </c>
      <c r="AC79" s="314">
        <v>27990.010725367814</v>
      </c>
      <c r="AD79" s="314">
        <v>13061.292271628976</v>
      </c>
      <c r="AE79" s="314">
        <v>82028.000409558415</v>
      </c>
      <c r="AF79" s="314">
        <v>21632.566256605092</v>
      </c>
      <c r="AG79" s="314">
        <v>11985.107485523671</v>
      </c>
      <c r="AH79" s="314">
        <v>5703.4624698832631</v>
      </c>
      <c r="AI79" s="314">
        <v>8970.02246089857</v>
      </c>
      <c r="AJ79" s="315">
        <v>84430.141814421469</v>
      </c>
    </row>
    <row r="80" spans="1:36" x14ac:dyDescent="0.25">
      <c r="A80">
        <v>2003</v>
      </c>
      <c r="B80" s="311">
        <v>31585.439941242337</v>
      </c>
      <c r="C80" s="312">
        <v>1026.0025346279144</v>
      </c>
      <c r="D80" s="312">
        <v>52572.441284179688</v>
      </c>
      <c r="E80" s="312">
        <v>0</v>
      </c>
      <c r="F80" s="312">
        <v>14781.691949039698</v>
      </c>
      <c r="G80" s="312">
        <v>2036.5992698669434</v>
      </c>
      <c r="H80" s="312">
        <v>0</v>
      </c>
      <c r="I80" s="312">
        <v>92405.76457285881</v>
      </c>
      <c r="J80" s="312">
        <v>1630.7999751567841</v>
      </c>
      <c r="K80" s="312">
        <v>0</v>
      </c>
      <c r="L80" s="312">
        <v>19394.248131901011</v>
      </c>
      <c r="M80" s="312">
        <v>1362.6126961708069</v>
      </c>
      <c r="N80" s="312">
        <v>0</v>
      </c>
      <c r="O80" s="312">
        <v>25875.657834496797</v>
      </c>
      <c r="P80" s="312">
        <v>288.09121346473694</v>
      </c>
      <c r="Q80" s="312">
        <v>12372.079201120883</v>
      </c>
      <c r="R80" s="312">
        <v>598.83215999603271</v>
      </c>
      <c r="S80" s="312">
        <v>0</v>
      </c>
      <c r="T80" s="312">
        <v>19320.535671932324</v>
      </c>
      <c r="U80" s="312">
        <v>1424.2903785641929</v>
      </c>
      <c r="V80" s="312">
        <v>0</v>
      </c>
      <c r="W80" s="312">
        <v>109219.60343900383</v>
      </c>
      <c r="X80" s="312">
        <v>4971.0676205158234</v>
      </c>
      <c r="Y80" s="312">
        <v>0</v>
      </c>
      <c r="Z80" s="312">
        <v>199370.26995080709</v>
      </c>
      <c r="AA80" s="313">
        <v>85179.598891287445</v>
      </c>
      <c r="AB80" s="314">
        <v>0</v>
      </c>
      <c r="AC80" s="314">
        <v>32611.442475870252</v>
      </c>
      <c r="AD80" s="314">
        <v>16818.291218906641</v>
      </c>
      <c r="AE80" s="314">
        <v>94036.564548015594</v>
      </c>
      <c r="AF80" s="314">
        <v>20756.860828071818</v>
      </c>
      <c r="AG80" s="314">
        <v>26163.749047961534</v>
      </c>
      <c r="AH80" s="314">
        <v>12970.911361116916</v>
      </c>
      <c r="AI80" s="314">
        <v>20744.826050496518</v>
      </c>
      <c r="AJ80" s="315">
        <v>114190.67105951965</v>
      </c>
    </row>
    <row r="81" spans="1:36" x14ac:dyDescent="0.25">
      <c r="A81">
        <v>2004</v>
      </c>
      <c r="B81" s="311">
        <v>31459.278848335147</v>
      </c>
      <c r="C81" s="312">
        <v>1026.0025346279144</v>
      </c>
      <c r="D81" s="312">
        <v>76055.975341796875</v>
      </c>
      <c r="E81" s="312">
        <v>0</v>
      </c>
      <c r="F81" s="312">
        <v>15241.384085401893</v>
      </c>
      <c r="G81" s="312">
        <v>2036.5992698669434</v>
      </c>
      <c r="H81" s="312">
        <v>0</v>
      </c>
      <c r="I81" s="312">
        <v>106508.48886989057</v>
      </c>
      <c r="J81" s="312">
        <v>2490.0431497097015</v>
      </c>
      <c r="K81" s="312">
        <v>0</v>
      </c>
      <c r="L81" s="312">
        <v>18309.763495400541</v>
      </c>
      <c r="M81" s="312">
        <v>1412.5928068161011</v>
      </c>
      <c r="N81" s="312">
        <v>0</v>
      </c>
      <c r="O81" s="312">
        <v>36574.474019209374</v>
      </c>
      <c r="P81" s="312">
        <v>350.8755931854248</v>
      </c>
      <c r="Q81" s="312">
        <v>12691.453418567777</v>
      </c>
      <c r="R81" s="312">
        <v>598.83215999603271</v>
      </c>
      <c r="S81" s="312">
        <v>0</v>
      </c>
      <c r="T81" s="312">
        <v>24291.983118274809</v>
      </c>
      <c r="U81" s="312">
        <v>1512.3626504540443</v>
      </c>
      <c r="V81" s="312">
        <v>0</v>
      </c>
      <c r="W81" s="312">
        <v>120953.99038215324</v>
      </c>
      <c r="X81" s="312">
        <v>5414.614354464793</v>
      </c>
      <c r="Y81" s="312">
        <v>0</v>
      </c>
      <c r="Z81" s="312">
        <v>245619.79559373856</v>
      </c>
      <c r="AA81" s="313">
        <v>119251.19085712053</v>
      </c>
      <c r="AB81" s="314">
        <v>0</v>
      </c>
      <c r="AC81" s="314">
        <v>32485.281382963061</v>
      </c>
      <c r="AD81" s="314">
        <v>17277.983355268836</v>
      </c>
      <c r="AE81" s="314">
        <v>108998.53201960027</v>
      </c>
      <c r="AF81" s="314">
        <v>19722.356302216642</v>
      </c>
      <c r="AG81" s="314">
        <v>36925.349612394799</v>
      </c>
      <c r="AH81" s="314">
        <v>13290.285578563809</v>
      </c>
      <c r="AI81" s="314">
        <v>25804.345768728854</v>
      </c>
      <c r="AJ81" s="315">
        <v>126368.60473661803</v>
      </c>
    </row>
    <row r="82" spans="1:36" x14ac:dyDescent="0.25">
      <c r="A82">
        <v>2005</v>
      </c>
      <c r="B82" s="311">
        <v>34705.665779799223</v>
      </c>
      <c r="C82" s="312">
        <v>1026.0025346279144</v>
      </c>
      <c r="D82" s="312">
        <v>106948.22332763672</v>
      </c>
      <c r="E82" s="312">
        <v>0</v>
      </c>
      <c r="F82" s="312">
        <v>17310.619971886277</v>
      </c>
      <c r="G82" s="312">
        <v>2036.5992698669434</v>
      </c>
      <c r="H82" s="312">
        <v>0</v>
      </c>
      <c r="I82" s="312">
        <v>106589.08177943528</v>
      </c>
      <c r="J82" s="312">
        <v>2428.0296285152435</v>
      </c>
      <c r="K82" s="312">
        <v>0</v>
      </c>
      <c r="L82" s="312">
        <v>18769.203691616654</v>
      </c>
      <c r="M82" s="312">
        <v>1422.3165097236633</v>
      </c>
      <c r="N82" s="312">
        <v>0</v>
      </c>
      <c r="O82" s="312">
        <v>49216.352149574537</v>
      </c>
      <c r="P82" s="312">
        <v>544.84344577789307</v>
      </c>
      <c r="Q82" s="312">
        <v>19702.658020853996</v>
      </c>
      <c r="R82" s="312">
        <v>598.83215999603271</v>
      </c>
      <c r="S82" s="312">
        <v>0</v>
      </c>
      <c r="T82" s="312">
        <v>28338.14821075611</v>
      </c>
      <c r="U82" s="312">
        <v>1597.1844631433487</v>
      </c>
      <c r="V82" s="312">
        <v>0</v>
      </c>
      <c r="W82" s="312">
        <v>137898.75641984091</v>
      </c>
      <c r="X82" s="312">
        <v>5846.7669621066789</v>
      </c>
      <c r="Y82" s="312">
        <v>0</v>
      </c>
      <c r="Z82" s="312">
        <v>201277.04602241516</v>
      </c>
      <c r="AA82" s="313">
        <v>57531.52264046757</v>
      </c>
      <c r="AB82" s="314">
        <v>0</v>
      </c>
      <c r="AC82" s="314">
        <v>35731.668314427137</v>
      </c>
      <c r="AD82" s="314">
        <v>19347.219241753221</v>
      </c>
      <c r="AE82" s="314">
        <v>109017.11140795052</v>
      </c>
      <c r="AF82" s="314">
        <v>20191.520201340318</v>
      </c>
      <c r="AG82" s="314">
        <v>49761.19559535243</v>
      </c>
      <c r="AH82" s="314">
        <v>20301.490180850029</v>
      </c>
      <c r="AI82" s="314">
        <v>29935.332673899458</v>
      </c>
      <c r="AJ82" s="315">
        <v>143745.5233819476</v>
      </c>
    </row>
    <row r="83" spans="1:36" x14ac:dyDescent="0.25">
      <c r="A83">
        <v>2006</v>
      </c>
      <c r="B83" s="311">
        <v>26892.104374498129</v>
      </c>
      <c r="C83" s="312">
        <v>1026.0025346279144</v>
      </c>
      <c r="D83" s="312">
        <v>59986.444580078125</v>
      </c>
      <c r="E83" s="312">
        <v>0</v>
      </c>
      <c r="F83" s="312">
        <v>13236.249928593636</v>
      </c>
      <c r="G83" s="312">
        <v>2036.5992698669434</v>
      </c>
      <c r="H83" s="312">
        <v>0</v>
      </c>
      <c r="I83" s="312">
        <v>97777.8410429582</v>
      </c>
      <c r="J83" s="312">
        <v>2190.8357312679291</v>
      </c>
      <c r="K83" s="312">
        <v>0</v>
      </c>
      <c r="L83" s="312">
        <v>17667.845848649737</v>
      </c>
      <c r="M83" s="312">
        <v>1426.5519766807556</v>
      </c>
      <c r="N83" s="312">
        <v>0</v>
      </c>
      <c r="O83" s="312">
        <v>36140.171056015868</v>
      </c>
      <c r="P83" s="312">
        <v>333.02450108528137</v>
      </c>
      <c r="Q83" s="312">
        <v>11371.097733090632</v>
      </c>
      <c r="R83" s="312">
        <v>598.83215999603271</v>
      </c>
      <c r="S83" s="312">
        <v>0</v>
      </c>
      <c r="T83" s="312">
        <v>19254.810362733529</v>
      </c>
      <c r="U83" s="312">
        <v>1386.8336003422737</v>
      </c>
      <c r="V83" s="312">
        <v>0</v>
      </c>
      <c r="W83" s="312">
        <v>139720.50074604497</v>
      </c>
      <c r="X83" s="312">
        <v>5485.2871244246926</v>
      </c>
      <c r="Y83" s="312">
        <v>0</v>
      </c>
      <c r="Z83" s="312">
        <v>264037.38139343262</v>
      </c>
      <c r="AA83" s="313">
        <v>118831.59352296295</v>
      </c>
      <c r="AB83" s="314">
        <v>0</v>
      </c>
      <c r="AC83" s="314">
        <v>27918.106909126043</v>
      </c>
      <c r="AD83" s="314">
        <v>15272.849198460579</v>
      </c>
      <c r="AE83" s="314">
        <v>99968.676774226129</v>
      </c>
      <c r="AF83" s="314">
        <v>19094.397825330492</v>
      </c>
      <c r="AG83" s="314">
        <v>36473.195557101149</v>
      </c>
      <c r="AH83" s="314">
        <v>11969.929893086664</v>
      </c>
      <c r="AI83" s="314">
        <v>20641.643963075803</v>
      </c>
      <c r="AJ83" s="315">
        <v>145205.78787046968</v>
      </c>
    </row>
    <row r="84" spans="1:36" x14ac:dyDescent="0.25">
      <c r="A84">
        <v>2007</v>
      </c>
      <c r="B84" s="311">
        <v>32083.032539010048</v>
      </c>
      <c r="C84" s="312">
        <v>1026.0025346279144</v>
      </c>
      <c r="D84" s="312">
        <v>96758.552978515625</v>
      </c>
      <c r="E84" s="312">
        <v>0</v>
      </c>
      <c r="F84" s="312">
        <v>15841.813684478402</v>
      </c>
      <c r="G84" s="312">
        <v>2036.5992698669434</v>
      </c>
      <c r="H84" s="312">
        <v>0</v>
      </c>
      <c r="I84" s="312">
        <v>104663.71859885007</v>
      </c>
      <c r="J84" s="312">
        <v>2561.2755105495453</v>
      </c>
      <c r="K84" s="312">
        <v>0</v>
      </c>
      <c r="L84" s="312">
        <v>19207.54189334064</v>
      </c>
      <c r="M84" s="312">
        <v>1416.033796787262</v>
      </c>
      <c r="N84" s="312">
        <v>0</v>
      </c>
      <c r="O84" s="312">
        <v>43189.303810565252</v>
      </c>
      <c r="P84" s="312">
        <v>425.02103614807129</v>
      </c>
      <c r="Q84" s="312">
        <v>13857.634303599596</v>
      </c>
      <c r="R84" s="312">
        <v>598.83215999603271</v>
      </c>
      <c r="S84" s="312">
        <v>0</v>
      </c>
      <c r="T84" s="312">
        <v>24818.198987962307</v>
      </c>
      <c r="U84" s="312">
        <v>1514.4769573284157</v>
      </c>
      <c r="V84" s="312">
        <v>0</v>
      </c>
      <c r="W84" s="312">
        <v>141257.03249118075</v>
      </c>
      <c r="X84" s="312">
        <v>5690.5539253322095</v>
      </c>
      <c r="Y84" s="312">
        <v>0</v>
      </c>
      <c r="Z84" s="312">
        <v>201517.66971969604</v>
      </c>
      <c r="AA84" s="313">
        <v>54570.083303183084</v>
      </c>
      <c r="AB84" s="314">
        <v>0</v>
      </c>
      <c r="AC84" s="314">
        <v>33109.035073637962</v>
      </c>
      <c r="AD84" s="314">
        <v>17878.412954345345</v>
      </c>
      <c r="AE84" s="314">
        <v>107224.99410939962</v>
      </c>
      <c r="AF84" s="314">
        <v>20623.575690127902</v>
      </c>
      <c r="AG84" s="314">
        <v>43614.324846713323</v>
      </c>
      <c r="AH84" s="314">
        <v>14456.466463595629</v>
      </c>
      <c r="AI84" s="314">
        <v>26332.675945290721</v>
      </c>
      <c r="AJ84" s="315">
        <v>146947.58641651296</v>
      </c>
    </row>
    <row r="85" spans="1:36" x14ac:dyDescent="0.25">
      <c r="A85">
        <v>2008</v>
      </c>
      <c r="B85" s="311">
        <v>33378.825506225228</v>
      </c>
      <c r="C85" s="312">
        <v>1026.0025346279144</v>
      </c>
      <c r="D85" s="312">
        <v>129360.86596679688</v>
      </c>
      <c r="E85" s="312">
        <v>0</v>
      </c>
      <c r="F85" s="312">
        <v>16555.219167292118</v>
      </c>
      <c r="G85" s="312">
        <v>2036.5992698669434</v>
      </c>
      <c r="H85" s="312">
        <v>0</v>
      </c>
      <c r="I85" s="312">
        <v>111252.5134780854</v>
      </c>
      <c r="J85" s="312">
        <v>2318.7293984889984</v>
      </c>
      <c r="K85" s="312">
        <v>0</v>
      </c>
      <c r="L85" s="312">
        <v>18740.911564283084</v>
      </c>
      <c r="M85" s="312">
        <v>1412.0403499603271</v>
      </c>
      <c r="N85" s="312">
        <v>0</v>
      </c>
      <c r="O85" s="312">
        <v>44964.894185288329</v>
      </c>
      <c r="P85" s="312">
        <v>445.30504512786865</v>
      </c>
      <c r="Q85" s="312">
        <v>17076.383311137557</v>
      </c>
      <c r="R85" s="312">
        <v>598.83215999603271</v>
      </c>
      <c r="S85" s="312">
        <v>0</v>
      </c>
      <c r="T85" s="312">
        <v>28452.602227799223</v>
      </c>
      <c r="U85" s="312">
        <v>1583.6902306559405</v>
      </c>
      <c r="V85" s="312">
        <v>0</v>
      </c>
      <c r="W85" s="312">
        <v>135675.48817108915</v>
      </c>
      <c r="X85" s="312">
        <v>5859.8621201835376</v>
      </c>
      <c r="Y85" s="312">
        <v>0</v>
      </c>
      <c r="Z85" s="312">
        <v>198992.18550491333</v>
      </c>
      <c r="AA85" s="313">
        <v>57456.835213640647</v>
      </c>
      <c r="AB85" s="314">
        <v>0</v>
      </c>
      <c r="AC85" s="314">
        <v>34404.828040853143</v>
      </c>
      <c r="AD85" s="314">
        <v>18591.818437159061</v>
      </c>
      <c r="AE85" s="314">
        <v>113571.2428765744</v>
      </c>
      <c r="AF85" s="314">
        <v>20152.951914243411</v>
      </c>
      <c r="AG85" s="314">
        <v>45410.199230416198</v>
      </c>
      <c r="AH85" s="314">
        <v>17675.21547113359</v>
      </c>
      <c r="AI85" s="314">
        <v>30036.292458455166</v>
      </c>
      <c r="AJ85" s="315">
        <v>141535.35029127268</v>
      </c>
    </row>
    <row r="86" spans="1:36" x14ac:dyDescent="0.25">
      <c r="A86">
        <v>2009</v>
      </c>
      <c r="B86" s="311">
        <v>30725.939101696014</v>
      </c>
      <c r="C86" s="312">
        <v>1026.0025346279144</v>
      </c>
      <c r="D86" s="312">
        <v>82542.131469726563</v>
      </c>
      <c r="E86" s="312">
        <v>0</v>
      </c>
      <c r="F86" s="312">
        <v>14606.617819294333</v>
      </c>
      <c r="G86" s="312">
        <v>2036.5992698669434</v>
      </c>
      <c r="H86" s="312">
        <v>0</v>
      </c>
      <c r="I86" s="312">
        <v>104630.80676944554</v>
      </c>
      <c r="J86" s="312">
        <v>2669.7703874111176</v>
      </c>
      <c r="K86" s="312">
        <v>0</v>
      </c>
      <c r="L86" s="312">
        <v>17856.210318066172</v>
      </c>
      <c r="M86" s="312">
        <v>1430.852249622345</v>
      </c>
      <c r="N86" s="312">
        <v>0</v>
      </c>
      <c r="O86" s="312">
        <v>33340.714469304759</v>
      </c>
      <c r="P86" s="312">
        <v>414.27928733825684</v>
      </c>
      <c r="Q86" s="312">
        <v>14244.025078341365</v>
      </c>
      <c r="R86" s="312">
        <v>598.83215999603271</v>
      </c>
      <c r="S86" s="312">
        <v>0</v>
      </c>
      <c r="T86" s="312">
        <v>22469.61312803589</v>
      </c>
      <c r="U86" s="312">
        <v>1510.1296254992485</v>
      </c>
      <c r="V86" s="312">
        <v>0</v>
      </c>
      <c r="W86" s="312">
        <v>141146.91952011333</v>
      </c>
      <c r="X86" s="312">
        <v>5792.4695515632629</v>
      </c>
      <c r="Y86" s="312">
        <v>0</v>
      </c>
      <c r="Z86" s="312">
        <v>232946.2184753418</v>
      </c>
      <c r="AA86" s="313">
        <v>86006.829403665208</v>
      </c>
      <c r="AB86" s="314">
        <v>0</v>
      </c>
      <c r="AC86" s="314">
        <v>31751.941636323929</v>
      </c>
      <c r="AD86" s="314">
        <v>16643.217089161277</v>
      </c>
      <c r="AE86" s="314">
        <v>107300.57715685666</v>
      </c>
      <c r="AF86" s="314">
        <v>19287.062567688517</v>
      </c>
      <c r="AG86" s="314">
        <v>33754.993756643016</v>
      </c>
      <c r="AH86" s="314">
        <v>14842.857238337398</v>
      </c>
      <c r="AI86" s="314">
        <v>23979.742753535138</v>
      </c>
      <c r="AJ86" s="315">
        <v>146939.38907167659</v>
      </c>
    </row>
    <row r="87" spans="1:36" x14ac:dyDescent="0.25">
      <c r="A87">
        <v>2010</v>
      </c>
      <c r="B87" s="311">
        <v>32922.027227371931</v>
      </c>
      <c r="C87" s="312">
        <v>1026.0025346279144</v>
      </c>
      <c r="D87" s="312">
        <v>83031.094848632813</v>
      </c>
      <c r="E87" s="312">
        <v>0</v>
      </c>
      <c r="F87" s="312">
        <v>15864.970588542521</v>
      </c>
      <c r="G87" s="312">
        <v>2036.5992698669434</v>
      </c>
      <c r="H87" s="312">
        <v>0</v>
      </c>
      <c r="I87" s="312">
        <v>105360.42239324749</v>
      </c>
      <c r="J87" s="312">
        <v>2550.0876233577728</v>
      </c>
      <c r="K87" s="312">
        <v>0</v>
      </c>
      <c r="L87" s="312">
        <v>17678.082465201613</v>
      </c>
      <c r="M87" s="312">
        <v>1407.6486639976501</v>
      </c>
      <c r="N87" s="312">
        <v>0</v>
      </c>
      <c r="O87" s="312">
        <v>32988.825523136635</v>
      </c>
      <c r="P87" s="312">
        <v>334.8253014087677</v>
      </c>
      <c r="Q87" s="312">
        <v>14464.764993004501</v>
      </c>
      <c r="R87" s="312">
        <v>598.83215999603271</v>
      </c>
      <c r="S87" s="312">
        <v>0</v>
      </c>
      <c r="T87" s="312">
        <v>24658.972791932152</v>
      </c>
      <c r="U87" s="312">
        <v>1511.119145065546</v>
      </c>
      <c r="V87" s="312">
        <v>0</v>
      </c>
      <c r="W87" s="312">
        <v>135488.68310279743</v>
      </c>
      <c r="X87" s="312">
        <v>5836.8219375610352</v>
      </c>
      <c r="Y87" s="312">
        <v>0</v>
      </c>
      <c r="Z87" s="312">
        <v>240864.36229419708</v>
      </c>
      <c r="AA87" s="313">
        <v>99538.857253838622</v>
      </c>
      <c r="AB87" s="314">
        <v>0</v>
      </c>
      <c r="AC87" s="314">
        <v>33948.029761999846</v>
      </c>
      <c r="AD87" s="314">
        <v>17901.569858409464</v>
      </c>
      <c r="AE87" s="314">
        <v>107910.51001660526</v>
      </c>
      <c r="AF87" s="314">
        <v>19085.731129199263</v>
      </c>
      <c r="AG87" s="314">
        <v>33323.650824545402</v>
      </c>
      <c r="AH87" s="314">
        <v>15063.597153000534</v>
      </c>
      <c r="AI87" s="314">
        <v>26170.091936997698</v>
      </c>
      <c r="AJ87" s="315">
        <v>141325.50504035846</v>
      </c>
    </row>
    <row r="88" spans="1:36" x14ac:dyDescent="0.25">
      <c r="A88">
        <v>2011</v>
      </c>
      <c r="B88" s="311">
        <v>31788.936209842563</v>
      </c>
      <c r="C88" s="312">
        <v>1026.0025346279144</v>
      </c>
      <c r="D88" s="312">
        <v>76828.638427734375</v>
      </c>
      <c r="E88" s="312">
        <v>0</v>
      </c>
      <c r="F88" s="312">
        <v>15198.787290260196</v>
      </c>
      <c r="G88" s="312">
        <v>2036.5992698669434</v>
      </c>
      <c r="H88" s="312">
        <v>0</v>
      </c>
      <c r="I88" s="312">
        <v>103310.264991045</v>
      </c>
      <c r="J88" s="312">
        <v>2495.3539884090424</v>
      </c>
      <c r="K88" s="312">
        <v>0</v>
      </c>
      <c r="L88" s="312">
        <v>18195.077438250177</v>
      </c>
      <c r="M88" s="312">
        <v>1374.6366958618164</v>
      </c>
      <c r="N88" s="312">
        <v>0</v>
      </c>
      <c r="O88" s="312">
        <v>35772.402531264801</v>
      </c>
      <c r="P88" s="312">
        <v>357.85462975502014</v>
      </c>
      <c r="Q88" s="312">
        <v>14833.825332716107</v>
      </c>
      <c r="R88" s="312">
        <v>598.83215999603271</v>
      </c>
      <c r="S88" s="312">
        <v>0</v>
      </c>
      <c r="T88" s="312">
        <v>25922.933139606939</v>
      </c>
      <c r="U88" s="312">
        <v>1573.0218700613934</v>
      </c>
      <c r="V88" s="312">
        <v>0</v>
      </c>
      <c r="W88" s="312">
        <v>139863.5116554682</v>
      </c>
      <c r="X88" s="312">
        <v>5515.8249931335449</v>
      </c>
      <c r="Y88" s="312">
        <v>0</v>
      </c>
      <c r="Z88" s="312">
        <v>237612.81143569946</v>
      </c>
      <c r="AA88" s="313">
        <v>92233.474787097715</v>
      </c>
      <c r="AB88" s="314">
        <v>0</v>
      </c>
      <c r="AC88" s="314">
        <v>32814.938744470477</v>
      </c>
      <c r="AD88" s="314">
        <v>17235.386560127139</v>
      </c>
      <c r="AE88" s="314">
        <v>105805.61897945404</v>
      </c>
      <c r="AF88" s="314">
        <v>19569.714134111993</v>
      </c>
      <c r="AG88" s="314">
        <v>36130.257161019821</v>
      </c>
      <c r="AH88" s="314">
        <v>15432.65749271214</v>
      </c>
      <c r="AI88" s="314">
        <v>27495.955009668334</v>
      </c>
      <c r="AJ88" s="315">
        <v>145379.33664860175</v>
      </c>
    </row>
    <row r="89" spans="1:36" x14ac:dyDescent="0.25">
      <c r="A89">
        <v>2012</v>
      </c>
      <c r="B89" s="311">
        <v>29802.803409129381</v>
      </c>
      <c r="C89" s="312">
        <v>1026.0025346279144</v>
      </c>
      <c r="D89" s="312">
        <v>39591.030895233154</v>
      </c>
      <c r="E89" s="312">
        <v>0</v>
      </c>
      <c r="F89" s="312">
        <v>14775.95776630193</v>
      </c>
      <c r="G89" s="312">
        <v>2036.5992698669434</v>
      </c>
      <c r="H89" s="312">
        <v>0</v>
      </c>
      <c r="I89" s="312">
        <v>82109.541924476624</v>
      </c>
      <c r="J89" s="312">
        <v>1393.3668954372406</v>
      </c>
      <c r="K89" s="312">
        <v>0</v>
      </c>
      <c r="L89" s="312">
        <v>20058.208545982834</v>
      </c>
      <c r="M89" s="312">
        <v>1425.6986212730408</v>
      </c>
      <c r="N89" s="312">
        <v>0</v>
      </c>
      <c r="O89" s="312">
        <v>26597.091481348947</v>
      </c>
      <c r="P89" s="312">
        <v>368.27211546897888</v>
      </c>
      <c r="Q89" s="312">
        <v>9270.8409530669451</v>
      </c>
      <c r="R89" s="312">
        <v>598.83215999603271</v>
      </c>
      <c r="S89" s="312">
        <v>0</v>
      </c>
      <c r="T89" s="312">
        <v>15491.004563805835</v>
      </c>
      <c r="U89" s="312">
        <v>1439.8868078589439</v>
      </c>
      <c r="V89" s="312">
        <v>0</v>
      </c>
      <c r="W89" s="312">
        <v>144553.37821376667</v>
      </c>
      <c r="X89" s="312">
        <v>5023.9206251949072</v>
      </c>
      <c r="Y89" s="312">
        <v>0</v>
      </c>
      <c r="Z89" s="312">
        <v>205520.30726623535</v>
      </c>
      <c r="AA89" s="313">
        <v>55943.008427273773</v>
      </c>
      <c r="AB89" s="314">
        <v>0</v>
      </c>
      <c r="AC89" s="314">
        <v>30828.805943757296</v>
      </c>
      <c r="AD89" s="314">
        <v>16812.557036168873</v>
      </c>
      <c r="AE89" s="314">
        <v>83502.908819913864</v>
      </c>
      <c r="AF89" s="314">
        <v>21483.907167255875</v>
      </c>
      <c r="AG89" s="314">
        <v>26965.363596817926</v>
      </c>
      <c r="AH89" s="314">
        <v>9869.6731130629778</v>
      </c>
      <c r="AI89" s="314">
        <v>16930.89137166478</v>
      </c>
      <c r="AJ89" s="315">
        <v>149577.29883896158</v>
      </c>
    </row>
    <row r="90" spans="1:36" ht="15.75" thickBot="1" x14ac:dyDescent="0.3">
      <c r="A90">
        <v>2013</v>
      </c>
      <c r="B90" s="316"/>
      <c r="C90" s="317"/>
      <c r="D90" s="317"/>
      <c r="E90" s="317"/>
      <c r="F90" s="317"/>
      <c r="G90" s="317"/>
      <c r="H90" s="317"/>
      <c r="I90" s="317"/>
      <c r="J90" s="317"/>
      <c r="K90" s="317"/>
      <c r="L90" s="317"/>
      <c r="M90" s="317"/>
      <c r="N90" s="317"/>
      <c r="O90" s="317"/>
      <c r="P90" s="317"/>
      <c r="Q90" s="317"/>
      <c r="R90" s="317"/>
      <c r="S90" s="317"/>
      <c r="T90" s="317"/>
      <c r="U90" s="317"/>
      <c r="V90" s="317"/>
      <c r="W90" s="317"/>
      <c r="X90" s="317"/>
      <c r="Y90" s="317"/>
      <c r="Z90" s="317"/>
      <c r="AA90" s="318"/>
      <c r="AB90" s="319"/>
      <c r="AC90" s="319"/>
      <c r="AD90" s="319"/>
      <c r="AE90" s="319"/>
      <c r="AF90" s="319"/>
      <c r="AG90" s="319"/>
      <c r="AH90" s="319"/>
      <c r="AI90" s="319"/>
      <c r="AJ90" s="320"/>
    </row>
    <row r="97" customFormat="1" x14ac:dyDescent="0.25"/>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A5292-2C5B-4607-B992-DB488FAEEF08}">
  <sheetPr codeName="Sheet3">
    <tabColor theme="0" tint="-0.499984740745262"/>
    <pageSetUpPr fitToPage="1"/>
  </sheetPr>
  <dimension ref="A2:R92"/>
  <sheetViews>
    <sheetView zoomScale="55" zoomScaleNormal="55" workbookViewId="0">
      <selection activeCell="AR62" sqref="AR62"/>
    </sheetView>
  </sheetViews>
  <sheetFormatPr defaultColWidth="9.140625" defaultRowHeight="15" x14ac:dyDescent="0.25"/>
  <cols>
    <col min="1" max="1" width="0.85546875" customWidth="1"/>
    <col min="2" max="2" width="10.42578125" customWidth="1"/>
    <col min="3" max="3" width="10" customWidth="1"/>
    <col min="5" max="5" width="36.42578125" customWidth="1"/>
    <col min="6" max="6" width="12.42578125" customWidth="1"/>
    <col min="7" max="7" width="0.85546875" customWidth="1"/>
    <col min="8" max="8" width="11.42578125" customWidth="1"/>
    <col min="9" max="9" width="10.42578125" customWidth="1"/>
    <col min="10" max="10" width="0.85546875" customWidth="1"/>
    <col min="12" max="12" width="11.28515625" customWidth="1"/>
    <col min="14" max="14" width="11.140625" style="329" customWidth="1"/>
    <col min="19" max="16384" width="9.140625" style="10"/>
  </cols>
  <sheetData>
    <row r="2" spans="1:18" ht="15.75" thickBot="1" x14ac:dyDescent="0.3">
      <c r="B2" s="239" t="s">
        <v>302</v>
      </c>
      <c r="C2" s="240"/>
      <c r="D2" s="240"/>
      <c r="E2" s="240"/>
      <c r="F2" s="240"/>
      <c r="G2" s="240"/>
      <c r="H2" s="240"/>
      <c r="I2" s="240"/>
    </row>
    <row r="3" spans="1:18" ht="15.75" thickBot="1" x14ac:dyDescent="0.3">
      <c r="A3" s="8"/>
      <c r="B3" s="6"/>
      <c r="C3" s="7"/>
      <c r="D3" s="7"/>
      <c r="E3" s="7"/>
      <c r="F3" s="8"/>
      <c r="G3" s="8"/>
      <c r="H3" s="8"/>
      <c r="I3" s="8"/>
      <c r="J3" s="8"/>
    </row>
    <row r="4" spans="1:18" ht="15.75" customHeight="1" thickBot="1" x14ac:dyDescent="0.3">
      <c r="A4" s="8"/>
      <c r="B4" s="588" t="s">
        <v>63</v>
      </c>
      <c r="C4" s="589"/>
      <c r="D4" s="589"/>
      <c r="E4" s="589"/>
      <c r="F4" s="589"/>
      <c r="G4" s="589"/>
      <c r="H4" s="589"/>
      <c r="I4" s="589"/>
      <c r="J4" s="589"/>
      <c r="K4" s="9"/>
      <c r="L4" s="9"/>
      <c r="M4" s="9"/>
      <c r="N4" s="330"/>
      <c r="O4" s="9"/>
      <c r="P4" s="9"/>
      <c r="Q4" s="9"/>
      <c r="R4" s="9"/>
    </row>
    <row r="5" spans="1:18" ht="15.75" thickBot="1" x14ac:dyDescent="0.3">
      <c r="A5" s="386"/>
      <c r="B5" s="588" t="s">
        <v>564</v>
      </c>
      <c r="C5" s="589"/>
      <c r="D5" s="590"/>
      <c r="E5" s="739" t="e">
        <f>#REF!</f>
        <v>#REF!</v>
      </c>
      <c r="F5" s="740"/>
      <c r="G5" s="740"/>
      <c r="H5" s="740"/>
      <c r="I5" s="740"/>
      <c r="J5" s="740"/>
      <c r="K5" s="9"/>
      <c r="L5" s="9"/>
      <c r="M5" s="9"/>
      <c r="N5" s="330"/>
      <c r="O5" s="9"/>
      <c r="P5" s="9"/>
      <c r="Q5" s="9"/>
      <c r="R5" s="9"/>
    </row>
    <row r="6" spans="1:18" ht="15.75" thickBot="1" x14ac:dyDescent="0.3">
      <c r="A6" s="387"/>
      <c r="B6" s="726">
        <f>SJRIPSummary!$B$4</f>
        <v>0</v>
      </c>
      <c r="C6" s="727"/>
      <c r="D6" s="727"/>
      <c r="E6" s="727"/>
      <c r="F6" s="727"/>
      <c r="G6" s="727"/>
      <c r="H6" s="727"/>
      <c r="I6" s="727"/>
      <c r="J6" s="727"/>
      <c r="K6" s="9"/>
      <c r="L6" s="9"/>
      <c r="M6" s="9"/>
      <c r="N6" s="330"/>
      <c r="O6" s="9"/>
      <c r="P6" s="9"/>
      <c r="Q6" s="9"/>
      <c r="R6" s="9"/>
    </row>
    <row r="7" spans="1:18" s="42" customFormat="1" ht="51" x14ac:dyDescent="0.2">
      <c r="A7" s="388"/>
      <c r="B7" s="576" t="s">
        <v>64</v>
      </c>
      <c r="C7" s="577"/>
      <c r="D7" s="577"/>
      <c r="E7" s="578"/>
      <c r="F7" s="582" t="s">
        <v>65</v>
      </c>
      <c r="G7" s="155"/>
      <c r="H7" s="584" t="s">
        <v>66</v>
      </c>
      <c r="I7" s="585"/>
      <c r="J7" s="241"/>
      <c r="K7" s="285"/>
      <c r="L7" s="324" t="s">
        <v>347</v>
      </c>
      <c r="M7" s="285"/>
      <c r="N7" s="331"/>
      <c r="O7" s="285"/>
      <c r="P7" s="285"/>
      <c r="Q7" s="285"/>
      <c r="R7" s="285"/>
    </row>
    <row r="8" spans="1:18" ht="15.75" thickBot="1" x14ac:dyDescent="0.25">
      <c r="A8" s="389"/>
      <c r="B8" s="579"/>
      <c r="C8" s="580"/>
      <c r="D8" s="580"/>
      <c r="E8" s="581"/>
      <c r="F8" s="583"/>
      <c r="G8" s="156"/>
      <c r="H8" s="586"/>
      <c r="I8" s="587"/>
      <c r="J8" s="242"/>
      <c r="K8" s="9"/>
      <c r="L8" s="9"/>
      <c r="M8" s="9"/>
      <c r="N8" s="330"/>
      <c r="O8" s="9"/>
      <c r="P8" s="9"/>
      <c r="Q8" s="9"/>
      <c r="R8" s="9"/>
    </row>
    <row r="9" spans="1:18" s="19" customFormat="1" ht="15.75" thickBot="1" x14ac:dyDescent="0.3">
      <c r="A9" s="390"/>
      <c r="B9" s="157"/>
      <c r="C9" s="158"/>
      <c r="D9" s="159"/>
      <c r="E9" s="160"/>
      <c r="F9" s="161" t="s">
        <v>67</v>
      </c>
      <c r="G9" s="162"/>
      <c r="H9" s="233" t="s">
        <v>68</v>
      </c>
      <c r="I9" s="234" t="s">
        <v>69</v>
      </c>
      <c r="J9" s="243"/>
      <c r="K9" s="18"/>
      <c r="L9" s="18"/>
      <c r="M9" s="18"/>
      <c r="N9" s="332"/>
      <c r="O9" s="18"/>
      <c r="P9" s="18"/>
      <c r="Q9" s="18"/>
      <c r="R9" s="18"/>
    </row>
    <row r="10" spans="1:18" x14ac:dyDescent="0.25">
      <c r="A10" s="391"/>
      <c r="B10" s="602" t="s">
        <v>70</v>
      </c>
      <c r="C10" s="604" t="s">
        <v>71</v>
      </c>
      <c r="D10" s="606" t="s">
        <v>72</v>
      </c>
      <c r="E10" s="163" t="s">
        <v>73</v>
      </c>
      <c r="F10" s="164">
        <f ca="1">ROUND(SJRIPSummaryRAW!B9,-2)</f>
        <v>247700</v>
      </c>
      <c r="G10" s="148"/>
      <c r="H10" s="231">
        <f ca="1">ROUND(SJRIPSummaryRAW!D9,-2)</f>
        <v>289800</v>
      </c>
      <c r="I10" s="232">
        <f ca="1">ROUND(SJRIPSummaryRAW!E9,-2)</f>
        <v>173400</v>
      </c>
      <c r="J10" s="244"/>
      <c r="K10" s="21"/>
      <c r="L10" s="325">
        <v>270000</v>
      </c>
      <c r="M10" s="325"/>
      <c r="N10" s="333"/>
      <c r="O10" s="325"/>
      <c r="P10" s="325"/>
      <c r="Q10" s="325"/>
      <c r="R10" s="21"/>
    </row>
    <row r="11" spans="1:18" x14ac:dyDescent="0.25">
      <c r="A11" s="391"/>
      <c r="B11" s="602"/>
      <c r="C11" s="604"/>
      <c r="D11" s="607"/>
      <c r="E11" s="163" t="s">
        <v>74</v>
      </c>
      <c r="F11" s="164">
        <f ca="1">ROUND(SJRIPSummaryRAW!B10,-2)</f>
        <v>0</v>
      </c>
      <c r="G11" s="148"/>
      <c r="H11" s="227">
        <f ca="1">ROUND(SJRIPSummaryRAW!D10,-2)</f>
        <v>8300</v>
      </c>
      <c r="I11" s="228">
        <f ca="1">ROUND(SJRIPSummaryRAW!E10,-2)</f>
        <v>-14800</v>
      </c>
      <c r="J11" s="245"/>
      <c r="K11" s="21"/>
      <c r="L11" s="325">
        <v>10600</v>
      </c>
      <c r="M11" s="325"/>
      <c r="N11" s="333"/>
      <c r="O11" s="325"/>
      <c r="P11" s="325"/>
      <c r="Q11" s="325"/>
      <c r="R11" s="21"/>
    </row>
    <row r="12" spans="1:18" x14ac:dyDescent="0.25">
      <c r="A12" s="391"/>
      <c r="B12" s="602"/>
      <c r="C12" s="604"/>
      <c r="D12" s="607"/>
      <c r="E12" s="163" t="s">
        <v>75</v>
      </c>
      <c r="F12" s="164">
        <f ca="1">ROUND(SJRIPSummaryRAW!B11,-2)</f>
        <v>12100</v>
      </c>
      <c r="G12" s="148"/>
      <c r="H12" s="227">
        <f ca="1">ROUND(SJRIPSummaryRAW!D11,-2)</f>
        <v>12100</v>
      </c>
      <c r="I12" s="228">
        <f ca="1">ROUND(SJRIPSummaryRAW!E11,-2)</f>
        <v>8800</v>
      </c>
      <c r="J12" s="245"/>
      <c r="K12" s="21"/>
      <c r="L12" s="325">
        <v>12100</v>
      </c>
      <c r="M12" s="325"/>
      <c r="N12" s="333"/>
      <c r="O12" s="325"/>
      <c r="P12" s="325"/>
      <c r="Q12" s="325"/>
      <c r="R12" s="21"/>
    </row>
    <row r="13" spans="1:18" x14ac:dyDescent="0.25">
      <c r="A13" s="391"/>
      <c r="B13" s="602"/>
      <c r="C13" s="604"/>
      <c r="D13" s="607"/>
      <c r="E13" s="163" t="s">
        <v>76</v>
      </c>
      <c r="F13" s="164">
        <f ca="1">ROUND(SJRIPSummaryRAW!B12,-2)</f>
        <v>7900</v>
      </c>
      <c r="G13" s="148"/>
      <c r="H13" s="227">
        <f ca="1">ROUND(SJRIPSummaryRAW!D12,-2)</f>
        <v>8000</v>
      </c>
      <c r="I13" s="228">
        <f ca="1">ROUND(SJRIPSummaryRAW!E12,-2)</f>
        <v>5800</v>
      </c>
      <c r="J13" s="245"/>
      <c r="K13" s="21"/>
      <c r="L13" s="325">
        <v>7898</v>
      </c>
      <c r="M13" s="325"/>
      <c r="N13" s="333"/>
      <c r="O13" s="325"/>
      <c r="P13" s="325"/>
      <c r="Q13" s="325"/>
      <c r="R13" s="21"/>
    </row>
    <row r="14" spans="1:18" ht="15.75" thickBot="1" x14ac:dyDescent="0.3">
      <c r="A14" s="391"/>
      <c r="B14" s="602"/>
      <c r="C14" s="604"/>
      <c r="D14" s="607"/>
      <c r="E14" s="163" t="s">
        <v>77</v>
      </c>
      <c r="F14" s="164">
        <f ca="1">ROUND(SJRIPSummaryRAW!B13,-2)</f>
        <v>900</v>
      </c>
      <c r="G14" s="148"/>
      <c r="H14" s="229">
        <f ca="1">ROUND(SJRIPSummaryRAW!D13,-2)</f>
        <v>900</v>
      </c>
      <c r="I14" s="230">
        <f ca="1">ROUND(SJRIPSummaryRAW!E13,-2)</f>
        <v>700</v>
      </c>
      <c r="J14" s="246"/>
      <c r="K14" s="21"/>
      <c r="L14" s="325">
        <v>900</v>
      </c>
      <c r="M14" s="325"/>
      <c r="N14" s="333"/>
      <c r="O14" s="325"/>
      <c r="P14" s="325"/>
      <c r="Q14" s="325"/>
      <c r="R14" s="21"/>
    </row>
    <row r="15" spans="1:18" ht="15.75" thickBot="1" x14ac:dyDescent="0.3">
      <c r="A15" s="392"/>
      <c r="B15" s="602"/>
      <c r="C15" s="604"/>
      <c r="D15" s="608"/>
      <c r="E15" s="165" t="s">
        <v>78</v>
      </c>
      <c r="F15" s="166">
        <f ca="1">SUM(F10:F14)</f>
        <v>268600</v>
      </c>
      <c r="G15" s="167"/>
      <c r="H15" s="179"/>
      <c r="I15" s="180"/>
      <c r="J15" s="203"/>
      <c r="K15" s="21"/>
      <c r="L15" s="328">
        <f>SUM(L10:L14)</f>
        <v>301498</v>
      </c>
      <c r="M15" s="325"/>
      <c r="N15" s="333"/>
      <c r="O15" s="325"/>
      <c r="P15" s="325"/>
      <c r="Q15" s="325"/>
      <c r="R15" s="21"/>
    </row>
    <row r="16" spans="1:18" ht="15.75" thickBot="1" x14ac:dyDescent="0.3">
      <c r="A16" s="392"/>
      <c r="B16" s="602"/>
      <c r="C16" s="604"/>
      <c r="D16" s="170"/>
      <c r="E16" s="171" t="s">
        <v>79</v>
      </c>
      <c r="F16" s="172">
        <f ca="1">ROUND(SJRIPSummaryRAW!B17,-2)</f>
        <v>1100</v>
      </c>
      <c r="G16" s="167"/>
      <c r="H16" s="235">
        <f ca="1">ROUND(SJRIPSummaryRAW!D17,-2)</f>
        <v>1600</v>
      </c>
      <c r="I16" s="236">
        <f ca="1">ROUND(SJRIPSummaryRAW!E17,-2)</f>
        <v>700</v>
      </c>
      <c r="J16" s="203"/>
      <c r="K16" s="21"/>
      <c r="L16" s="325">
        <v>2190</v>
      </c>
      <c r="M16" s="325"/>
      <c r="N16" s="333"/>
      <c r="O16" s="325"/>
      <c r="P16" s="325"/>
      <c r="Q16" s="325"/>
      <c r="R16" s="21"/>
    </row>
    <row r="17" spans="1:18" x14ac:dyDescent="0.25">
      <c r="A17" s="391"/>
      <c r="B17" s="602"/>
      <c r="C17" s="605"/>
      <c r="D17" s="609" t="s">
        <v>80</v>
      </c>
      <c r="E17" s="173" t="s">
        <v>81</v>
      </c>
      <c r="F17" s="174">
        <f ca="1">ROUND(SJRIPSummaryRAW!B16,-2)</f>
        <v>1600</v>
      </c>
      <c r="G17" s="148"/>
      <c r="H17" s="219">
        <f ca="1">ROUND(SJRIPSummaryRAW!D16,-2)</f>
        <v>2200</v>
      </c>
      <c r="I17" s="220">
        <f ca="1">ROUND(SJRIPSummaryRAW!E16,-2)</f>
        <v>1200</v>
      </c>
      <c r="J17" s="244"/>
      <c r="K17" s="21"/>
      <c r="L17" s="325">
        <v>738</v>
      </c>
      <c r="M17" s="325"/>
      <c r="N17" s="333"/>
      <c r="O17" s="325"/>
      <c r="P17" s="325"/>
      <c r="Q17" s="325"/>
      <c r="R17" s="21"/>
    </row>
    <row r="18" spans="1:18" x14ac:dyDescent="0.25">
      <c r="A18" s="391"/>
      <c r="B18" s="602"/>
      <c r="C18" s="605"/>
      <c r="D18" s="609"/>
      <c r="E18" s="175" t="s">
        <v>82</v>
      </c>
      <c r="F18" s="174">
        <f ca="1">ROUND(SJRIPSummaryRAW!B18,-2)</f>
        <v>32500</v>
      </c>
      <c r="G18" s="148"/>
      <c r="H18" s="221">
        <f ca="1">ROUND(SJRIPSummaryRAW!D18,-2)</f>
        <v>39000</v>
      </c>
      <c r="I18" s="222">
        <f ca="1">ROUND(SJRIPSummaryRAW!E18,-2)</f>
        <v>23000</v>
      </c>
      <c r="J18" s="245"/>
      <c r="K18" s="21"/>
      <c r="L18" s="325">
        <v>36711</v>
      </c>
      <c r="M18" s="325"/>
      <c r="N18" s="333"/>
      <c r="O18" s="325"/>
      <c r="P18" s="325"/>
      <c r="Q18" s="325"/>
      <c r="R18" s="21"/>
    </row>
    <row r="19" spans="1:18" x14ac:dyDescent="0.25">
      <c r="A19" s="391"/>
      <c r="B19" s="602"/>
      <c r="C19" s="605"/>
      <c r="D19" s="609"/>
      <c r="E19" s="175" t="s">
        <v>83</v>
      </c>
      <c r="F19" s="174">
        <f ca="1">ROUND(SJRIPSummaryRAW!B19,-2)</f>
        <v>4300</v>
      </c>
      <c r="G19" s="148"/>
      <c r="H19" s="221">
        <f ca="1">ROUND(SJRIPSummaryRAW!D19,-2)</f>
        <v>9000</v>
      </c>
      <c r="I19" s="222">
        <f ca="1">ROUND(SJRIPSummaryRAW!E19,-2)</f>
        <v>600</v>
      </c>
      <c r="J19" s="245"/>
      <c r="K19" s="21"/>
      <c r="L19" s="325">
        <v>9808</v>
      </c>
      <c r="M19" s="325"/>
      <c r="N19" s="333"/>
      <c r="O19" s="325"/>
      <c r="P19" s="325"/>
      <c r="Q19" s="325"/>
      <c r="R19" s="21"/>
    </row>
    <row r="20" spans="1:18" x14ac:dyDescent="0.25">
      <c r="A20" s="391"/>
      <c r="B20" s="602"/>
      <c r="C20" s="605"/>
      <c r="D20" s="609"/>
      <c r="E20" s="175" t="s">
        <v>84</v>
      </c>
      <c r="F20" s="174">
        <f ca="1">ROUND(SJRIPSummaryRAW!B20,-2)</f>
        <v>12700</v>
      </c>
      <c r="G20" s="148"/>
      <c r="H20" s="221">
        <f ca="1">ROUND(SJRIPSummaryRAW!D20,-2)</f>
        <v>15000</v>
      </c>
      <c r="I20" s="222">
        <f ca="1">ROUND(SJRIPSummaryRAW!E20,-2)</f>
        <v>9400</v>
      </c>
      <c r="J20" s="245"/>
      <c r="K20" s="21"/>
      <c r="L20" s="325">
        <v>9137</v>
      </c>
      <c r="M20" s="325"/>
      <c r="N20" s="333"/>
      <c r="O20" s="325"/>
      <c r="P20" s="325"/>
      <c r="Q20" s="325"/>
      <c r="R20" s="21"/>
    </row>
    <row r="21" spans="1:18" x14ac:dyDescent="0.25">
      <c r="A21" s="391"/>
      <c r="B21" s="602"/>
      <c r="C21" s="605"/>
      <c r="D21" s="609"/>
      <c r="E21" s="175" t="s">
        <v>85</v>
      </c>
      <c r="F21" s="174">
        <f ca="1">ROUND(SJRIPSummaryRAW!B21,-2)</f>
        <v>10800</v>
      </c>
      <c r="G21" s="148"/>
      <c r="H21" s="221">
        <f ca="1">ROUND(SJRIPSummaryRAW!D21,-2)</f>
        <v>12800</v>
      </c>
      <c r="I21" s="222">
        <f ca="1">ROUND(SJRIPSummaryRAW!E21,-2)</f>
        <v>8100</v>
      </c>
      <c r="J21" s="245"/>
      <c r="K21" s="21"/>
      <c r="L21" s="325">
        <v>10268</v>
      </c>
      <c r="M21" s="325"/>
      <c r="N21" s="333"/>
      <c r="O21" s="325"/>
      <c r="P21" s="325"/>
      <c r="Q21" s="325"/>
      <c r="R21" s="21"/>
    </row>
    <row r="22" spans="1:18" x14ac:dyDescent="0.25">
      <c r="A22" s="391"/>
      <c r="B22" s="602"/>
      <c r="C22" s="605"/>
      <c r="D22" s="609"/>
      <c r="E22" s="175" t="s">
        <v>86</v>
      </c>
      <c r="F22" s="174">
        <f ca="1">ROUND(SJRIPSummaryRAW!B22,-2)</f>
        <v>9200</v>
      </c>
      <c r="G22" s="148"/>
      <c r="H22" s="221">
        <f ca="1">ROUND(SJRIPSummaryRAW!D22,-2)</f>
        <v>11300</v>
      </c>
      <c r="I22" s="222">
        <f ca="1">ROUND(SJRIPSummaryRAW!E22,-2)</f>
        <v>6700</v>
      </c>
      <c r="J22" s="245"/>
      <c r="K22" s="21"/>
      <c r="L22" s="325">
        <v>9532</v>
      </c>
      <c r="M22" s="325"/>
      <c r="O22" s="325"/>
      <c r="P22" s="325"/>
      <c r="Q22" s="325"/>
      <c r="R22" s="21"/>
    </row>
    <row r="23" spans="1:18" ht="15.75" thickBot="1" x14ac:dyDescent="0.3">
      <c r="A23" s="391"/>
      <c r="B23" s="602"/>
      <c r="C23" s="605"/>
      <c r="D23" s="609"/>
      <c r="E23" s="175" t="s">
        <v>87</v>
      </c>
      <c r="F23" s="174">
        <f ca="1">ROUND(SJRIPSummaryRAW!B23,-2)</f>
        <v>3100</v>
      </c>
      <c r="G23" s="148"/>
      <c r="H23" s="223">
        <f ca="1">ROUND(SJRIPSummaryRAW!D23,-2)</f>
        <v>3600</v>
      </c>
      <c r="I23" s="224">
        <f ca="1">ROUND(SJRIPSummaryRAW!E23,-2)</f>
        <v>2300</v>
      </c>
      <c r="J23" s="245"/>
      <c r="K23" s="21"/>
      <c r="L23" s="325">
        <v>3088</v>
      </c>
      <c r="M23" s="325"/>
      <c r="N23" s="333" t="s">
        <v>164</v>
      </c>
      <c r="O23" s="325">
        <v>110</v>
      </c>
      <c r="P23" s="325"/>
      <c r="Q23" s="325"/>
      <c r="R23" s="21"/>
    </row>
    <row r="24" spans="1:18" ht="15.75" thickBot="1" x14ac:dyDescent="0.3">
      <c r="A24" s="392"/>
      <c r="B24" s="602"/>
      <c r="C24" s="605"/>
      <c r="D24" s="609"/>
      <c r="E24" s="176" t="s">
        <v>88</v>
      </c>
      <c r="F24" s="177">
        <f ca="1">SUM(F17:F23)</f>
        <v>74200</v>
      </c>
      <c r="G24" s="178"/>
      <c r="H24" s="179"/>
      <c r="I24" s="180"/>
      <c r="J24" s="247"/>
      <c r="K24" s="21"/>
      <c r="L24" s="328">
        <f>SUM(L16:L23,O23)</f>
        <v>81582</v>
      </c>
      <c r="M24" s="325"/>
      <c r="N24" s="333"/>
      <c r="O24" s="325"/>
      <c r="P24" s="325"/>
      <c r="Q24" s="325"/>
      <c r="R24" s="21"/>
    </row>
    <row r="25" spans="1:18" ht="15.75" thickBot="1" x14ac:dyDescent="0.3">
      <c r="A25" s="393"/>
      <c r="B25" s="603"/>
      <c r="C25" s="610" t="s">
        <v>89</v>
      </c>
      <c r="D25" s="611"/>
      <c r="E25" s="612"/>
      <c r="F25" s="182">
        <f ca="1">F15+F24+F16</f>
        <v>343900</v>
      </c>
      <c r="G25" s="183"/>
      <c r="H25" s="184"/>
      <c r="I25" s="185"/>
      <c r="J25" s="195"/>
      <c r="K25" s="21"/>
      <c r="L25" s="328">
        <f>L24+L15</f>
        <v>383080</v>
      </c>
      <c r="M25" s="325"/>
      <c r="N25" s="333"/>
      <c r="O25" s="325"/>
      <c r="P25" s="325"/>
      <c r="Q25" s="325"/>
      <c r="R25" s="21"/>
    </row>
    <row r="26" spans="1:18" ht="15.75" thickBot="1" x14ac:dyDescent="0.3">
      <c r="A26" s="393"/>
      <c r="B26" s="603"/>
      <c r="C26" s="186"/>
      <c r="D26" s="187"/>
      <c r="E26" s="188" t="s">
        <v>90</v>
      </c>
      <c r="F26" s="189">
        <f ca="1">ROUND(SJRIPSummaryRAW!B32,-1)</f>
        <v>340</v>
      </c>
      <c r="G26" s="151"/>
      <c r="H26" s="231">
        <f ca="1">ROUND(SJRIPSummaryRAW!D32,-1)</f>
        <v>340</v>
      </c>
      <c r="I26" s="232">
        <f ca="1">ROUND(SJRIPSummaryRAW!E32,-1)</f>
        <v>340</v>
      </c>
      <c r="J26" s="195"/>
      <c r="K26" s="21"/>
      <c r="L26" s="325"/>
      <c r="M26" s="325"/>
      <c r="N26" s="333"/>
      <c r="O26" s="325"/>
      <c r="P26" s="325"/>
      <c r="Q26" s="325"/>
      <c r="R26" s="21"/>
    </row>
    <row r="27" spans="1:18" x14ac:dyDescent="0.25">
      <c r="A27" s="391"/>
      <c r="B27" s="602"/>
      <c r="C27" s="613" t="s">
        <v>91</v>
      </c>
      <c r="D27" s="614"/>
      <c r="E27" s="175" t="s">
        <v>92</v>
      </c>
      <c r="F27" s="174">
        <f ca="1">ROUND(SJRIPSummaryRAW!B28,-2)</f>
        <v>26800</v>
      </c>
      <c r="G27" s="148"/>
      <c r="H27" s="221">
        <f ca="1">ROUND(SJRIPSummaryRAW!D28,-2)</f>
        <v>30100</v>
      </c>
      <c r="I27" s="222">
        <f ca="1">ROUND(SJRIPSummaryRAW!E28,-2)</f>
        <v>17900</v>
      </c>
      <c r="J27" s="248"/>
      <c r="K27" s="21"/>
      <c r="L27" s="325">
        <v>27350</v>
      </c>
      <c r="M27" s="325"/>
      <c r="N27" s="333"/>
      <c r="O27" s="325"/>
      <c r="P27" s="325"/>
      <c r="Q27" s="325"/>
      <c r="R27" s="21"/>
    </row>
    <row r="28" spans="1:18" x14ac:dyDescent="0.25">
      <c r="A28" s="391"/>
      <c r="B28" s="602"/>
      <c r="C28" s="613"/>
      <c r="D28" s="614"/>
      <c r="E28" s="175" t="s">
        <v>93</v>
      </c>
      <c r="F28" s="174">
        <f ca="1">ROUND(SJRIPSummaryRAW!B29,-2)</f>
        <v>38800</v>
      </c>
      <c r="G28" s="148"/>
      <c r="H28" s="221">
        <f ca="1">ROUND(SJRIPSummaryRAW!D29,-2)</f>
        <v>39000</v>
      </c>
      <c r="I28" s="222">
        <f ca="1">ROUND(SJRIPSummaryRAW!E29,-2)</f>
        <v>23300</v>
      </c>
      <c r="J28" s="245"/>
      <c r="K28" s="21"/>
      <c r="L28" s="325">
        <v>39000</v>
      </c>
      <c r="M28" s="325"/>
      <c r="N28" s="333" t="s">
        <v>351</v>
      </c>
      <c r="O28" s="325">
        <v>8453</v>
      </c>
      <c r="P28" s="325"/>
      <c r="Q28" s="325"/>
      <c r="R28" s="21"/>
    </row>
    <row r="29" spans="1:18" x14ac:dyDescent="0.25">
      <c r="A29" s="391"/>
      <c r="B29" s="602"/>
      <c r="C29" s="613"/>
      <c r="D29" s="614"/>
      <c r="E29" s="175" t="s">
        <v>572</v>
      </c>
      <c r="F29" s="174">
        <f ca="1">ROUND(SJRIPSummaryRAW!B30,-2)</f>
        <v>16100</v>
      </c>
      <c r="G29" s="148"/>
      <c r="H29" s="221">
        <f ca="1">ROUND(SJRIPSummaryRAW!D30,-2)</f>
        <v>16200</v>
      </c>
      <c r="I29" s="222">
        <f ca="1">ROUND(SJRIPSummaryRAW!E30,-2)</f>
        <v>9700</v>
      </c>
      <c r="J29" s="245"/>
      <c r="K29" s="21"/>
      <c r="L29" s="325">
        <v>16200</v>
      </c>
      <c r="M29" s="325"/>
      <c r="N29" s="333" t="s">
        <v>348</v>
      </c>
      <c r="O29" s="325">
        <v>1400</v>
      </c>
      <c r="P29" s="325"/>
      <c r="Q29" s="325"/>
      <c r="R29" s="21"/>
    </row>
    <row r="30" spans="1:18" x14ac:dyDescent="0.25">
      <c r="A30" s="391"/>
      <c r="B30" s="602"/>
      <c r="C30" s="613"/>
      <c r="D30" s="614"/>
      <c r="E30" s="175" t="s">
        <v>95</v>
      </c>
      <c r="F30" s="174">
        <f ca="1">ROUND(SJRIPSummaryRAW!B31,-2)</f>
        <v>2500</v>
      </c>
      <c r="G30" s="148"/>
      <c r="H30" s="221">
        <f ca="1">ROUND(SJRIPSummaryRAW!D31,-2)</f>
        <v>2500</v>
      </c>
      <c r="I30" s="222">
        <f ca="1">ROUND(SJRIPSummaryRAW!E31,-2)</f>
        <v>2500</v>
      </c>
      <c r="J30" s="245"/>
      <c r="K30" s="21"/>
      <c r="L30" s="325">
        <v>2500</v>
      </c>
      <c r="M30" s="325"/>
      <c r="N30" s="333" t="s">
        <v>349</v>
      </c>
      <c r="O30" s="325">
        <v>2200</v>
      </c>
      <c r="P30" s="325"/>
      <c r="Q30" s="325"/>
      <c r="R30" s="21"/>
    </row>
    <row r="31" spans="1:18" ht="15.75" thickBot="1" x14ac:dyDescent="0.3">
      <c r="A31" s="391"/>
      <c r="B31" s="602"/>
      <c r="C31" s="613"/>
      <c r="D31" s="614"/>
      <c r="E31" s="175" t="s">
        <v>96</v>
      </c>
      <c r="F31" s="174">
        <f ca="1">ROUND(SJRIPSummaryRAW!B33,-2)</f>
        <v>11600</v>
      </c>
      <c r="G31" s="152"/>
      <c r="H31" s="223">
        <f ca="1">ROUND(SJRIPSummaryRAW!D33,-2)</f>
        <v>11600</v>
      </c>
      <c r="I31" s="224">
        <f ca="1">ROUND(SJRIPSummaryRAW!E33,-2)</f>
        <v>9600</v>
      </c>
      <c r="J31" s="245"/>
      <c r="K31" s="21"/>
      <c r="L31" s="325"/>
      <c r="M31" s="325"/>
      <c r="N31" s="333" t="s">
        <v>350</v>
      </c>
      <c r="O31" s="325">
        <v>1400</v>
      </c>
      <c r="P31" s="327">
        <f>SUM(O28:O31)</f>
        <v>13453</v>
      </c>
      <c r="Q31" s="325"/>
      <c r="R31" s="21"/>
    </row>
    <row r="32" spans="1:18" ht="15.75" thickBot="1" x14ac:dyDescent="0.3">
      <c r="A32" s="392"/>
      <c r="B32" s="602"/>
      <c r="C32" s="613"/>
      <c r="D32" s="614"/>
      <c r="E32" s="190" t="s">
        <v>97</v>
      </c>
      <c r="F32" s="174">
        <f ca="1">SUM(F28:F31)+F26</f>
        <v>69340</v>
      </c>
      <c r="G32" s="162"/>
      <c r="H32" s="179"/>
      <c r="I32" s="180"/>
      <c r="J32" s="249"/>
      <c r="K32" s="21"/>
      <c r="L32" s="325"/>
      <c r="M32" s="325"/>
      <c r="N32" s="333"/>
      <c r="O32" s="325"/>
      <c r="P32" s="325"/>
      <c r="Q32" s="325"/>
      <c r="R32" s="21"/>
    </row>
    <row r="33" spans="1:18" ht="15.75" thickBot="1" x14ac:dyDescent="0.3">
      <c r="A33" s="393"/>
      <c r="B33" s="603"/>
      <c r="C33" s="615" t="s">
        <v>98</v>
      </c>
      <c r="D33" s="616"/>
      <c r="E33" s="617"/>
      <c r="F33" s="191">
        <f ca="1">F27+F32</f>
        <v>96140</v>
      </c>
      <c r="G33" s="162"/>
      <c r="H33" s="184"/>
      <c r="I33" s="185"/>
      <c r="J33" s="247"/>
      <c r="K33" s="21"/>
      <c r="L33" s="328">
        <f>SUM(L27:L30,O28:O31)</f>
        <v>98503</v>
      </c>
      <c r="M33" s="325"/>
      <c r="N33" s="333"/>
      <c r="O33" s="325"/>
      <c r="P33" s="325"/>
      <c r="Q33" s="325"/>
      <c r="R33" s="21"/>
    </row>
    <row r="34" spans="1:18" ht="15.75" thickBot="1" x14ac:dyDescent="0.3">
      <c r="A34" s="393"/>
      <c r="B34" s="556" t="s">
        <v>99</v>
      </c>
      <c r="C34" s="557"/>
      <c r="D34" s="557"/>
      <c r="E34" s="557"/>
      <c r="F34" s="192">
        <f ca="1">F25+F33</f>
        <v>440040</v>
      </c>
      <c r="G34" s="178"/>
      <c r="H34" s="184"/>
      <c r="I34" s="185"/>
      <c r="J34" s="247"/>
      <c r="K34" s="21"/>
      <c r="L34" s="328">
        <f>L33+L25+L54+L55+L52</f>
        <v>600167</v>
      </c>
      <c r="M34" s="335" t="s">
        <v>353</v>
      </c>
      <c r="N34" s="333"/>
      <c r="O34" s="325"/>
      <c r="P34" s="325"/>
      <c r="Q34" s="325"/>
      <c r="R34" s="21"/>
    </row>
    <row r="35" spans="1:18" ht="15.75" thickBot="1" x14ac:dyDescent="0.3">
      <c r="A35" s="394"/>
      <c r="B35" s="193"/>
      <c r="C35" s="194"/>
      <c r="D35" s="194"/>
      <c r="E35" s="194"/>
      <c r="F35" s="203"/>
      <c r="G35" s="167"/>
      <c r="H35" s="260"/>
      <c r="I35" s="261"/>
      <c r="J35" s="203"/>
      <c r="K35" s="21"/>
      <c r="L35" s="325"/>
      <c r="M35" s="325"/>
      <c r="P35" s="325"/>
      <c r="Q35" s="325"/>
      <c r="R35" s="21"/>
    </row>
    <row r="36" spans="1:18" x14ac:dyDescent="0.25">
      <c r="A36" s="391"/>
      <c r="B36" s="558" t="s">
        <v>100</v>
      </c>
      <c r="C36" s="560" t="s">
        <v>101</v>
      </c>
      <c r="D36" s="561"/>
      <c r="E36" s="257" t="s">
        <v>301</v>
      </c>
      <c r="F36" s="237">
        <f ca="1">ROUND(SJRIPSummaryRAW!B41,-2)</f>
        <v>32700</v>
      </c>
      <c r="G36" s="148"/>
      <c r="H36" s="258">
        <f ca="1">ROUND(SJRIPSummaryRAW!D41,-2)</f>
        <v>38600</v>
      </c>
      <c r="I36" s="259">
        <f ca="1">ROUND(SJRIPSummaryRAW!E41,-2)</f>
        <v>26200</v>
      </c>
      <c r="J36" s="251"/>
      <c r="K36" s="21"/>
      <c r="L36" s="325">
        <f>10858+7865</f>
        <v>18723</v>
      </c>
      <c r="M36" s="325"/>
      <c r="N36" s="333"/>
      <c r="O36" s="325"/>
      <c r="P36" s="325"/>
      <c r="Q36" s="325"/>
      <c r="R36" s="21"/>
    </row>
    <row r="37" spans="1:18" x14ac:dyDescent="0.25">
      <c r="A37" s="391"/>
      <c r="B37" s="558"/>
      <c r="C37" s="560"/>
      <c r="D37" s="561"/>
      <c r="E37" s="175" t="s">
        <v>103</v>
      </c>
      <c r="F37" s="174">
        <f ca="1">ROUND(SJRIPSummaryRAW!B43,-2)</f>
        <v>17500</v>
      </c>
      <c r="G37" s="148"/>
      <c r="H37" s="221">
        <f ca="1">ROUND(SJRIPSummaryRAW!D43,-2)</f>
        <v>19500</v>
      </c>
      <c r="I37" s="222">
        <f ca="1">ROUND(SJRIPSummaryRAW!E43,-2)</f>
        <v>12000</v>
      </c>
      <c r="J37" s="251"/>
      <c r="K37" s="21"/>
      <c r="L37" s="325">
        <v>8098</v>
      </c>
      <c r="M37" s="325"/>
      <c r="N37" s="333"/>
      <c r="O37" s="325"/>
      <c r="P37" s="325"/>
      <c r="Q37" s="325"/>
      <c r="R37" s="21"/>
    </row>
    <row r="38" spans="1:18" ht="15.75" thickBot="1" x14ac:dyDescent="0.3">
      <c r="A38" s="391"/>
      <c r="B38" s="558"/>
      <c r="C38" s="560"/>
      <c r="D38" s="561"/>
      <c r="E38" s="175" t="s">
        <v>104</v>
      </c>
      <c r="F38" s="174">
        <f ca="1">ROUND(SJRIPSummaryRAW!B44,-2)</f>
        <v>105000</v>
      </c>
      <c r="G38" s="152"/>
      <c r="H38" s="221">
        <f ca="1">ROUND(SJRIPSummaryRAW!D44,-2)</f>
        <v>117600</v>
      </c>
      <c r="I38" s="222">
        <f ca="1">ROUND(SJRIPSummaryRAW!E44,-2)</f>
        <v>73000</v>
      </c>
      <c r="J38" s="252"/>
      <c r="K38" s="21"/>
      <c r="L38" s="325">
        <v>71671</v>
      </c>
      <c r="M38" s="325"/>
      <c r="N38" s="333"/>
      <c r="O38" s="325"/>
      <c r="P38" s="325"/>
      <c r="Q38" s="325"/>
      <c r="R38" s="21"/>
    </row>
    <row r="39" spans="1:18" ht="15.75" thickBot="1" x14ac:dyDescent="0.3">
      <c r="A39" s="391"/>
      <c r="B39" s="558"/>
      <c r="C39" s="562"/>
      <c r="D39" s="563"/>
      <c r="E39" s="196" t="s">
        <v>105</v>
      </c>
      <c r="F39" s="197">
        <f ca="1">ROUND(SJRIPSummaryRAW!B45,-2)</f>
        <v>24800</v>
      </c>
      <c r="G39" s="152"/>
      <c r="H39" s="229">
        <f ca="1">ROUND(SJRIPSummaryRAW!D45,-2)</f>
        <v>24800</v>
      </c>
      <c r="I39" s="230">
        <f ca="1">ROUND(SJRIPSummaryRAW!E45,-2)</f>
        <v>23600</v>
      </c>
      <c r="J39" s="252"/>
      <c r="K39" s="21"/>
      <c r="L39" s="325"/>
      <c r="M39" s="325"/>
      <c r="N39" s="333"/>
      <c r="O39" s="325"/>
      <c r="P39" s="325"/>
      <c r="Q39" s="325"/>
      <c r="R39" s="21"/>
    </row>
    <row r="40" spans="1:18" ht="15.75" thickBot="1" x14ac:dyDescent="0.3">
      <c r="A40" s="392"/>
      <c r="B40" s="558"/>
      <c r="C40" s="564" t="s">
        <v>106</v>
      </c>
      <c r="D40" s="565"/>
      <c r="E40" s="566"/>
      <c r="F40" s="198">
        <f ca="1">SUM(F36:F39)</f>
        <v>180000</v>
      </c>
      <c r="G40" s="162"/>
      <c r="H40" s="179"/>
      <c r="I40" s="180"/>
      <c r="J40" s="203"/>
      <c r="K40" s="21"/>
      <c r="L40" s="328">
        <f>SUM(L36:L38)</f>
        <v>98492</v>
      </c>
      <c r="M40" s="325"/>
      <c r="N40" s="333"/>
      <c r="O40" s="325"/>
      <c r="P40" s="325"/>
      <c r="Q40" s="325"/>
      <c r="R40" s="21"/>
    </row>
    <row r="41" spans="1:18" x14ac:dyDescent="0.25">
      <c r="A41" s="391"/>
      <c r="B41" s="558"/>
      <c r="C41" s="567" t="s">
        <v>107</v>
      </c>
      <c r="D41" s="568"/>
      <c r="E41" s="173" t="s">
        <v>108</v>
      </c>
      <c r="F41" s="174">
        <f ca="1">ROUND(SJRIPSummaryRAW!B48,-2)</f>
        <v>38400</v>
      </c>
      <c r="G41" s="148"/>
      <c r="H41" s="219">
        <f ca="1">ROUND(SJRIPSummaryRAW!D48,-2)</f>
        <v>52300</v>
      </c>
      <c r="I41" s="220">
        <f ca="1">ROUND(SJRIPSummaryRAW!E48,-2)</f>
        <v>12000</v>
      </c>
      <c r="J41" s="250"/>
      <c r="K41" s="21"/>
      <c r="L41" s="325">
        <v>28607</v>
      </c>
      <c r="M41" s="325"/>
      <c r="N41" s="333"/>
      <c r="O41" s="325"/>
      <c r="P41" s="325"/>
      <c r="Q41" s="325"/>
      <c r="R41" s="21"/>
    </row>
    <row r="42" spans="1:18" x14ac:dyDescent="0.25">
      <c r="A42" s="391"/>
      <c r="B42" s="558"/>
      <c r="C42" s="569"/>
      <c r="D42" s="570"/>
      <c r="E42" s="175" t="s">
        <v>109</v>
      </c>
      <c r="F42" s="174">
        <f ca="1">ROUND(SJRIPSummaryRAW!B49,-2)</f>
        <v>18500</v>
      </c>
      <c r="G42" s="148"/>
      <c r="H42" s="221">
        <f ca="1">ROUND(SJRIPSummaryRAW!D49,-2)</f>
        <v>21900</v>
      </c>
      <c r="I42" s="222">
        <f ca="1">ROUND(SJRIPSummaryRAW!E49,-2)</f>
        <v>14200</v>
      </c>
      <c r="J42" s="251"/>
      <c r="K42" s="21"/>
      <c r="L42" s="325">
        <v>25119</v>
      </c>
      <c r="M42" s="325"/>
      <c r="N42" s="333"/>
      <c r="O42" s="325"/>
      <c r="P42" s="325"/>
      <c r="Q42" s="325"/>
      <c r="R42" s="21"/>
    </row>
    <row r="43" spans="1:18" x14ac:dyDescent="0.25">
      <c r="A43" s="391"/>
      <c r="B43" s="558"/>
      <c r="C43" s="569"/>
      <c r="D43" s="570"/>
      <c r="E43" s="175" t="s">
        <v>110</v>
      </c>
      <c r="F43" s="174">
        <f ca="1">ROUND(SJRIPSummaryRAW!B51,-2)</f>
        <v>16200</v>
      </c>
      <c r="G43" s="148"/>
      <c r="H43" s="221">
        <f ca="1">ROUND(SJRIPSummaryRAW!D51,-2)</f>
        <v>23800</v>
      </c>
      <c r="I43" s="222">
        <f ca="1">ROUND(SJRIPSummaryRAW!E51,-2)</f>
        <v>5700</v>
      </c>
      <c r="J43" s="251"/>
      <c r="K43" s="21"/>
      <c r="L43" s="325">
        <f>13245+1339</f>
        <v>14584</v>
      </c>
      <c r="M43" s="325"/>
      <c r="N43" s="333"/>
      <c r="O43" s="325"/>
      <c r="P43" s="325"/>
      <c r="Q43" s="325"/>
      <c r="R43" s="21"/>
    </row>
    <row r="44" spans="1:18" ht="15.75" thickBot="1" x14ac:dyDescent="0.3">
      <c r="A44" s="391"/>
      <c r="B44" s="558"/>
      <c r="C44" s="569"/>
      <c r="D44" s="570"/>
      <c r="E44" s="175" t="s">
        <v>111</v>
      </c>
      <c r="F44" s="174">
        <f ca="1">ROUND(SJRIPSummaryRAW!B53,-2)</f>
        <v>17400</v>
      </c>
      <c r="G44" s="152"/>
      <c r="H44" s="221">
        <f ca="1">ROUND(SJRIPSummaryRAW!D53,-2)</f>
        <v>28200</v>
      </c>
      <c r="I44" s="222">
        <f ca="1">ROUND(SJRIPSummaryRAW!E53,-2)</f>
        <v>5800</v>
      </c>
      <c r="J44" s="252"/>
      <c r="K44" s="21"/>
      <c r="L44" s="325">
        <v>19532</v>
      </c>
      <c r="M44" s="325"/>
      <c r="N44" s="333"/>
      <c r="O44" s="325"/>
      <c r="P44" s="325"/>
      <c r="Q44" s="325"/>
      <c r="R44" s="21"/>
    </row>
    <row r="45" spans="1:18" x14ac:dyDescent="0.25">
      <c r="A45" s="391"/>
      <c r="B45" s="558"/>
      <c r="C45" s="569"/>
      <c r="D45" s="570"/>
      <c r="E45" s="163" t="s">
        <v>112</v>
      </c>
      <c r="F45" s="164">
        <f ca="1">ROUND(SJRIPSummaryRAW!B50,-2)</f>
        <v>1300</v>
      </c>
      <c r="G45" s="148"/>
      <c r="H45" s="227">
        <f ca="1">ROUND(SJRIPSummaryRAW!D50,-2)</f>
        <v>1300</v>
      </c>
      <c r="I45" s="228">
        <f ca="1">ROUND(SJRIPSummaryRAW!E50,-2)</f>
        <v>1300</v>
      </c>
      <c r="J45" s="251"/>
      <c r="K45" s="21"/>
      <c r="L45" s="325"/>
      <c r="M45" s="325"/>
      <c r="N45" s="333"/>
      <c r="O45" s="325"/>
      <c r="P45" s="325"/>
      <c r="Q45" s="325"/>
      <c r="R45" s="21"/>
    </row>
    <row r="46" spans="1:18" ht="15.75" thickBot="1" x14ac:dyDescent="0.3">
      <c r="A46" s="391"/>
      <c r="B46" s="558"/>
      <c r="C46" s="571"/>
      <c r="D46" s="572"/>
      <c r="E46" s="196" t="s">
        <v>113</v>
      </c>
      <c r="F46" s="197">
        <f ca="1">ROUND(SJRIPSummaryRAW!B52,-2)</f>
        <v>11900</v>
      </c>
      <c r="G46" s="148"/>
      <c r="H46" s="229">
        <f ca="1">ROUND(SJRIPSummaryRAW!D52,-2)</f>
        <v>17700</v>
      </c>
      <c r="I46" s="230">
        <f ca="1">ROUND(SJRIPSummaryRAW!E52,-2)</f>
        <v>3100</v>
      </c>
      <c r="J46" s="251"/>
      <c r="K46" s="21"/>
      <c r="L46" s="325"/>
      <c r="M46" s="325"/>
      <c r="N46" s="333"/>
      <c r="O46" s="325"/>
      <c r="P46" s="325"/>
      <c r="Q46" s="325"/>
      <c r="R46" s="21"/>
    </row>
    <row r="47" spans="1:18" ht="15.75" thickBot="1" x14ac:dyDescent="0.3">
      <c r="A47" s="395"/>
      <c r="B47" s="559"/>
      <c r="C47" s="573" t="s">
        <v>114</v>
      </c>
      <c r="D47" s="574"/>
      <c r="E47" s="575"/>
      <c r="F47" s="199">
        <f ca="1">SUM(F41:F46)</f>
        <v>103700</v>
      </c>
      <c r="G47" s="162"/>
      <c r="H47" s="200"/>
      <c r="I47" s="201"/>
      <c r="J47" s="203"/>
      <c r="K47" s="21"/>
      <c r="L47" s="328">
        <f>SUM(L41:L44)</f>
        <v>87842</v>
      </c>
      <c r="M47" s="325"/>
      <c r="N47" s="333"/>
      <c r="O47" s="325"/>
      <c r="P47" s="325"/>
      <c r="Q47" s="325"/>
      <c r="R47" s="21"/>
    </row>
    <row r="48" spans="1:18" ht="15.75" thickBot="1" x14ac:dyDescent="0.3">
      <c r="A48" s="8"/>
      <c r="B48" s="554" t="s">
        <v>115</v>
      </c>
      <c r="C48" s="555"/>
      <c r="D48" s="555"/>
      <c r="E48" s="555"/>
      <c r="F48" s="202">
        <f ca="1">F40+F47</f>
        <v>283700</v>
      </c>
      <c r="G48" s="178"/>
      <c r="H48" s="168"/>
      <c r="I48" s="169"/>
      <c r="J48" s="203"/>
      <c r="K48" s="21"/>
      <c r="L48" s="328">
        <f>L47+L40</f>
        <v>186334</v>
      </c>
      <c r="M48" s="325"/>
      <c r="N48" s="333"/>
      <c r="O48" s="325"/>
      <c r="P48" s="325"/>
      <c r="Q48" s="325"/>
      <c r="R48" s="21"/>
    </row>
    <row r="49" spans="1:18" ht="15.75" thickBot="1" x14ac:dyDescent="0.3">
      <c r="A49" s="394"/>
      <c r="B49" s="193"/>
      <c r="C49" s="194"/>
      <c r="D49" s="194"/>
      <c r="E49" s="194"/>
      <c r="F49" s="203"/>
      <c r="G49" s="167"/>
      <c r="H49" s="260"/>
      <c r="I49" s="261"/>
      <c r="J49" s="203"/>
      <c r="K49" s="21"/>
      <c r="L49" s="325"/>
      <c r="M49" s="325"/>
      <c r="N49" s="333"/>
      <c r="O49" s="325"/>
      <c r="P49" s="325"/>
      <c r="Q49" s="325"/>
      <c r="R49" s="21"/>
    </row>
    <row r="50" spans="1:18" ht="15.75" thickBot="1" x14ac:dyDescent="0.3">
      <c r="A50" s="393"/>
      <c r="B50" s="618" t="s">
        <v>116</v>
      </c>
      <c r="C50" s="619"/>
      <c r="D50" s="619"/>
      <c r="E50" s="619"/>
      <c r="F50" s="262">
        <f ca="1">F34+F48</f>
        <v>723740</v>
      </c>
      <c r="G50" s="181"/>
      <c r="H50" s="179"/>
      <c r="I50" s="180"/>
      <c r="J50" s="247"/>
      <c r="K50" s="21"/>
      <c r="L50" s="328">
        <f>L48+L34</f>
        <v>786501</v>
      </c>
      <c r="M50" s="325"/>
      <c r="N50" s="333"/>
      <c r="O50" s="325"/>
      <c r="P50" s="325"/>
      <c r="Q50" s="325"/>
      <c r="R50" s="21"/>
    </row>
    <row r="51" spans="1:18" ht="15.75" thickBot="1" x14ac:dyDescent="0.3">
      <c r="A51" s="394"/>
      <c r="B51" s="193"/>
      <c r="C51" s="194"/>
      <c r="D51" s="194"/>
      <c r="E51" s="194"/>
      <c r="F51" s="203"/>
      <c r="G51" s="167"/>
      <c r="H51" s="260"/>
      <c r="I51" s="261"/>
      <c r="J51" s="203"/>
      <c r="K51" s="21"/>
      <c r="L51" s="328">
        <f>L50+L53</f>
        <v>843634</v>
      </c>
      <c r="M51" s="335" t="s">
        <v>362</v>
      </c>
      <c r="N51" s="333"/>
      <c r="O51" s="325"/>
      <c r="P51" s="325"/>
      <c r="Q51" s="325"/>
      <c r="R51" s="21"/>
    </row>
    <row r="52" spans="1:18" x14ac:dyDescent="0.25">
      <c r="A52" s="393"/>
      <c r="B52" s="620" t="s">
        <v>117</v>
      </c>
      <c r="C52" s="621"/>
      <c r="D52" s="621"/>
      <c r="E52" s="263" t="s">
        <v>118</v>
      </c>
      <c r="F52" s="237">
        <f ca="1">ROUND(SJRIPSummaryRAW!B60,-2)</f>
        <v>35700</v>
      </c>
      <c r="G52" s="148"/>
      <c r="H52" s="258">
        <f ca="1">ROUND(SJRIPSummaryRAW!D60,-2)</f>
        <v>35900</v>
      </c>
      <c r="I52" s="259">
        <f ca="1">ROUND(SJRIPSummaryRAW!E60,-2)</f>
        <v>21500</v>
      </c>
      <c r="J52" s="251"/>
      <c r="K52" s="21"/>
      <c r="L52" s="325">
        <v>6570</v>
      </c>
      <c r="M52" s="333" t="s">
        <v>352</v>
      </c>
      <c r="N52" s="333"/>
      <c r="O52" s="325"/>
      <c r="P52" s="325"/>
      <c r="Q52" s="325"/>
      <c r="R52" s="21"/>
    </row>
    <row r="53" spans="1:18" x14ac:dyDescent="0.25">
      <c r="A53" s="396"/>
      <c r="B53" s="620"/>
      <c r="C53" s="621"/>
      <c r="D53" s="621"/>
      <c r="E53" s="175" t="s">
        <v>119</v>
      </c>
      <c r="F53" s="174">
        <f ca="1">ROUND(SJRIPSummaryRAW!B58,-2)</f>
        <v>57100</v>
      </c>
      <c r="G53" s="148"/>
      <c r="H53" s="221">
        <f ca="1">ROUND(SJRIPSummaryRAW!D58,-2)</f>
        <v>57200</v>
      </c>
      <c r="I53" s="222">
        <f ca="1">ROUND(SJRIPSummaryRAW!E58,-2)</f>
        <v>56600</v>
      </c>
      <c r="J53" s="251"/>
      <c r="K53" s="21"/>
      <c r="L53" s="325">
        <v>57133</v>
      </c>
      <c r="M53" s="325"/>
      <c r="N53" s="333"/>
      <c r="O53" s="325"/>
      <c r="P53" s="325"/>
      <c r="Q53" s="325"/>
      <c r="R53" s="21"/>
    </row>
    <row r="54" spans="1:18" x14ac:dyDescent="0.25">
      <c r="A54" s="396"/>
      <c r="B54" s="620"/>
      <c r="C54" s="621"/>
      <c r="D54" s="621"/>
      <c r="E54" s="175" t="s">
        <v>120</v>
      </c>
      <c r="F54" s="174">
        <f ca="1">ROUND(SJRIPSummaryRAW!B59,-2)</f>
        <v>105200</v>
      </c>
      <c r="G54" s="148"/>
      <c r="H54" s="221">
        <f ca="1">ROUND(SJRIPSummaryRAW!D59,-2)</f>
        <v>233500</v>
      </c>
      <c r="I54" s="222">
        <f ca="1">ROUND(SJRIPSummaryRAW!E59,-2)</f>
        <v>7300</v>
      </c>
      <c r="J54" s="251"/>
      <c r="K54" s="21"/>
      <c r="L54" s="325">
        <v>107514</v>
      </c>
      <c r="M54" s="325"/>
      <c r="N54" s="333"/>
      <c r="O54" s="325"/>
      <c r="P54" s="325"/>
      <c r="Q54" s="325"/>
      <c r="R54" s="21"/>
    </row>
    <row r="55" spans="1:18" ht="15.75" thickBot="1" x14ac:dyDescent="0.3">
      <c r="A55" s="397"/>
      <c r="B55" s="622"/>
      <c r="C55" s="623"/>
      <c r="D55" s="623"/>
      <c r="E55" s="204" t="s">
        <v>121</v>
      </c>
      <c r="F55" s="218">
        <f ca="1">ROUND(SJRIPSummaryRAW!B61,-2)</f>
        <v>5000</v>
      </c>
      <c r="G55" s="153"/>
      <c r="H55" s="223">
        <f ca="1">ROUND(SJRIPSummaryRAW!D61,-2)</f>
        <v>5000</v>
      </c>
      <c r="I55" s="224">
        <f ca="1">ROUND(SJRIPSummaryRAW!E61,-2)</f>
        <v>4900</v>
      </c>
      <c r="J55" s="253"/>
      <c r="K55" s="21"/>
      <c r="L55" s="325">
        <v>4500</v>
      </c>
      <c r="M55" s="325"/>
      <c r="P55" s="325"/>
      <c r="Q55" s="325"/>
      <c r="R55" s="21"/>
    </row>
    <row r="56" spans="1:18" ht="15.75" thickBot="1" x14ac:dyDescent="0.3">
      <c r="A56" s="387"/>
      <c r="B56" s="624" t="s">
        <v>122</v>
      </c>
      <c r="C56" s="625"/>
      <c r="D56" s="625"/>
      <c r="E56" s="626"/>
      <c r="F56" s="238">
        <f ca="1">SUM(F52:F55)</f>
        <v>203000</v>
      </c>
      <c r="G56" s="162"/>
      <c r="H56" s="179"/>
      <c r="I56" s="217"/>
      <c r="J56" s="254"/>
      <c r="K56" s="21"/>
      <c r="L56" s="325"/>
      <c r="M56" s="325"/>
      <c r="N56" s="333"/>
      <c r="O56" s="325"/>
      <c r="P56" s="325"/>
      <c r="Q56" s="325"/>
      <c r="R56" s="21"/>
    </row>
    <row r="57" spans="1:18" x14ac:dyDescent="0.25">
      <c r="A57" s="398"/>
      <c r="B57" s="627" t="s">
        <v>123</v>
      </c>
      <c r="C57" s="628"/>
      <c r="D57" s="628"/>
      <c r="E57" s="188" t="s">
        <v>124</v>
      </c>
      <c r="F57" s="237">
        <f ca="1">ROUND(SJRIPSummaryRAW!B64,-1)</f>
        <v>210</v>
      </c>
      <c r="G57" s="205"/>
      <c r="H57" s="219">
        <f ca="1">ROUND(SJRIPSummaryRAW!D64,-1)</f>
        <v>210</v>
      </c>
      <c r="I57" s="220">
        <f ca="1">ROUND(SJRIPSummaryRAW!E64,-1)</f>
        <v>210</v>
      </c>
      <c r="J57" s="255"/>
      <c r="K57" s="21"/>
      <c r="L57" s="325"/>
      <c r="M57" s="325"/>
      <c r="N57" s="333"/>
      <c r="O57" s="325"/>
      <c r="P57" s="325"/>
      <c r="Q57" s="325"/>
      <c r="R57" s="21"/>
    </row>
    <row r="58" spans="1:18" x14ac:dyDescent="0.25">
      <c r="A58" s="398"/>
      <c r="B58" s="629"/>
      <c r="C58" s="630"/>
      <c r="D58" s="630"/>
      <c r="E58" s="175" t="s">
        <v>125</v>
      </c>
      <c r="F58" s="174">
        <f ca="1">ROUND(SJRIPSummaryRAW!B65,-2)</f>
        <v>136300</v>
      </c>
      <c r="G58" s="205"/>
      <c r="H58" s="221">
        <f ca="1">ROUND(SJRIPSummaryRAW!D65,-2)</f>
        <v>168500</v>
      </c>
      <c r="I58" s="222">
        <f ca="1">ROUND(SJRIPSummaryRAW!E65,-2)</f>
        <v>84200</v>
      </c>
      <c r="J58" s="255"/>
      <c r="K58" s="21"/>
      <c r="L58" s="325"/>
      <c r="M58" s="325"/>
      <c r="N58" s="333"/>
      <c r="O58" s="325"/>
      <c r="P58" s="325"/>
      <c r="Q58" s="325"/>
      <c r="R58" s="21"/>
    </row>
    <row r="59" spans="1:18" x14ac:dyDescent="0.25">
      <c r="A59" s="398"/>
      <c r="B59" s="629"/>
      <c r="C59" s="630"/>
      <c r="D59" s="630"/>
      <c r="E59" s="175" t="s">
        <v>126</v>
      </c>
      <c r="F59" s="174">
        <f ca="1">ROUND(SJRIPSummaryRAW!B66,-2)</f>
        <v>214700</v>
      </c>
      <c r="G59" s="205"/>
      <c r="H59" s="221">
        <f ca="1">ROUND(SJRIPSummaryRAW!D66,-2)</f>
        <v>264000</v>
      </c>
      <c r="I59" s="222">
        <f ca="1">ROUND(SJRIPSummaryRAW!E66,-2)</f>
        <v>130300</v>
      </c>
      <c r="J59" s="255"/>
      <c r="K59" s="21"/>
      <c r="L59" s="325"/>
      <c r="M59" s="325"/>
      <c r="N59" s="333"/>
      <c r="O59" s="325"/>
      <c r="P59" s="325"/>
      <c r="Q59" s="325"/>
      <c r="R59" s="21"/>
    </row>
    <row r="60" spans="1:18" ht="15.75" thickBot="1" x14ac:dyDescent="0.3">
      <c r="A60" s="399"/>
      <c r="B60" s="629"/>
      <c r="C60" s="630"/>
      <c r="D60" s="630"/>
      <c r="E60" s="204" t="s">
        <v>355</v>
      </c>
      <c r="F60" s="174">
        <f ca="1">ROUND(SJRIPSummaryRAW!B67,-2)</f>
        <v>78200</v>
      </c>
      <c r="G60" s="154"/>
      <c r="H60" s="223">
        <f ca="1">ROUND(SJRIPSummaryRAW!D67,-2)</f>
        <v>129100</v>
      </c>
      <c r="I60" s="224">
        <f ca="1">ROUND(SJRIPSummaryRAW!E67,-2)</f>
        <v>35800</v>
      </c>
      <c r="J60" s="256"/>
      <c r="K60" s="21"/>
      <c r="L60" s="325">
        <v>-11769</v>
      </c>
      <c r="M60" s="325"/>
      <c r="N60" s="333"/>
      <c r="O60" s="325"/>
      <c r="P60" s="325"/>
      <c r="Q60" s="325"/>
      <c r="R60" s="21"/>
    </row>
    <row r="61" spans="1:18" ht="15.75" thickBot="1" x14ac:dyDescent="0.3">
      <c r="A61" s="396"/>
      <c r="B61" s="633" t="s">
        <v>127</v>
      </c>
      <c r="C61" s="634"/>
      <c r="D61" s="634"/>
      <c r="E61" s="635"/>
      <c r="F61" s="206">
        <f ca="1">ROUND(SJRIPSummaryRAW!B68,-2)</f>
        <v>12300</v>
      </c>
      <c r="G61" s="149"/>
      <c r="H61" s="225">
        <f ca="1">ROUND(SJRIPSummaryRAW!D68,-2)</f>
        <v>12300</v>
      </c>
      <c r="I61" s="226">
        <f ca="1">ROUND(SJRIPSummaryRAW!E68,-2)</f>
        <v>12300</v>
      </c>
      <c r="J61" s="245"/>
      <c r="K61" s="21"/>
      <c r="L61" s="325">
        <v>9140</v>
      </c>
      <c r="M61" s="325"/>
      <c r="N61" s="333"/>
      <c r="O61" s="325"/>
      <c r="P61" s="325"/>
      <c r="Q61" s="325"/>
      <c r="R61" s="21"/>
    </row>
    <row r="62" spans="1:18" ht="15.75" thickBot="1" x14ac:dyDescent="0.3">
      <c r="A62" s="396"/>
      <c r="B62" s="764" t="s">
        <v>128</v>
      </c>
      <c r="C62" s="765"/>
      <c r="D62" s="765"/>
      <c r="E62" s="766"/>
      <c r="F62" s="264">
        <v>0</v>
      </c>
      <c r="G62" s="150"/>
      <c r="H62" s="265"/>
      <c r="I62" s="266"/>
      <c r="J62" s="246"/>
      <c r="K62" s="21"/>
      <c r="L62" s="325">
        <v>10010</v>
      </c>
      <c r="M62" s="325"/>
      <c r="N62" s="333"/>
      <c r="O62" s="325"/>
      <c r="P62" s="325"/>
      <c r="Q62" s="325"/>
      <c r="R62" s="21"/>
    </row>
    <row r="63" spans="1:18" ht="15.75" thickBot="1" x14ac:dyDescent="0.3">
      <c r="A63" s="394"/>
      <c r="B63" s="193"/>
      <c r="C63" s="194"/>
      <c r="D63" s="194"/>
      <c r="E63" s="194"/>
      <c r="F63" s="203"/>
      <c r="G63" s="167"/>
      <c r="H63" s="260"/>
      <c r="I63" s="261"/>
      <c r="J63" s="203"/>
      <c r="K63" s="21"/>
      <c r="L63" s="325"/>
      <c r="M63" s="325"/>
      <c r="N63" s="333"/>
      <c r="O63" s="325"/>
      <c r="P63" s="325"/>
      <c r="Q63" s="325"/>
      <c r="R63" s="21"/>
    </row>
    <row r="64" spans="1:18" customFormat="1" ht="15.75" thickBot="1" x14ac:dyDescent="0.3">
      <c r="A64" s="8"/>
      <c r="B64" s="642" t="s">
        <v>129</v>
      </c>
      <c r="C64" s="643"/>
      <c r="D64" s="643"/>
      <c r="E64" s="643"/>
      <c r="F64" s="207">
        <f ca="1">ROUND(SJRIPSummaryRAW!B69,-2)</f>
        <v>939200</v>
      </c>
      <c r="G64" s="167"/>
      <c r="H64" s="168"/>
      <c r="I64" s="169"/>
      <c r="J64" s="203"/>
      <c r="K64" s="21"/>
      <c r="L64" s="343">
        <f>SUM(L51,L61:L62)</f>
        <v>862784</v>
      </c>
      <c r="M64" t="s">
        <v>360</v>
      </c>
      <c r="N64" s="329"/>
      <c r="O64" s="325"/>
      <c r="P64" s="325"/>
      <c r="Q64" s="325"/>
      <c r="R64" s="325"/>
    </row>
    <row r="65" spans="1:18" customFormat="1" x14ac:dyDescent="0.25">
      <c r="N65" s="329"/>
      <c r="O65" s="326"/>
      <c r="P65" s="326"/>
      <c r="Q65" s="326"/>
    </row>
    <row r="66" spans="1:18" customFormat="1" x14ac:dyDescent="0.25">
      <c r="E66" s="280" t="s">
        <v>356</v>
      </c>
      <c r="F66" s="340">
        <f ca="1">F64-F60</f>
        <v>861000</v>
      </c>
      <c r="L66" s="328">
        <f>SUM(L51,L60:L62)</f>
        <v>851015</v>
      </c>
      <c r="M66" s="338" t="s">
        <v>354</v>
      </c>
      <c r="N66" s="339"/>
      <c r="O66" s="342"/>
      <c r="P66" s="342"/>
      <c r="Q66" s="342"/>
      <c r="R66" s="281"/>
    </row>
    <row r="67" spans="1:18" x14ac:dyDescent="0.25">
      <c r="L67" s="326"/>
      <c r="M67" s="326"/>
      <c r="N67" s="334"/>
      <c r="O67" s="326"/>
      <c r="P67" s="326"/>
      <c r="Q67" s="326"/>
    </row>
    <row r="68" spans="1:18" x14ac:dyDescent="0.25">
      <c r="E68" t="s">
        <v>361</v>
      </c>
      <c r="L68" t="s">
        <v>361</v>
      </c>
      <c r="N68" s="334"/>
      <c r="O68" s="326"/>
      <c r="P68" s="326"/>
      <c r="Q68" s="326"/>
    </row>
    <row r="69" spans="1:18" x14ac:dyDescent="0.25">
      <c r="E69" t="s">
        <v>151</v>
      </c>
      <c r="F69">
        <v>10010</v>
      </c>
      <c r="H69" t="s">
        <v>358</v>
      </c>
      <c r="N69" s="334"/>
      <c r="O69" s="326"/>
      <c r="P69" s="326"/>
      <c r="Q69" s="326"/>
    </row>
    <row r="70" spans="1:18" x14ac:dyDescent="0.25">
      <c r="E70" t="s">
        <v>305</v>
      </c>
      <c r="F70">
        <v>2832</v>
      </c>
      <c r="H70" t="s">
        <v>358</v>
      </c>
      <c r="L70" s="326">
        <v>2832</v>
      </c>
      <c r="M70" t="s">
        <v>305</v>
      </c>
      <c r="N70" s="334"/>
      <c r="O70" s="326"/>
      <c r="P70" s="326"/>
      <c r="Q70" s="326"/>
    </row>
    <row r="71" spans="1:18" x14ac:dyDescent="0.25">
      <c r="E71" t="s">
        <v>306</v>
      </c>
      <c r="F71">
        <v>523</v>
      </c>
      <c r="H71" t="s">
        <v>358</v>
      </c>
      <c r="L71" s="326">
        <v>523</v>
      </c>
      <c r="M71" t="s">
        <v>306</v>
      </c>
      <c r="N71" s="334"/>
      <c r="O71" s="326"/>
      <c r="P71" s="326"/>
      <c r="Q71" s="326"/>
    </row>
    <row r="72" spans="1:18" s="42" customFormat="1" x14ac:dyDescent="0.25">
      <c r="A72"/>
      <c r="B72"/>
      <c r="C72"/>
      <c r="D72"/>
      <c r="E72" t="s">
        <v>164</v>
      </c>
      <c r="F72">
        <v>110</v>
      </c>
      <c r="K72"/>
      <c r="L72" s="328">
        <f>SUM(L66,L70,L71)</f>
        <v>854370</v>
      </c>
      <c r="M72" s="341" t="s">
        <v>359</v>
      </c>
      <c r="N72" s="334"/>
      <c r="O72" s="326"/>
      <c r="P72" s="326"/>
      <c r="Q72" s="326"/>
      <c r="R72"/>
    </row>
    <row r="73" spans="1:18" x14ac:dyDescent="0.25">
      <c r="E73" t="s">
        <v>307</v>
      </c>
      <c r="F73">
        <v>0</v>
      </c>
      <c r="H73" t="s">
        <v>308</v>
      </c>
      <c r="L73" s="326"/>
      <c r="M73" s="326"/>
      <c r="N73" s="334"/>
      <c r="O73" s="326"/>
      <c r="P73" s="326"/>
      <c r="Q73" s="326"/>
    </row>
    <row r="74" spans="1:18" x14ac:dyDescent="0.25">
      <c r="E74" t="s">
        <v>304</v>
      </c>
      <c r="F74">
        <v>1400</v>
      </c>
      <c r="H74" t="s">
        <v>358</v>
      </c>
      <c r="L74" s="326"/>
      <c r="M74" s="326"/>
      <c r="N74" s="334"/>
      <c r="O74" s="326"/>
      <c r="P74" s="326"/>
      <c r="Q74" s="326"/>
    </row>
    <row r="75" spans="1:18" x14ac:dyDescent="0.25">
      <c r="L75" s="326"/>
      <c r="M75" s="326"/>
      <c r="N75" s="334"/>
      <c r="O75" s="326"/>
      <c r="P75" s="326"/>
      <c r="Q75" s="326"/>
    </row>
    <row r="76" spans="1:18" x14ac:dyDescent="0.25">
      <c r="E76" s="280" t="s">
        <v>357</v>
      </c>
      <c r="F76" s="340">
        <f ca="1">SUM(F66,F69:F74)</f>
        <v>875875</v>
      </c>
      <c r="L76" s="326"/>
      <c r="M76" s="326"/>
      <c r="N76" s="334"/>
      <c r="O76" s="326"/>
      <c r="P76" s="326"/>
      <c r="Q76" s="326"/>
    </row>
    <row r="77" spans="1:18" x14ac:dyDescent="0.25">
      <c r="L77" s="326"/>
      <c r="M77" s="326"/>
      <c r="N77" s="334"/>
      <c r="O77" s="326"/>
      <c r="P77" s="326"/>
      <c r="Q77" s="326"/>
    </row>
    <row r="78" spans="1:18" x14ac:dyDescent="0.25">
      <c r="L78" s="326"/>
      <c r="M78" s="326"/>
      <c r="N78" s="334"/>
      <c r="O78" s="326"/>
      <c r="P78" s="326"/>
      <c r="Q78" s="326"/>
    </row>
    <row r="79" spans="1:18" x14ac:dyDescent="0.25">
      <c r="L79" s="326"/>
      <c r="M79" s="326"/>
      <c r="N79" s="334"/>
      <c r="O79" s="326"/>
      <c r="P79" s="326"/>
      <c r="Q79" s="326"/>
    </row>
    <row r="80" spans="1:18" x14ac:dyDescent="0.25">
      <c r="L80" s="326"/>
      <c r="M80" s="326"/>
      <c r="N80" s="334"/>
      <c r="O80" s="326"/>
      <c r="P80" s="326"/>
      <c r="Q80" s="326"/>
    </row>
    <row r="92" spans="1:18" s="39" customFormat="1" x14ac:dyDescent="0.25">
      <c r="A92"/>
      <c r="B92"/>
      <c r="C92"/>
      <c r="D92"/>
      <c r="E92"/>
      <c r="F92"/>
      <c r="G92"/>
      <c r="H92"/>
      <c r="I92"/>
      <c r="J92"/>
      <c r="K92"/>
      <c r="L92"/>
      <c r="M92"/>
      <c r="N92" s="329"/>
      <c r="O92"/>
      <c r="P92"/>
      <c r="Q92"/>
      <c r="R92"/>
    </row>
  </sheetData>
  <mergeCells count="28">
    <mergeCell ref="B6:J6"/>
    <mergeCell ref="B7:E8"/>
    <mergeCell ref="F7:F8"/>
    <mergeCell ref="H7:I8"/>
    <mergeCell ref="B4:J4"/>
    <mergeCell ref="B5:D5"/>
    <mergeCell ref="E5:J5"/>
    <mergeCell ref="B10:B33"/>
    <mergeCell ref="C10:C24"/>
    <mergeCell ref="D10:D15"/>
    <mergeCell ref="D17:D24"/>
    <mergeCell ref="C25:E25"/>
    <mergeCell ref="C27:D32"/>
    <mergeCell ref="C33:E33"/>
    <mergeCell ref="B34:E34"/>
    <mergeCell ref="B36:B47"/>
    <mergeCell ref="C36:D39"/>
    <mergeCell ref="C40:E40"/>
    <mergeCell ref="C41:D46"/>
    <mergeCell ref="C47:E47"/>
    <mergeCell ref="B62:E62"/>
    <mergeCell ref="B64:E64"/>
    <mergeCell ref="B48:E48"/>
    <mergeCell ref="B50:E50"/>
    <mergeCell ref="B52:D55"/>
    <mergeCell ref="B56:E56"/>
    <mergeCell ref="B57:D60"/>
    <mergeCell ref="B61:E61"/>
  </mergeCells>
  <pageMargins left="0.75" right="0.75" top="1" bottom="1" header="0.5" footer="0.5"/>
  <pageSetup scale="1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D65DC5FF7C07C4ABC70E7A889903A20" ma:contentTypeVersion="11" ma:contentTypeDescription="Create a new document." ma:contentTypeScope="" ma:versionID="2d8602c2031294ffeb1e1d842d57a927">
  <xsd:schema xmlns:xsd="http://www.w3.org/2001/XMLSchema" xmlns:xs="http://www.w3.org/2001/XMLSchema" xmlns:p="http://schemas.microsoft.com/office/2006/metadata/properties" xmlns:ns2="94ce2660-d3d7-40a1-ad21-68acc69b351d" xmlns:ns3="e5e6f28b-4863-4d58-aa71-03ed2b2fbd58" targetNamespace="http://schemas.microsoft.com/office/2006/metadata/properties" ma:root="true" ma:fieldsID="229f42e36664e51843642bb112210a7d" ns2:_="" ns3:_="">
    <xsd:import namespace="94ce2660-d3d7-40a1-ad21-68acc69b351d"/>
    <xsd:import namespace="e5e6f28b-4863-4d58-aa71-03ed2b2fbd5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ce2660-d3d7-40a1-ad21-68acc69b351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5e6f28b-4863-4d58-aa71-03ed2b2fbd58"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D1F101E-B6AD-442C-B253-A4735830F00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C5AC5E8-E893-475E-B014-9C48D331E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ce2660-d3d7-40a1-ad21-68acc69b351d"/>
    <ds:schemaRef ds:uri="e5e6f28b-4863-4d58-aa71-03ed2b2fbd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536165C-E930-46CC-9850-D78F5E196B7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SJRIPSummary</vt:lpstr>
      <vt:lpstr>AnnualResultsViewer</vt:lpstr>
      <vt:lpstr>TribalTable</vt:lpstr>
      <vt:lpstr>SJRIPSummaryRAW</vt:lpstr>
      <vt:lpstr>RunScenarioInfo</vt:lpstr>
      <vt:lpstr>SJRIPSummary_Annuals</vt:lpstr>
      <vt:lpstr>AnnualAggregations</vt:lpstr>
      <vt:lpstr>AnnualDepletions</vt:lpstr>
      <vt:lpstr>AnnualDeplReqs</vt:lpstr>
      <vt:lpstr>AnnualDiversions</vt:lpstr>
      <vt:lpstr>AnnualDivReqs</vt:lpstr>
      <vt:lpstr>StateModDepletions_ThisScenario</vt:lpstr>
      <vt:lpstr>StateModDepletions_BL</vt:lpstr>
      <vt:lpstr>StateModDepletions_BLNoRes</vt:lpstr>
      <vt:lpstr>StateModDepletions_BL_2013</vt:lpstr>
      <vt:lpstr>StateModDepletions_BLNoRes_2013</vt:lpstr>
      <vt:lpstr>NGWSPBOComp</vt:lpstr>
      <vt:lpstr>NumRunYears</vt:lpstr>
      <vt:lpstr>RunScenName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Todd Vandegrift</dc:creator>
  <cp:lastModifiedBy>Todd</cp:lastModifiedBy>
  <dcterms:created xsi:type="dcterms:W3CDTF">2016-11-21T15:38:17Z</dcterms:created>
  <dcterms:modified xsi:type="dcterms:W3CDTF">2022-12-06T20:31:36Z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0x010100DD65DC5FF7C07C4ABC70E7A889903A20</vt:lpwstr>
  </property>
</Properties>
</file>